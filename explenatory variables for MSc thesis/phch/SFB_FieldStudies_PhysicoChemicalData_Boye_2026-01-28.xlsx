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aten\3 RESIST\9 sciebo\b_Environmental Data\Physico-chemical Data\"/>
    </mc:Choice>
  </mc:AlternateContent>
  <xr:revisionPtr revIDLastSave="0" documentId="13_ncr:1_{2C86DEBD-E4B6-47BF-B1E5-8C0D88831B3D}" xr6:coauthVersionLast="47" xr6:coauthVersionMax="47" xr10:uidLastSave="{00000000-0000-0000-0000-000000000000}"/>
  <bookViews>
    <workbookView xWindow="-120" yWindow="-120" windowWidth="29040" windowHeight="18240" tabRatio="500" firstSheet="1" activeTab="4" xr2:uid="{00000000-000D-0000-FFFF-FFFF00000000}"/>
  </bookViews>
  <sheets>
    <sheet name="field | once a year" sheetId="1" r:id="rId1"/>
    <sheet name="field | bi-weekly" sheetId="2" r:id="rId2"/>
    <sheet name="lab | bi-weekly" sheetId="3" r:id="rId3"/>
    <sheet name="lab | once a month" sheetId="4" r:id="rId4"/>
    <sheet name="#dates#" sheetId="7" r:id="rId5"/>
  </sheets>
  <definedNames>
    <definedName name="_xlnm._FilterDatabase" localSheetId="1" hidden="1">'field | bi-weekly'!$A$3:$N$2137</definedName>
    <definedName name="_xlnm._FilterDatabase" localSheetId="2" hidden="1">'lab | bi-weekly'!$A$3:$N$2048</definedName>
    <definedName name="_xlnm._FilterDatabase" localSheetId="3" hidden="1">'lab | once a month'!$A$3:$R$879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3" i="2" l="1"/>
  <c r="K3" i="2"/>
  <c r="H3" i="2"/>
  <c r="G3" i="2"/>
  <c r="E3" i="2"/>
  <c r="C2137" i="2" l="1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D1994" i="2"/>
  <c r="D1996" i="2"/>
  <c r="C2016" i="2"/>
  <c r="C2017" i="2"/>
  <c r="C2018" i="2"/>
  <c r="C2019" i="2"/>
  <c r="C2020" i="2"/>
  <c r="C1993" i="2"/>
  <c r="C1994" i="2"/>
  <c r="C1995" i="2"/>
  <c r="C1996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21" i="2"/>
  <c r="C2022" i="2"/>
  <c r="C2000" i="2"/>
  <c r="C1999" i="2"/>
  <c r="C1998" i="2"/>
  <c r="C1997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17" i="2"/>
  <c r="D1859" i="2"/>
  <c r="D1861" i="2"/>
  <c r="D1863" i="2"/>
  <c r="D1868" i="2"/>
  <c r="D1871" i="2"/>
  <c r="D1873" i="2"/>
  <c r="D1874" i="2"/>
  <c r="D1875" i="2"/>
  <c r="D1876" i="2"/>
  <c r="D1839" i="2"/>
  <c r="D1841" i="2"/>
  <c r="D1843" i="2"/>
  <c r="D1844" i="2"/>
  <c r="D1846" i="2"/>
  <c r="D1848" i="2"/>
  <c r="D1851" i="2"/>
  <c r="D1853" i="2"/>
  <c r="D1854" i="2"/>
  <c r="D1855" i="2"/>
  <c r="D1856" i="2"/>
  <c r="D1821" i="2"/>
  <c r="D1828" i="2"/>
  <c r="D1829" i="2"/>
  <c r="D1833" i="2"/>
  <c r="D1836" i="2"/>
  <c r="D1872" i="2"/>
  <c r="D1870" i="2"/>
  <c r="D1869" i="2"/>
  <c r="D1867" i="2"/>
  <c r="D1866" i="2"/>
  <c r="D1865" i="2"/>
  <c r="D1864" i="2"/>
  <c r="D1862" i="2"/>
  <c r="D1860" i="2"/>
  <c r="D1858" i="2"/>
  <c r="D1852" i="2"/>
  <c r="D1850" i="2"/>
  <c r="D1849" i="2"/>
  <c r="D1847" i="2"/>
  <c r="D1845" i="2"/>
  <c r="D1842" i="2"/>
  <c r="D1840" i="2"/>
  <c r="D1838" i="2"/>
  <c r="D1818" i="2"/>
  <c r="D1819" i="2"/>
  <c r="D1820" i="2"/>
  <c r="D1822" i="2"/>
  <c r="D1823" i="2"/>
  <c r="D1824" i="2"/>
  <c r="D1825" i="2"/>
  <c r="D1826" i="2"/>
  <c r="D1827" i="2"/>
  <c r="D1830" i="2"/>
  <c r="D1831" i="2"/>
  <c r="D1832" i="2"/>
  <c r="D1834" i="2"/>
  <c r="D1835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17" i="2"/>
  <c r="D2126" i="2" l="1"/>
  <c r="D2122" i="2"/>
  <c r="D2134" i="2"/>
  <c r="D2131" i="2"/>
  <c r="D2124" i="2"/>
  <c r="D2136" i="2"/>
  <c r="D2129" i="2"/>
  <c r="D2113" i="2"/>
  <c r="D2097" i="2"/>
  <c r="D2112" i="2"/>
  <c r="D2110" i="2"/>
  <c r="D2108" i="2"/>
  <c r="D2103" i="2"/>
  <c r="D2096" i="2"/>
  <c r="D2094" i="2"/>
  <c r="D2077" i="2"/>
  <c r="D2058" i="2"/>
  <c r="D2048" i="2"/>
  <c r="D2064" i="2"/>
  <c r="D2046" i="2"/>
  <c r="D2053" i="2"/>
  <c r="D2039" i="2"/>
  <c r="D2027" i="2"/>
  <c r="D2043" i="2"/>
  <c r="D2015" i="2"/>
  <c r="D2001" i="2"/>
  <c r="D2020" i="2"/>
  <c r="D2010" i="2"/>
  <c r="D1976" i="2"/>
  <c r="D1969" i="2"/>
  <c r="D1975" i="2"/>
  <c r="D1967" i="2"/>
  <c r="D1964" i="2"/>
  <c r="D1920" i="2"/>
  <c r="D1930" i="2"/>
  <c r="D1922" i="2"/>
  <c r="D1913" i="2"/>
  <c r="D1899" i="2"/>
  <c r="D1907" i="2"/>
  <c r="D1905" i="2"/>
  <c r="D1910" i="2"/>
  <c r="D1915" i="2"/>
  <c r="D1908" i="2"/>
  <c r="D1903" i="2"/>
  <c r="D1897" i="2"/>
  <c r="D1881" i="2"/>
  <c r="D1882" i="2"/>
  <c r="D1885" i="2"/>
  <c r="D1878" i="2"/>
  <c r="D1817" i="2"/>
  <c r="D1016" i="4"/>
  <c r="D1015" i="4"/>
  <c r="D1014" i="4"/>
  <c r="D1013" i="4"/>
  <c r="D1011" i="4"/>
  <c r="D1010" i="4"/>
  <c r="D1009" i="4"/>
  <c r="D1008" i="4"/>
  <c r="D1007" i="4"/>
  <c r="D1006" i="4"/>
  <c r="D1005" i="4"/>
  <c r="D1003" i="4"/>
  <c r="D1002" i="4"/>
  <c r="D1001" i="4"/>
  <c r="D1000" i="4"/>
  <c r="D999" i="4"/>
  <c r="D998" i="4"/>
  <c r="D997" i="4"/>
  <c r="D995" i="4"/>
  <c r="D994" i="4"/>
  <c r="D993" i="4"/>
  <c r="D992" i="4"/>
  <c r="D991" i="4"/>
  <c r="D990" i="4"/>
  <c r="D989" i="4"/>
  <c r="D986" i="4"/>
  <c r="D985" i="4"/>
  <c r="D984" i="4"/>
  <c r="D983" i="4"/>
  <c r="D982" i="4"/>
  <c r="D981" i="4"/>
  <c r="D978" i="4"/>
  <c r="D977" i="4"/>
  <c r="D976" i="4"/>
  <c r="D975" i="4"/>
  <c r="D974" i="4"/>
  <c r="D973" i="4"/>
  <c r="D971" i="4"/>
  <c r="D970" i="4"/>
  <c r="D969" i="4"/>
  <c r="D968" i="4"/>
  <c r="D967" i="4"/>
  <c r="D966" i="4"/>
  <c r="D965" i="4"/>
  <c r="D963" i="4"/>
  <c r="D962" i="4"/>
  <c r="D961" i="4"/>
  <c r="D960" i="4"/>
  <c r="D959" i="4"/>
  <c r="D958" i="4"/>
  <c r="D957" i="4"/>
  <c r="D955" i="4"/>
  <c r="D954" i="4"/>
  <c r="D953" i="4"/>
  <c r="D952" i="4"/>
  <c r="D951" i="4"/>
  <c r="D950" i="4"/>
  <c r="D949" i="4"/>
  <c r="D947" i="4"/>
  <c r="D946" i="4"/>
  <c r="D945" i="4"/>
  <c r="D944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D948" i="4"/>
  <c r="C949" i="4"/>
  <c r="C950" i="4"/>
  <c r="C951" i="4"/>
  <c r="C952" i="4"/>
  <c r="C953" i="4"/>
  <c r="C954" i="4"/>
  <c r="C955" i="4"/>
  <c r="C956" i="4"/>
  <c r="D956" i="4"/>
  <c r="C957" i="4"/>
  <c r="C958" i="4"/>
  <c r="C959" i="4"/>
  <c r="C960" i="4"/>
  <c r="C961" i="4"/>
  <c r="C962" i="4"/>
  <c r="C963" i="4"/>
  <c r="C964" i="4"/>
  <c r="D964" i="4"/>
  <c r="C965" i="4"/>
  <c r="C966" i="4"/>
  <c r="C967" i="4"/>
  <c r="C968" i="4"/>
  <c r="C969" i="4"/>
  <c r="C970" i="4"/>
  <c r="C971" i="4"/>
  <c r="C972" i="4"/>
  <c r="D972" i="4"/>
  <c r="C973" i="4"/>
  <c r="C974" i="4"/>
  <c r="C975" i="4"/>
  <c r="C976" i="4"/>
  <c r="C977" i="4"/>
  <c r="C978" i="4"/>
  <c r="C979" i="4"/>
  <c r="C980" i="4"/>
  <c r="D980" i="4"/>
  <c r="C981" i="4"/>
  <c r="C982" i="4"/>
  <c r="C983" i="4"/>
  <c r="C984" i="4"/>
  <c r="C985" i="4"/>
  <c r="C986" i="4"/>
  <c r="C987" i="4"/>
  <c r="C988" i="4"/>
  <c r="D988" i="4"/>
  <c r="C989" i="4"/>
  <c r="C990" i="4"/>
  <c r="C991" i="4"/>
  <c r="C992" i="4"/>
  <c r="C993" i="4"/>
  <c r="C994" i="4"/>
  <c r="C995" i="4"/>
  <c r="C996" i="4"/>
  <c r="D996" i="4"/>
  <c r="C997" i="4"/>
  <c r="C998" i="4"/>
  <c r="C999" i="4"/>
  <c r="C1000" i="4"/>
  <c r="C1001" i="4"/>
  <c r="C1002" i="4"/>
  <c r="C1003" i="4"/>
  <c r="C1004" i="4"/>
  <c r="D1004" i="4"/>
  <c r="C1005" i="4"/>
  <c r="C1006" i="4"/>
  <c r="C1007" i="4"/>
  <c r="C1008" i="4"/>
  <c r="C1009" i="4"/>
  <c r="C1010" i="4"/>
  <c r="C1011" i="4"/>
  <c r="C1012" i="4"/>
  <c r="D1012" i="4"/>
  <c r="C1013" i="4"/>
  <c r="C1014" i="4"/>
  <c r="C1015" i="4"/>
  <c r="C1016" i="4"/>
  <c r="D2116" i="2" l="1"/>
  <c r="D2120" i="2"/>
  <c r="D2123" i="2"/>
  <c r="D2125" i="2"/>
  <c r="D2135" i="2"/>
  <c r="D2118" i="2"/>
  <c r="D2132" i="2"/>
  <c r="D2119" i="2"/>
  <c r="D2121" i="2"/>
  <c r="D2128" i="2"/>
  <c r="D2137" i="2"/>
  <c r="D2133" i="2"/>
  <c r="D2130" i="2"/>
  <c r="D2127" i="2"/>
  <c r="D2117" i="2"/>
  <c r="D2115" i="2"/>
  <c r="D2099" i="2"/>
  <c r="D2106" i="2"/>
  <c r="D2109" i="2"/>
  <c r="D2095" i="2"/>
  <c r="D2102" i="2"/>
  <c r="D2104" i="2"/>
  <c r="D2111" i="2"/>
  <c r="D2105" i="2"/>
  <c r="D2093" i="2"/>
  <c r="D2098" i="2"/>
  <c r="D2100" i="2"/>
  <c r="D2107" i="2"/>
  <c r="D2114" i="2"/>
  <c r="D2101" i="2"/>
  <c r="D2086" i="2"/>
  <c r="D2089" i="2"/>
  <c r="D2092" i="2"/>
  <c r="D2069" i="2"/>
  <c r="D2090" i="2"/>
  <c r="D2074" i="2"/>
  <c r="D2082" i="2"/>
  <c r="D2073" i="2"/>
  <c r="D2085" i="2"/>
  <c r="D2078" i="2"/>
  <c r="D2070" i="2"/>
  <c r="D2084" i="2"/>
  <c r="D2079" i="2"/>
  <c r="D2087" i="2"/>
  <c r="D2076" i="2"/>
  <c r="D2071" i="2"/>
  <c r="D2081" i="2"/>
  <c r="D2091" i="2"/>
  <c r="D2088" i="2"/>
  <c r="D2083" i="2"/>
  <c r="D2080" i="2"/>
  <c r="D2075" i="2"/>
  <c r="D2072" i="2"/>
  <c r="D2067" i="2"/>
  <c r="D2051" i="2"/>
  <c r="D2068" i="2"/>
  <c r="D2052" i="2"/>
  <c r="D2062" i="2"/>
  <c r="D2057" i="2"/>
  <c r="D2050" i="2"/>
  <c r="D2065" i="2"/>
  <c r="D2055" i="2"/>
  <c r="D2049" i="2"/>
  <c r="D2056" i="2"/>
  <c r="D2066" i="2"/>
  <c r="D2061" i="2"/>
  <c r="D2063" i="2"/>
  <c r="D2047" i="2"/>
  <c r="D2059" i="2"/>
  <c r="D2054" i="2"/>
  <c r="D2060" i="2"/>
  <c r="D2023" i="2"/>
  <c r="D2034" i="2"/>
  <c r="D2038" i="2"/>
  <c r="D2031" i="2"/>
  <c r="D2029" i="2"/>
  <c r="D2035" i="2"/>
  <c r="D2044" i="2"/>
  <c r="D2028" i="2"/>
  <c r="D2033" i="2"/>
  <c r="D2032" i="2"/>
  <c r="D2026" i="2"/>
  <c r="D2037" i="2"/>
  <c r="D2030" i="2"/>
  <c r="D2040" i="2"/>
  <c r="D2024" i="2"/>
  <c r="D2045" i="2"/>
  <c r="D2036" i="2"/>
  <c r="D2042" i="2"/>
  <c r="D2041" i="2"/>
  <c r="D2025" i="2"/>
  <c r="D2005" i="2"/>
  <c r="D2008" i="2"/>
  <c r="D2017" i="2"/>
  <c r="D2012" i="2"/>
  <c r="D2004" i="2"/>
  <c r="D2013" i="2"/>
  <c r="D2022" i="2"/>
  <c r="D2007" i="2"/>
  <c r="D2021" i="2"/>
  <c r="D2002" i="2"/>
  <c r="D2009" i="2"/>
  <c r="D2016" i="2"/>
  <c r="D2006" i="2"/>
  <c r="D2011" i="2"/>
  <c r="D2018" i="2"/>
  <c r="D2014" i="2"/>
  <c r="D2003" i="2"/>
  <c r="D2019" i="2"/>
  <c r="D1980" i="2"/>
  <c r="D1998" i="2"/>
  <c r="D1997" i="2"/>
  <c r="D1995" i="2"/>
  <c r="D1993" i="2"/>
  <c r="D1979" i="2"/>
  <c r="D1987" i="2"/>
  <c r="D1978" i="2"/>
  <c r="D1985" i="2"/>
  <c r="D1989" i="2"/>
  <c r="D1988" i="2"/>
  <c r="D1990" i="2"/>
  <c r="D1983" i="2"/>
  <c r="D1999" i="2"/>
  <c r="D1986" i="2"/>
  <c r="D1982" i="2"/>
  <c r="D1992" i="2"/>
  <c r="D1981" i="2"/>
  <c r="D1991" i="2"/>
  <c r="D2000" i="2"/>
  <c r="D1984" i="2"/>
  <c r="D1966" i="2"/>
  <c r="D1965" i="2"/>
  <c r="D1974" i="2"/>
  <c r="D1960" i="2"/>
  <c r="D1970" i="2"/>
  <c r="D1977" i="2"/>
  <c r="D1961" i="2"/>
  <c r="D1968" i="2"/>
  <c r="D1963" i="2"/>
  <c r="D1973" i="2"/>
  <c r="D1971" i="2"/>
  <c r="D1962" i="2"/>
  <c r="D1959" i="2"/>
  <c r="D1958" i="2"/>
  <c r="D1972" i="2"/>
  <c r="D1957" i="2"/>
  <c r="D1952" i="2"/>
  <c r="D1938" i="2"/>
  <c r="D1942" i="2"/>
  <c r="D1956" i="2"/>
  <c r="D1947" i="2"/>
  <c r="D1941" i="2"/>
  <c r="D1954" i="2"/>
  <c r="D1953" i="2"/>
  <c r="D1950" i="2"/>
  <c r="D1949" i="2"/>
  <c r="D1946" i="2"/>
  <c r="D1945" i="2"/>
  <c r="D1940" i="2"/>
  <c r="D1943" i="2"/>
  <c r="D1948" i="2"/>
  <c r="D1951" i="2"/>
  <c r="D1944" i="2"/>
  <c r="D1955" i="2"/>
  <c r="D1937" i="2"/>
  <c r="D1939" i="2"/>
  <c r="D1929" i="2"/>
  <c r="D1917" i="2"/>
  <c r="D1918" i="2"/>
  <c r="D1933" i="2"/>
  <c r="D1928" i="2"/>
  <c r="D1919" i="2"/>
  <c r="D1936" i="2"/>
  <c r="D1935" i="2"/>
  <c r="D1923" i="2"/>
  <c r="D1931" i="2"/>
  <c r="D1927" i="2"/>
  <c r="D1926" i="2"/>
  <c r="D1924" i="2"/>
  <c r="D1934" i="2"/>
  <c r="D1925" i="2"/>
  <c r="D1921" i="2"/>
  <c r="D1932" i="2"/>
  <c r="D1900" i="2"/>
  <c r="D1901" i="2"/>
  <c r="D1909" i="2"/>
  <c r="D1904" i="2"/>
  <c r="D1906" i="2"/>
  <c r="D1914" i="2"/>
  <c r="D1916" i="2"/>
  <c r="D1911" i="2"/>
  <c r="D1912" i="2"/>
  <c r="D1898" i="2"/>
  <c r="D1902" i="2"/>
  <c r="D1890" i="2"/>
  <c r="D1894" i="2"/>
  <c r="D1884" i="2"/>
  <c r="D1892" i="2"/>
  <c r="D1895" i="2"/>
  <c r="D1886" i="2"/>
  <c r="D1888" i="2"/>
  <c r="D1889" i="2"/>
  <c r="D1891" i="2"/>
  <c r="D1893" i="2"/>
  <c r="D1880" i="2"/>
  <c r="D1896" i="2"/>
  <c r="D1887" i="2"/>
  <c r="D1883" i="2"/>
  <c r="D1879" i="2"/>
  <c r="D1877" i="2"/>
  <c r="D1857" i="2"/>
  <c r="D1837" i="2"/>
  <c r="D943" i="4"/>
  <c r="D979" i="4"/>
  <c r="D987" i="4"/>
  <c r="D879" i="4"/>
  <c r="P3" i="4"/>
  <c r="O3" i="4"/>
  <c r="N3" i="4"/>
  <c r="M3" i="4"/>
  <c r="L3" i="4"/>
  <c r="K3" i="4"/>
  <c r="J3" i="4"/>
  <c r="I3" i="4"/>
  <c r="H3" i="4"/>
  <c r="G3" i="4"/>
  <c r="F3" i="4"/>
  <c r="E3" i="4"/>
  <c r="C2042" i="3"/>
  <c r="D2042" i="3"/>
  <c r="C2043" i="3"/>
  <c r="C2044" i="3"/>
  <c r="D2044" i="3"/>
  <c r="C2045" i="3"/>
  <c r="D2045" i="3"/>
  <c r="C2019" i="3"/>
  <c r="D2019" i="3"/>
  <c r="C2020" i="3"/>
  <c r="C2021" i="3"/>
  <c r="D2021" i="3"/>
  <c r="C2022" i="3"/>
  <c r="D2022" i="3"/>
  <c r="C1996" i="3"/>
  <c r="D1996" i="3"/>
  <c r="C1997" i="3"/>
  <c r="C1998" i="3"/>
  <c r="D1998" i="3"/>
  <c r="C1999" i="3"/>
  <c r="D1999" i="3"/>
  <c r="C1973" i="3"/>
  <c r="D1973" i="3"/>
  <c r="C1974" i="3"/>
  <c r="C1975" i="3"/>
  <c r="D1975" i="3"/>
  <c r="C1976" i="3"/>
  <c r="D1976" i="3"/>
  <c r="C1950" i="3"/>
  <c r="D1950" i="3"/>
  <c r="C1951" i="3"/>
  <c r="C1952" i="3"/>
  <c r="D1952" i="3"/>
  <c r="C1953" i="3"/>
  <c r="D1953" i="3"/>
  <c r="D1927" i="3"/>
  <c r="D1929" i="3"/>
  <c r="D1930" i="3"/>
  <c r="C1927" i="3"/>
  <c r="C1928" i="3"/>
  <c r="C1929" i="3"/>
  <c r="C1930" i="3"/>
  <c r="C2048" i="3" l="1"/>
  <c r="C2047" i="3"/>
  <c r="C2046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D1928" i="3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2043" i="3" l="1"/>
  <c r="D2020" i="3"/>
  <c r="D1997" i="3"/>
  <c r="D1974" i="3"/>
  <c r="D1951" i="3"/>
  <c r="D1931" i="3"/>
  <c r="D1926" i="3"/>
  <c r="D1922" i="3"/>
  <c r="D1918" i="3"/>
  <c r="D1914" i="3"/>
  <c r="D2035" i="3"/>
  <c r="D2027" i="3"/>
  <c r="D2016" i="3"/>
  <c r="D1915" i="3"/>
  <c r="D1925" i="3"/>
  <c r="D1921" i="3"/>
  <c r="D1917" i="3"/>
  <c r="D1913" i="3"/>
  <c r="D2046" i="3"/>
  <c r="D2039" i="3"/>
  <c r="D2031" i="3"/>
  <c r="D2023" i="3"/>
  <c r="D1924" i="3"/>
  <c r="D1920" i="3"/>
  <c r="D1916" i="3"/>
  <c r="D1912" i="3"/>
  <c r="D1923" i="3"/>
  <c r="D2009" i="3"/>
  <c r="D1919" i="3"/>
  <c r="D2008" i="3"/>
  <c r="J3" i="3"/>
  <c r="L3" i="3"/>
  <c r="D2010" i="3"/>
  <c r="D2004" i="3"/>
  <c r="D2026" i="3"/>
  <c r="D2047" i="3"/>
  <c r="D2005" i="3"/>
  <c r="G3" i="3"/>
  <c r="D2003" i="3"/>
  <c r="F3" i="3"/>
  <c r="K3" i="3"/>
  <c r="D2014" i="3"/>
  <c r="D2034" i="3"/>
  <c r="D2007" i="3"/>
  <c r="D2040" i="3"/>
  <c r="D2036" i="3"/>
  <c r="D2032" i="3"/>
  <c r="D2028" i="3"/>
  <c r="D2024" i="3"/>
  <c r="D2017" i="3"/>
  <c r="D2013" i="3"/>
  <c r="D2012" i="3"/>
  <c r="D2038" i="3"/>
  <c r="D2030" i="3"/>
  <c r="D2011" i="3"/>
  <c r="E3" i="3"/>
  <c r="D1911" i="3"/>
  <c r="D2048" i="3"/>
  <c r="D2041" i="3"/>
  <c r="D2037" i="3"/>
  <c r="D2033" i="3"/>
  <c r="D2029" i="3"/>
  <c r="D2025" i="3"/>
  <c r="D2018" i="3"/>
  <c r="I3" i="3"/>
  <c r="H3" i="3"/>
  <c r="D2006" i="3"/>
  <c r="D2002" i="3"/>
  <c r="D1995" i="3"/>
  <c r="D1991" i="3"/>
  <c r="D1987" i="3"/>
  <c r="D1983" i="3"/>
  <c r="D1979" i="3"/>
  <c r="D1972" i="3"/>
  <c r="D1968" i="3"/>
  <c r="D1964" i="3"/>
  <c r="D1960" i="3"/>
  <c r="D1956" i="3"/>
  <c r="D1949" i="3"/>
  <c r="D1945" i="3"/>
  <c r="D1941" i="3"/>
  <c r="D1937" i="3"/>
  <c r="D1933" i="3"/>
  <c r="D1993" i="3"/>
  <c r="D1985" i="3"/>
  <c r="D1977" i="3"/>
  <c r="D2015" i="3"/>
  <c r="D1984" i="3"/>
  <c r="D1965" i="3"/>
  <c r="D1957" i="3"/>
  <c r="D1946" i="3"/>
  <c r="D1938" i="3"/>
  <c r="D2001" i="3"/>
  <c r="D1994" i="3"/>
  <c r="D1990" i="3"/>
  <c r="D1986" i="3"/>
  <c r="D1982" i="3"/>
  <c r="D1978" i="3"/>
  <c r="D1971" i="3"/>
  <c r="D1967" i="3"/>
  <c r="D1963" i="3"/>
  <c r="D1959" i="3"/>
  <c r="D1955" i="3"/>
  <c r="D1948" i="3"/>
  <c r="D1944" i="3"/>
  <c r="D1940" i="3"/>
  <c r="D1936" i="3"/>
  <c r="D1932" i="3"/>
  <c r="D2000" i="3"/>
  <c r="D1989" i="3"/>
  <c r="D1981" i="3"/>
  <c r="D1970" i="3"/>
  <c r="D1966" i="3"/>
  <c r="D1962" i="3"/>
  <c r="D1958" i="3"/>
  <c r="D1954" i="3"/>
  <c r="D1947" i="3"/>
  <c r="D1943" i="3"/>
  <c r="D1939" i="3"/>
  <c r="D1935" i="3"/>
  <c r="D1992" i="3"/>
  <c r="D1988" i="3"/>
  <c r="D1980" i="3"/>
  <c r="D1969" i="3"/>
  <c r="D1961" i="3"/>
  <c r="D1942" i="3"/>
  <c r="D1934" i="3"/>
  <c r="D4" i="2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D4" i="4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4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K121" i="1" l="1"/>
  <c r="K120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62" i="2"/>
  <c r="C1770" i="2"/>
  <c r="C1760" i="2"/>
  <c r="C1769" i="2"/>
  <c r="C1768" i="2"/>
  <c r="C1773" i="2"/>
  <c r="C1775" i="2"/>
  <c r="C1774" i="2"/>
  <c r="C1757" i="2"/>
  <c r="C1764" i="2"/>
  <c r="C1765" i="2"/>
  <c r="C1759" i="2"/>
  <c r="C1763" i="2"/>
  <c r="C1761" i="2"/>
  <c r="C1772" i="2"/>
  <c r="C1767" i="2"/>
  <c r="C1766" i="2"/>
  <c r="C1776" i="2"/>
  <c r="C1771" i="2"/>
  <c r="C1758" i="2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1651" i="3" l="1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411" i="3" l="1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 l="1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1" i="2"/>
  <c r="C122" i="2"/>
  <c r="C123" i="2"/>
  <c r="C124" i="2"/>
  <c r="C125" i="2"/>
  <c r="C126" i="2"/>
  <c r="C120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1008" i="2"/>
  <c r="C998" i="2"/>
  <c r="C1007" i="2"/>
  <c r="C1006" i="2"/>
  <c r="C1011" i="2"/>
  <c r="C1013" i="2"/>
  <c r="C1012" i="2"/>
  <c r="C995" i="2"/>
  <c r="C1002" i="2"/>
  <c r="C1003" i="2"/>
  <c r="C997" i="2"/>
  <c r="C1001" i="2"/>
  <c r="C999" i="2"/>
  <c r="C1010" i="2"/>
  <c r="C1005" i="2"/>
  <c r="C1004" i="2"/>
  <c r="C1014" i="2"/>
  <c r="C1009" i="2"/>
  <c r="C996" i="2"/>
  <c r="C1000" i="2"/>
  <c r="C1020" i="2"/>
  <c r="C1028" i="2"/>
  <c r="C1018" i="2"/>
  <c r="C1027" i="2"/>
  <c r="C1026" i="2"/>
  <c r="C1031" i="2"/>
  <c r="C1033" i="2"/>
  <c r="C1032" i="2"/>
  <c r="C1015" i="2"/>
  <c r="C1022" i="2"/>
  <c r="C1023" i="2"/>
  <c r="C1017" i="2"/>
  <c r="C1021" i="2"/>
  <c r="C1019" i="2"/>
  <c r="C1030" i="2"/>
  <c r="C1025" i="2"/>
  <c r="C1024" i="2"/>
  <c r="C1034" i="2"/>
  <c r="C1029" i="2"/>
  <c r="C1016" i="2"/>
  <c r="C1040" i="2"/>
  <c r="C1048" i="2"/>
  <c r="C1038" i="2"/>
  <c r="C1047" i="2"/>
  <c r="C1046" i="2"/>
  <c r="C1051" i="2"/>
  <c r="C1053" i="2"/>
  <c r="C1052" i="2"/>
  <c r="C1035" i="2"/>
  <c r="C1042" i="2"/>
  <c r="C1043" i="2"/>
  <c r="C1037" i="2"/>
  <c r="C1041" i="2"/>
  <c r="C1039" i="2"/>
  <c r="C1050" i="2"/>
  <c r="C1045" i="2"/>
  <c r="C1044" i="2"/>
  <c r="C1054" i="2"/>
  <c r="C1049" i="2"/>
  <c r="C1036" i="2"/>
  <c r="C1060" i="2"/>
  <c r="C1068" i="2"/>
  <c r="C1058" i="2"/>
  <c r="C1067" i="2"/>
  <c r="C1066" i="2"/>
  <c r="C1071" i="2"/>
  <c r="C1073" i="2"/>
  <c r="C1072" i="2"/>
  <c r="C1055" i="2"/>
  <c r="C1062" i="2"/>
  <c r="C1063" i="2"/>
  <c r="C1057" i="2"/>
  <c r="C1061" i="2"/>
  <c r="C1059" i="2"/>
  <c r="C1070" i="2"/>
  <c r="C1065" i="2"/>
  <c r="C1064" i="2"/>
  <c r="C1074" i="2"/>
  <c r="C1069" i="2"/>
  <c r="C1056" i="2"/>
  <c r="C1080" i="2"/>
  <c r="C1088" i="2"/>
  <c r="C1078" i="2"/>
  <c r="C1087" i="2"/>
  <c r="C1086" i="2"/>
  <c r="C1091" i="2"/>
  <c r="C1093" i="2"/>
  <c r="C1092" i="2"/>
  <c r="C1075" i="2"/>
  <c r="C1082" i="2"/>
  <c r="C1083" i="2"/>
  <c r="C1077" i="2"/>
  <c r="C1081" i="2"/>
  <c r="C1079" i="2"/>
  <c r="C1090" i="2"/>
  <c r="C1085" i="2"/>
  <c r="C1084" i="2"/>
  <c r="C1094" i="2"/>
  <c r="C1089" i="2"/>
  <c r="C1076" i="2"/>
  <c r="C1108" i="2"/>
  <c r="C1098" i="2"/>
  <c r="C1107" i="2"/>
  <c r="C1106" i="2"/>
  <c r="C1111" i="2"/>
  <c r="C1113" i="2"/>
  <c r="C1112" i="2"/>
  <c r="C1095" i="2"/>
  <c r="C1102" i="2"/>
  <c r="C1103" i="2"/>
  <c r="C1097" i="2"/>
  <c r="C1101" i="2"/>
  <c r="C1099" i="2"/>
  <c r="C1110" i="2"/>
  <c r="C1105" i="2"/>
  <c r="C1104" i="2"/>
  <c r="C1114" i="2"/>
  <c r="C1109" i="2"/>
  <c r="C1096" i="2"/>
  <c r="C1100" i="2"/>
  <c r="C1120" i="2"/>
  <c r="C1128" i="2"/>
  <c r="C1118" i="2"/>
  <c r="C1127" i="2"/>
  <c r="C1126" i="2"/>
  <c r="C1131" i="2"/>
  <c r="C1133" i="2"/>
  <c r="C1132" i="2"/>
  <c r="C1115" i="2"/>
  <c r="C1122" i="2"/>
  <c r="C1123" i="2"/>
  <c r="C1117" i="2"/>
  <c r="C1121" i="2"/>
  <c r="C1119" i="2"/>
  <c r="C1130" i="2"/>
  <c r="C1125" i="2"/>
  <c r="C1124" i="2"/>
  <c r="C1134" i="2"/>
  <c r="C1129" i="2"/>
  <c r="C1116" i="2"/>
  <c r="C1140" i="2"/>
  <c r="C1148" i="2"/>
  <c r="C1138" i="2"/>
  <c r="C1147" i="2"/>
  <c r="C1146" i="2"/>
  <c r="C1151" i="2"/>
  <c r="C1153" i="2"/>
  <c r="C1152" i="2"/>
  <c r="C1135" i="2"/>
  <c r="C1142" i="2"/>
  <c r="C1143" i="2"/>
  <c r="C1137" i="2"/>
  <c r="C1141" i="2"/>
  <c r="C1139" i="2"/>
  <c r="C1150" i="2"/>
  <c r="C1145" i="2"/>
  <c r="C1144" i="2"/>
  <c r="C1154" i="2"/>
  <c r="C1149" i="2"/>
  <c r="C1136" i="2"/>
  <c r="C1160" i="2"/>
  <c r="C1168" i="2"/>
  <c r="C1158" i="2"/>
  <c r="C1167" i="2"/>
  <c r="C1166" i="2"/>
  <c r="C1171" i="2"/>
  <c r="C1173" i="2"/>
  <c r="C1172" i="2"/>
  <c r="C1155" i="2"/>
  <c r="C1162" i="2"/>
  <c r="C1163" i="2"/>
  <c r="C1157" i="2"/>
  <c r="C1161" i="2"/>
  <c r="C1159" i="2"/>
  <c r="C1170" i="2"/>
  <c r="C1165" i="2"/>
  <c r="C1164" i="2"/>
  <c r="C1174" i="2"/>
  <c r="C1169" i="2"/>
  <c r="C1156" i="2"/>
  <c r="C1180" i="2"/>
  <c r="C1188" i="2"/>
  <c r="C1178" i="2"/>
  <c r="C1187" i="2"/>
  <c r="C1186" i="2"/>
  <c r="C1191" i="2"/>
  <c r="C1193" i="2"/>
  <c r="C1192" i="2"/>
  <c r="C1175" i="2"/>
  <c r="C1182" i="2"/>
  <c r="C1183" i="2"/>
  <c r="C1177" i="2"/>
  <c r="C1181" i="2"/>
  <c r="C1179" i="2"/>
  <c r="C1190" i="2"/>
  <c r="C1185" i="2"/>
  <c r="C1184" i="2"/>
  <c r="C1194" i="2"/>
  <c r="C1189" i="2"/>
  <c r="C1176" i="2"/>
  <c r="C1200" i="2"/>
  <c r="C1208" i="2"/>
  <c r="C1198" i="2"/>
  <c r="C1207" i="2"/>
  <c r="C1206" i="2"/>
  <c r="C1211" i="2"/>
  <c r="C1213" i="2"/>
  <c r="C1212" i="2"/>
  <c r="C1195" i="2"/>
  <c r="C1202" i="2"/>
  <c r="C1203" i="2"/>
  <c r="C1197" i="2"/>
  <c r="C1201" i="2"/>
  <c r="C1199" i="2"/>
  <c r="C1210" i="2"/>
  <c r="C1205" i="2"/>
  <c r="C1204" i="2"/>
  <c r="C1214" i="2"/>
  <c r="C1209" i="2"/>
  <c r="C1196" i="2"/>
  <c r="C1220" i="2"/>
  <c r="C1228" i="2"/>
  <c r="C1218" i="2"/>
  <c r="C1227" i="2"/>
  <c r="C1226" i="2"/>
  <c r="C1231" i="2"/>
  <c r="C1233" i="2"/>
  <c r="C1232" i="2"/>
  <c r="C1215" i="2"/>
  <c r="C1222" i="2"/>
  <c r="C1223" i="2"/>
  <c r="C1217" i="2"/>
  <c r="C1221" i="2"/>
  <c r="C1219" i="2"/>
  <c r="C1230" i="2"/>
  <c r="C1225" i="2"/>
  <c r="C1224" i="2"/>
  <c r="C1234" i="2"/>
  <c r="C1229" i="2"/>
  <c r="C1216" i="2"/>
  <c r="C1240" i="2"/>
  <c r="C1248" i="2"/>
  <c r="C1238" i="2"/>
  <c r="C1247" i="2"/>
  <c r="C1246" i="2"/>
  <c r="C1251" i="2"/>
  <c r="C1253" i="2"/>
  <c r="C1252" i="2"/>
  <c r="C1235" i="2"/>
  <c r="C1242" i="2"/>
  <c r="C1243" i="2"/>
  <c r="C1237" i="2"/>
  <c r="C1241" i="2"/>
  <c r="C1239" i="2"/>
  <c r="C1250" i="2"/>
  <c r="C1245" i="2"/>
  <c r="C1244" i="2"/>
  <c r="C1254" i="2"/>
  <c r="C1249" i="2"/>
  <c r="C1236" i="2"/>
  <c r="C1260" i="2"/>
  <c r="C1268" i="2"/>
  <c r="C1258" i="2"/>
  <c r="C1267" i="2"/>
  <c r="C1266" i="2"/>
  <c r="C1271" i="2"/>
  <c r="C1273" i="2"/>
  <c r="C1272" i="2"/>
  <c r="C1255" i="2"/>
  <c r="C1262" i="2"/>
  <c r="C1263" i="2"/>
  <c r="C1257" i="2"/>
  <c r="C1261" i="2"/>
  <c r="C1259" i="2"/>
  <c r="C1270" i="2"/>
  <c r="C1265" i="2"/>
  <c r="C1264" i="2"/>
  <c r="C1274" i="2"/>
  <c r="C1269" i="2"/>
  <c r="C1256" i="2"/>
  <c r="C1280" i="2"/>
  <c r="C1288" i="2"/>
  <c r="C1278" i="2"/>
  <c r="C1287" i="2"/>
  <c r="C1286" i="2"/>
  <c r="C1291" i="2"/>
  <c r="C1293" i="2"/>
  <c r="C1292" i="2"/>
  <c r="C1275" i="2"/>
  <c r="C1282" i="2"/>
  <c r="C1283" i="2"/>
  <c r="C1277" i="2"/>
  <c r="C1281" i="2"/>
  <c r="C1279" i="2"/>
  <c r="C1290" i="2"/>
  <c r="C1285" i="2"/>
  <c r="C1284" i="2"/>
  <c r="C1294" i="2"/>
  <c r="C1289" i="2"/>
  <c r="C1276" i="2"/>
  <c r="C1300" i="2"/>
  <c r="C1308" i="2"/>
  <c r="C1298" i="2"/>
  <c r="C1307" i="2"/>
  <c r="C1306" i="2"/>
  <c r="C1311" i="2"/>
  <c r="C1313" i="2"/>
  <c r="C1312" i="2"/>
  <c r="C1295" i="2"/>
  <c r="C1302" i="2"/>
  <c r="C1303" i="2"/>
  <c r="C1297" i="2"/>
  <c r="C1301" i="2"/>
  <c r="C1299" i="2"/>
  <c r="C1310" i="2"/>
  <c r="C1305" i="2"/>
  <c r="C1304" i="2"/>
  <c r="C1314" i="2"/>
  <c r="C1309" i="2"/>
  <c r="C1296" i="2"/>
  <c r="C1320" i="2"/>
  <c r="C1328" i="2"/>
  <c r="C1318" i="2"/>
  <c r="C1327" i="2"/>
  <c r="C1326" i="2"/>
  <c r="C1331" i="2"/>
  <c r="C1333" i="2"/>
  <c r="C1332" i="2"/>
  <c r="C1315" i="2"/>
  <c r="C1322" i="2"/>
  <c r="C1323" i="2"/>
  <c r="C1317" i="2"/>
  <c r="C1321" i="2"/>
  <c r="C1319" i="2"/>
  <c r="C1330" i="2"/>
  <c r="C1325" i="2"/>
  <c r="C1324" i="2"/>
  <c r="C1334" i="2"/>
  <c r="C1329" i="2"/>
  <c r="C1316" i="2"/>
  <c r="C1340" i="2"/>
  <c r="C1348" i="2"/>
  <c r="C1338" i="2"/>
  <c r="C1347" i="2"/>
  <c r="C1346" i="2"/>
  <c r="C1351" i="2"/>
  <c r="C1353" i="2"/>
  <c r="C1352" i="2"/>
  <c r="C1335" i="2"/>
  <c r="C1342" i="2"/>
  <c r="C1343" i="2"/>
  <c r="C1337" i="2"/>
  <c r="C1341" i="2"/>
  <c r="C1339" i="2"/>
  <c r="C1350" i="2"/>
  <c r="C1345" i="2"/>
  <c r="C1344" i="2"/>
  <c r="C1354" i="2"/>
  <c r="C1349" i="2"/>
  <c r="C1336" i="2"/>
  <c r="C1360" i="2"/>
  <c r="C1368" i="2"/>
  <c r="C1358" i="2"/>
  <c r="C1367" i="2"/>
  <c r="C1366" i="2"/>
  <c r="C1371" i="2"/>
  <c r="C1373" i="2"/>
  <c r="C1372" i="2"/>
  <c r="C1355" i="2"/>
  <c r="C1362" i="2"/>
  <c r="C1363" i="2"/>
  <c r="C1357" i="2"/>
  <c r="C1361" i="2"/>
  <c r="C1359" i="2"/>
  <c r="C1370" i="2"/>
  <c r="C1365" i="2"/>
  <c r="C1364" i="2"/>
  <c r="C1374" i="2"/>
  <c r="C1369" i="2"/>
  <c r="C1356" i="2"/>
  <c r="C1380" i="2"/>
  <c r="C1388" i="2"/>
  <c r="C1378" i="2"/>
  <c r="C1387" i="2"/>
  <c r="C1386" i="2"/>
  <c r="C1391" i="2"/>
  <c r="C1393" i="2"/>
  <c r="C1392" i="2"/>
  <c r="C1375" i="2"/>
  <c r="C1382" i="2"/>
  <c r="C1383" i="2"/>
  <c r="C1377" i="2"/>
  <c r="C1381" i="2"/>
  <c r="C1379" i="2"/>
  <c r="C1390" i="2"/>
  <c r="C1385" i="2"/>
  <c r="C1384" i="2"/>
  <c r="C1394" i="2"/>
  <c r="C1389" i="2"/>
  <c r="C1376" i="2"/>
  <c r="C1400" i="2"/>
  <c r="C1408" i="2"/>
  <c r="C1398" i="2"/>
  <c r="C1407" i="2"/>
  <c r="C1406" i="2"/>
  <c r="C1411" i="2"/>
  <c r="C1413" i="2"/>
  <c r="C1412" i="2"/>
  <c r="C1395" i="2"/>
  <c r="C1402" i="2"/>
  <c r="C1403" i="2"/>
  <c r="C1397" i="2"/>
  <c r="C1401" i="2"/>
  <c r="C1399" i="2"/>
  <c r="C1410" i="2"/>
  <c r="C1405" i="2"/>
  <c r="C1404" i="2"/>
  <c r="C1414" i="2"/>
  <c r="C1409" i="2"/>
  <c r="C1396" i="2"/>
  <c r="C1420" i="2"/>
  <c r="C1428" i="2"/>
  <c r="C1418" i="2"/>
  <c r="C1427" i="2"/>
  <c r="C1426" i="2"/>
  <c r="C1431" i="2"/>
  <c r="C1433" i="2"/>
  <c r="C1432" i="2"/>
  <c r="C1415" i="2"/>
  <c r="C1422" i="2"/>
  <c r="C1423" i="2"/>
  <c r="C1417" i="2"/>
  <c r="C1421" i="2"/>
  <c r="C1419" i="2"/>
  <c r="C1430" i="2"/>
  <c r="C1425" i="2"/>
  <c r="C1424" i="2"/>
  <c r="C1434" i="2"/>
  <c r="C1429" i="2"/>
  <c r="C1416" i="2"/>
  <c r="C1440" i="2"/>
  <c r="C1448" i="2"/>
  <c r="C1438" i="2"/>
  <c r="C1447" i="2"/>
  <c r="C1446" i="2"/>
  <c r="C1451" i="2"/>
  <c r="C1453" i="2"/>
  <c r="C1452" i="2"/>
  <c r="C1435" i="2"/>
  <c r="C1442" i="2"/>
  <c r="C1443" i="2"/>
  <c r="C1437" i="2"/>
  <c r="C1441" i="2"/>
  <c r="C1439" i="2"/>
  <c r="C1450" i="2"/>
  <c r="C1445" i="2"/>
  <c r="C1444" i="2"/>
  <c r="C1454" i="2"/>
  <c r="C1449" i="2"/>
  <c r="C1436" i="2"/>
  <c r="C1460" i="2"/>
  <c r="C1468" i="2"/>
  <c r="C1458" i="2"/>
  <c r="C1467" i="2"/>
  <c r="C1466" i="2"/>
  <c r="C1471" i="2"/>
  <c r="C1473" i="2"/>
  <c r="C1472" i="2"/>
  <c r="C1455" i="2"/>
  <c r="C1462" i="2"/>
  <c r="C1463" i="2"/>
  <c r="C1457" i="2"/>
  <c r="C1461" i="2"/>
  <c r="C1459" i="2"/>
  <c r="C1470" i="2"/>
  <c r="C1465" i="2"/>
  <c r="C1464" i="2"/>
  <c r="C1474" i="2"/>
  <c r="C1469" i="2"/>
  <c r="C1456" i="2"/>
  <c r="C1480" i="2"/>
  <c r="C1488" i="2"/>
  <c r="C1478" i="2"/>
  <c r="C1487" i="2"/>
  <c r="C1486" i="2"/>
  <c r="C1491" i="2"/>
  <c r="C1493" i="2"/>
  <c r="C1492" i="2"/>
  <c r="C1475" i="2"/>
  <c r="C1482" i="2"/>
  <c r="C1483" i="2"/>
  <c r="C1477" i="2"/>
  <c r="C1481" i="2"/>
  <c r="C1479" i="2"/>
  <c r="C1490" i="2"/>
  <c r="C1485" i="2"/>
  <c r="C1484" i="2"/>
  <c r="C1494" i="2"/>
  <c r="C1489" i="2"/>
  <c r="C1476" i="2"/>
  <c r="C1500" i="2"/>
  <c r="C1508" i="2"/>
  <c r="C1498" i="2"/>
  <c r="C1507" i="2"/>
  <c r="C1506" i="2"/>
  <c r="C1511" i="2"/>
  <c r="C1513" i="2"/>
  <c r="C1512" i="2"/>
  <c r="C1495" i="2"/>
  <c r="C1502" i="2"/>
  <c r="C1503" i="2"/>
  <c r="C1497" i="2"/>
  <c r="C1501" i="2"/>
  <c r="C1499" i="2"/>
  <c r="C1510" i="2"/>
  <c r="C1505" i="2"/>
  <c r="C1504" i="2"/>
  <c r="C1514" i="2"/>
  <c r="C1509" i="2"/>
  <c r="C1496" i="2"/>
  <c r="C1520" i="2"/>
  <c r="C1528" i="2"/>
  <c r="C1518" i="2"/>
  <c r="C1527" i="2"/>
  <c r="C1526" i="2"/>
  <c r="C1531" i="2"/>
  <c r="C1533" i="2"/>
  <c r="C1532" i="2"/>
  <c r="C1515" i="2"/>
  <c r="C1522" i="2"/>
  <c r="C1523" i="2"/>
  <c r="C1517" i="2"/>
  <c r="C1521" i="2"/>
  <c r="C1519" i="2"/>
  <c r="C1530" i="2"/>
  <c r="C1525" i="2"/>
  <c r="C1524" i="2"/>
  <c r="C1534" i="2"/>
  <c r="C1529" i="2"/>
  <c r="C1516" i="2"/>
  <c r="C1540" i="2"/>
  <c r="C1548" i="2"/>
  <c r="C1538" i="2"/>
  <c r="C1547" i="2"/>
  <c r="C1546" i="2"/>
  <c r="C1551" i="2"/>
  <c r="C1553" i="2"/>
  <c r="C1552" i="2"/>
  <c r="C1535" i="2"/>
  <c r="C1542" i="2"/>
  <c r="C1543" i="2"/>
  <c r="C1537" i="2"/>
  <c r="C1541" i="2"/>
  <c r="C1539" i="2"/>
  <c r="C1550" i="2"/>
  <c r="C1545" i="2"/>
  <c r="C1544" i="2"/>
  <c r="C1554" i="2"/>
  <c r="C1549" i="2"/>
  <c r="C1536" i="2"/>
  <c r="C1560" i="2"/>
  <c r="C1568" i="2"/>
  <c r="C1558" i="2"/>
  <c r="C1567" i="2"/>
  <c r="C1566" i="2"/>
  <c r="C1571" i="2"/>
  <c r="C1573" i="2"/>
  <c r="C1572" i="2"/>
  <c r="C1555" i="2"/>
  <c r="C1562" i="2"/>
  <c r="C1563" i="2"/>
  <c r="C1557" i="2"/>
  <c r="C1561" i="2"/>
  <c r="C1559" i="2"/>
  <c r="C1570" i="2"/>
  <c r="C1565" i="2"/>
  <c r="C1564" i="2"/>
  <c r="C1574" i="2"/>
  <c r="C1569" i="2"/>
  <c r="C1556" i="2"/>
  <c r="C1580" i="2"/>
  <c r="C1588" i="2"/>
  <c r="C1578" i="2"/>
  <c r="C1587" i="2"/>
  <c r="C1586" i="2"/>
  <c r="C1591" i="2"/>
  <c r="C1593" i="2"/>
  <c r="C1592" i="2"/>
  <c r="C1575" i="2"/>
  <c r="C1582" i="2"/>
  <c r="C1583" i="2"/>
  <c r="C1577" i="2"/>
  <c r="C1581" i="2"/>
  <c r="C1579" i="2"/>
  <c r="C1590" i="2"/>
  <c r="C1585" i="2"/>
  <c r="C1584" i="2"/>
  <c r="C1594" i="2"/>
  <c r="C1589" i="2"/>
  <c r="C1576" i="2"/>
  <c r="C1600" i="2"/>
  <c r="C1609" i="2"/>
  <c r="C1598" i="2"/>
  <c r="C1608" i="2"/>
  <c r="C1607" i="2"/>
  <c r="C1612" i="2"/>
  <c r="C1614" i="2"/>
  <c r="C1613" i="2"/>
  <c r="C1595" i="2"/>
  <c r="C1602" i="2"/>
  <c r="C1603" i="2"/>
  <c r="C1597" i="2"/>
  <c r="C1601" i="2"/>
  <c r="C1599" i="2"/>
  <c r="C1611" i="2"/>
  <c r="C1606" i="2"/>
  <c r="C1605" i="2"/>
  <c r="C1616" i="2"/>
  <c r="C1610" i="2"/>
  <c r="C1596" i="2"/>
  <c r="C1604" i="2"/>
  <c r="C1615" i="2"/>
  <c r="C1622" i="2"/>
  <c r="C1630" i="2"/>
  <c r="C1620" i="2"/>
  <c r="C1629" i="2"/>
  <c r="C1628" i="2"/>
  <c r="C1633" i="2"/>
  <c r="C1635" i="2"/>
  <c r="C1634" i="2"/>
  <c r="C1617" i="2"/>
  <c r="C1624" i="2"/>
  <c r="C1625" i="2"/>
  <c r="C1619" i="2"/>
  <c r="C1623" i="2"/>
  <c r="C1621" i="2"/>
  <c r="C1632" i="2"/>
  <c r="C1627" i="2"/>
  <c r="C1626" i="2"/>
  <c r="C1636" i="2"/>
  <c r="C1631" i="2"/>
  <c r="C1618" i="2"/>
  <c r="C1642" i="2"/>
  <c r="C1650" i="2"/>
  <c r="C1640" i="2"/>
  <c r="C1649" i="2"/>
  <c r="C1648" i="2"/>
  <c r="C1653" i="2"/>
  <c r="C1655" i="2"/>
  <c r="C1654" i="2"/>
  <c r="C1637" i="2"/>
  <c r="C1644" i="2"/>
  <c r="C1645" i="2"/>
  <c r="C1639" i="2"/>
  <c r="C1643" i="2"/>
  <c r="C1641" i="2"/>
  <c r="C1652" i="2"/>
  <c r="C1647" i="2"/>
  <c r="C1646" i="2"/>
  <c r="C1656" i="2"/>
  <c r="C1651" i="2"/>
  <c r="C1638" i="2"/>
  <c r="C1662" i="2"/>
  <c r="C1670" i="2"/>
  <c r="C1660" i="2"/>
  <c r="C1669" i="2"/>
  <c r="C1668" i="2"/>
  <c r="C1673" i="2"/>
  <c r="C1675" i="2"/>
  <c r="C1674" i="2"/>
  <c r="C1657" i="2"/>
  <c r="C1664" i="2"/>
  <c r="C1665" i="2"/>
  <c r="C1659" i="2"/>
  <c r="C1663" i="2"/>
  <c r="C1661" i="2"/>
  <c r="C1672" i="2"/>
  <c r="C1667" i="2"/>
  <c r="C1666" i="2"/>
  <c r="C1676" i="2"/>
  <c r="C1671" i="2"/>
  <c r="C1658" i="2"/>
  <c r="C1682" i="2"/>
  <c r="C1690" i="2"/>
  <c r="C1680" i="2"/>
  <c r="C1689" i="2"/>
  <c r="C1688" i="2"/>
  <c r="C1693" i="2"/>
  <c r="C1695" i="2"/>
  <c r="C1694" i="2"/>
  <c r="C1677" i="2"/>
  <c r="C1684" i="2"/>
  <c r="C1685" i="2"/>
  <c r="C1679" i="2"/>
  <c r="C1683" i="2"/>
  <c r="C1681" i="2"/>
  <c r="C1692" i="2"/>
  <c r="C1687" i="2"/>
  <c r="C1686" i="2"/>
  <c r="C1696" i="2"/>
  <c r="C1691" i="2"/>
  <c r="C1678" i="2"/>
  <c r="C1702" i="2"/>
  <c r="C1710" i="2"/>
  <c r="C1700" i="2"/>
  <c r="C1709" i="2"/>
  <c r="C1708" i="2"/>
  <c r="C1713" i="2"/>
  <c r="C1715" i="2"/>
  <c r="C1714" i="2"/>
  <c r="C1697" i="2"/>
  <c r="C1704" i="2"/>
  <c r="C1705" i="2"/>
  <c r="C1699" i="2"/>
  <c r="C1703" i="2"/>
  <c r="C1701" i="2"/>
  <c r="C1712" i="2"/>
  <c r="C1707" i="2"/>
  <c r="C1706" i="2"/>
  <c r="C1716" i="2"/>
  <c r="C1711" i="2"/>
  <c r="C1698" i="2"/>
  <c r="C1722" i="2"/>
  <c r="C1730" i="2"/>
  <c r="C1720" i="2"/>
  <c r="C1729" i="2"/>
  <c r="C1728" i="2"/>
  <c r="C1733" i="2"/>
  <c r="C1735" i="2"/>
  <c r="C1734" i="2"/>
  <c r="C1717" i="2"/>
  <c r="C1724" i="2"/>
  <c r="C1725" i="2"/>
  <c r="C1719" i="2"/>
  <c r="C1723" i="2"/>
  <c r="C1721" i="2"/>
  <c r="C1732" i="2"/>
  <c r="C1727" i="2"/>
  <c r="C1726" i="2"/>
  <c r="C1736" i="2"/>
  <c r="C1731" i="2"/>
  <c r="C1718" i="2"/>
  <c r="C1742" i="2"/>
  <c r="C1750" i="2"/>
  <c r="C1740" i="2"/>
  <c r="C1749" i="2"/>
  <c r="C1748" i="2"/>
  <c r="C1753" i="2"/>
  <c r="C1755" i="2"/>
  <c r="C1754" i="2"/>
  <c r="C1737" i="2"/>
  <c r="C1744" i="2"/>
  <c r="C1745" i="2"/>
  <c r="C1739" i="2"/>
  <c r="C1743" i="2"/>
  <c r="C1741" i="2"/>
  <c r="C1752" i="2"/>
  <c r="C1747" i="2"/>
  <c r="C1746" i="2"/>
  <c r="C1756" i="2"/>
  <c r="C1751" i="2"/>
  <c r="C1738" i="2"/>
  <c r="C4" i="2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4" i="3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4" i="4"/>
  <c r="L938" i="2"/>
  <c r="L3" i="2" s="1"/>
  <c r="D93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J1" authorId="0" shapeId="0" xr:uid="{00000000-0006-0000-0100-000001000000}">
      <text>
        <r>
          <rPr>
            <sz val="9"/>
            <color indexed="81"/>
            <rFont val="Segoe UI"/>
            <family val="2"/>
          </rPr>
          <t xml:space="preserve">
first data in Dec 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D1" authorId="0" shapeId="0" xr:uid="{00000000-0006-0000-0200-000001000000}">
      <text>
        <r>
          <rPr>
            <sz val="9"/>
            <color indexed="81"/>
            <rFont val="Segoe UI"/>
            <family val="2"/>
          </rPr>
          <t>counting
without DOC</t>
        </r>
      </text>
    </comment>
    <comment ref="M1" authorId="0" shapeId="0" xr:uid="{00000000-0006-0000-0200-000002000000}">
      <text>
        <r>
          <rPr>
            <sz val="9"/>
            <color indexed="81"/>
            <rFont val="Segoe UI"/>
            <family val="2"/>
          </rPr>
          <t>further analyses are cancelled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D1" authorId="0" shapeId="0" xr:uid="{00000000-0006-0000-0300-000001000000}">
      <text>
        <r>
          <rPr>
            <sz val="9"/>
            <color indexed="81"/>
            <rFont val="Segoe UI"/>
            <family val="2"/>
          </rPr>
          <t>counting without
turbidity/fine sediment load</t>
        </r>
      </text>
    </comment>
  </commentList>
</comments>
</file>

<file path=xl/sharedStrings.xml><?xml version="1.0" encoding="utf-8"?>
<sst xmlns="http://schemas.openxmlformats.org/spreadsheetml/2006/main" count="6562" uniqueCount="385">
  <si>
    <t>characteristics</t>
  </si>
  <si>
    <t>physico-chemical data</t>
  </si>
  <si>
    <t>notes</t>
  </si>
  <si>
    <t>site name</t>
  </si>
  <si>
    <t>stream name</t>
  </si>
  <si>
    <t>position</t>
  </si>
  <si>
    <t>sampling date</t>
  </si>
  <si>
    <t xml:space="preserve">pH
</t>
  </si>
  <si>
    <t>water
temp.</t>
  </si>
  <si>
    <t>conduc-tivity</t>
  </si>
  <si>
    <t>average velocity</t>
  </si>
  <si>
    <t>average depth</t>
  </si>
  <si>
    <t>discharge</t>
  </si>
  <si>
    <t>water level at pole</t>
  </si>
  <si>
    <t>pole position</t>
  </si>
  <si>
    <t>year 2021</t>
  </si>
  <si>
    <t>[°C]</t>
  </si>
  <si>
    <t>[mg/l]</t>
  </si>
  <si>
    <t>[µS/cm]</t>
  </si>
  <si>
    <t>[m/s]</t>
  </si>
  <si>
    <t>[cm]</t>
  </si>
  <si>
    <t>[m³/s]</t>
  </si>
  <si>
    <t>BOYkl</t>
  </si>
  <si>
    <t>Kleine Boye</t>
  </si>
  <si>
    <t>.</t>
  </si>
  <si>
    <t>BOYohB224</t>
  </si>
  <si>
    <t>Boye</t>
  </si>
  <si>
    <t>oberhalb B224</t>
  </si>
  <si>
    <t>BOYohBr</t>
  </si>
  <si>
    <t>oberhalb Brabecker Mühlenbach</t>
  </si>
  <si>
    <t>BOYohKi</t>
  </si>
  <si>
    <t>oberhalb Kirschemmsbach</t>
  </si>
  <si>
    <t>BOYohSp</t>
  </si>
  <si>
    <t>oberhalb Spechtsbach</t>
  </si>
  <si>
    <t>BOYuhHa</t>
  </si>
  <si>
    <t>unterhalb Hahnenbach</t>
  </si>
  <si>
    <t>BOYuhSp</t>
  </si>
  <si>
    <t>unterhalb Spechtsbach</t>
  </si>
  <si>
    <t>BRAob</t>
  </si>
  <si>
    <t>Brabecker Müehlenbach</t>
  </si>
  <si>
    <t>oben</t>
  </si>
  <si>
    <t>BRAohBo</t>
  </si>
  <si>
    <t>oberhalb Boye</t>
  </si>
  <si>
    <t>HAAob</t>
  </si>
  <si>
    <t>Haarbach</t>
  </si>
  <si>
    <t>HAAun</t>
  </si>
  <si>
    <t>unten</t>
  </si>
  <si>
    <t>KIRob</t>
  </si>
  <si>
    <t>Kirschemmsbach</t>
  </si>
  <si>
    <t>KIRun</t>
  </si>
  <si>
    <t>LIEohBo</t>
  </si>
  <si>
    <t>Liesenfeldbach</t>
  </si>
  <si>
    <t>-------- not assessed --------</t>
  </si>
  <si>
    <t>NATohBo</t>
  </si>
  <si>
    <t>Nattbach</t>
  </si>
  <si>
    <t>QUAohBo</t>
  </si>
  <si>
    <t>Quälingsbach</t>
  </si>
  <si>
    <t>SCHohVo</t>
  </si>
  <si>
    <t>Scheidgensbach</t>
  </si>
  <si>
    <t>oberhalb Vorthbach</t>
  </si>
  <si>
    <t>VORohBo</t>
  </si>
  <si>
    <t>Vorthbach</t>
  </si>
  <si>
    <t>VORuhSc</t>
  </si>
  <si>
    <t>unterhalb Scheidgensbach</t>
  </si>
  <si>
    <t>WITob</t>
  </si>
  <si>
    <t>Wittringer Müehlenbach</t>
  </si>
  <si>
    <t>year 2022</t>
  </si>
  <si>
    <t>unterhalb Vorthbach</t>
  </si>
  <si>
    <t>year 2023</t>
  </si>
  <si>
    <t>pH</t>
  </si>
  <si>
    <t>dissolved oxygen</t>
  </si>
  <si>
    <r>
      <rPr>
        <sz val="12"/>
        <rFont val="Calibri"/>
        <family val="2"/>
        <charset val="1"/>
      </rPr>
      <t xml:space="preserve">water level </t>
    </r>
    <r>
      <rPr>
        <sz val="10"/>
        <rFont val="Calibri"/>
        <family val="2"/>
        <charset val="1"/>
      </rPr>
      <t>at pole</t>
    </r>
  </si>
  <si>
    <t>time</t>
  </si>
  <si>
    <t>-</t>
  </si>
  <si>
    <t>O2 Sonde neu kalibriert</t>
  </si>
  <si>
    <t>missing data</t>
  </si>
  <si>
    <t>gestaut</t>
  </si>
  <si>
    <t>minimale Schaumbildung, mit Wasserstrom mitschwimmend</t>
  </si>
  <si>
    <t>Schaum siehe Foto 1, 2 auf Tablet</t>
  </si>
  <si>
    <t>Logger über Wasser</t>
  </si>
  <si>
    <t xml:space="preserve">Logger über Wasser </t>
  </si>
  <si>
    <t>Logger im Sediment</t>
  </si>
  <si>
    <t>schwer zu finden, Logger über Wasser</t>
  </si>
  <si>
    <t>Platten weit über Wasser, Eisvogel, Wasser nicht mehr gestaut</t>
  </si>
  <si>
    <t>Logger über Wasser, Wasser unterhalb des Pfahls gestaut</t>
  </si>
  <si>
    <t>Logger nur noch knapp unter Wasser</t>
  </si>
  <si>
    <t xml:space="preserve">Logger im Sediment </t>
  </si>
  <si>
    <t>Wasser fließt wieder, Wasserprobe separat von Julian Enß genommen, noch keinen Pfahl und Logger angebracht</t>
  </si>
  <si>
    <t>Logger + Pfahl weggespült</t>
  </si>
  <si>
    <t>Logger + Pfahl fehlend; Logger an Wurzel angebracht siehe Foto</t>
  </si>
  <si>
    <t>Ablesen am Pfahl nicht möglich</t>
  </si>
  <si>
    <t>Logger + Pfahl fehlend</t>
  </si>
  <si>
    <t xml:space="preserve">Probleme beim pH </t>
  </si>
  <si>
    <t xml:space="preserve">Pfahl + Logger angebracht </t>
  </si>
  <si>
    <t>fließt</t>
  </si>
  <si>
    <t>Aufstauung ca 4 m hinter dem pfahl</t>
  </si>
  <si>
    <t>O2 neu kalibriert</t>
  </si>
  <si>
    <t xml:space="preserve">Pfahl im Schlamm </t>
  </si>
  <si>
    <t>upstream small blockage by leaves, measured downstream of blockage</t>
  </si>
  <si>
    <t>the logger is covered by fallen branches covered with a fabric</t>
  </si>
  <si>
    <t>blockage of hay 1m upstream of the logger, stream still flows around it</t>
  </si>
  <si>
    <t>logger is in half/sediments</t>
  </si>
  <si>
    <t>logger is in sediments</t>
  </si>
  <si>
    <t>shaded,full with leaves</t>
  </si>
  <si>
    <t>logger is in sediments, full of leaves, many trees/shade</t>
  </si>
  <si>
    <t>sampled down the stairs</t>
  </si>
  <si>
    <t>sediments are completely covered with leaves</t>
  </si>
  <si>
    <t>logger is in sediments, full of leaves, many trees/shade,oily film</t>
  </si>
  <si>
    <t>fallen tree across the stream after storm</t>
  </si>
  <si>
    <t>logger  is in sediments,brownish/reddish sediments,a bit of foam</t>
  </si>
  <si>
    <t>foamy water,full of leaves</t>
  </si>
  <si>
    <t>Logger im Sediment/Luft, Wasserstand in Mitte gemessen (beides siehe Fotos)</t>
  </si>
  <si>
    <t xml:space="preserve">kleiner Stau vorm Pfahl </t>
  </si>
  <si>
    <t>Wasserstand in Rohr gemessen, ab jetzt auch bei allen weiteren Messungen</t>
  </si>
  <si>
    <t xml:space="preserve">Aufstauung durch Laub hinter Pfahl </t>
  </si>
  <si>
    <t xml:space="preserve">Aufstauung vor Pfahl </t>
  </si>
  <si>
    <t xml:space="preserve">Aufstauung ca. 10 m vor Pfahl </t>
  </si>
  <si>
    <t>Aufstauung größer,  Höhenunterschied ca. 20-30cm</t>
  </si>
  <si>
    <t>Aufstauung größer,  Höhenunterschied ca. 5-10cm</t>
  </si>
  <si>
    <t>5m unterhalb gestaut durch umgekippten Baum</t>
  </si>
  <si>
    <t xml:space="preserve">Pfahl umgekippt, mitgenommenen, Wasserstand wahrsch. woanders gemessen </t>
  </si>
  <si>
    <t>um Pfahl gestaut</t>
  </si>
  <si>
    <t>Pfahl fehlt</t>
  </si>
  <si>
    <t>Logger und Pfahl gefunden, neuer Logger mit Stahlstange an PS angebracht, alten Logger ausgelesen und zurückgesetzt</t>
  </si>
  <si>
    <t>MP12</t>
  </si>
  <si>
    <t>Wasser fließt nicht richtig ab (siehe Foto)</t>
  </si>
  <si>
    <t xml:space="preserve">Pfahl fehlt und neuer logger angebracht (viele Hygieneartikel im Wasser) </t>
  </si>
  <si>
    <t>minimaler Abfluss</t>
  </si>
  <si>
    <t>Wasser steht</t>
  </si>
  <si>
    <t xml:space="preserve">Halde brennt flussaufwärts,  Löscharbeiten,  gemessen 10m oberhalb Mündung </t>
  </si>
  <si>
    <t>angrenzende Bäume frisch beschnitten(siehe Foto)</t>
  </si>
  <si>
    <t>minimal fließend</t>
  </si>
  <si>
    <t>Koffer gewechselt</t>
  </si>
  <si>
    <t xml:space="preserve">O2 mit 2. Sonde überprüft </t>
  </si>
  <si>
    <t>größten teils zugefroren</t>
  </si>
  <si>
    <t>teilweise gefroren</t>
  </si>
  <si>
    <t>Ränder gefroren</t>
  </si>
  <si>
    <t xml:space="preserve">oberflächlich zugefroren </t>
  </si>
  <si>
    <t>durchgefroren</t>
  </si>
  <si>
    <t>fast kompltett zugefroren, logfer unterm eis</t>
  </si>
  <si>
    <t>ungewöhnlich hoher Wasserstand, tritt etwas übers Ufer (siehe Fotos)</t>
  </si>
  <si>
    <t xml:space="preserve">O2 zeigt dauerhaft ~ 60 mg/l -&gt; Anderes Messgerät </t>
  </si>
  <si>
    <t>Stauung flussauf- und abwärts (siehe Fotos), umgestürzte Bäume auf Wasseroberfläche</t>
  </si>
  <si>
    <t xml:space="preserve">nach starkem Regenschauer </t>
  </si>
  <si>
    <t>Ufervegetation abgeschnitten</t>
  </si>
  <si>
    <t xml:space="preserve">O2 sonde gewechselt andere hat 15,2 angezeigt </t>
  </si>
  <si>
    <t xml:space="preserve">Wasser sehr trüb </t>
  </si>
  <si>
    <t>Entfernung der Uferpflanzen</t>
  </si>
  <si>
    <t>keine Strömung</t>
  </si>
  <si>
    <t>nächstes Mal freischneiden</t>
  </si>
  <si>
    <t>sehr geringe Strömung</t>
  </si>
  <si>
    <t>sehr trüb</t>
  </si>
  <si>
    <t>wieder Wasser</t>
  </si>
  <si>
    <t>WS in Bachmitte gemessen. Holzverklausung am Pfahl</t>
  </si>
  <si>
    <t>hobo halb im Wasser</t>
  </si>
  <si>
    <t>Wasserbausteine und Kokoswalzen am Ufer eingebracht</t>
  </si>
  <si>
    <t xml:space="preserve">ungenaue Messung, wegen niedrigem Wasserstand </t>
  </si>
  <si>
    <t xml:space="preserve">Holzverklausung </t>
  </si>
  <si>
    <t>neues Messgerät</t>
  </si>
  <si>
    <t>Holzverklausung</t>
  </si>
  <si>
    <t>flussaufwärts Weide umgekippt und im Wasser</t>
  </si>
  <si>
    <t xml:space="preserve">Bilder getauscht </t>
  </si>
  <si>
    <t xml:space="preserve">Pfahl fehlt anscheinend,  in mittlerer Tiefe gemessen </t>
  </si>
  <si>
    <t>Pfahl im sediment (logger unklar)</t>
  </si>
  <si>
    <t xml:space="preserve">starker Regen </t>
  </si>
  <si>
    <t xml:space="preserve">schaum </t>
  </si>
  <si>
    <t>Sonden kaputt</t>
  </si>
  <si>
    <t>Schaum</t>
  </si>
  <si>
    <t>Logger ausgelesen</t>
  </si>
  <si>
    <t>L</t>
  </si>
  <si>
    <t xml:space="preserve">L </t>
  </si>
  <si>
    <t xml:space="preserve">Schaum Bildung </t>
  </si>
  <si>
    <t>Pfahl nicht mehr im Wasser</t>
  </si>
  <si>
    <t xml:space="preserve">Pfahl neben dem Wasser </t>
  </si>
  <si>
    <t>Einleitung</t>
  </si>
  <si>
    <t>Wiesent.</t>
  </si>
  <si>
    <t>Wasserstand ungenau</t>
  </si>
  <si>
    <t>ortho-phosphate</t>
  </si>
  <si>
    <t>total phosphate</t>
  </si>
  <si>
    <t>ammonia</t>
  </si>
  <si>
    <t>nitrite</t>
  </si>
  <si>
    <t>nitrate</t>
  </si>
  <si>
    <t>total nitrogen</t>
  </si>
  <si>
    <t>chloride</t>
  </si>
  <si>
    <t>sulfate</t>
  </si>
  <si>
    <t>DOC</t>
  </si>
  <si>
    <t>Cd</t>
  </si>
  <si>
    <t>Cu</t>
  </si>
  <si>
    <t>Fe</t>
  </si>
  <si>
    <t>Ni</t>
  </si>
  <si>
    <t>Pb</t>
  </si>
  <si>
    <t>Zn</t>
  </si>
  <si>
    <t>Ca2+</t>
  </si>
  <si>
    <t>Mg2+</t>
  </si>
  <si>
    <t>Na+</t>
  </si>
  <si>
    <t>K+</t>
  </si>
  <si>
    <t>Co32-</t>
  </si>
  <si>
    <t>HCO3-</t>
  </si>
  <si>
    <t xml:space="preserve">BOYkl </t>
  </si>
  <si>
    <t xml:space="preserve">BOYohBr </t>
  </si>
  <si>
    <t xml:space="preserve">BOYohSp </t>
  </si>
  <si>
    <t xml:space="preserve">BOYuhSp </t>
  </si>
  <si>
    <t xml:space="preserve">BRAob </t>
  </si>
  <si>
    <t xml:space="preserve">BRAohBo </t>
  </si>
  <si>
    <t xml:space="preserve">HAAob </t>
  </si>
  <si>
    <t xml:space="preserve">HAAun </t>
  </si>
  <si>
    <t xml:space="preserve">KIRob </t>
  </si>
  <si>
    <t xml:space="preserve">KIRun </t>
  </si>
  <si>
    <t xml:space="preserve">LIEohBo </t>
  </si>
  <si>
    <t xml:space="preserve">NATohBo </t>
  </si>
  <si>
    <t xml:space="preserve">QUAohBo </t>
  </si>
  <si>
    <t xml:space="preserve">SCHohVo </t>
  </si>
  <si>
    <t xml:space="preserve">VORohBo </t>
  </si>
  <si>
    <t xml:space="preserve">VORuhSc </t>
  </si>
  <si>
    <t xml:space="preserve">WITob </t>
  </si>
  <si>
    <t xml:space="preserve"> </t>
  </si>
  <si>
    <t>oxygen
at 100%</t>
  </si>
  <si>
    <t>year 2024</t>
  </si>
  <si>
    <r>
      <t xml:space="preserve">date
</t>
    </r>
    <r>
      <rPr>
        <sz val="11"/>
        <color rgb="FF000000"/>
        <rFont val="Calibri"/>
        <family val="2"/>
      </rPr>
      <t>yyyy-mm-dd</t>
    </r>
  </si>
  <si>
    <t>Code</t>
  </si>
  <si>
    <t>* listed are all dates with at least one parameter measured</t>
  </si>
  <si>
    <t>year 2025</t>
  </si>
  <si>
    <t>oxygen
dissolved</t>
  </si>
  <si>
    <t>oxygen
saturation</t>
  </si>
  <si>
    <t>year 2021 -------------------------------------------------------------------</t>
  </si>
  <si>
    <t>year 2022 -------------------------------------------------------------------</t>
  </si>
  <si>
    <t>year 2023 -------------------------------------------------------------------</t>
  </si>
  <si>
    <t>year 2024 -------------------------------------------------------------------</t>
  </si>
  <si>
    <t>year 2025 -------------------------------------------------------------------</t>
  </si>
  <si>
    <t>unable to measure discharge because water level too low</t>
  </si>
  <si>
    <t>Schaumbildung</t>
  </si>
  <si>
    <t xml:space="preserve">Pfahl weg, Bach "ausgebaggert" </t>
  </si>
  <si>
    <t>Logger über Wasser; minimale Schaumbildung, mit Wasserstrom mitschwimmend</t>
  </si>
  <si>
    <t>Logger höher angebracht</t>
  </si>
  <si>
    <t>Logger 2 komplett mit FPOM bedekt</t>
  </si>
  <si>
    <t xml:space="preserve">Logger 1 + 2 angebracht </t>
  </si>
  <si>
    <t>kein Pfahl mehr</t>
  </si>
  <si>
    <t>kein Pfahl</t>
  </si>
  <si>
    <t>Logger evtl. teilweise im Sediment (Foto 13.8.21 um 13:16)</t>
  </si>
  <si>
    <t>Pfahl + neuen Logger angebracht</t>
  </si>
  <si>
    <t>Pfahl angebracht + Logger über Wasser, an pfahl angebracht</t>
  </si>
  <si>
    <t>Logger über Wasser bzw. im Sedimenten (Foto 13.8.21 um 14:43</t>
  </si>
  <si>
    <t>Wasser sehr verdreckt (siehe Foto 27.8.2021 um 15Uhr)</t>
  </si>
  <si>
    <t>Logger halb über Wasser</t>
  </si>
  <si>
    <t>Logger halb über Wasser; Wasser schlammig(regen)</t>
  </si>
  <si>
    <t>Logger2 ausgelesen</t>
  </si>
  <si>
    <t>Logger2 ausgelesen; Wasser fließt</t>
  </si>
  <si>
    <t>pfahl und Logger1 im Schlamm; Logger2 ausgelesen</t>
  </si>
  <si>
    <t xml:space="preserve">Logger1 und 2  im Schlamm; Logger2 ausgelesen </t>
  </si>
  <si>
    <t>stellenweise milchiger Film auf Wasseroberfläche</t>
  </si>
  <si>
    <t>Logger im Schlamm; Wasserstand zu niedrig</t>
  </si>
  <si>
    <t>neuer Logger?</t>
  </si>
  <si>
    <t xml:space="preserve">Logger2 ausgetauscht </t>
  </si>
  <si>
    <t>Logger1 leicht im schlamm</t>
  </si>
  <si>
    <t xml:space="preserve">Logger2 nicht gefunden </t>
  </si>
  <si>
    <t>Logger2 ausgetauscht</t>
  </si>
  <si>
    <t>Wasser steht, Ölfilm</t>
  </si>
  <si>
    <t>steht, Ölfilm, stinkt; L1+2 ausgelesen</t>
  </si>
  <si>
    <t xml:space="preserve">kaum Wasser, Logger halb im Boden </t>
  </si>
  <si>
    <t xml:space="preserve">Logger teils über Wasser </t>
  </si>
  <si>
    <t>teilweise gräulicher Film (siehe Foto)</t>
  </si>
  <si>
    <t>neue Einleitung am Ufer, siehe Foto</t>
  </si>
  <si>
    <t xml:space="preserve">Logger ausgewechselt </t>
  </si>
  <si>
    <t>Logger bedeckt</t>
  </si>
  <si>
    <t xml:space="preserve">Logger teils im Schlamm </t>
  </si>
  <si>
    <t>Logger muss ausgewechselt werden</t>
  </si>
  <si>
    <t>Logger unter wasser</t>
  </si>
  <si>
    <t>zugefroren</t>
  </si>
  <si>
    <t>Wasser über Ufer</t>
  </si>
  <si>
    <t>Pfahl evtl. weg</t>
  </si>
  <si>
    <t xml:space="preserve">Wasser tritt über Ufer, Pfahl unter Wasser  </t>
  </si>
  <si>
    <t xml:space="preserve">Regen beginnt </t>
  </si>
  <si>
    <t>Aufstauung oberhalb Pfahl</t>
  </si>
  <si>
    <t>Logger nicht ausgelesen</t>
  </si>
  <si>
    <t>Logger im Schlamm</t>
  </si>
  <si>
    <t xml:space="preserve">Logger nicht gewechselt </t>
  </si>
  <si>
    <t xml:space="preserve">Logger teils über dem Wasser </t>
  </si>
  <si>
    <t>Logger kapp unter Wasser -&gt; runter gedrückt</t>
  </si>
  <si>
    <t>Ölfilm, riecht vermodert</t>
  </si>
  <si>
    <t xml:space="preserve">Logger tlw. nicht im Wasser </t>
  </si>
  <si>
    <t xml:space="preserve">Logger gewechselt </t>
  </si>
  <si>
    <t>Logger ausgelesen (im Schlamm)</t>
  </si>
  <si>
    <t>neuer Logger ( 1 und 2)</t>
  </si>
  <si>
    <t xml:space="preserve">oberer Logger evtl. weg Wasserstand zu hoch und Starkregen </t>
  </si>
  <si>
    <t xml:space="preserve">Ufervegetation geschnitten </t>
  </si>
  <si>
    <t xml:space="preserve">Schaum </t>
  </si>
  <si>
    <t>Wasser orange</t>
  </si>
  <si>
    <t>Wasser aufgewirbelt durch Regen</t>
  </si>
  <si>
    <t>alten Pegelstand aufgeschrieben; Pegel nicht gefunden</t>
  </si>
  <si>
    <t>Pegel nicht gefunden, mitte gemessen</t>
  </si>
  <si>
    <t>Pegel nicht sichtbar, mitte gemessen</t>
  </si>
  <si>
    <t>ab hier 25.11</t>
  </si>
  <si>
    <t>Mama + 2 Baby-Nutria</t>
  </si>
  <si>
    <t xml:space="preserve">Wasserstand an Brücke gemessen </t>
  </si>
  <si>
    <t>Logger nicht gefunden, neuen ausgebracht</t>
  </si>
  <si>
    <t>Logger weg, neuen ausgebracht</t>
  </si>
  <si>
    <t>Logger mitgenommen/ausgetauscht</t>
  </si>
  <si>
    <t>turbidity/fine
sediment load</t>
  </si>
  <si>
    <t>pH
remark</t>
  </si>
  <si>
    <t>del.</t>
  </si>
  <si>
    <t>corr.</t>
  </si>
  <si>
    <t>pH-Wert korrigiert [ursprgl. Wert: 77,10]</t>
  </si>
  <si>
    <t>O2-Wert unplausibel [930,0]</t>
  </si>
  <si>
    <t>O2-Wert unplausibel [952,0]</t>
  </si>
  <si>
    <t>ox.
remark</t>
  </si>
  <si>
    <t>Wasser zu hoch, um genau zu messen</t>
  </si>
  <si>
    <t>kein Pfahl mehr; water level gemittelt [zw. 28,7 und 34,5]</t>
  </si>
  <si>
    <t>Holzverklausung; O2-Wert unplausibel [859,0]</t>
  </si>
  <si>
    <t>O2-Sonde hat nicht richtig funktioniert, Wert gelöscht [13,58]</t>
  </si>
  <si>
    <t>O2-Sonde hat nicht richtig funktioniert, Wert gelöscht [15,06]</t>
  </si>
  <si>
    <t>O2-Sonde hat nicht richtig funktioniert, Wert gelöscht [12,17]</t>
  </si>
  <si>
    <t>O2-Sonde hat nicht richtig funktioniert, Wert gelöscht [12,63]</t>
  </si>
  <si>
    <t>O2-Sonde hat nicht richtig funktioniert, Wert gelöscht [12,34]</t>
  </si>
  <si>
    <t>O2-Sonde hat nicht richtig funktioniert, Wert gelöscht [13,42]</t>
  </si>
  <si>
    <t>O2-Sonde hat nicht richtig funktioniert, Wert gelöscht [12,56]</t>
  </si>
  <si>
    <t>O2-Sonde hat nicht richtig funktioniert, Wert gelöscht [12,46]</t>
  </si>
  <si>
    <t>O2-Sonde hat nicht richtig funktioniert, Wert gelöscht [7,0]</t>
  </si>
  <si>
    <t>O2-Sonde hat nicht richtig funktioniert, Wert gelöscht [11,69]</t>
  </si>
  <si>
    <t>O2-Sonde hat nicht richtig funktioniert, Wert gelöscht [11,6]</t>
  </si>
  <si>
    <t>O2-Sonde hat nicht richtig funktioniert, Wert gelöscht [12,91]</t>
  </si>
  <si>
    <t>O2-Sonde hat nicht richtig funktioniert, Wert gelöscht [11,7]</t>
  </si>
  <si>
    <t>O2-Sonde hat nicht richtig funktioniert, Wert gelöscht [10,64]</t>
  </si>
  <si>
    <t>O2-Sonde hat nicht richtig funktioniert, Wert gelöscht [13,3]</t>
  </si>
  <si>
    <t>O2-Sonde hat nicht richtig funktioniert, Wert gelöscht [10,66]</t>
  </si>
  <si>
    <t>O2-Sonde hat nicht richtig funktioniert, Wert gelöscht [9,58]</t>
  </si>
  <si>
    <t>O2-Sonde hat nicht richtig funktioniert, Wert gelöscht [13,34]</t>
  </si>
  <si>
    <t>water temp</t>
  </si>
  <si>
    <t>NA</t>
  </si>
  <si>
    <t>[%] calc.</t>
  </si>
  <si>
    <t>[%] meas.</t>
  </si>
  <si>
    <t>redox potential</t>
  </si>
  <si>
    <t>[V]</t>
  </si>
  <si>
    <t>not measured</t>
  </si>
  <si>
    <t>NATob</t>
  </si>
  <si>
    <t>VORmi</t>
  </si>
  <si>
    <t>VORob</t>
  </si>
  <si>
    <t>WITun</t>
  </si>
  <si>
    <t>pH-Wert unplausibel [value = 4,00]</t>
  </si>
  <si>
    <t>pH-Wert unplausibel [value = 14,04]</t>
  </si>
  <si>
    <t>missing data ==&gt;</t>
  </si>
  <si>
    <t>measure period
last update</t>
  </si>
  <si>
    <t>water body was dry</t>
  </si>
  <si>
    <t>new data</t>
  </si>
  <si>
    <t>field |bi-weekly*</t>
  </si>
  <si>
    <t>lab |bi-weekly*</t>
  </si>
  <si>
    <t>lab | once a month*</t>
  </si>
  <si>
    <t>data gap cannot be fixed</t>
  </si>
  <si>
    <t>data gaps cannot be fixed</t>
  </si>
  <si>
    <t>Pflock delokalisiert; Logger eine Woche später angebracht</t>
  </si>
  <si>
    <t>data gaps in water level mostly due to drought</t>
  </si>
  <si>
    <t>water body was dry (bei oberem Logger fließt noch etwas Wasser)</t>
  </si>
  <si>
    <t xml:space="preserve">water body was dry | 2 Logger weg und Logger BOYkl 2.3 abgebracht </t>
  </si>
  <si>
    <t>water body was dry | 2 Logger ca. 3 cm im Schlamm</t>
  </si>
  <si>
    <t xml:space="preserve">water body was dry | Logger im Matsch </t>
  </si>
  <si>
    <t>---</t>
  </si>
  <si>
    <r>
      <t>year 2025</t>
    </r>
    <r>
      <rPr>
        <vertAlign val="superscript"/>
        <sz val="11"/>
        <color rgb="FF000000"/>
        <rFont val="Calibri"/>
        <family val="2"/>
      </rPr>
      <t>+</t>
    </r>
  </si>
  <si>
    <t>ROTB</t>
  </si>
  <si>
    <t>SCHW</t>
  </si>
  <si>
    <t>SPE</t>
  </si>
  <si>
    <t>not sampled</t>
  </si>
  <si>
    <t>SPR</t>
  </si>
  <si>
    <t>+ measure frequency reduced to monthly</t>
  </si>
  <si>
    <r>
      <t>year 2026</t>
    </r>
    <r>
      <rPr>
        <vertAlign val="superscript"/>
        <sz val="11"/>
        <color rgb="FF000000"/>
        <rFont val="Calibri"/>
        <family val="2"/>
      </rPr>
      <t>+</t>
    </r>
  </si>
  <si>
    <t>year 2026</t>
  </si>
  <si>
    <t>09.04.2021 - 19.05.2025
22.01.2026</t>
  </si>
  <si>
    <t>26.03.2021 - 19.05.2025
22.01.2026</t>
  </si>
  <si>
    <t>K mit ICP-MS</t>
  </si>
  <si>
    <t>HCO3-: zusätzl. Probe wurde nicht analysiert</t>
  </si>
  <si>
    <t>historical site</t>
  </si>
  <si>
    <t>[%]</t>
  </si>
  <si>
    <t>trocken bzw. Pfützen, aber keine Fließbewegung</t>
  </si>
  <si>
    <t>nahe der Straße Gewässerabschnitt trocken, oben noch wenig wasser, logger nicht mehr im wasser</t>
  </si>
  <si>
    <t>Logger liegt Gewässerabschnitt trocken, Wasserstand in Bachmitte gemessen</t>
  </si>
  <si>
    <t>Holzverklausung, kaum Wasser, aber fließt, Probe unterhalb Pfahl, Logger Gewässerabschnitt trocken</t>
  </si>
  <si>
    <t>Wasserstand in der Mitte gemessen, weil Pfahl im Gewässerabschnitt trockenen</t>
  </si>
  <si>
    <t>Pfahl im Gewässerabschnitt trockenen, Wasserstand in der Mitte gemessen</t>
  </si>
  <si>
    <t>Gewässerabschnitt trocken</t>
  </si>
  <si>
    <t xml:space="preserve">Gewässerabschnitt fast ausgetrocknet </t>
  </si>
  <si>
    <t>kaum Wasser, dieses stehend</t>
  </si>
  <si>
    <t>größere Wasseransamlungen, aber kein Durchfluss, fleckiger Film auf Oberfläche (siehe Fotos)</t>
  </si>
  <si>
    <t>Wasserkörper im Begriff auszutrocknen</t>
  </si>
  <si>
    <t>09.04.2021 - 05.12.2025
21.02.2025</t>
  </si>
  <si>
    <t>Data will be added shortly</t>
  </si>
  <si>
    <t>some of the parameters will be added shortly</t>
  </si>
  <si>
    <t>additional measurement (date not listed above)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</si>
</sst>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"/>
    <numFmt numFmtId="165" formatCode="0.000"/>
    <numFmt numFmtId="166" formatCode="0.0000"/>
    <numFmt numFmtId="167" formatCode="m/d/yyyy"/>
    <numFmt numFmtId="168" formatCode="0.0%"/>
    <numFmt numFmtId="169" formatCode="h:mm;@"/>
    <numFmt numFmtId="170" formatCode="h:mm"/>
    <numFmt numFmtId="171" formatCode="#,##0.00000"/>
    <numFmt numFmtId="172" formatCode="0.00000"/>
    <numFmt numFmtId="173" formatCode="yyyy\-mm\-dd;@"/>
    <numFmt numFmtId="174" formatCode="#,##0.0000"/>
  </numFmts>
  <fonts count="45" x14ac:knownFonts="1">
    <font>
      <sz val="11"/>
      <color rgb="FF000000"/>
      <name val="Calibri"/>
      <charset val="1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/>
      <sz val="11"/>
      <color rgb="FF44546A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A6A6A6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A6A6A6"/>
      <name val="Calibri"/>
      <family val="2"/>
      <charset val="1"/>
    </font>
    <font>
      <sz val="12"/>
      <color rgb="FFFFFFFF"/>
      <name val="Calibri"/>
      <family val="2"/>
      <charset val="1"/>
    </font>
    <font>
      <sz val="12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Calibri"/>
      <family val="2"/>
      <charset val="1"/>
    </font>
    <font>
      <sz val="12"/>
      <color rgb="FFED7D31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44546A"/>
      <name val="Calibri"/>
      <family val="2"/>
    </font>
    <font>
      <sz val="11"/>
      <color rgb="FFFFFFFF"/>
      <name val="Calibri"/>
      <family val="2"/>
      <charset val="1"/>
    </font>
    <font>
      <sz val="11"/>
      <color rgb="FFA6A6A6"/>
      <name val="Calibri"/>
      <family val="2"/>
      <charset val="1"/>
    </font>
    <font>
      <sz val="11"/>
      <color rgb="FFED7D31"/>
      <name val="Calibri"/>
      <family val="2"/>
    </font>
    <font>
      <sz val="10"/>
      <color theme="1" tint="0.499984740745262"/>
      <name val="Calibri"/>
      <family val="2"/>
      <charset val="1"/>
    </font>
    <font>
      <sz val="8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0000FF"/>
      <name val="Calibri"/>
      <family val="2"/>
    </font>
    <font>
      <sz val="10"/>
      <color rgb="FF000000"/>
      <name val="Calibri"/>
      <family val="2"/>
      <charset val="1"/>
    </font>
    <font>
      <sz val="10"/>
      <color rgb="FF000000"/>
      <name val="Calibri"/>
      <family val="2"/>
    </font>
    <font>
      <sz val="11"/>
      <color rgb="FFC00000"/>
      <name val="Calibri"/>
      <family val="2"/>
      <charset val="1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1"/>
      <color rgb="FF806000"/>
      <name val="Calibri"/>
      <family val="2"/>
      <charset val="1"/>
    </font>
    <font>
      <sz val="12"/>
      <color rgb="FF806000"/>
      <name val="Calibri"/>
      <family val="2"/>
      <charset val="1"/>
    </font>
    <font>
      <sz val="11"/>
      <name val="Arial"/>
      <family val="2"/>
      <scheme val="minor"/>
    </font>
    <font>
      <sz val="13"/>
      <color rgb="FFC00000"/>
      <name val="Arial"/>
      <family val="2"/>
      <scheme val="minor"/>
    </font>
    <font>
      <sz val="11"/>
      <color theme="7" tint="-0.499984740745262"/>
      <name val="Arial"/>
      <family val="2"/>
      <scheme val="minor"/>
    </font>
    <font>
      <sz val="9"/>
      <color indexed="81"/>
      <name val="Segoe UI"/>
      <family val="2"/>
    </font>
    <font>
      <b/>
      <sz val="9"/>
      <name val="Calibri"/>
      <family val="2"/>
    </font>
    <font>
      <sz val="9"/>
      <name val="Calibri"/>
      <family val="2"/>
    </font>
    <font>
      <i/>
      <sz val="9"/>
      <color rgb="FF000000"/>
      <name val="Calibri"/>
      <family val="2"/>
    </font>
    <font>
      <vertAlign val="superscript"/>
      <sz val="11"/>
      <color rgb="FF000000"/>
      <name val="Calibri"/>
      <family val="2"/>
    </font>
    <font>
      <i/>
      <sz val="11"/>
      <color rgb="FF806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ADB9CA"/>
        <bgColor rgb="FFA6A6A6"/>
      </patternFill>
    </fill>
    <fill>
      <patternFill patternType="solid">
        <fgColor rgb="FFD6DCE5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D6DCE5"/>
        <bgColor rgb="FFA6A6A6"/>
      </patternFill>
    </fill>
    <fill>
      <patternFill patternType="solid">
        <fgColor rgb="FFD6DCE5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rgb="FFD9D9D9"/>
      </patternFill>
    </fill>
    <fill>
      <patternFill patternType="solid">
        <fgColor rgb="FFFFFFCC"/>
        <bgColor rgb="FFA6A6A6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8E6FF"/>
        <bgColor rgb="FFFFFFCC"/>
      </patternFill>
    </fill>
    <fill>
      <patternFill patternType="solid">
        <fgColor rgb="FFB9EDB9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FFBEBE"/>
        <bgColor rgb="FFA6A6A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2FEBA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/>
      <diagonal/>
    </border>
    <border>
      <left style="thin">
        <color rgb="FFD9D9D9"/>
      </left>
      <right/>
      <top style="thin">
        <color auto="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0">
    <xf numFmtId="0" fontId="0" fillId="0" borderId="0"/>
    <xf numFmtId="0" fontId="3" fillId="0" borderId="0"/>
    <xf numFmtId="0" fontId="4" fillId="0" borderId="0"/>
    <xf numFmtId="0" fontId="4" fillId="0" borderId="0"/>
    <xf numFmtId="0" fontId="3" fillId="0" borderId="0"/>
    <xf numFmtId="0" fontId="5" fillId="0" borderId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2" fillId="0" borderId="0"/>
  </cellStyleXfs>
  <cellXfs count="227">
    <xf numFmtId="0" fontId="0" fillId="0" borderId="0" xfId="0"/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4" fillId="2" borderId="0" xfId="1" applyFont="1" applyFill="1" applyAlignment="1">
      <alignment vertical="center"/>
    </xf>
    <xf numFmtId="0" fontId="7" fillId="3" borderId="1" xfId="1" applyFont="1" applyFill="1" applyBorder="1"/>
    <xf numFmtId="0" fontId="7" fillId="0" borderId="0" xfId="1" applyFont="1" applyAlignment="1">
      <alignment vertical="center"/>
    </xf>
    <xf numFmtId="0" fontId="4" fillId="4" borderId="1" xfId="1" applyFont="1" applyFill="1" applyBorder="1" applyAlignment="1">
      <alignment vertical="top"/>
    </xf>
    <xf numFmtId="0" fontId="4" fillId="4" borderId="2" xfId="1" applyFont="1" applyFill="1" applyBorder="1" applyAlignment="1">
      <alignment horizontal="right" vertical="top" wrapText="1"/>
    </xf>
    <xf numFmtId="0" fontId="4" fillId="4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3" fillId="4" borderId="2" xfId="1" applyFill="1" applyBorder="1" applyAlignment="1">
      <alignment horizontal="right" vertical="top" wrapText="1"/>
    </xf>
    <xf numFmtId="0" fontId="3" fillId="4" borderId="1" xfId="1" applyFill="1" applyBorder="1" applyAlignment="1">
      <alignment horizontal="left" vertical="top" wrapText="1"/>
    </xf>
    <xf numFmtId="164" fontId="9" fillId="2" borderId="0" xfId="1" applyNumberFormat="1" applyFont="1" applyFill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5" fontId="13" fillId="0" borderId="3" xfId="1" applyNumberFormat="1" applyFont="1" applyBorder="1"/>
    <xf numFmtId="164" fontId="13" fillId="0" borderId="3" xfId="1" applyNumberFormat="1" applyFont="1" applyBorder="1"/>
    <xf numFmtId="166" fontId="13" fillId="0" borderId="3" xfId="1" applyNumberFormat="1" applyFont="1" applyBorder="1"/>
    <xf numFmtId="1" fontId="13" fillId="0" borderId="3" xfId="1" applyNumberFormat="1" applyFont="1" applyBorder="1"/>
    <xf numFmtId="165" fontId="13" fillId="6" borderId="3" xfId="1" applyNumberFormat="1" applyFont="1" applyFill="1" applyBorder="1"/>
    <xf numFmtId="164" fontId="13" fillId="6" borderId="3" xfId="1" applyNumberFormat="1" applyFont="1" applyFill="1" applyBorder="1"/>
    <xf numFmtId="166" fontId="13" fillId="6" borderId="3" xfId="1" applyNumberFormat="1" applyFont="1" applyFill="1" applyBorder="1"/>
    <xf numFmtId="1" fontId="13" fillId="6" borderId="3" xfId="1" applyNumberFormat="1" applyFont="1" applyFill="1" applyBorder="1"/>
    <xf numFmtId="1" fontId="14" fillId="6" borderId="3" xfId="1" applyNumberFormat="1" applyFont="1" applyFill="1" applyBorder="1"/>
    <xf numFmtId="0" fontId="4" fillId="0" borderId="0" xfId="0" applyFont="1"/>
    <xf numFmtId="0" fontId="3" fillId="0" borderId="0" xfId="0" applyFont="1"/>
    <xf numFmtId="0" fontId="4" fillId="0" borderId="0" xfId="3"/>
    <xf numFmtId="2" fontId="4" fillId="0" borderId="0" xfId="3" applyNumberFormat="1" applyAlignment="1">
      <alignment horizontal="center"/>
    </xf>
    <xf numFmtId="0" fontId="4" fillId="0" borderId="0" xfId="3" applyAlignment="1">
      <alignment horizontal="center"/>
    </xf>
    <xf numFmtId="164" fontId="4" fillId="0" borderId="0" xfId="3" applyNumberFormat="1" applyAlignment="1">
      <alignment horizontal="center"/>
    </xf>
    <xf numFmtId="1" fontId="4" fillId="0" borderId="0" xfId="3" applyNumberFormat="1" applyAlignment="1">
      <alignment horizontal="center"/>
    </xf>
    <xf numFmtId="164" fontId="4" fillId="0" borderId="0" xfId="1" applyNumberFormat="1" applyFont="1" applyAlignment="1">
      <alignment horizontal="center" vertical="center"/>
    </xf>
    <xf numFmtId="0" fontId="9" fillId="0" borderId="0" xfId="0" applyFont="1"/>
    <xf numFmtId="0" fontId="4" fillId="0" borderId="0" xfId="3" applyAlignment="1">
      <alignment horizontal="left"/>
    </xf>
    <xf numFmtId="0" fontId="16" fillId="0" borderId="0" xfId="3" applyFont="1"/>
    <xf numFmtId="0" fontId="16" fillId="0" borderId="0" xfId="0" applyFont="1"/>
    <xf numFmtId="0" fontId="0" fillId="0" borderId="0" xfId="0" applyAlignment="1">
      <alignment horizontal="left"/>
    </xf>
    <xf numFmtId="173" fontId="3" fillId="0" borderId="0" xfId="0" applyNumberFormat="1" applyFont="1"/>
    <xf numFmtId="0" fontId="17" fillId="0" borderId="0" xfId="0" applyFont="1"/>
    <xf numFmtId="0" fontId="3" fillId="0" borderId="3" xfId="1" applyBorder="1" applyAlignment="1">
      <alignment vertical="center"/>
    </xf>
    <xf numFmtId="0" fontId="20" fillId="2" borderId="0" xfId="1" applyFont="1" applyFill="1" applyAlignment="1">
      <alignment vertical="center"/>
    </xf>
    <xf numFmtId="173" fontId="13" fillId="0" borderId="3" xfId="0" applyNumberFormat="1" applyFont="1" applyBorder="1" applyAlignment="1">
      <alignment vertical="center"/>
    </xf>
    <xf numFmtId="2" fontId="13" fillId="0" borderId="3" xfId="1" applyNumberFormat="1" applyFont="1" applyBorder="1" applyAlignment="1">
      <alignment vertical="center"/>
    </xf>
    <xf numFmtId="164" fontId="13" fillId="0" borderId="3" xfId="1" applyNumberFormat="1" applyFont="1" applyBorder="1" applyAlignment="1">
      <alignment vertical="center"/>
    </xf>
    <xf numFmtId="2" fontId="21" fillId="0" borderId="3" xfId="1" applyNumberFormat="1" applyFont="1" applyBorder="1" applyAlignment="1">
      <alignment vertical="center"/>
    </xf>
    <xf numFmtId="168" fontId="13" fillId="0" borderId="3" xfId="1" applyNumberFormat="1" applyFont="1" applyBorder="1" applyAlignment="1">
      <alignment vertical="center"/>
    </xf>
    <xf numFmtId="0" fontId="13" fillId="2" borderId="0" xfId="1" applyFont="1" applyFill="1" applyAlignment="1">
      <alignment vertical="center"/>
    </xf>
    <xf numFmtId="0" fontId="3" fillId="6" borderId="3" xfId="1" applyFill="1" applyBorder="1" applyAlignment="1">
      <alignment vertical="center"/>
    </xf>
    <xf numFmtId="173" fontId="13" fillId="6" borderId="3" xfId="0" applyNumberFormat="1" applyFont="1" applyFill="1" applyBorder="1" applyAlignment="1">
      <alignment vertical="center"/>
    </xf>
    <xf numFmtId="2" fontId="13" fillId="6" borderId="3" xfId="1" applyNumberFormat="1" applyFont="1" applyFill="1" applyBorder="1" applyAlignment="1">
      <alignment vertical="center"/>
    </xf>
    <xf numFmtId="164" fontId="13" fillId="6" borderId="3" xfId="1" applyNumberFormat="1" applyFont="1" applyFill="1" applyBorder="1" applyAlignment="1">
      <alignment vertical="center"/>
    </xf>
    <xf numFmtId="2" fontId="21" fillId="6" borderId="3" xfId="1" applyNumberFormat="1" applyFont="1" applyFill="1" applyBorder="1" applyAlignment="1">
      <alignment vertical="center"/>
    </xf>
    <xf numFmtId="168" fontId="13" fillId="6" borderId="3" xfId="1" applyNumberFormat="1" applyFont="1" applyFill="1" applyBorder="1" applyAlignment="1">
      <alignment vertical="center"/>
    </xf>
    <xf numFmtId="0" fontId="3" fillId="2" borderId="0" xfId="1" applyFill="1" applyAlignment="1">
      <alignment vertical="center"/>
    </xf>
    <xf numFmtId="0" fontId="13" fillId="0" borderId="3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4" fillId="0" borderId="0" xfId="0" applyFont="1" applyAlignment="1">
      <alignment horizontal="left"/>
    </xf>
    <xf numFmtId="0" fontId="4" fillId="4" borderId="1" xfId="1" applyFont="1" applyFill="1" applyBorder="1" applyAlignment="1">
      <alignment horizontal="left" vertical="top"/>
    </xf>
    <xf numFmtId="164" fontId="23" fillId="0" borderId="0" xfId="1" applyNumberFormat="1" applyFont="1" applyAlignment="1">
      <alignment horizontal="center" vertical="center"/>
    </xf>
    <xf numFmtId="0" fontId="23" fillId="0" borderId="0" xfId="3" applyFont="1"/>
    <xf numFmtId="173" fontId="17" fillId="0" borderId="0" xfId="3" applyNumberFormat="1" applyFont="1" applyAlignment="1">
      <alignment horizontal="right"/>
    </xf>
    <xf numFmtId="0" fontId="4" fillId="7" borderId="1" xfId="1" applyFont="1" applyFill="1" applyBorder="1" applyAlignment="1">
      <alignment horizontal="left" vertical="top" wrapText="1"/>
    </xf>
    <xf numFmtId="0" fontId="4" fillId="7" borderId="1" xfId="1" applyFont="1" applyFill="1" applyBorder="1" applyAlignment="1">
      <alignment horizontal="left" vertical="top"/>
    </xf>
    <xf numFmtId="0" fontId="12" fillId="7" borderId="1" xfId="1" applyFont="1" applyFill="1" applyBorder="1" applyAlignment="1">
      <alignment horizontal="left" vertical="top" wrapText="1"/>
    </xf>
    <xf numFmtId="0" fontId="22" fillId="0" borderId="0" xfId="0" applyFont="1"/>
    <xf numFmtId="2" fontId="12" fillId="7" borderId="1" xfId="1" applyNumberFormat="1" applyFont="1" applyFill="1" applyBorder="1" applyAlignment="1">
      <alignment horizontal="left" vertical="top" wrapText="1"/>
    </xf>
    <xf numFmtId="164" fontId="4" fillId="7" borderId="1" xfId="1" applyNumberFormat="1" applyFont="1" applyFill="1" applyBorder="1" applyAlignment="1">
      <alignment horizontal="left" vertical="top" wrapText="1"/>
    </xf>
    <xf numFmtId="173" fontId="17" fillId="0" borderId="7" xfId="0" applyNumberFormat="1" applyFont="1" applyBorder="1"/>
    <xf numFmtId="0" fontId="17" fillId="0" borderId="7" xfId="0" applyFont="1" applyBorder="1"/>
    <xf numFmtId="164" fontId="9" fillId="2" borderId="9" xfId="1" applyNumberFormat="1" applyFont="1" applyFill="1" applyBorder="1" applyAlignment="1">
      <alignment horizontal="center" vertical="center"/>
    </xf>
    <xf numFmtId="164" fontId="10" fillId="2" borderId="9" xfId="1" applyNumberFormat="1" applyFont="1" applyFill="1" applyBorder="1" applyAlignment="1">
      <alignment horizontal="center" vertical="center"/>
    </xf>
    <xf numFmtId="165" fontId="9" fillId="2" borderId="9" xfId="1" applyNumberFormat="1" applyFont="1" applyFill="1" applyBorder="1" applyAlignment="1">
      <alignment horizontal="center"/>
    </xf>
    <xf numFmtId="166" fontId="9" fillId="2" borderId="10" xfId="1" applyNumberFormat="1" applyFont="1" applyFill="1" applyBorder="1" applyAlignment="1">
      <alignment horizontal="center"/>
    </xf>
    <xf numFmtId="0" fontId="26" fillId="0" borderId="0" xfId="1" applyFont="1" applyAlignment="1">
      <alignment vertical="center"/>
    </xf>
    <xf numFmtId="164" fontId="27" fillId="5" borderId="12" xfId="1" applyNumberFormat="1" applyFont="1" applyFill="1" applyBorder="1" applyAlignment="1">
      <alignment horizontal="center" vertical="center"/>
    </xf>
    <xf numFmtId="164" fontId="27" fillId="5" borderId="13" xfId="1" applyNumberFormat="1" applyFont="1" applyFill="1" applyBorder="1" applyAlignment="1">
      <alignment horizontal="center" vertical="center"/>
    </xf>
    <xf numFmtId="168" fontId="13" fillId="10" borderId="3" xfId="1" applyNumberFormat="1" applyFont="1" applyFill="1" applyBorder="1" applyAlignment="1">
      <alignment vertical="center"/>
    </xf>
    <xf numFmtId="166" fontId="13" fillId="10" borderId="3" xfId="1" applyNumberFormat="1" applyFont="1" applyFill="1" applyBorder="1"/>
    <xf numFmtId="164" fontId="28" fillId="5" borderId="11" xfId="1" applyNumberFormat="1" applyFont="1" applyFill="1" applyBorder="1" applyAlignment="1">
      <alignment vertical="center"/>
    </xf>
    <xf numFmtId="0" fontId="20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4" fillId="11" borderId="1" xfId="1" applyFont="1" applyFill="1" applyBorder="1" applyAlignment="1">
      <alignment horizontal="left" vertical="top"/>
    </xf>
    <xf numFmtId="0" fontId="17" fillId="0" borderId="7" xfId="3" applyFont="1" applyBorder="1"/>
    <xf numFmtId="0" fontId="29" fillId="12" borderId="1" xfId="1" applyFont="1" applyFill="1" applyBorder="1" applyAlignment="1">
      <alignment horizontal="left" vertical="top" wrapText="1"/>
    </xf>
    <xf numFmtId="1" fontId="31" fillId="0" borderId="3" xfId="1" applyNumberFormat="1" applyFont="1" applyBorder="1" applyAlignment="1">
      <alignment horizontal="right"/>
    </xf>
    <xf numFmtId="1" fontId="31" fillId="6" borderId="3" xfId="1" applyNumberFormat="1" applyFont="1" applyFill="1" applyBorder="1" applyAlignment="1">
      <alignment horizontal="right"/>
    </xf>
    <xf numFmtId="164" fontId="33" fillId="14" borderId="14" xfId="2" applyNumberFormat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 wrapText="1"/>
    </xf>
    <xf numFmtId="0" fontId="34" fillId="0" borderId="3" xfId="1" applyFont="1" applyBorder="1" applyAlignment="1">
      <alignment vertical="center"/>
    </xf>
    <xf numFmtId="0" fontId="34" fillId="2" borderId="0" xfId="1" applyFont="1" applyFill="1" applyAlignment="1">
      <alignment vertical="center"/>
    </xf>
    <xf numFmtId="173" fontId="34" fillId="0" borderId="3" xfId="0" applyNumberFormat="1" applyFont="1" applyBorder="1" applyAlignment="1">
      <alignment vertical="center"/>
    </xf>
    <xf numFmtId="2" fontId="34" fillId="0" borderId="3" xfId="1" applyNumberFormat="1" applyFont="1" applyBorder="1" applyAlignment="1">
      <alignment vertical="center"/>
    </xf>
    <xf numFmtId="164" fontId="34" fillId="0" borderId="3" xfId="1" applyNumberFormat="1" applyFont="1" applyBorder="1" applyAlignment="1">
      <alignment vertical="center"/>
    </xf>
    <xf numFmtId="168" fontId="34" fillId="0" borderId="3" xfId="1" applyNumberFormat="1" applyFont="1" applyBorder="1" applyAlignment="1">
      <alignment vertical="center"/>
    </xf>
    <xf numFmtId="165" fontId="34" fillId="0" borderId="3" xfId="1" applyNumberFormat="1" applyFont="1" applyBorder="1"/>
    <xf numFmtId="164" fontId="34" fillId="0" borderId="3" xfId="1" applyNumberFormat="1" applyFont="1" applyBorder="1"/>
    <xf numFmtId="166" fontId="34" fillId="0" borderId="3" xfId="1" applyNumberFormat="1" applyFont="1" applyBorder="1"/>
    <xf numFmtId="1" fontId="34" fillId="0" borderId="3" xfId="1" applyNumberFormat="1" applyFont="1" applyBorder="1"/>
    <xf numFmtId="0" fontId="35" fillId="0" borderId="0" xfId="1" applyFont="1" applyAlignment="1">
      <alignment vertical="center"/>
    </xf>
    <xf numFmtId="0" fontId="34" fillId="6" borderId="3" xfId="1" applyFont="1" applyFill="1" applyBorder="1" applyAlignment="1">
      <alignment vertical="center"/>
    </xf>
    <xf numFmtId="173" fontId="34" fillId="6" borderId="3" xfId="0" applyNumberFormat="1" applyFont="1" applyFill="1" applyBorder="1" applyAlignment="1">
      <alignment vertical="center"/>
    </xf>
    <xf numFmtId="2" fontId="34" fillId="6" borderId="3" xfId="1" applyNumberFormat="1" applyFont="1" applyFill="1" applyBorder="1" applyAlignment="1">
      <alignment vertical="center"/>
    </xf>
    <xf numFmtId="164" fontId="34" fillId="6" borderId="3" xfId="1" applyNumberFormat="1" applyFont="1" applyFill="1" applyBorder="1" applyAlignment="1">
      <alignment vertical="center"/>
    </xf>
    <xf numFmtId="168" fontId="34" fillId="10" borderId="3" xfId="1" applyNumberFormat="1" applyFont="1" applyFill="1" applyBorder="1" applyAlignment="1">
      <alignment vertical="center"/>
    </xf>
    <xf numFmtId="165" fontId="34" fillId="6" borderId="3" xfId="1" applyNumberFormat="1" applyFont="1" applyFill="1" applyBorder="1"/>
    <xf numFmtId="164" fontId="34" fillId="6" borderId="3" xfId="1" applyNumberFormat="1" applyFont="1" applyFill="1" applyBorder="1"/>
    <xf numFmtId="166" fontId="34" fillId="6" borderId="3" xfId="1" applyNumberFormat="1" applyFont="1" applyFill="1" applyBorder="1"/>
    <xf numFmtId="0" fontId="34" fillId="0" borderId="0" xfId="1" applyFont="1" applyAlignment="1">
      <alignment vertical="center"/>
    </xf>
    <xf numFmtId="165" fontId="36" fillId="0" borderId="16" xfId="2" applyNumberFormat="1" applyFont="1" applyBorder="1"/>
    <xf numFmtId="164" fontId="32" fillId="0" borderId="16" xfId="2" applyNumberFormat="1" applyFont="1" applyBorder="1"/>
    <xf numFmtId="166" fontId="36" fillId="0" borderId="16" xfId="2" applyNumberFormat="1" applyFont="1" applyBorder="1"/>
    <xf numFmtId="165" fontId="36" fillId="15" borderId="16" xfId="2" applyNumberFormat="1" applyFont="1" applyFill="1" applyBorder="1"/>
    <xf numFmtId="164" fontId="32" fillId="15" borderId="16" xfId="2" applyNumberFormat="1" applyFont="1" applyFill="1" applyBorder="1"/>
    <xf numFmtId="166" fontId="36" fillId="15" borderId="16" xfId="2" applyNumberFormat="1" applyFont="1" applyFill="1" applyBorder="1"/>
    <xf numFmtId="165" fontId="38" fillId="0" borderId="16" xfId="2" applyNumberFormat="1" applyFont="1" applyBorder="1"/>
    <xf numFmtId="164" fontId="38" fillId="0" borderId="16" xfId="2" applyNumberFormat="1" applyFont="1" applyBorder="1"/>
    <xf numFmtId="166" fontId="38" fillId="0" borderId="16" xfId="2" applyNumberFormat="1" applyFont="1" applyBorder="1"/>
    <xf numFmtId="3" fontId="13" fillId="0" borderId="3" xfId="1" applyNumberFormat="1" applyFont="1" applyBorder="1" applyAlignment="1">
      <alignment vertical="center"/>
    </xf>
    <xf numFmtId="3" fontId="13" fillId="6" borderId="3" xfId="1" applyNumberFormat="1" applyFont="1" applyFill="1" applyBorder="1" applyAlignment="1">
      <alignment vertical="center"/>
    </xf>
    <xf numFmtId="3" fontId="34" fillId="0" borderId="3" xfId="1" applyNumberFormat="1" applyFont="1" applyBorder="1" applyAlignment="1">
      <alignment vertical="center"/>
    </xf>
    <xf numFmtId="3" fontId="34" fillId="6" borderId="3" xfId="1" applyNumberFormat="1" applyFont="1" applyFill="1" applyBorder="1" applyAlignment="1">
      <alignment vertical="center"/>
    </xf>
    <xf numFmtId="164" fontId="15" fillId="13" borderId="1" xfId="1" applyNumberFormat="1" applyFont="1" applyFill="1" applyBorder="1" applyAlignment="1">
      <alignment horizontal="center" vertical="center"/>
    </xf>
    <xf numFmtId="2" fontId="4" fillId="7" borderId="1" xfId="1" applyNumberFormat="1" applyFont="1" applyFill="1" applyBorder="1" applyAlignment="1">
      <alignment horizontal="left" vertical="top" wrapText="1"/>
    </xf>
    <xf numFmtId="1" fontId="4" fillId="7" borderId="1" xfId="1" applyNumberFormat="1" applyFont="1" applyFill="1" applyBorder="1" applyAlignment="1">
      <alignment horizontal="left" vertical="top" wrapText="1"/>
    </xf>
    <xf numFmtId="0" fontId="3" fillId="0" borderId="0" xfId="0" applyFont="1" applyAlignment="1"/>
    <xf numFmtId="0" fontId="4" fillId="12" borderId="1" xfId="1" applyFont="1" applyFill="1" applyBorder="1" applyAlignment="1">
      <alignment vertical="top"/>
    </xf>
    <xf numFmtId="0" fontId="4" fillId="19" borderId="1" xfId="1" applyFont="1" applyFill="1" applyBorder="1" applyAlignment="1">
      <alignment horizontal="left" vertical="top" wrapText="1"/>
    </xf>
    <xf numFmtId="164" fontId="15" fillId="13" borderId="24" xfId="1" applyNumberFormat="1" applyFont="1" applyFill="1" applyBorder="1" applyAlignment="1">
      <alignment horizontal="center" vertical="center"/>
    </xf>
    <xf numFmtId="173" fontId="3" fillId="0" borderId="7" xfId="0" applyNumberFormat="1" applyFont="1" applyBorder="1"/>
    <xf numFmtId="0" fontId="3" fillId="0" borderId="7" xfId="0" applyFont="1" applyBorder="1"/>
    <xf numFmtId="0" fontId="23" fillId="0" borderId="7" xfId="0" applyFont="1" applyBorder="1"/>
    <xf numFmtId="171" fontId="3" fillId="0" borderId="7" xfId="0" applyNumberFormat="1" applyFont="1" applyBorder="1" applyAlignment="1">
      <alignment horizontal="center"/>
    </xf>
    <xf numFmtId="172" fontId="3" fillId="0" borderId="7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3" fillId="0" borderId="7" xfId="3" applyFont="1" applyBorder="1"/>
    <xf numFmtId="0" fontId="3" fillId="0" borderId="7" xfId="0" applyFont="1" applyBorder="1" applyAlignment="1"/>
    <xf numFmtId="0" fontId="4" fillId="0" borderId="7" xfId="3" applyBorder="1" applyAlignment="1">
      <alignment horizontal="center"/>
    </xf>
    <xf numFmtId="0" fontId="4" fillId="0" borderId="7" xfId="3" applyBorder="1"/>
    <xf numFmtId="1" fontId="9" fillId="0" borderId="7" xfId="1" applyNumberFormat="1" applyFont="1" applyBorder="1" applyAlignment="1">
      <alignment horizontal="center" vertical="center"/>
    </xf>
    <xf numFmtId="1" fontId="40" fillId="18" borderId="7" xfId="1" applyNumberFormat="1" applyFont="1" applyFill="1" applyBorder="1" applyAlignment="1">
      <alignment horizontal="center" vertical="center"/>
    </xf>
    <xf numFmtId="1" fontId="9" fillId="0" borderId="8" xfId="1" applyNumberFormat="1" applyFont="1" applyBorder="1" applyAlignment="1">
      <alignment horizontal="center" vertical="center"/>
    </xf>
    <xf numFmtId="0" fontId="23" fillId="0" borderId="8" xfId="0" applyFont="1" applyBorder="1"/>
    <xf numFmtId="173" fontId="17" fillId="0" borderId="7" xfId="3" applyNumberFormat="1" applyFont="1" applyBorder="1" applyAlignment="1">
      <alignment horizontal="right"/>
    </xf>
    <xf numFmtId="1" fontId="41" fillId="18" borderId="7" xfId="1" applyNumberFormat="1" applyFont="1" applyFill="1" applyBorder="1" applyAlignment="1">
      <alignment horizontal="center" vertical="center"/>
    </xf>
    <xf numFmtId="2" fontId="17" fillId="0" borderId="7" xfId="0" applyNumberFormat="1" applyFont="1" applyBorder="1" applyAlignment="1">
      <alignment horizontal="center"/>
    </xf>
    <xf numFmtId="166" fontId="17" fillId="0" borderId="7" xfId="3" applyNumberFormat="1" applyFont="1" applyBorder="1" applyAlignment="1">
      <alignment horizontal="center"/>
    </xf>
    <xf numFmtId="2" fontId="17" fillId="0" borderId="7" xfId="3" applyNumberFormat="1" applyFont="1" applyBorder="1" applyAlignment="1">
      <alignment horizontal="center"/>
    </xf>
    <xf numFmtId="164" fontId="17" fillId="0" borderId="7" xfId="3" applyNumberFormat="1" applyFont="1" applyBorder="1" applyAlignment="1">
      <alignment horizontal="center"/>
    </xf>
    <xf numFmtId="165" fontId="17" fillId="0" borderId="7" xfId="3" applyNumberFormat="1" applyFont="1" applyBorder="1" applyAlignment="1">
      <alignment horizontal="center"/>
    </xf>
    <xf numFmtId="1" fontId="17" fillId="0" borderId="7" xfId="3" applyNumberFormat="1" applyFont="1" applyBorder="1" applyAlignment="1">
      <alignment horizontal="center"/>
    </xf>
    <xf numFmtId="0" fontId="17" fillId="0" borderId="7" xfId="3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8" fillId="0" borderId="7" xfId="3" applyFont="1" applyBorder="1" applyAlignment="1">
      <alignment horizontal="center"/>
    </xf>
    <xf numFmtId="0" fontId="22" fillId="0" borderId="7" xfId="3" applyFont="1" applyBorder="1" applyAlignment="1">
      <alignment horizontal="center"/>
    </xf>
    <xf numFmtId="0" fontId="4" fillId="0" borderId="7" xfId="0" applyFont="1" applyBorder="1"/>
    <xf numFmtId="173" fontId="18" fillId="0" borderId="7" xfId="3" applyNumberFormat="1" applyFont="1" applyBorder="1" applyAlignment="1">
      <alignment horizontal="right"/>
    </xf>
    <xf numFmtId="0" fontId="18" fillId="0" borderId="7" xfId="3" applyFont="1" applyBorder="1"/>
    <xf numFmtId="2" fontId="17" fillId="0" borderId="7" xfId="0" applyNumberFormat="1" applyFont="1" applyBorder="1"/>
    <xf numFmtId="2" fontId="4" fillId="0" borderId="7" xfId="3" applyNumberFormat="1" applyBorder="1" applyAlignment="1">
      <alignment horizontal="center"/>
    </xf>
    <xf numFmtId="174" fontId="18" fillId="0" borderId="7" xfId="0" applyNumberFormat="1" applyFont="1" applyFill="1" applyBorder="1" applyAlignment="1">
      <alignment horizontal="center"/>
    </xf>
    <xf numFmtId="164" fontId="3" fillId="0" borderId="7" xfId="1" applyNumberFormat="1" applyFont="1" applyBorder="1" applyAlignment="1">
      <alignment vertical="center"/>
    </xf>
    <xf numFmtId="164" fontId="3" fillId="0" borderId="8" xfId="1" applyNumberFormat="1" applyFont="1" applyBorder="1" applyAlignment="1">
      <alignment vertical="center"/>
    </xf>
    <xf numFmtId="164" fontId="9" fillId="0" borderId="7" xfId="1" applyNumberFormat="1" applyFont="1" applyBorder="1" applyAlignment="1">
      <alignment horizontal="center" vertical="center"/>
    </xf>
    <xf numFmtId="2" fontId="9" fillId="0" borderId="8" xfId="1" applyNumberFormat="1" applyFont="1" applyBorder="1" applyAlignment="1">
      <alignment horizontal="center" vertical="center"/>
    </xf>
    <xf numFmtId="164" fontId="9" fillId="0" borderId="8" xfId="1" applyNumberFormat="1" applyFont="1" applyBorder="1" applyAlignment="1">
      <alignment horizontal="center" vertical="center"/>
    </xf>
    <xf numFmtId="2" fontId="30" fillId="0" borderId="7" xfId="0" applyNumberFormat="1" applyFont="1" applyBorder="1" applyAlignment="1">
      <alignment horizontal="right"/>
    </xf>
    <xf numFmtId="1" fontId="17" fillId="0" borderId="7" xfId="0" applyNumberFormat="1" applyFont="1" applyBorder="1"/>
    <xf numFmtId="164" fontId="17" fillId="0" borderId="7" xfId="0" applyNumberFormat="1" applyFont="1" applyBorder="1"/>
    <xf numFmtId="169" fontId="17" fillId="0" borderId="7" xfId="0" applyNumberFormat="1" applyFont="1" applyBorder="1"/>
    <xf numFmtId="170" fontId="17" fillId="0" borderId="7" xfId="0" applyNumberFormat="1" applyFont="1" applyBorder="1"/>
    <xf numFmtId="0" fontId="19" fillId="0" borderId="7" xfId="6" applyFont="1" applyBorder="1" applyProtection="1"/>
    <xf numFmtId="0" fontId="18" fillId="0" borderId="7" xfId="6" applyFont="1" applyBorder="1" applyProtection="1"/>
    <xf numFmtId="0" fontId="18" fillId="0" borderId="7" xfId="0" applyFont="1" applyBorder="1"/>
    <xf numFmtId="167" fontId="18" fillId="0" borderId="7" xfId="0" applyNumberFormat="1" applyFont="1" applyBorder="1"/>
    <xf numFmtId="167" fontId="17" fillId="0" borderId="7" xfId="0" applyNumberFormat="1" applyFont="1" applyBorder="1"/>
    <xf numFmtId="49" fontId="17" fillId="0" borderId="7" xfId="0" applyNumberFormat="1" applyFont="1" applyBorder="1"/>
    <xf numFmtId="0" fontId="17" fillId="0" borderId="7" xfId="4" applyFont="1" applyBorder="1"/>
    <xf numFmtId="0" fontId="17" fillId="0" borderId="7" xfId="0" applyFont="1" applyBorder="1" applyAlignment="1">
      <alignment horizontal="right"/>
    </xf>
    <xf numFmtId="164" fontId="17" fillId="0" borderId="7" xfId="0" applyNumberFormat="1" applyFont="1" applyFill="1" applyBorder="1" applyAlignment="1">
      <alignment horizontal="right"/>
    </xf>
    <xf numFmtId="164" fontId="30" fillId="0" borderId="7" xfId="0" applyNumberFormat="1" applyFont="1" applyBorder="1" applyAlignment="1">
      <alignment horizontal="right"/>
    </xf>
    <xf numFmtId="164" fontId="42" fillId="0" borderId="7" xfId="1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173" fontId="17" fillId="8" borderId="1" xfId="0" applyNumberFormat="1" applyFont="1" applyFill="1" applyBorder="1" applyAlignment="1">
      <alignment vertical="center"/>
    </xf>
    <xf numFmtId="173" fontId="18" fillId="0" borderId="7" xfId="0" applyNumberFormat="1" applyFont="1" applyFill="1" applyBorder="1" applyAlignment="1">
      <alignment horizontal="right" vertical="center"/>
    </xf>
    <xf numFmtId="173" fontId="17" fillId="0" borderId="8" xfId="0" applyNumberFormat="1" applyFont="1" applyBorder="1" applyAlignment="1">
      <alignment vertical="center"/>
    </xf>
    <xf numFmtId="173" fontId="17" fillId="0" borderId="7" xfId="0" applyNumberFormat="1" applyFont="1" applyBorder="1" applyAlignment="1">
      <alignment vertical="center"/>
    </xf>
    <xf numFmtId="173" fontId="17" fillId="0" borderId="7" xfId="0" applyNumberFormat="1" applyFont="1" applyFill="1" applyBorder="1" applyAlignment="1">
      <alignment vertical="center"/>
    </xf>
    <xf numFmtId="173" fontId="18" fillId="17" borderId="7" xfId="0" applyNumberFormat="1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173" fontId="18" fillId="0" borderId="7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quotePrefix="1" applyFont="1" applyAlignment="1">
      <alignment vertical="center"/>
    </xf>
    <xf numFmtId="173" fontId="18" fillId="17" borderId="7" xfId="5" applyNumberFormat="1" applyFont="1" applyFill="1" applyBorder="1" applyAlignment="1">
      <alignment vertical="center"/>
    </xf>
    <xf numFmtId="164" fontId="32" fillId="0" borderId="7" xfId="3" quotePrefix="1" applyNumberFormat="1" applyFont="1" applyBorder="1" applyAlignment="1">
      <alignment horizontal="center"/>
    </xf>
    <xf numFmtId="1" fontId="3" fillId="20" borderId="7" xfId="0" applyNumberFormat="1" applyFont="1" applyFill="1" applyBorder="1" applyAlignment="1">
      <alignment horizontal="center"/>
    </xf>
    <xf numFmtId="164" fontId="3" fillId="20" borderId="7" xfId="0" applyNumberFormat="1" applyFont="1" applyFill="1" applyBorder="1" applyAlignment="1">
      <alignment horizontal="center"/>
    </xf>
    <xf numFmtId="0" fontId="44" fillId="0" borderId="3" xfId="1" applyFont="1" applyBorder="1" applyAlignment="1">
      <alignment vertical="center"/>
    </xf>
    <xf numFmtId="0" fontId="44" fillId="6" borderId="3" xfId="1" applyFont="1" applyFill="1" applyBorder="1" applyAlignment="1">
      <alignment vertical="center"/>
    </xf>
    <xf numFmtId="1" fontId="3" fillId="20" borderId="7" xfId="0" applyNumberFormat="1" applyFont="1" applyFill="1" applyBorder="1" applyAlignment="1"/>
    <xf numFmtId="1" fontId="3" fillId="21" borderId="7" xfId="0" applyNumberFormat="1" applyFont="1" applyFill="1" applyBorder="1" applyAlignment="1">
      <alignment horizontal="center"/>
    </xf>
    <xf numFmtId="173" fontId="17" fillId="0" borderId="7" xfId="0" applyNumberFormat="1" applyFont="1" applyFill="1" applyBorder="1"/>
    <xf numFmtId="0" fontId="1" fillId="0" borderId="0" xfId="9" applyFont="1"/>
    <xf numFmtId="2" fontId="17" fillId="0" borderId="7" xfId="0" quotePrefix="1" applyNumberFormat="1" applyFont="1" applyBorder="1" applyAlignment="1">
      <alignment horizontal="right"/>
    </xf>
    <xf numFmtId="173" fontId="17" fillId="17" borderId="7" xfId="0" applyNumberFormat="1" applyFont="1" applyFill="1" applyBorder="1"/>
    <xf numFmtId="165" fontId="37" fillId="0" borderId="17" xfId="2" applyNumberFormat="1" applyFont="1" applyBorder="1" applyAlignment="1">
      <alignment horizontal="center" vertical="center"/>
    </xf>
    <xf numFmtId="165" fontId="37" fillId="0" borderId="0" xfId="2" applyNumberFormat="1" applyFont="1" applyAlignment="1">
      <alignment horizontal="center" vertical="center"/>
    </xf>
    <xf numFmtId="165" fontId="37" fillId="0" borderId="18" xfId="2" applyNumberFormat="1" applyFont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49" fontId="14" fillId="6" borderId="3" xfId="1" applyNumberFormat="1" applyFont="1" applyFill="1" applyBorder="1" applyAlignment="1">
      <alignment horizontal="center" vertical="center"/>
    </xf>
    <xf numFmtId="49" fontId="14" fillId="6" borderId="3" xfId="0" applyNumberFormat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17" fillId="16" borderId="19" xfId="0" applyFont="1" applyFill="1" applyBorder="1" applyAlignment="1">
      <alignment horizontal="left" vertical="center" wrapText="1"/>
    </xf>
    <xf numFmtId="0" fontId="17" fillId="16" borderId="21" xfId="0" applyFont="1" applyFill="1" applyBorder="1" applyAlignment="1">
      <alignment horizontal="left" vertical="center"/>
    </xf>
    <xf numFmtId="0" fontId="17" fillId="16" borderId="23" xfId="0" applyFont="1" applyFill="1" applyBorder="1" applyAlignment="1">
      <alignment horizontal="left" vertical="center"/>
    </xf>
    <xf numFmtId="0" fontId="17" fillId="16" borderId="20" xfId="0" applyFont="1" applyFill="1" applyBorder="1" applyAlignment="1">
      <alignment horizontal="right" vertical="center" wrapText="1"/>
    </xf>
    <xf numFmtId="0" fontId="17" fillId="16" borderId="22" xfId="0" applyFont="1" applyFill="1" applyBorder="1" applyAlignment="1">
      <alignment horizontal="right" vertical="center"/>
    </xf>
    <xf numFmtId="0" fontId="17" fillId="16" borderId="15" xfId="0" applyFont="1" applyFill="1" applyBorder="1" applyAlignment="1">
      <alignment horizontal="right" vertical="center"/>
    </xf>
    <xf numFmtId="0" fontId="17" fillId="16" borderId="22" xfId="0" applyFont="1" applyFill="1" applyBorder="1" applyAlignment="1">
      <alignment horizontal="right" vertical="center" wrapText="1"/>
    </xf>
    <xf numFmtId="0" fontId="17" fillId="16" borderId="15" xfId="0" applyFont="1" applyFill="1" applyBorder="1" applyAlignment="1">
      <alignment horizontal="right" vertical="center" wrapText="1"/>
    </xf>
    <xf numFmtId="173" fontId="17" fillId="9" borderId="4" xfId="0" applyNumberFormat="1" applyFont="1" applyFill="1" applyBorder="1" applyAlignment="1">
      <alignment horizontal="center" vertical="center"/>
    </xf>
    <xf numFmtId="173" fontId="17" fillId="9" borderId="5" xfId="0" applyNumberFormat="1" applyFont="1" applyFill="1" applyBorder="1" applyAlignment="1">
      <alignment horizontal="center" vertical="center"/>
    </xf>
    <xf numFmtId="173" fontId="17" fillId="9" borderId="6" xfId="0" applyNumberFormat="1" applyFont="1" applyFill="1" applyBorder="1" applyAlignment="1">
      <alignment horizontal="center" vertical="center"/>
    </xf>
  </cellXfs>
  <cellStyles count="10">
    <cellStyle name="Excel Built-in Heading 4" xfId="8" xr:uid="{00000000-0005-0000-0000-000000000000}"/>
    <cellStyle name="Standard" xfId="0" builtinId="0"/>
    <cellStyle name="Standard 2" xfId="1" xr:uid="{00000000-0005-0000-0000-000002000000}"/>
    <cellStyle name="Standard 2 2" xfId="2" xr:uid="{00000000-0005-0000-0000-000003000000}"/>
    <cellStyle name="Standard 3" xfId="3" xr:uid="{00000000-0005-0000-0000-000004000000}"/>
    <cellStyle name="Standard 4" xfId="4" xr:uid="{00000000-0005-0000-0000-000005000000}"/>
    <cellStyle name="Standard 5" xfId="5" xr:uid="{00000000-0005-0000-0000-000006000000}"/>
    <cellStyle name="Standard 6" xfId="9" xr:uid="{00000000-0005-0000-0000-000007000000}"/>
    <cellStyle name="Überschrift 4 2" xfId="6" xr:uid="{00000000-0005-0000-0000-000008000000}"/>
    <cellStyle name="Überschrift 4 3" xfId="7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FBE5D6"/>
      <rgbColor rgb="FFFED4BB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44546A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9EDB9"/>
      <color rgb="FFC2FEBA"/>
      <color rgb="FF806000"/>
      <color rgb="FFFFFFCC"/>
      <color rgb="FFFFBEBE"/>
      <color rgb="FFFFE6E6"/>
      <color rgb="FFEAB4B4"/>
      <color rgb="FFEA9696"/>
      <color rgb="FFFFD2D2"/>
      <color rgb="FFC8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1"/>
  <sheetViews>
    <sheetView showGridLines="0" zoomScale="90" zoomScaleNormal="90" workbookViewId="0">
      <pane ySplit="4" topLeftCell="A80" activePane="bottomLeft" state="frozen"/>
      <selection activeCell="B72" sqref="B72"/>
      <selection pane="bottomLeft" activeCell="L115" sqref="L115"/>
    </sheetView>
  </sheetViews>
  <sheetFormatPr baseColWidth="10" defaultColWidth="11.85546875" defaultRowHeight="15.75" x14ac:dyDescent="0.25"/>
  <cols>
    <col min="1" max="1" width="1.7109375" style="1" customWidth="1"/>
    <col min="2" max="2" width="11.7109375" style="1" customWidth="1"/>
    <col min="3" max="4" width="22.7109375" style="1" customWidth="1"/>
    <col min="5" max="5" width="1.7109375" style="1" customWidth="1"/>
    <col min="6" max="6" width="12.7109375" style="1" customWidth="1"/>
    <col min="7" max="8" width="8.28515625" style="1" customWidth="1"/>
    <col min="9" max="9" width="9.7109375" style="1" hidden="1" customWidth="1"/>
    <col min="10" max="10" width="10.7109375" style="1" customWidth="1"/>
    <col min="11" max="12" width="8.7109375" style="1" customWidth="1"/>
    <col min="13" max="13" width="9.7109375" style="1" customWidth="1"/>
    <col min="14" max="14" width="10.7109375" style="1" customWidth="1"/>
    <col min="15" max="15" width="1.7109375" style="1" customWidth="1"/>
    <col min="16" max="18" width="9.7109375" style="2" customWidth="1"/>
    <col min="19" max="19" width="10.7109375" style="2" customWidth="1"/>
    <col min="20" max="20" width="1.7109375" style="1" customWidth="1"/>
    <col min="21" max="21" width="39.7109375" style="2" customWidth="1"/>
    <col min="22" max="22" width="1.85546875" style="1" customWidth="1"/>
    <col min="23" max="16384" width="11.85546875" style="1"/>
  </cols>
  <sheetData>
    <row r="1" spans="1:22" ht="9.75" customHeight="1" x14ac:dyDescent="0.25"/>
    <row r="2" spans="1:22" s="5" customFormat="1" ht="15" customHeight="1" x14ac:dyDescent="0.25">
      <c r="A2" s="1"/>
      <c r="B2" s="210" t="s">
        <v>0</v>
      </c>
      <c r="C2" s="210"/>
      <c r="D2" s="210"/>
      <c r="E2" s="3"/>
      <c r="F2" s="211" t="s">
        <v>1</v>
      </c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211"/>
      <c r="R2" s="211"/>
      <c r="S2" s="211"/>
      <c r="T2" s="3"/>
      <c r="U2" s="4" t="s">
        <v>2</v>
      </c>
      <c r="V2" s="1"/>
    </row>
    <row r="3" spans="1:22" ht="31.5" customHeight="1" x14ac:dyDescent="0.25">
      <c r="B3" s="6" t="s">
        <v>3</v>
      </c>
      <c r="C3" s="6" t="s">
        <v>4</v>
      </c>
      <c r="D3" s="6" t="s">
        <v>5</v>
      </c>
      <c r="E3" s="3"/>
      <c r="F3" s="7" t="s">
        <v>6</v>
      </c>
      <c r="G3" s="8" t="s">
        <v>7</v>
      </c>
      <c r="H3" s="8" t="s">
        <v>8</v>
      </c>
      <c r="I3" s="9" t="s">
        <v>216</v>
      </c>
      <c r="J3" s="8" t="s">
        <v>222</v>
      </c>
      <c r="K3" s="214" t="s">
        <v>223</v>
      </c>
      <c r="L3" s="215"/>
      <c r="M3" s="86" t="s">
        <v>330</v>
      </c>
      <c r="N3" s="8" t="s">
        <v>9</v>
      </c>
      <c r="O3" s="3"/>
      <c r="P3" s="10" t="s">
        <v>10</v>
      </c>
      <c r="Q3" s="10" t="s">
        <v>11</v>
      </c>
      <c r="R3" s="10" t="s">
        <v>12</v>
      </c>
      <c r="S3" s="10" t="s">
        <v>13</v>
      </c>
      <c r="T3" s="3"/>
      <c r="U3" s="11" t="s">
        <v>14</v>
      </c>
    </row>
    <row r="4" spans="1:22" s="13" customFormat="1" ht="12" customHeight="1" x14ac:dyDescent="0.2">
      <c r="B4" s="68"/>
      <c r="C4" s="68"/>
      <c r="D4" s="68"/>
      <c r="E4" s="12"/>
      <c r="F4" s="68"/>
      <c r="G4" s="68"/>
      <c r="H4" s="68" t="s">
        <v>16</v>
      </c>
      <c r="I4" s="69" t="s">
        <v>17</v>
      </c>
      <c r="J4" s="68" t="s">
        <v>17</v>
      </c>
      <c r="K4" s="85" t="s">
        <v>328</v>
      </c>
      <c r="L4" s="85" t="s">
        <v>329</v>
      </c>
      <c r="M4" s="85" t="s">
        <v>331</v>
      </c>
      <c r="N4" s="68" t="s">
        <v>18</v>
      </c>
      <c r="O4" s="12"/>
      <c r="P4" s="70" t="s">
        <v>19</v>
      </c>
      <c r="Q4" s="70" t="s">
        <v>20</v>
      </c>
      <c r="R4" s="71" t="s">
        <v>21</v>
      </c>
      <c r="S4" s="70" t="s">
        <v>20</v>
      </c>
      <c r="T4" s="12"/>
      <c r="U4" s="70"/>
    </row>
    <row r="5" spans="1:22" s="72" customFormat="1" x14ac:dyDescent="0.25">
      <c r="B5" s="77" t="s">
        <v>224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4"/>
    </row>
    <row r="6" spans="1:22" x14ac:dyDescent="0.25">
      <c r="B6" s="38" t="s">
        <v>22</v>
      </c>
      <c r="C6" s="38" t="s">
        <v>23</v>
      </c>
      <c r="D6" s="38"/>
      <c r="E6" s="39" t="s">
        <v>24</v>
      </c>
      <c r="F6" s="40">
        <v>44278</v>
      </c>
      <c r="G6" s="41">
        <v>7.4</v>
      </c>
      <c r="H6" s="42">
        <v>9.6</v>
      </c>
      <c r="I6" s="43">
        <v>11.38</v>
      </c>
      <c r="J6" s="42">
        <v>11.4</v>
      </c>
      <c r="K6" s="42">
        <v>100.17574692442881</v>
      </c>
      <c r="L6" s="44"/>
      <c r="M6" s="44"/>
      <c r="N6" s="116">
        <v>481</v>
      </c>
      <c r="O6" s="45"/>
      <c r="P6" s="14">
        <v>0.123</v>
      </c>
      <c r="Q6" s="15">
        <v>8.8000000000000007</v>
      </c>
      <c r="R6" s="16">
        <v>6.1000000000000004E-3</v>
      </c>
      <c r="S6" s="17">
        <v>8</v>
      </c>
      <c r="T6" s="39" t="s">
        <v>24</v>
      </c>
      <c r="U6" s="17"/>
      <c r="V6" s="54" t="s">
        <v>24</v>
      </c>
    </row>
    <row r="7" spans="1:22" x14ac:dyDescent="0.25">
      <c r="B7" s="46" t="s">
        <v>25</v>
      </c>
      <c r="C7" s="46" t="s">
        <v>26</v>
      </c>
      <c r="D7" s="46" t="s">
        <v>27</v>
      </c>
      <c r="E7" s="39" t="s">
        <v>24</v>
      </c>
      <c r="F7" s="47">
        <v>44309</v>
      </c>
      <c r="G7" s="48">
        <v>8.27</v>
      </c>
      <c r="H7" s="49">
        <v>10.3</v>
      </c>
      <c r="I7" s="50">
        <v>11.18</v>
      </c>
      <c r="J7" s="49">
        <v>13.4</v>
      </c>
      <c r="K7" s="49">
        <v>119.85688729874778</v>
      </c>
      <c r="L7" s="51"/>
      <c r="M7" s="51"/>
      <c r="N7" s="117">
        <v>902</v>
      </c>
      <c r="O7" s="45"/>
      <c r="P7" s="18">
        <v>0.18</v>
      </c>
      <c r="Q7" s="19">
        <v>35.049999999999997</v>
      </c>
      <c r="R7" s="20">
        <v>0.22600000000000001</v>
      </c>
      <c r="S7" s="21">
        <v>25</v>
      </c>
      <c r="T7" s="39" t="s">
        <v>24</v>
      </c>
      <c r="U7" s="21"/>
      <c r="V7" s="54" t="s">
        <v>24</v>
      </c>
    </row>
    <row r="8" spans="1:22" x14ac:dyDescent="0.25">
      <c r="B8" s="38" t="s">
        <v>28</v>
      </c>
      <c r="C8" s="38" t="s">
        <v>26</v>
      </c>
      <c r="D8" s="38" t="s">
        <v>29</v>
      </c>
      <c r="E8" s="39" t="s">
        <v>24</v>
      </c>
      <c r="F8" s="40">
        <v>44281</v>
      </c>
      <c r="G8" s="41">
        <v>7.53</v>
      </c>
      <c r="H8" s="42">
        <v>8.6999999999999993</v>
      </c>
      <c r="I8" s="43">
        <v>11.62</v>
      </c>
      <c r="J8" s="42">
        <v>9.5</v>
      </c>
      <c r="K8" s="42">
        <v>81.755593803786581</v>
      </c>
      <c r="L8" s="44"/>
      <c r="M8" s="44"/>
      <c r="N8" s="116">
        <v>593</v>
      </c>
      <c r="O8" s="45"/>
      <c r="P8" s="14">
        <v>0.2</v>
      </c>
      <c r="Q8" s="15">
        <v>18.45</v>
      </c>
      <c r="R8" s="16">
        <v>6.6500000000000004E-2</v>
      </c>
      <c r="S8" s="17">
        <v>16</v>
      </c>
      <c r="T8" s="39" t="s">
        <v>24</v>
      </c>
      <c r="U8" s="17"/>
      <c r="V8" s="54" t="s">
        <v>24</v>
      </c>
    </row>
    <row r="9" spans="1:22" x14ac:dyDescent="0.25">
      <c r="B9" s="46" t="s">
        <v>30</v>
      </c>
      <c r="C9" s="46" t="s">
        <v>26</v>
      </c>
      <c r="D9" s="46" t="s">
        <v>31</v>
      </c>
      <c r="E9" s="39" t="s">
        <v>24</v>
      </c>
      <c r="F9" s="47">
        <v>44279</v>
      </c>
      <c r="G9" s="48">
        <v>7.8</v>
      </c>
      <c r="H9" s="49">
        <v>7.6</v>
      </c>
      <c r="I9" s="50">
        <v>11.96</v>
      </c>
      <c r="J9" s="49">
        <v>11.1</v>
      </c>
      <c r="K9" s="49">
        <v>92.809364548494983</v>
      </c>
      <c r="L9" s="51"/>
      <c r="M9" s="51"/>
      <c r="N9" s="117">
        <v>754</v>
      </c>
      <c r="O9" s="45"/>
      <c r="P9" s="18">
        <v>0.312</v>
      </c>
      <c r="Q9" s="19">
        <v>33.35</v>
      </c>
      <c r="R9" s="20">
        <v>0.26700000000000002</v>
      </c>
      <c r="S9" s="21">
        <v>30</v>
      </c>
      <c r="T9" s="39" t="s">
        <v>24</v>
      </c>
      <c r="U9" s="21"/>
      <c r="V9" s="54" t="s">
        <v>24</v>
      </c>
    </row>
    <row r="10" spans="1:22" x14ac:dyDescent="0.25">
      <c r="B10" s="38" t="s">
        <v>32</v>
      </c>
      <c r="C10" s="38" t="s">
        <v>26</v>
      </c>
      <c r="D10" s="38" t="s">
        <v>33</v>
      </c>
      <c r="E10" s="39" t="s">
        <v>24</v>
      </c>
      <c r="F10" s="40">
        <v>44279</v>
      </c>
      <c r="G10" s="41">
        <v>7.77</v>
      </c>
      <c r="H10" s="42">
        <v>11.4</v>
      </c>
      <c r="I10" s="43">
        <v>10.92</v>
      </c>
      <c r="J10" s="42">
        <v>9.9</v>
      </c>
      <c r="K10" s="42">
        <v>90.659340659340657</v>
      </c>
      <c r="L10" s="44"/>
      <c r="M10" s="44"/>
      <c r="N10" s="116">
        <v>700</v>
      </c>
      <c r="O10" s="45"/>
      <c r="P10" s="14">
        <v>0.214</v>
      </c>
      <c r="Q10" s="15">
        <v>32.049999999999997</v>
      </c>
      <c r="R10" s="16">
        <v>0.1512</v>
      </c>
      <c r="S10" s="17">
        <v>32</v>
      </c>
      <c r="T10" s="39" t="s">
        <v>24</v>
      </c>
      <c r="U10" s="17"/>
      <c r="V10" s="54" t="s">
        <v>24</v>
      </c>
    </row>
    <row r="11" spans="1:22" x14ac:dyDescent="0.25">
      <c r="B11" s="46" t="s">
        <v>34</v>
      </c>
      <c r="C11" s="46" t="s">
        <v>26</v>
      </c>
      <c r="D11" s="46" t="s">
        <v>35</v>
      </c>
      <c r="E11" s="39" t="s">
        <v>24</v>
      </c>
      <c r="F11" s="47">
        <v>44279</v>
      </c>
      <c r="G11" s="48">
        <v>8.09</v>
      </c>
      <c r="H11" s="49">
        <v>9.3000000000000007</v>
      </c>
      <c r="I11" s="50">
        <v>11.44</v>
      </c>
      <c r="J11" s="49">
        <v>12</v>
      </c>
      <c r="K11" s="49">
        <v>104.89510489510489</v>
      </c>
      <c r="L11" s="51"/>
      <c r="M11" s="51"/>
      <c r="N11" s="117">
        <v>926</v>
      </c>
      <c r="O11" s="45"/>
      <c r="P11" s="18">
        <v>0.44500000000000001</v>
      </c>
      <c r="Q11" s="19">
        <v>35</v>
      </c>
      <c r="R11" s="20">
        <v>0.19320000000000001</v>
      </c>
      <c r="S11" s="21">
        <v>45</v>
      </c>
      <c r="T11" s="39" t="s">
        <v>24</v>
      </c>
      <c r="U11" s="21"/>
      <c r="V11" s="54" t="s">
        <v>24</v>
      </c>
    </row>
    <row r="12" spans="1:22" x14ac:dyDescent="0.25">
      <c r="B12" s="38" t="s">
        <v>36</v>
      </c>
      <c r="C12" s="38" t="s">
        <v>26</v>
      </c>
      <c r="D12" s="38" t="s">
        <v>37</v>
      </c>
      <c r="E12" s="39" t="s">
        <v>24</v>
      </c>
      <c r="F12" s="40">
        <v>44279</v>
      </c>
      <c r="G12" s="41">
        <v>7.58</v>
      </c>
      <c r="H12" s="42">
        <v>10</v>
      </c>
      <c r="I12" s="43">
        <v>11.3</v>
      </c>
      <c r="J12" s="42">
        <v>10.199999999999999</v>
      </c>
      <c r="K12" s="42">
        <v>90.265486725663706</v>
      </c>
      <c r="L12" s="44"/>
      <c r="M12" s="44"/>
      <c r="N12" s="116">
        <v>706</v>
      </c>
      <c r="O12" s="45"/>
      <c r="P12" s="14">
        <v>0.23599999999999999</v>
      </c>
      <c r="Q12" s="15">
        <v>28.95</v>
      </c>
      <c r="R12" s="16">
        <v>0.15290000000000001</v>
      </c>
      <c r="S12" s="17">
        <v>17</v>
      </c>
      <c r="T12" s="39" t="s">
        <v>24</v>
      </c>
      <c r="U12" s="17"/>
      <c r="V12" s="54" t="s">
        <v>24</v>
      </c>
    </row>
    <row r="13" spans="1:22" x14ac:dyDescent="0.25">
      <c r="B13" s="46" t="s">
        <v>38</v>
      </c>
      <c r="C13" s="46" t="s">
        <v>39</v>
      </c>
      <c r="D13" s="46" t="s">
        <v>40</v>
      </c>
      <c r="E13" s="39" t="s">
        <v>24</v>
      </c>
      <c r="F13" s="47">
        <v>44278</v>
      </c>
      <c r="G13" s="48">
        <v>7.54</v>
      </c>
      <c r="H13" s="49">
        <v>11.1</v>
      </c>
      <c r="I13" s="50">
        <v>10.98</v>
      </c>
      <c r="J13" s="49">
        <v>9.1</v>
      </c>
      <c r="K13" s="49">
        <v>82.877959927140239</v>
      </c>
      <c r="L13" s="51"/>
      <c r="M13" s="51"/>
      <c r="N13" s="117">
        <v>873</v>
      </c>
      <c r="O13" s="45"/>
      <c r="P13" s="18">
        <v>0.184</v>
      </c>
      <c r="Q13" s="19">
        <v>11.25</v>
      </c>
      <c r="R13" s="20">
        <v>1.4E-2</v>
      </c>
      <c r="S13" s="21">
        <v>9</v>
      </c>
      <c r="T13" s="39" t="s">
        <v>24</v>
      </c>
      <c r="U13" s="21"/>
      <c r="V13" s="54" t="s">
        <v>24</v>
      </c>
    </row>
    <row r="14" spans="1:22" x14ac:dyDescent="0.25">
      <c r="B14" s="38" t="s">
        <v>41</v>
      </c>
      <c r="C14" s="38" t="s">
        <v>39</v>
      </c>
      <c r="D14" s="38" t="s">
        <v>42</v>
      </c>
      <c r="E14" s="39" t="s">
        <v>24</v>
      </c>
      <c r="F14" s="40">
        <v>44278</v>
      </c>
      <c r="G14" s="41">
        <v>7.79</v>
      </c>
      <c r="H14" s="42">
        <v>11.4</v>
      </c>
      <c r="I14" s="43">
        <v>10.92</v>
      </c>
      <c r="J14" s="42">
        <v>11</v>
      </c>
      <c r="K14" s="42">
        <v>100.73260073260073</v>
      </c>
      <c r="L14" s="44"/>
      <c r="M14" s="44"/>
      <c r="N14" s="116">
        <v>790</v>
      </c>
      <c r="O14" s="45"/>
      <c r="P14" s="14">
        <v>0.219</v>
      </c>
      <c r="Q14" s="15">
        <v>16.600000000000001</v>
      </c>
      <c r="R14" s="16">
        <v>5.3900000000000003E-2</v>
      </c>
      <c r="S14" s="17">
        <v>15</v>
      </c>
      <c r="T14" s="39" t="s">
        <v>24</v>
      </c>
      <c r="U14" s="17"/>
      <c r="V14" s="54" t="s">
        <v>24</v>
      </c>
    </row>
    <row r="15" spans="1:22" x14ac:dyDescent="0.25">
      <c r="B15" s="46" t="s">
        <v>43</v>
      </c>
      <c r="C15" s="46" t="s">
        <v>44</v>
      </c>
      <c r="D15" s="46" t="s">
        <v>40</v>
      </c>
      <c r="E15" s="39" t="s">
        <v>24</v>
      </c>
      <c r="F15" s="47">
        <v>44281</v>
      </c>
      <c r="G15" s="48">
        <v>7.93</v>
      </c>
      <c r="H15" s="49">
        <v>12.7</v>
      </c>
      <c r="I15" s="50">
        <v>10.56</v>
      </c>
      <c r="J15" s="49">
        <v>9.1</v>
      </c>
      <c r="K15" s="49">
        <v>86.174242424242422</v>
      </c>
      <c r="L15" s="51"/>
      <c r="M15" s="51"/>
      <c r="N15" s="117">
        <v>824</v>
      </c>
      <c r="O15" s="45"/>
      <c r="P15" s="18">
        <v>0.13400000000000001</v>
      </c>
      <c r="Q15" s="19">
        <v>9.9</v>
      </c>
      <c r="R15" s="20">
        <v>1.9599999999999999E-2</v>
      </c>
      <c r="S15" s="21">
        <v>8</v>
      </c>
      <c r="T15" s="39" t="s">
        <v>24</v>
      </c>
      <c r="U15" s="21"/>
      <c r="V15" s="54" t="s">
        <v>24</v>
      </c>
    </row>
    <row r="16" spans="1:22" x14ac:dyDescent="0.25">
      <c r="B16" s="38" t="s">
        <v>45</v>
      </c>
      <c r="C16" s="38" t="s">
        <v>44</v>
      </c>
      <c r="D16" s="38" t="s">
        <v>46</v>
      </c>
      <c r="E16" s="39" t="s">
        <v>24</v>
      </c>
      <c r="F16" s="40">
        <v>44281</v>
      </c>
      <c r="G16" s="41">
        <v>7.37</v>
      </c>
      <c r="H16" s="42">
        <v>10.1</v>
      </c>
      <c r="I16" s="43">
        <v>11.26</v>
      </c>
      <c r="J16" s="42">
        <v>11.3</v>
      </c>
      <c r="K16" s="42">
        <v>100.35523978685615</v>
      </c>
      <c r="L16" s="44"/>
      <c r="M16" s="44"/>
      <c r="N16" s="116">
        <v>1030</v>
      </c>
      <c r="O16" s="45"/>
      <c r="P16" s="14">
        <v>4.5999999999999999E-2</v>
      </c>
      <c r="Q16" s="15">
        <v>17.3</v>
      </c>
      <c r="R16" s="16">
        <v>3.2300000000000002E-2</v>
      </c>
      <c r="S16" s="17">
        <v>20</v>
      </c>
      <c r="T16" s="39" t="s">
        <v>24</v>
      </c>
      <c r="U16" s="17"/>
      <c r="V16" s="54" t="s">
        <v>24</v>
      </c>
    </row>
    <row r="17" spans="2:22" x14ac:dyDescent="0.25">
      <c r="B17" s="46" t="s">
        <v>47</v>
      </c>
      <c r="C17" s="46" t="s">
        <v>48</v>
      </c>
      <c r="D17" s="46" t="s">
        <v>40</v>
      </c>
      <c r="E17" s="39" t="s">
        <v>24</v>
      </c>
      <c r="F17" s="47">
        <v>44277</v>
      </c>
      <c r="G17" s="48">
        <v>8.0500000000000007</v>
      </c>
      <c r="H17" s="49">
        <v>9.9</v>
      </c>
      <c r="I17" s="50">
        <v>11.32</v>
      </c>
      <c r="J17" s="49">
        <v>9.1999999999999993</v>
      </c>
      <c r="K17" s="49">
        <v>81.272084805653705</v>
      </c>
      <c r="L17" s="51"/>
      <c r="M17" s="51"/>
      <c r="N17" s="117">
        <v>1092</v>
      </c>
      <c r="O17" s="45"/>
      <c r="P17" s="18">
        <v>0.14199999999999999</v>
      </c>
      <c r="Q17" s="19">
        <v>9.8000000000000007</v>
      </c>
      <c r="R17" s="20">
        <v>2.0299999999999999E-2</v>
      </c>
      <c r="S17" s="21">
        <v>11</v>
      </c>
      <c r="T17" s="39" t="s">
        <v>24</v>
      </c>
      <c r="U17" s="21"/>
      <c r="V17" s="54" t="s">
        <v>24</v>
      </c>
    </row>
    <row r="18" spans="2:22" x14ac:dyDescent="0.25">
      <c r="B18" s="38" t="s">
        <v>49</v>
      </c>
      <c r="C18" s="38" t="s">
        <v>48</v>
      </c>
      <c r="D18" s="38" t="s">
        <v>46</v>
      </c>
      <c r="E18" s="39" t="s">
        <v>24</v>
      </c>
      <c r="F18" s="40">
        <v>44277</v>
      </c>
      <c r="G18" s="41">
        <v>7.65</v>
      </c>
      <c r="H18" s="42">
        <v>8.1999999999999993</v>
      </c>
      <c r="I18" s="43">
        <v>11.76</v>
      </c>
      <c r="J18" s="42">
        <v>10</v>
      </c>
      <c r="K18" s="42">
        <v>85.034013605442183</v>
      </c>
      <c r="L18" s="44"/>
      <c r="M18" s="44"/>
      <c r="N18" s="116">
        <v>979</v>
      </c>
      <c r="O18" s="45"/>
      <c r="P18" s="14">
        <v>7.0999999999999994E-2</v>
      </c>
      <c r="Q18" s="15">
        <v>11.95</v>
      </c>
      <c r="R18" s="16">
        <v>2.7000000000000001E-3</v>
      </c>
      <c r="S18" s="17">
        <v>12</v>
      </c>
      <c r="T18" s="39" t="s">
        <v>24</v>
      </c>
      <c r="U18" s="17"/>
      <c r="V18" s="54" t="s">
        <v>24</v>
      </c>
    </row>
    <row r="19" spans="2:22" x14ac:dyDescent="0.25">
      <c r="B19" s="46" t="s">
        <v>50</v>
      </c>
      <c r="C19" s="46" t="s">
        <v>51</v>
      </c>
      <c r="D19" s="46" t="s">
        <v>42</v>
      </c>
      <c r="E19" s="39" t="s">
        <v>24</v>
      </c>
      <c r="F19" s="212" t="s">
        <v>52</v>
      </c>
      <c r="G19" s="212"/>
      <c r="H19" s="212"/>
      <c r="I19" s="212"/>
      <c r="J19" s="212"/>
      <c r="K19" s="212"/>
      <c r="L19" s="212"/>
      <c r="M19" s="212"/>
      <c r="N19" s="212"/>
      <c r="O19" s="52"/>
      <c r="P19" s="213" t="s">
        <v>52</v>
      </c>
      <c r="Q19" s="213"/>
      <c r="R19" s="213"/>
      <c r="S19" s="213"/>
      <c r="T19" s="39" t="s">
        <v>24</v>
      </c>
      <c r="U19" s="22"/>
      <c r="V19" s="54" t="s">
        <v>24</v>
      </c>
    </row>
    <row r="20" spans="2:22" x14ac:dyDescent="0.25">
      <c r="B20" s="38" t="s">
        <v>53</v>
      </c>
      <c r="C20" s="38" t="s">
        <v>54</v>
      </c>
      <c r="D20" s="38" t="s">
        <v>42</v>
      </c>
      <c r="E20" s="39" t="s">
        <v>24</v>
      </c>
      <c r="F20" s="40">
        <v>44309</v>
      </c>
      <c r="G20" s="41">
        <v>7.61</v>
      </c>
      <c r="H20" s="42">
        <v>7.5</v>
      </c>
      <c r="I20" s="43">
        <v>12</v>
      </c>
      <c r="J20" s="42">
        <v>9.6999999999999993</v>
      </c>
      <c r="K20" s="42">
        <v>80.833333333333329</v>
      </c>
      <c r="L20" s="44"/>
      <c r="M20" s="44"/>
      <c r="N20" s="116">
        <v>1365</v>
      </c>
      <c r="O20" s="45"/>
      <c r="P20" s="14">
        <v>3.2000000000000001E-2</v>
      </c>
      <c r="Q20" s="15">
        <v>21.15</v>
      </c>
      <c r="R20" s="16">
        <v>2.2200000000000001E-2</v>
      </c>
      <c r="S20" s="17">
        <v>22</v>
      </c>
      <c r="T20" s="39" t="s">
        <v>24</v>
      </c>
      <c r="U20" s="17"/>
      <c r="V20" s="54" t="s">
        <v>24</v>
      </c>
    </row>
    <row r="21" spans="2:22" x14ac:dyDescent="0.25">
      <c r="B21" s="46" t="s">
        <v>55</v>
      </c>
      <c r="C21" s="46" t="s">
        <v>56</v>
      </c>
      <c r="D21" s="46" t="s">
        <v>42</v>
      </c>
      <c r="E21" s="39" t="s">
        <v>24</v>
      </c>
      <c r="F21" s="47">
        <v>44281</v>
      </c>
      <c r="G21" s="48">
        <v>7.65</v>
      </c>
      <c r="H21" s="49">
        <v>8.8000000000000007</v>
      </c>
      <c r="I21" s="50">
        <v>11.58</v>
      </c>
      <c r="J21" s="49">
        <v>9.6999999999999993</v>
      </c>
      <c r="K21" s="49">
        <v>83.765112262521583</v>
      </c>
      <c r="L21" s="51"/>
      <c r="M21" s="51"/>
      <c r="N21" s="117">
        <v>880</v>
      </c>
      <c r="O21" s="45"/>
      <c r="P21" s="18">
        <v>4.5999999999999999E-2</v>
      </c>
      <c r="Q21" s="19">
        <v>18.149999999999999</v>
      </c>
      <c r="R21" s="20">
        <v>2.0199999999999999E-2</v>
      </c>
      <c r="S21" s="21">
        <v>19</v>
      </c>
      <c r="T21" s="39" t="s">
        <v>24</v>
      </c>
      <c r="U21" s="21"/>
      <c r="V21" s="54" t="s">
        <v>24</v>
      </c>
    </row>
    <row r="22" spans="2:22" x14ac:dyDescent="0.25">
      <c r="B22" s="38" t="s">
        <v>57</v>
      </c>
      <c r="C22" s="38" t="s">
        <v>58</v>
      </c>
      <c r="D22" s="38" t="s">
        <v>59</v>
      </c>
      <c r="E22" s="39" t="s">
        <v>24</v>
      </c>
      <c r="F22" s="40">
        <v>44278</v>
      </c>
      <c r="G22" s="41">
        <v>7.65</v>
      </c>
      <c r="H22" s="42">
        <v>7.5</v>
      </c>
      <c r="I22" s="43">
        <v>12</v>
      </c>
      <c r="J22" s="42">
        <v>10.3</v>
      </c>
      <c r="K22" s="42">
        <v>85.833333333333343</v>
      </c>
      <c r="L22" s="44"/>
      <c r="M22" s="44"/>
      <c r="N22" s="116">
        <v>584</v>
      </c>
      <c r="O22" s="45"/>
      <c r="P22" s="14">
        <v>0.109</v>
      </c>
      <c r="Q22" s="15">
        <v>13.45</v>
      </c>
      <c r="R22" s="16">
        <v>8.3999999999999995E-3</v>
      </c>
      <c r="S22" s="17">
        <v>19</v>
      </c>
      <c r="T22" s="39" t="s">
        <v>24</v>
      </c>
      <c r="U22" s="17"/>
      <c r="V22" s="54" t="s">
        <v>24</v>
      </c>
    </row>
    <row r="23" spans="2:22" x14ac:dyDescent="0.25">
      <c r="B23" s="46" t="s">
        <v>60</v>
      </c>
      <c r="C23" s="46" t="s">
        <v>61</v>
      </c>
      <c r="D23" s="46" t="s">
        <v>42</v>
      </c>
      <c r="E23" s="39" t="s">
        <v>24</v>
      </c>
      <c r="F23" s="47">
        <v>44277</v>
      </c>
      <c r="G23" s="48">
        <v>7.37</v>
      </c>
      <c r="H23" s="49">
        <v>9</v>
      </c>
      <c r="I23" s="50">
        <v>11.5</v>
      </c>
      <c r="J23" s="49">
        <v>11.1</v>
      </c>
      <c r="K23" s="49">
        <v>96.521739130434781</v>
      </c>
      <c r="L23" s="51"/>
      <c r="M23" s="51"/>
      <c r="N23" s="117">
        <v>974</v>
      </c>
      <c r="O23" s="45"/>
      <c r="P23" s="18">
        <v>8.3000000000000004E-2</v>
      </c>
      <c r="Q23" s="19">
        <v>20.6</v>
      </c>
      <c r="R23" s="20">
        <v>4.7300000000000002E-2</v>
      </c>
      <c r="S23" s="21">
        <v>15</v>
      </c>
      <c r="T23" s="39" t="s">
        <v>24</v>
      </c>
      <c r="U23" s="21"/>
      <c r="V23" s="54" t="s">
        <v>24</v>
      </c>
    </row>
    <row r="24" spans="2:22" x14ac:dyDescent="0.25">
      <c r="B24" s="38" t="s">
        <v>62</v>
      </c>
      <c r="C24" s="38" t="s">
        <v>61</v>
      </c>
      <c r="D24" s="38" t="s">
        <v>63</v>
      </c>
      <c r="E24" s="39" t="s">
        <v>24</v>
      </c>
      <c r="F24" s="40">
        <v>44277</v>
      </c>
      <c r="G24" s="41">
        <v>7.37</v>
      </c>
      <c r="H24" s="42">
        <v>9</v>
      </c>
      <c r="I24" s="43">
        <v>11.5</v>
      </c>
      <c r="J24" s="42">
        <v>9.1</v>
      </c>
      <c r="K24" s="42">
        <v>79.130434782608688</v>
      </c>
      <c r="L24" s="44"/>
      <c r="M24" s="44"/>
      <c r="N24" s="116">
        <v>935</v>
      </c>
      <c r="O24" s="45"/>
      <c r="P24" s="14">
        <v>0.13</v>
      </c>
      <c r="Q24" s="15">
        <v>15.4</v>
      </c>
      <c r="R24" s="16">
        <v>3.7600000000000001E-2</v>
      </c>
      <c r="S24" s="17">
        <v>11</v>
      </c>
      <c r="T24" s="39" t="s">
        <v>24</v>
      </c>
      <c r="U24" s="17"/>
      <c r="V24" s="54" t="s">
        <v>24</v>
      </c>
    </row>
    <row r="25" spans="2:22" x14ac:dyDescent="0.25">
      <c r="B25" s="46" t="s">
        <v>64</v>
      </c>
      <c r="C25" s="46" t="s">
        <v>65</v>
      </c>
      <c r="D25" s="46" t="s">
        <v>40</v>
      </c>
      <c r="E25" s="39" t="s">
        <v>24</v>
      </c>
      <c r="F25" s="47">
        <v>44281</v>
      </c>
      <c r="G25" s="48">
        <v>7.95</v>
      </c>
      <c r="H25" s="49">
        <v>12.9</v>
      </c>
      <c r="I25" s="50">
        <v>10.52</v>
      </c>
      <c r="J25" s="49">
        <v>8.6</v>
      </c>
      <c r="K25" s="49">
        <v>81.749049429657788</v>
      </c>
      <c r="L25" s="51"/>
      <c r="M25" s="51"/>
      <c r="N25" s="117">
        <v>1335</v>
      </c>
      <c r="O25" s="45"/>
      <c r="P25" s="18">
        <v>3.5999999999999997E-2</v>
      </c>
      <c r="Q25" s="19">
        <v>3.3</v>
      </c>
      <c r="R25" s="20">
        <v>6.9999999999999999E-4</v>
      </c>
      <c r="S25" s="21">
        <v>4</v>
      </c>
      <c r="T25" s="39" t="s">
        <v>24</v>
      </c>
      <c r="U25" s="21"/>
      <c r="V25" s="54" t="s">
        <v>24</v>
      </c>
    </row>
    <row r="26" spans="2:22" s="72" customFormat="1" x14ac:dyDescent="0.25">
      <c r="B26" s="77" t="s">
        <v>225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4"/>
    </row>
    <row r="27" spans="2:22" x14ac:dyDescent="0.25">
      <c r="B27" s="38" t="s">
        <v>22</v>
      </c>
      <c r="C27" s="38" t="s">
        <v>23</v>
      </c>
      <c r="D27" s="38"/>
      <c r="E27" s="39" t="s">
        <v>24</v>
      </c>
      <c r="F27" s="40">
        <v>44642</v>
      </c>
      <c r="G27" s="41">
        <v>8.24</v>
      </c>
      <c r="H27" s="42">
        <v>10.5</v>
      </c>
      <c r="I27" s="43">
        <v>11.13</v>
      </c>
      <c r="J27" s="42">
        <v>9.6</v>
      </c>
      <c r="K27" s="42">
        <v>86.253369272237194</v>
      </c>
      <c r="L27" s="44"/>
      <c r="M27" s="44"/>
      <c r="N27" s="116">
        <v>568</v>
      </c>
      <c r="O27" s="45"/>
      <c r="P27" s="14">
        <v>5.1799999999999999E-2</v>
      </c>
      <c r="Q27" s="15">
        <v>11.85</v>
      </c>
      <c r="R27" s="16">
        <v>3.1459999999999999E-3</v>
      </c>
      <c r="S27" s="17">
        <v>10</v>
      </c>
      <c r="T27" s="39" t="s">
        <v>24</v>
      </c>
      <c r="U27" s="17"/>
      <c r="V27" s="54" t="s">
        <v>24</v>
      </c>
    </row>
    <row r="28" spans="2:22" x14ac:dyDescent="0.25">
      <c r="B28" s="46" t="s">
        <v>25</v>
      </c>
      <c r="C28" s="46" t="s">
        <v>26</v>
      </c>
      <c r="D28" s="46" t="s">
        <v>27</v>
      </c>
      <c r="E28" s="39" t="s">
        <v>24</v>
      </c>
      <c r="F28" s="47">
        <v>44643</v>
      </c>
      <c r="G28" s="48">
        <v>8.23</v>
      </c>
      <c r="H28" s="49">
        <v>15.3</v>
      </c>
      <c r="I28" s="50">
        <v>9.99</v>
      </c>
      <c r="J28" s="49">
        <v>9.6</v>
      </c>
      <c r="K28" s="49">
        <v>96.09609609609609</v>
      </c>
      <c r="L28" s="75"/>
      <c r="M28" s="75"/>
      <c r="N28" s="117">
        <v>875</v>
      </c>
      <c r="O28" s="45"/>
      <c r="P28" s="18">
        <v>0.18360000000000001</v>
      </c>
      <c r="Q28" s="19">
        <v>37.85</v>
      </c>
      <c r="R28" s="20">
        <v>0.21794474999999999</v>
      </c>
      <c r="S28" s="21">
        <v>50</v>
      </c>
      <c r="T28" s="39" t="s">
        <v>24</v>
      </c>
      <c r="U28" s="17"/>
      <c r="V28" s="54" t="s">
        <v>24</v>
      </c>
    </row>
    <row r="29" spans="2:22" x14ac:dyDescent="0.25">
      <c r="B29" s="38" t="s">
        <v>28</v>
      </c>
      <c r="C29" s="38" t="s">
        <v>26</v>
      </c>
      <c r="D29" s="38" t="s">
        <v>29</v>
      </c>
      <c r="E29" s="39" t="s">
        <v>24</v>
      </c>
      <c r="F29" s="40">
        <v>44642</v>
      </c>
      <c r="G29" s="53">
        <v>8.1999999999999993</v>
      </c>
      <c r="H29" s="42">
        <v>10.5</v>
      </c>
      <c r="I29" s="43">
        <v>11.13</v>
      </c>
      <c r="J29" s="42">
        <v>9.6</v>
      </c>
      <c r="K29" s="42">
        <v>86.253369272237194</v>
      </c>
      <c r="L29" s="44"/>
      <c r="M29" s="44"/>
      <c r="N29" s="116">
        <v>568</v>
      </c>
      <c r="O29" s="45"/>
      <c r="P29" s="14">
        <v>0.13025</v>
      </c>
      <c r="Q29" s="15">
        <v>16.2</v>
      </c>
      <c r="R29" s="16">
        <v>4.7500000000000001E-2</v>
      </c>
      <c r="S29" s="17">
        <v>26</v>
      </c>
      <c r="T29" s="39" t="s">
        <v>24</v>
      </c>
      <c r="U29" s="17"/>
      <c r="V29" s="54" t="s">
        <v>24</v>
      </c>
    </row>
    <row r="30" spans="2:22" x14ac:dyDescent="0.25">
      <c r="B30" s="46" t="s">
        <v>30</v>
      </c>
      <c r="C30" s="46" t="s">
        <v>26</v>
      </c>
      <c r="D30" s="46" t="s">
        <v>31</v>
      </c>
      <c r="E30" s="39" t="s">
        <v>24</v>
      </c>
      <c r="F30" s="47">
        <v>44644</v>
      </c>
      <c r="G30" s="48">
        <v>8.2100000000000009</v>
      </c>
      <c r="H30" s="49">
        <v>11.6</v>
      </c>
      <c r="I30" s="50">
        <v>10.85</v>
      </c>
      <c r="J30" s="49">
        <v>10.6</v>
      </c>
      <c r="K30" s="49">
        <v>97.695852534562206</v>
      </c>
      <c r="L30" s="75"/>
      <c r="M30" s="75"/>
      <c r="N30" s="117">
        <v>795</v>
      </c>
      <c r="O30" s="45"/>
      <c r="P30" s="18">
        <v>0.1757</v>
      </c>
      <c r="Q30" s="19">
        <v>33.25</v>
      </c>
      <c r="R30" s="20">
        <v>0.13900000000000001</v>
      </c>
      <c r="S30" s="21">
        <v>38</v>
      </c>
      <c r="T30" s="39" t="s">
        <v>24</v>
      </c>
      <c r="U30" s="17"/>
      <c r="V30" s="54" t="s">
        <v>24</v>
      </c>
    </row>
    <row r="31" spans="2:22" x14ac:dyDescent="0.25">
      <c r="B31" s="38" t="s">
        <v>32</v>
      </c>
      <c r="C31" s="38" t="s">
        <v>26</v>
      </c>
      <c r="D31" s="38" t="s">
        <v>33</v>
      </c>
      <c r="E31" s="39" t="s">
        <v>24</v>
      </c>
      <c r="F31" s="40">
        <v>44643</v>
      </c>
      <c r="G31" s="41">
        <v>7.71</v>
      </c>
      <c r="H31" s="42">
        <v>8.8000000000000007</v>
      </c>
      <c r="I31" s="43">
        <v>11.59</v>
      </c>
      <c r="J31" s="42">
        <v>9.9</v>
      </c>
      <c r="K31" s="42">
        <v>85.418464193270054</v>
      </c>
      <c r="L31" s="44"/>
      <c r="M31" s="44"/>
      <c r="N31" s="116">
        <v>690</v>
      </c>
      <c r="O31" s="45"/>
      <c r="P31" s="14">
        <v>0.14645</v>
      </c>
      <c r="Q31" s="15">
        <v>32.450000000000003</v>
      </c>
      <c r="R31" s="16">
        <v>8.4853499999999998E-2</v>
      </c>
      <c r="S31" s="17">
        <v>39</v>
      </c>
      <c r="T31" s="39" t="s">
        <v>24</v>
      </c>
      <c r="U31" s="17"/>
      <c r="V31" s="54" t="s">
        <v>24</v>
      </c>
    </row>
    <row r="32" spans="2:22" x14ac:dyDescent="0.25">
      <c r="B32" s="46" t="s">
        <v>34</v>
      </c>
      <c r="C32" s="46" t="s">
        <v>26</v>
      </c>
      <c r="D32" s="46" t="s">
        <v>35</v>
      </c>
      <c r="E32" s="39" t="s">
        <v>24</v>
      </c>
      <c r="F32" s="47">
        <v>44644</v>
      </c>
      <c r="G32" s="48">
        <v>8.3699999999999992</v>
      </c>
      <c r="H32" s="49">
        <v>9.3000000000000007</v>
      </c>
      <c r="I32" s="50">
        <v>11.44</v>
      </c>
      <c r="J32" s="49">
        <v>11</v>
      </c>
      <c r="K32" s="49">
        <v>96.15384615384616</v>
      </c>
      <c r="L32" s="75"/>
      <c r="M32" s="75"/>
      <c r="N32" s="117">
        <v>953</v>
      </c>
      <c r="O32" s="45"/>
      <c r="P32" s="18">
        <v>0.25595000000000001</v>
      </c>
      <c r="Q32" s="19">
        <v>40.549999999999997</v>
      </c>
      <c r="R32" s="20">
        <v>0.235425</v>
      </c>
      <c r="S32" s="21">
        <v>35</v>
      </c>
      <c r="T32" s="39" t="s">
        <v>24</v>
      </c>
      <c r="U32" s="17"/>
      <c r="V32" s="54" t="s">
        <v>24</v>
      </c>
    </row>
    <row r="33" spans="2:22" x14ac:dyDescent="0.25">
      <c r="B33" s="38" t="s">
        <v>36</v>
      </c>
      <c r="C33" s="38" t="s">
        <v>26</v>
      </c>
      <c r="D33" s="38" t="s">
        <v>37</v>
      </c>
      <c r="E33" s="39" t="s">
        <v>24</v>
      </c>
      <c r="F33" s="40">
        <v>44643</v>
      </c>
      <c r="G33" s="41">
        <v>7.77</v>
      </c>
      <c r="H33" s="42">
        <v>7.8</v>
      </c>
      <c r="I33" s="43">
        <v>11.87</v>
      </c>
      <c r="J33" s="42">
        <v>9.9</v>
      </c>
      <c r="K33" s="42">
        <v>83.403538331929241</v>
      </c>
      <c r="L33" s="44"/>
      <c r="M33" s="44"/>
      <c r="N33" s="116">
        <v>705</v>
      </c>
      <c r="O33" s="45"/>
      <c r="P33" s="14">
        <v>0.16450000000000001</v>
      </c>
      <c r="Q33" s="15">
        <v>26.8</v>
      </c>
      <c r="R33" s="16">
        <v>9.7648250000000006E-2</v>
      </c>
      <c r="S33" s="17">
        <v>31</v>
      </c>
      <c r="T33" s="39" t="s">
        <v>24</v>
      </c>
      <c r="U33" s="17"/>
      <c r="V33" s="54" t="s">
        <v>24</v>
      </c>
    </row>
    <row r="34" spans="2:22" x14ac:dyDescent="0.25">
      <c r="B34" s="46" t="s">
        <v>38</v>
      </c>
      <c r="C34" s="46" t="s">
        <v>39</v>
      </c>
      <c r="D34" s="46" t="s">
        <v>40</v>
      </c>
      <c r="E34" s="39" t="s">
        <v>24</v>
      </c>
      <c r="F34" s="47">
        <v>44642</v>
      </c>
      <c r="G34" s="48">
        <v>8.2100000000000009</v>
      </c>
      <c r="H34" s="49">
        <v>9.3000000000000007</v>
      </c>
      <c r="I34" s="50">
        <v>11.44</v>
      </c>
      <c r="J34" s="49">
        <v>9.6</v>
      </c>
      <c r="K34" s="49">
        <v>83.91608391608392</v>
      </c>
      <c r="L34" s="75"/>
      <c r="M34" s="75"/>
      <c r="N34" s="117">
        <v>790</v>
      </c>
      <c r="O34" s="45"/>
      <c r="P34" s="18">
        <v>0.10589999999999999</v>
      </c>
      <c r="Q34" s="19">
        <v>10.5</v>
      </c>
      <c r="R34" s="76">
        <v>8.8909999999999996E-3</v>
      </c>
      <c r="S34" s="21">
        <v>14</v>
      </c>
      <c r="T34" s="39" t="s">
        <v>24</v>
      </c>
      <c r="U34" s="17"/>
      <c r="V34" s="54" t="s">
        <v>24</v>
      </c>
    </row>
    <row r="35" spans="2:22" x14ac:dyDescent="0.25">
      <c r="B35" s="38" t="s">
        <v>41</v>
      </c>
      <c r="C35" s="38" t="s">
        <v>39</v>
      </c>
      <c r="D35" s="38" t="s">
        <v>42</v>
      </c>
      <c r="E35" s="39" t="s">
        <v>24</v>
      </c>
      <c r="F35" s="40">
        <v>44642</v>
      </c>
      <c r="G35" s="41">
        <v>8.42</v>
      </c>
      <c r="H35" s="42">
        <v>9.6999999999999993</v>
      </c>
      <c r="I35" s="43">
        <v>11.34</v>
      </c>
      <c r="J35" s="42">
        <v>11.4</v>
      </c>
      <c r="K35" s="42">
        <v>100.52910052910053</v>
      </c>
      <c r="L35" s="44"/>
      <c r="M35" s="44"/>
      <c r="N35" s="116">
        <v>732</v>
      </c>
      <c r="O35" s="45"/>
      <c r="P35" s="14">
        <v>0.1595</v>
      </c>
      <c r="Q35" s="15">
        <v>15.2</v>
      </c>
      <c r="R35" s="16">
        <v>2.820075E-2</v>
      </c>
      <c r="S35" s="17">
        <v>20</v>
      </c>
      <c r="T35" s="39" t="s">
        <v>24</v>
      </c>
      <c r="U35" s="17"/>
      <c r="V35" s="54" t="s">
        <v>24</v>
      </c>
    </row>
    <row r="36" spans="2:22" x14ac:dyDescent="0.25">
      <c r="B36" s="46" t="s">
        <v>43</v>
      </c>
      <c r="C36" s="46" t="s">
        <v>44</v>
      </c>
      <c r="D36" s="46" t="s">
        <v>40</v>
      </c>
      <c r="E36" s="39" t="s">
        <v>24</v>
      </c>
      <c r="F36" s="47">
        <v>44642</v>
      </c>
      <c r="G36" s="48">
        <v>8.51</v>
      </c>
      <c r="H36" s="49">
        <v>13.6</v>
      </c>
      <c r="I36" s="50">
        <v>10.37</v>
      </c>
      <c r="J36" s="49">
        <v>8.8000000000000007</v>
      </c>
      <c r="K36" s="49">
        <v>84.860173577627791</v>
      </c>
      <c r="L36" s="75"/>
      <c r="M36" s="75"/>
      <c r="N36" s="117">
        <v>676</v>
      </c>
      <c r="O36" s="45"/>
      <c r="P36" s="18">
        <v>0.34300000000000003</v>
      </c>
      <c r="Q36" s="19">
        <v>13.05</v>
      </c>
      <c r="R36" s="20">
        <v>3.1959750000000002E-2</v>
      </c>
      <c r="S36" s="21">
        <v>20</v>
      </c>
      <c r="T36" s="39" t="s">
        <v>24</v>
      </c>
      <c r="U36" s="17"/>
      <c r="V36" s="54" t="s">
        <v>24</v>
      </c>
    </row>
    <row r="37" spans="2:22" x14ac:dyDescent="0.25">
      <c r="B37" s="38" t="s">
        <v>45</v>
      </c>
      <c r="C37" s="38" t="s">
        <v>44</v>
      </c>
      <c r="D37" s="38" t="s">
        <v>46</v>
      </c>
      <c r="E37" s="39" t="s">
        <v>24</v>
      </c>
      <c r="F37" s="40">
        <v>44642</v>
      </c>
      <c r="G37" s="41">
        <v>8.2899999999999991</v>
      </c>
      <c r="H37" s="42">
        <v>14.1</v>
      </c>
      <c r="I37" s="43">
        <v>10.25</v>
      </c>
      <c r="J37" s="42">
        <v>8.9</v>
      </c>
      <c r="K37" s="42">
        <v>86.829268292682926</v>
      </c>
      <c r="L37" s="44"/>
      <c r="M37" s="44"/>
      <c r="N37" s="116">
        <v>835</v>
      </c>
      <c r="O37" s="45"/>
      <c r="P37" s="14">
        <v>0.1295</v>
      </c>
      <c r="Q37" s="15">
        <v>20.100000000000001</v>
      </c>
      <c r="R37" s="16">
        <v>3.8702350000000003E-2</v>
      </c>
      <c r="S37" s="17">
        <v>25</v>
      </c>
      <c r="T37" s="39" t="s">
        <v>24</v>
      </c>
      <c r="U37" s="17"/>
      <c r="V37" s="54" t="s">
        <v>24</v>
      </c>
    </row>
    <row r="38" spans="2:22" x14ac:dyDescent="0.25">
      <c r="B38" s="46" t="s">
        <v>47</v>
      </c>
      <c r="C38" s="46" t="s">
        <v>48</v>
      </c>
      <c r="D38" s="46" t="s">
        <v>40</v>
      </c>
      <c r="E38" s="39" t="s">
        <v>24</v>
      </c>
      <c r="F38" s="47">
        <v>44641</v>
      </c>
      <c r="G38" s="48">
        <v>8.34</v>
      </c>
      <c r="H38" s="49">
        <v>13.4</v>
      </c>
      <c r="I38" s="50">
        <v>10.41</v>
      </c>
      <c r="J38" s="49">
        <v>10.6</v>
      </c>
      <c r="K38" s="49">
        <v>101.82516810758887</v>
      </c>
      <c r="L38" s="75"/>
      <c r="M38" s="75"/>
      <c r="N38" s="117">
        <v>991</v>
      </c>
      <c r="O38" s="45"/>
      <c r="P38" s="18">
        <v>9.2249999999999999E-2</v>
      </c>
      <c r="Q38" s="19">
        <v>12</v>
      </c>
      <c r="R38" s="76">
        <v>1.7316000000000002E-2</v>
      </c>
      <c r="S38" s="21">
        <v>15</v>
      </c>
      <c r="T38" s="39" t="s">
        <v>24</v>
      </c>
      <c r="U38" s="17"/>
      <c r="V38" s="54" t="s">
        <v>24</v>
      </c>
    </row>
    <row r="39" spans="2:22" x14ac:dyDescent="0.25">
      <c r="B39" s="38" t="s">
        <v>49</v>
      </c>
      <c r="C39" s="38" t="s">
        <v>48</v>
      </c>
      <c r="D39" s="38" t="s">
        <v>46</v>
      </c>
      <c r="E39" s="39" t="s">
        <v>24</v>
      </c>
      <c r="F39" s="40">
        <v>44641</v>
      </c>
      <c r="G39" s="41">
        <v>8.23</v>
      </c>
      <c r="H39" s="42">
        <v>11.5</v>
      </c>
      <c r="I39" s="43">
        <v>10.87</v>
      </c>
      <c r="J39" s="42">
        <v>10.4</v>
      </c>
      <c r="K39" s="42">
        <v>95.676172953081888</v>
      </c>
      <c r="L39" s="44"/>
      <c r="M39" s="44"/>
      <c r="N39" s="116">
        <v>917</v>
      </c>
      <c r="O39" s="45"/>
      <c r="P39" s="14">
        <v>6.7650000000000002E-2</v>
      </c>
      <c r="Q39" s="15">
        <v>14.65</v>
      </c>
      <c r="R39" s="16">
        <v>2.9284500000000002E-2</v>
      </c>
      <c r="S39" s="17">
        <v>25</v>
      </c>
      <c r="T39" s="39" t="s">
        <v>24</v>
      </c>
      <c r="U39" s="17"/>
      <c r="V39" s="54" t="s">
        <v>24</v>
      </c>
    </row>
    <row r="40" spans="2:22" x14ac:dyDescent="0.25">
      <c r="B40" s="46" t="s">
        <v>50</v>
      </c>
      <c r="C40" s="46" t="s">
        <v>51</v>
      </c>
      <c r="D40" s="46" t="s">
        <v>42</v>
      </c>
      <c r="E40" s="39" t="s">
        <v>24</v>
      </c>
      <c r="F40" s="47">
        <v>44641</v>
      </c>
      <c r="G40" s="48">
        <v>8.31</v>
      </c>
      <c r="H40" s="49">
        <v>7.2</v>
      </c>
      <c r="I40" s="50">
        <v>12.05</v>
      </c>
      <c r="J40" s="49">
        <v>11</v>
      </c>
      <c r="K40" s="49">
        <v>91.286307053941911</v>
      </c>
      <c r="L40" s="75"/>
      <c r="M40" s="75"/>
      <c r="N40" s="117">
        <v>760</v>
      </c>
      <c r="O40" s="45"/>
      <c r="P40" s="18">
        <v>2.315E-2</v>
      </c>
      <c r="Q40" s="19">
        <v>5.85</v>
      </c>
      <c r="R40" s="20">
        <v>3.156E-3</v>
      </c>
      <c r="S40" s="21">
        <v>15</v>
      </c>
      <c r="T40" s="39" t="s">
        <v>24</v>
      </c>
      <c r="U40" s="17"/>
      <c r="V40" s="54" t="s">
        <v>24</v>
      </c>
    </row>
    <row r="41" spans="2:22" x14ac:dyDescent="0.25">
      <c r="B41" s="38" t="s">
        <v>53</v>
      </c>
      <c r="C41" s="38" t="s">
        <v>54</v>
      </c>
      <c r="D41" s="38" t="s">
        <v>42</v>
      </c>
      <c r="E41" s="39" t="s">
        <v>24</v>
      </c>
      <c r="F41" s="40">
        <v>44643</v>
      </c>
      <c r="G41" s="41">
        <v>7.83</v>
      </c>
      <c r="H41" s="42">
        <v>12.3</v>
      </c>
      <c r="I41" s="43">
        <v>10.64</v>
      </c>
      <c r="J41" s="42">
        <v>12.1</v>
      </c>
      <c r="K41" s="42">
        <v>113.72180451127818</v>
      </c>
      <c r="L41" s="44"/>
      <c r="M41" s="44"/>
      <c r="N41" s="116">
        <v>1709</v>
      </c>
      <c r="O41" s="45"/>
      <c r="P41" s="14">
        <v>0.12089999999999999</v>
      </c>
      <c r="Q41" s="15">
        <v>10.45</v>
      </c>
      <c r="R41" s="16">
        <v>1.4864250000000001E-2</v>
      </c>
      <c r="S41" s="17">
        <v>15</v>
      </c>
      <c r="T41" s="39" t="s">
        <v>24</v>
      </c>
      <c r="U41" s="17"/>
      <c r="V41" s="54" t="s">
        <v>24</v>
      </c>
    </row>
    <row r="42" spans="2:22" x14ac:dyDescent="0.25">
      <c r="B42" s="46" t="s">
        <v>55</v>
      </c>
      <c r="C42" s="46" t="s">
        <v>56</v>
      </c>
      <c r="D42" s="46" t="s">
        <v>42</v>
      </c>
      <c r="E42" s="39" t="s">
        <v>24</v>
      </c>
      <c r="F42" s="47">
        <v>44643</v>
      </c>
      <c r="G42" s="48">
        <v>7.58</v>
      </c>
      <c r="H42" s="49">
        <v>6</v>
      </c>
      <c r="I42" s="50">
        <v>12.41</v>
      </c>
      <c r="J42" s="49">
        <v>9.8000000000000007</v>
      </c>
      <c r="K42" s="49">
        <v>78.968573730862218</v>
      </c>
      <c r="L42" s="75"/>
      <c r="M42" s="75"/>
      <c r="N42" s="117">
        <v>793</v>
      </c>
      <c r="O42" s="45"/>
      <c r="P42" s="18">
        <v>5.1200000000000002E-2</v>
      </c>
      <c r="Q42" s="19">
        <v>18.2</v>
      </c>
      <c r="R42" s="20">
        <v>1.1119749999999999E-2</v>
      </c>
      <c r="S42" s="21">
        <v>21</v>
      </c>
      <c r="T42" s="39" t="s">
        <v>24</v>
      </c>
      <c r="U42" s="17"/>
      <c r="V42" s="54" t="s">
        <v>24</v>
      </c>
    </row>
    <row r="43" spans="2:22" x14ac:dyDescent="0.25">
      <c r="B43" s="38" t="s">
        <v>57</v>
      </c>
      <c r="C43" s="38" t="s">
        <v>58</v>
      </c>
      <c r="D43" s="38" t="s">
        <v>67</v>
      </c>
      <c r="E43" s="39" t="s">
        <v>24</v>
      </c>
      <c r="F43" s="40">
        <v>44641</v>
      </c>
      <c r="G43" s="41">
        <v>8.2799999999999994</v>
      </c>
      <c r="H43" s="42">
        <v>12.1</v>
      </c>
      <c r="I43" s="43">
        <v>10.73</v>
      </c>
      <c r="J43" s="42">
        <v>8.6</v>
      </c>
      <c r="K43" s="42">
        <v>80.149114631873246</v>
      </c>
      <c r="L43" s="44"/>
      <c r="M43" s="44"/>
      <c r="N43" s="116">
        <v>587</v>
      </c>
      <c r="O43" s="45"/>
      <c r="P43" s="14">
        <v>6.4100000000000004E-2</v>
      </c>
      <c r="Q43" s="15">
        <v>13.55</v>
      </c>
      <c r="R43" s="16">
        <v>4.9623749999999998E-3</v>
      </c>
      <c r="S43" s="17">
        <v>14</v>
      </c>
      <c r="T43" s="39" t="s">
        <v>24</v>
      </c>
      <c r="U43" s="17"/>
      <c r="V43" s="54" t="s">
        <v>24</v>
      </c>
    </row>
    <row r="44" spans="2:22" x14ac:dyDescent="0.25">
      <c r="B44" s="46" t="s">
        <v>60</v>
      </c>
      <c r="C44" s="46" t="s">
        <v>61</v>
      </c>
      <c r="D44" s="46" t="s">
        <v>42</v>
      </c>
      <c r="E44" s="39" t="s">
        <v>24</v>
      </c>
      <c r="F44" s="47">
        <v>44641</v>
      </c>
      <c r="G44" s="48">
        <v>7.74</v>
      </c>
      <c r="H44" s="49">
        <v>11.5</v>
      </c>
      <c r="I44" s="50">
        <v>10.86</v>
      </c>
      <c r="J44" s="49">
        <v>11.9</v>
      </c>
      <c r="K44" s="49">
        <v>109.57642725598529</v>
      </c>
      <c r="L44" s="75"/>
      <c r="M44" s="75"/>
      <c r="N44" s="117">
        <v>957</v>
      </c>
      <c r="O44" s="45"/>
      <c r="P44" s="18">
        <v>9.7449999999999995E-2</v>
      </c>
      <c r="Q44" s="19">
        <v>31.25</v>
      </c>
      <c r="R44" s="20">
        <v>4.3386500000000001E-2</v>
      </c>
      <c r="S44" s="21">
        <v>33</v>
      </c>
      <c r="T44" s="39" t="s">
        <v>24</v>
      </c>
      <c r="U44" s="17"/>
      <c r="V44" s="54" t="s">
        <v>24</v>
      </c>
    </row>
    <row r="45" spans="2:22" x14ac:dyDescent="0.25">
      <c r="B45" s="38" t="s">
        <v>62</v>
      </c>
      <c r="C45" s="38" t="s">
        <v>61</v>
      </c>
      <c r="D45" s="38" t="s">
        <v>63</v>
      </c>
      <c r="E45" s="39" t="s">
        <v>24</v>
      </c>
      <c r="F45" s="40">
        <v>44641</v>
      </c>
      <c r="G45" s="41">
        <v>7.66</v>
      </c>
      <c r="H45" s="42">
        <v>12</v>
      </c>
      <c r="I45" s="43">
        <v>10.74</v>
      </c>
      <c r="J45" s="42">
        <v>8.6</v>
      </c>
      <c r="K45" s="42">
        <v>80.074487895716942</v>
      </c>
      <c r="L45" s="44"/>
      <c r="M45" s="44"/>
      <c r="N45" s="116">
        <v>926</v>
      </c>
      <c r="O45" s="45"/>
      <c r="P45" s="14">
        <v>0.12914999999999999</v>
      </c>
      <c r="Q45" s="15">
        <v>22.3</v>
      </c>
      <c r="R45" s="16">
        <v>2.6606000000000001E-2</v>
      </c>
      <c r="S45" s="17">
        <v>12</v>
      </c>
      <c r="T45" s="39" t="s">
        <v>24</v>
      </c>
      <c r="U45" s="17"/>
      <c r="V45" s="54" t="s">
        <v>24</v>
      </c>
    </row>
    <row r="46" spans="2:22" x14ac:dyDescent="0.25">
      <c r="B46" s="46" t="s">
        <v>64</v>
      </c>
      <c r="C46" s="46" t="s">
        <v>65</v>
      </c>
      <c r="D46" s="46" t="s">
        <v>40</v>
      </c>
      <c r="E46" s="39" t="s">
        <v>24</v>
      </c>
      <c r="F46" s="47">
        <v>44643</v>
      </c>
      <c r="G46" s="48">
        <v>8.06</v>
      </c>
      <c r="H46" s="49">
        <v>15.9</v>
      </c>
      <c r="I46" s="50">
        <v>9.85</v>
      </c>
      <c r="J46" s="49">
        <v>8.6</v>
      </c>
      <c r="K46" s="49">
        <v>87.309644670050758</v>
      </c>
      <c r="L46" s="75"/>
      <c r="M46" s="75"/>
      <c r="N46" s="117">
        <v>1247</v>
      </c>
      <c r="O46" s="45"/>
      <c r="P46" s="18">
        <v>7.1631579000000001E-2</v>
      </c>
      <c r="Q46" s="19">
        <v>3.15</v>
      </c>
      <c r="R46" s="20">
        <v>4.2240000000000003E-3</v>
      </c>
      <c r="S46" s="21">
        <v>8</v>
      </c>
      <c r="T46" s="39" t="s">
        <v>24</v>
      </c>
      <c r="U46" s="17"/>
      <c r="V46" s="54" t="s">
        <v>24</v>
      </c>
    </row>
    <row r="47" spans="2:22" s="72" customFormat="1" x14ac:dyDescent="0.25">
      <c r="B47" s="77" t="s">
        <v>226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4"/>
    </row>
    <row r="48" spans="2:22" x14ac:dyDescent="0.25">
      <c r="B48" s="38" t="s">
        <v>22</v>
      </c>
      <c r="C48" s="38" t="s">
        <v>23</v>
      </c>
      <c r="D48" s="38"/>
      <c r="E48" s="39" t="s">
        <v>24</v>
      </c>
      <c r="F48" s="40">
        <v>45006</v>
      </c>
      <c r="G48" s="41">
        <v>7.9</v>
      </c>
      <c r="H48" s="42">
        <v>8.9</v>
      </c>
      <c r="I48" s="43">
        <v>11.57</v>
      </c>
      <c r="J48" s="42">
        <v>10.9</v>
      </c>
      <c r="K48" s="42">
        <v>94.209161624891962</v>
      </c>
      <c r="L48" s="44"/>
      <c r="M48" s="44"/>
      <c r="N48" s="116">
        <v>450</v>
      </c>
      <c r="O48" s="45"/>
      <c r="P48" s="14">
        <v>6.7699999999999996E-2</v>
      </c>
      <c r="Q48" s="15">
        <v>11.4</v>
      </c>
      <c r="R48" s="16">
        <v>4.8999999999999998E-3</v>
      </c>
      <c r="S48" s="17">
        <v>11</v>
      </c>
      <c r="T48" s="39" t="s">
        <v>24</v>
      </c>
      <c r="U48" s="17"/>
    </row>
    <row r="49" spans="2:21" x14ac:dyDescent="0.25">
      <c r="B49" s="46" t="s">
        <v>25</v>
      </c>
      <c r="C49" s="46" t="s">
        <v>26</v>
      </c>
      <c r="D49" s="46" t="s">
        <v>27</v>
      </c>
      <c r="E49" s="39" t="s">
        <v>24</v>
      </c>
      <c r="F49" s="47">
        <v>45008</v>
      </c>
      <c r="G49" s="48">
        <v>7.74</v>
      </c>
      <c r="H49" s="49">
        <v>11.6</v>
      </c>
      <c r="I49" s="50">
        <v>10.84</v>
      </c>
      <c r="J49" s="49">
        <v>10.4</v>
      </c>
      <c r="K49" s="49">
        <v>95.9409594095941</v>
      </c>
      <c r="L49" s="75"/>
      <c r="M49" s="75"/>
      <c r="N49" s="117">
        <v>820</v>
      </c>
      <c r="O49" s="45"/>
      <c r="P49" s="18">
        <v>0.31184999999999991</v>
      </c>
      <c r="Q49" s="19">
        <v>33.799999999999997</v>
      </c>
      <c r="R49" s="20">
        <v>0.36080000000000001</v>
      </c>
      <c r="S49" s="21">
        <v>47</v>
      </c>
      <c r="T49" s="39" t="s">
        <v>24</v>
      </c>
      <c r="U49" s="17"/>
    </row>
    <row r="50" spans="2:21" x14ac:dyDescent="0.25">
      <c r="B50" s="38" t="s">
        <v>28</v>
      </c>
      <c r="C50" s="38" t="s">
        <v>26</v>
      </c>
      <c r="D50" s="38" t="s">
        <v>29</v>
      </c>
      <c r="E50" s="39" t="s">
        <v>24</v>
      </c>
      <c r="F50" s="40">
        <v>45007</v>
      </c>
      <c r="G50" s="53">
        <v>7.2</v>
      </c>
      <c r="H50" s="42">
        <v>10.8</v>
      </c>
      <c r="I50" s="43">
        <v>11.06</v>
      </c>
      <c r="J50" s="42">
        <v>8.6999999999999993</v>
      </c>
      <c r="K50" s="42">
        <v>78.661844484629285</v>
      </c>
      <c r="L50" s="44"/>
      <c r="M50" s="44"/>
      <c r="N50" s="116">
        <v>563</v>
      </c>
      <c r="O50" s="45"/>
      <c r="P50" s="14">
        <v>0.18745000000000003</v>
      </c>
      <c r="Q50" s="15">
        <v>21.2</v>
      </c>
      <c r="R50" s="16">
        <v>8.3799999999999999E-2</v>
      </c>
      <c r="S50" s="17">
        <v>18</v>
      </c>
      <c r="T50" s="39" t="s">
        <v>24</v>
      </c>
      <c r="U50" s="17"/>
    </row>
    <row r="51" spans="2:21" x14ac:dyDescent="0.25">
      <c r="B51" s="46" t="s">
        <v>30</v>
      </c>
      <c r="C51" s="46" t="s">
        <v>26</v>
      </c>
      <c r="D51" s="46" t="s">
        <v>31</v>
      </c>
      <c r="E51" s="39" t="s">
        <v>24</v>
      </c>
      <c r="F51" s="47">
        <v>45007</v>
      </c>
      <c r="G51" s="48">
        <v>7.28</v>
      </c>
      <c r="H51" s="49">
        <v>9.8000000000000007</v>
      </c>
      <c r="I51" s="50">
        <v>11.31</v>
      </c>
      <c r="J51" s="49">
        <v>9.9</v>
      </c>
      <c r="K51" s="49">
        <v>87.533156498673733</v>
      </c>
      <c r="L51" s="75"/>
      <c r="M51" s="75"/>
      <c r="N51" s="117">
        <v>745</v>
      </c>
      <c r="O51" s="45"/>
      <c r="P51" s="18">
        <v>0.26084999999999997</v>
      </c>
      <c r="Q51" s="19">
        <v>43.3</v>
      </c>
      <c r="R51" s="20">
        <v>0.2666</v>
      </c>
      <c r="S51" s="21">
        <v>5</v>
      </c>
      <c r="T51" s="39" t="s">
        <v>24</v>
      </c>
      <c r="U51" s="17"/>
    </row>
    <row r="52" spans="2:21" x14ac:dyDescent="0.25">
      <c r="B52" s="38" t="s">
        <v>32</v>
      </c>
      <c r="C52" s="38" t="s">
        <v>26</v>
      </c>
      <c r="D52" s="38" t="s">
        <v>33</v>
      </c>
      <c r="E52" s="39" t="s">
        <v>24</v>
      </c>
      <c r="F52" s="40">
        <v>45007</v>
      </c>
      <c r="G52" s="41">
        <v>7.14</v>
      </c>
      <c r="H52" s="42">
        <v>10.6</v>
      </c>
      <c r="I52" s="43">
        <v>11.1</v>
      </c>
      <c r="J52" s="42">
        <v>9.1999999999999993</v>
      </c>
      <c r="K52" s="42">
        <v>82.882882882882882</v>
      </c>
      <c r="L52" s="44"/>
      <c r="M52" s="44"/>
      <c r="N52" s="116">
        <v>688</v>
      </c>
      <c r="O52" s="45"/>
      <c r="P52" s="14">
        <v>5.28E-2</v>
      </c>
      <c r="Q52" s="15">
        <v>28.1</v>
      </c>
      <c r="R52" s="16">
        <v>6.9900000000000004E-2</v>
      </c>
      <c r="S52" s="17">
        <v>30</v>
      </c>
      <c r="T52" s="39" t="s">
        <v>24</v>
      </c>
      <c r="U52" s="17"/>
    </row>
    <row r="53" spans="2:21" x14ac:dyDescent="0.25">
      <c r="B53" s="46" t="s">
        <v>34</v>
      </c>
      <c r="C53" s="46" t="s">
        <v>26</v>
      </c>
      <c r="D53" s="46" t="s">
        <v>35</v>
      </c>
      <c r="E53" s="39" t="s">
        <v>24</v>
      </c>
      <c r="F53" s="47">
        <v>45008</v>
      </c>
      <c r="G53" s="48">
        <v>7.64</v>
      </c>
      <c r="H53" s="49">
        <v>10.8</v>
      </c>
      <c r="I53" s="50">
        <v>11.04</v>
      </c>
      <c r="J53" s="49">
        <v>8.6</v>
      </c>
      <c r="K53" s="49">
        <v>77.898550724637687</v>
      </c>
      <c r="L53" s="75"/>
      <c r="M53" s="75"/>
      <c r="N53" s="117">
        <v>902</v>
      </c>
      <c r="O53" s="45"/>
      <c r="P53" s="18">
        <v>0.44699999999999995</v>
      </c>
      <c r="Q53" s="19">
        <v>25.8</v>
      </c>
      <c r="R53" s="20">
        <v>0.4173</v>
      </c>
      <c r="S53" s="21">
        <v>30</v>
      </c>
      <c r="T53" s="39" t="s">
        <v>24</v>
      </c>
      <c r="U53" s="17"/>
    </row>
    <row r="54" spans="2:21" x14ac:dyDescent="0.25">
      <c r="B54" s="38" t="s">
        <v>36</v>
      </c>
      <c r="C54" s="38" t="s">
        <v>26</v>
      </c>
      <c r="D54" s="38" t="s">
        <v>37</v>
      </c>
      <c r="E54" s="39" t="s">
        <v>24</v>
      </c>
      <c r="F54" s="40">
        <v>45007</v>
      </c>
      <c r="G54" s="41">
        <v>7.06</v>
      </c>
      <c r="H54" s="42">
        <v>10.199999999999999</v>
      </c>
      <c r="I54" s="43">
        <v>11.21</v>
      </c>
      <c r="J54" s="42">
        <v>8.6999999999999993</v>
      </c>
      <c r="K54" s="42">
        <v>77.609277430865291</v>
      </c>
      <c r="L54" s="44"/>
      <c r="M54" s="44"/>
      <c r="N54" s="116">
        <v>621</v>
      </c>
      <c r="O54" s="45"/>
      <c r="P54" s="14">
        <v>0.23599999999999999</v>
      </c>
      <c r="Q54" s="15">
        <v>30.6</v>
      </c>
      <c r="R54" s="16">
        <v>0.20449999999999999</v>
      </c>
      <c r="S54" s="17">
        <v>25</v>
      </c>
      <c r="T54" s="39" t="s">
        <v>24</v>
      </c>
      <c r="U54" s="17"/>
    </row>
    <row r="55" spans="2:21" x14ac:dyDescent="0.25">
      <c r="B55" s="46" t="s">
        <v>38</v>
      </c>
      <c r="C55" s="46" t="s">
        <v>39</v>
      </c>
      <c r="D55" s="46" t="s">
        <v>40</v>
      </c>
      <c r="E55" s="39" t="s">
        <v>24</v>
      </c>
      <c r="F55" s="47">
        <v>45006</v>
      </c>
      <c r="G55" s="48">
        <v>7.43</v>
      </c>
      <c r="H55" s="49">
        <v>10.3</v>
      </c>
      <c r="I55" s="50">
        <v>11.17</v>
      </c>
      <c r="J55" s="49">
        <v>8.9</v>
      </c>
      <c r="K55" s="49">
        <v>79.677708146821843</v>
      </c>
      <c r="L55" s="75"/>
      <c r="M55" s="75"/>
      <c r="N55" s="117">
        <v>869</v>
      </c>
      <c r="O55" s="45"/>
      <c r="P55" s="18">
        <v>0.12964999999999999</v>
      </c>
      <c r="Q55" s="19">
        <v>13.8</v>
      </c>
      <c r="R55" s="20">
        <v>2.06E-2</v>
      </c>
      <c r="S55" s="21">
        <v>7</v>
      </c>
      <c r="T55" s="39" t="s">
        <v>24</v>
      </c>
      <c r="U55" s="17"/>
    </row>
    <row r="56" spans="2:21" x14ac:dyDescent="0.25">
      <c r="B56" s="38" t="s">
        <v>41</v>
      </c>
      <c r="C56" s="38" t="s">
        <v>39</v>
      </c>
      <c r="D56" s="38" t="s">
        <v>42</v>
      </c>
      <c r="E56" s="39" t="s">
        <v>24</v>
      </c>
      <c r="F56" s="40">
        <v>45006</v>
      </c>
      <c r="G56" s="41">
        <v>7.3</v>
      </c>
      <c r="H56" s="42">
        <v>9.6999999999999993</v>
      </c>
      <c r="I56" s="43">
        <v>11.23</v>
      </c>
      <c r="J56" s="42">
        <v>9.6</v>
      </c>
      <c r="K56" s="42">
        <v>85.485307212822789</v>
      </c>
      <c r="L56" s="44"/>
      <c r="M56" s="44"/>
      <c r="N56" s="116">
        <v>753</v>
      </c>
      <c r="O56" s="45"/>
      <c r="P56" s="14">
        <v>0.1668</v>
      </c>
      <c r="Q56" s="15">
        <v>24.1</v>
      </c>
      <c r="R56" s="16">
        <v>3.61E-2</v>
      </c>
      <c r="S56" s="17">
        <v>21</v>
      </c>
      <c r="T56" s="39" t="s">
        <v>24</v>
      </c>
      <c r="U56" s="17"/>
    </row>
    <row r="57" spans="2:21" x14ac:dyDescent="0.25">
      <c r="B57" s="46" t="s">
        <v>43</v>
      </c>
      <c r="C57" s="46" t="s">
        <v>44</v>
      </c>
      <c r="D57" s="46" t="s">
        <v>40</v>
      </c>
      <c r="E57" s="39" t="s">
        <v>24</v>
      </c>
      <c r="F57" s="47">
        <v>45008</v>
      </c>
      <c r="G57" s="48">
        <v>7.76</v>
      </c>
      <c r="H57" s="49">
        <v>12.8</v>
      </c>
      <c r="I57" s="50">
        <v>10.46</v>
      </c>
      <c r="J57" s="49">
        <v>7.5</v>
      </c>
      <c r="K57" s="49">
        <v>71.701720841300187</v>
      </c>
      <c r="L57" s="75"/>
      <c r="M57" s="75"/>
      <c r="N57" s="117">
        <v>761</v>
      </c>
      <c r="O57" s="45"/>
      <c r="P57" s="18">
        <v>0.186</v>
      </c>
      <c r="Q57" s="19">
        <v>10.199999999999999</v>
      </c>
      <c r="R57" s="20">
        <v>1.38E-2</v>
      </c>
      <c r="S57" s="21">
        <v>16</v>
      </c>
      <c r="T57" s="39" t="s">
        <v>24</v>
      </c>
      <c r="U57" s="17"/>
    </row>
    <row r="58" spans="2:21" x14ac:dyDescent="0.25">
      <c r="B58" s="38" t="s">
        <v>45</v>
      </c>
      <c r="C58" s="38" t="s">
        <v>44</v>
      </c>
      <c r="D58" s="38" t="s">
        <v>46</v>
      </c>
      <c r="E58" s="39" t="s">
        <v>24</v>
      </c>
      <c r="F58" s="40">
        <v>45008</v>
      </c>
      <c r="G58" s="41">
        <v>7.35</v>
      </c>
      <c r="H58" s="42">
        <v>12</v>
      </c>
      <c r="I58" s="43">
        <v>10.64</v>
      </c>
      <c r="J58" s="42">
        <v>7.8</v>
      </c>
      <c r="K58" s="42">
        <v>73.30827067669172</v>
      </c>
      <c r="L58" s="44"/>
      <c r="M58" s="44"/>
      <c r="N58" s="116">
        <v>973</v>
      </c>
      <c r="O58" s="45"/>
      <c r="P58" s="14">
        <v>0.11850000000000001</v>
      </c>
      <c r="Q58" s="15">
        <v>14.5</v>
      </c>
      <c r="R58" s="16">
        <v>2.4400000000000002E-2</v>
      </c>
      <c r="S58" s="17">
        <v>27</v>
      </c>
      <c r="T58" s="39" t="s">
        <v>24</v>
      </c>
      <c r="U58" s="17"/>
    </row>
    <row r="59" spans="2:21" x14ac:dyDescent="0.25">
      <c r="B59" s="46" t="s">
        <v>47</v>
      </c>
      <c r="C59" s="46" t="s">
        <v>48</v>
      </c>
      <c r="D59" s="46" t="s">
        <v>40</v>
      </c>
      <c r="E59" s="39" t="s">
        <v>24</v>
      </c>
      <c r="F59" s="47">
        <v>45005</v>
      </c>
      <c r="G59" s="48">
        <v>8.25</v>
      </c>
      <c r="H59" s="49">
        <v>11.4</v>
      </c>
      <c r="I59" s="50">
        <v>10.78</v>
      </c>
      <c r="J59" s="49">
        <v>10.4</v>
      </c>
      <c r="K59" s="49">
        <v>96.474953617810769</v>
      </c>
      <c r="L59" s="75"/>
      <c r="M59" s="75"/>
      <c r="N59" s="117">
        <v>1049</v>
      </c>
      <c r="O59" s="45"/>
      <c r="P59" s="18">
        <v>6.2900000000000011E-2</v>
      </c>
      <c r="Q59" s="19">
        <v>11.6</v>
      </c>
      <c r="R59" s="20">
        <v>1.6199999999999999E-2</v>
      </c>
      <c r="S59" s="21">
        <v>13</v>
      </c>
      <c r="T59" s="39" t="s">
        <v>24</v>
      </c>
      <c r="U59" s="17"/>
    </row>
    <row r="60" spans="2:21" x14ac:dyDescent="0.25">
      <c r="B60" s="38" t="s">
        <v>49</v>
      </c>
      <c r="C60" s="38" t="s">
        <v>48</v>
      </c>
      <c r="D60" s="38" t="s">
        <v>46</v>
      </c>
      <c r="E60" s="39" t="s">
        <v>24</v>
      </c>
      <c r="F60" s="40">
        <v>45005</v>
      </c>
      <c r="G60" s="41">
        <v>8.2200000000000006</v>
      </c>
      <c r="H60" s="42">
        <v>10.7</v>
      </c>
      <c r="I60" s="43">
        <v>10.96</v>
      </c>
      <c r="J60" s="42">
        <v>10.9</v>
      </c>
      <c r="K60" s="42">
        <v>99.452554744525543</v>
      </c>
      <c r="L60" s="44"/>
      <c r="M60" s="44"/>
      <c r="N60" s="116">
        <v>955</v>
      </c>
      <c r="O60" s="45"/>
      <c r="P60" s="14">
        <v>6.3950000000000021E-2</v>
      </c>
      <c r="Q60" s="15">
        <v>12.9</v>
      </c>
      <c r="R60" s="16">
        <v>3.0099999999999998E-2</v>
      </c>
      <c r="S60" s="17">
        <v>8</v>
      </c>
      <c r="T60" s="39" t="s">
        <v>24</v>
      </c>
      <c r="U60" s="17"/>
    </row>
    <row r="61" spans="2:21" x14ac:dyDescent="0.25">
      <c r="B61" s="46" t="s">
        <v>50</v>
      </c>
      <c r="C61" s="46" t="s">
        <v>51</v>
      </c>
      <c r="D61" s="46" t="s">
        <v>42</v>
      </c>
      <c r="E61" s="39" t="s">
        <v>24</v>
      </c>
      <c r="F61" s="47">
        <v>45008</v>
      </c>
      <c r="G61" s="48">
        <v>8.02</v>
      </c>
      <c r="H61" s="49">
        <v>12</v>
      </c>
      <c r="I61" s="50">
        <v>10.65</v>
      </c>
      <c r="J61" s="49">
        <v>9.9</v>
      </c>
      <c r="K61" s="49">
        <v>92.957746478873233</v>
      </c>
      <c r="L61" s="75"/>
      <c r="M61" s="75"/>
      <c r="N61" s="117">
        <v>735</v>
      </c>
      <c r="O61" s="45"/>
      <c r="P61" s="18">
        <v>5.8499999999999996E-2</v>
      </c>
      <c r="Q61" s="19">
        <v>11.1</v>
      </c>
      <c r="R61" s="20">
        <v>5.3E-3</v>
      </c>
      <c r="S61" s="21">
        <v>15</v>
      </c>
      <c r="T61" s="39" t="s">
        <v>24</v>
      </c>
      <c r="U61" s="17"/>
    </row>
    <row r="62" spans="2:21" x14ac:dyDescent="0.25">
      <c r="B62" s="38" t="s">
        <v>53</v>
      </c>
      <c r="C62" s="38" t="s">
        <v>54</v>
      </c>
      <c r="D62" s="38" t="s">
        <v>42</v>
      </c>
      <c r="E62" s="39" t="s">
        <v>24</v>
      </c>
      <c r="F62" s="40">
        <v>45008</v>
      </c>
      <c r="G62" s="41">
        <v>7.36</v>
      </c>
      <c r="H62" s="42">
        <v>11.3</v>
      </c>
      <c r="I62" s="43">
        <v>10.8</v>
      </c>
      <c r="J62" s="42">
        <v>8.6</v>
      </c>
      <c r="K62" s="42">
        <v>79.629629629629619</v>
      </c>
      <c r="L62" s="44"/>
      <c r="M62" s="44"/>
      <c r="N62" s="116">
        <v>1406</v>
      </c>
      <c r="O62" s="45"/>
      <c r="P62" s="14">
        <v>0.11515</v>
      </c>
      <c r="Q62" s="15">
        <v>17.7</v>
      </c>
      <c r="R62" s="16">
        <v>-3.9199999999999999E-2</v>
      </c>
      <c r="S62" s="17">
        <v>20</v>
      </c>
      <c r="T62" s="39" t="s">
        <v>24</v>
      </c>
      <c r="U62" s="17"/>
    </row>
    <row r="63" spans="2:21" x14ac:dyDescent="0.25">
      <c r="B63" s="46" t="s">
        <v>55</v>
      </c>
      <c r="C63" s="46" t="s">
        <v>56</v>
      </c>
      <c r="D63" s="46" t="s">
        <v>42</v>
      </c>
      <c r="E63" s="39" t="s">
        <v>24</v>
      </c>
      <c r="F63" s="47">
        <v>45006</v>
      </c>
      <c r="G63" s="48">
        <v>7.62</v>
      </c>
      <c r="H63" s="49">
        <v>10.9</v>
      </c>
      <c r="I63" s="50">
        <v>10.92</v>
      </c>
      <c r="J63" s="49">
        <v>13.5</v>
      </c>
      <c r="K63" s="49">
        <v>123.62637362637363</v>
      </c>
      <c r="L63" s="75"/>
      <c r="M63" s="75"/>
      <c r="N63" s="117">
        <v>859</v>
      </c>
      <c r="O63" s="45"/>
      <c r="P63" s="18">
        <v>7.0450000000000013E-2</v>
      </c>
      <c r="Q63" s="19">
        <v>15.8</v>
      </c>
      <c r="R63" s="20">
        <v>2.4629999999999999E-2</v>
      </c>
      <c r="S63" s="21">
        <v>12</v>
      </c>
      <c r="T63" s="39" t="s">
        <v>24</v>
      </c>
      <c r="U63" s="17"/>
    </row>
    <row r="64" spans="2:21" x14ac:dyDescent="0.25">
      <c r="B64" s="38" t="s">
        <v>57</v>
      </c>
      <c r="C64" s="38" t="s">
        <v>58</v>
      </c>
      <c r="D64" s="38" t="s">
        <v>67</v>
      </c>
      <c r="E64" s="39" t="s">
        <v>24</v>
      </c>
      <c r="F64" s="40">
        <v>45005</v>
      </c>
      <c r="G64" s="41">
        <v>7.87</v>
      </c>
      <c r="H64" s="42">
        <v>10.3</v>
      </c>
      <c r="I64" s="43">
        <v>11.08</v>
      </c>
      <c r="J64" s="42">
        <v>9.1999999999999993</v>
      </c>
      <c r="K64" s="42">
        <v>83.032490974729228</v>
      </c>
      <c r="L64" s="44"/>
      <c r="M64" s="44"/>
      <c r="N64" s="116">
        <v>576</v>
      </c>
      <c r="O64" s="45"/>
      <c r="P64" s="14">
        <v>8.7999999999999995E-2</v>
      </c>
      <c r="Q64" s="15">
        <v>15.1</v>
      </c>
      <c r="R64" s="16">
        <v>1.8599999999999998E-2</v>
      </c>
      <c r="S64" s="17">
        <v>15</v>
      </c>
      <c r="T64" s="39" t="s">
        <v>24</v>
      </c>
      <c r="U64" s="17"/>
    </row>
    <row r="65" spans="2:21" x14ac:dyDescent="0.25">
      <c r="B65" s="46" t="s">
        <v>60</v>
      </c>
      <c r="C65" s="46" t="s">
        <v>61</v>
      </c>
      <c r="D65" s="46" t="s">
        <v>42</v>
      </c>
      <c r="E65" s="39" t="s">
        <v>24</v>
      </c>
      <c r="F65" s="47">
        <v>45005</v>
      </c>
      <c r="G65" s="48">
        <v>6.9</v>
      </c>
      <c r="H65" s="49">
        <v>11.1</v>
      </c>
      <c r="I65" s="50">
        <v>10.86</v>
      </c>
      <c r="J65" s="49">
        <v>9.8000000000000007</v>
      </c>
      <c r="K65" s="49">
        <v>90.239410681399647</v>
      </c>
      <c r="L65" s="75"/>
      <c r="M65" s="75"/>
      <c r="N65" s="117">
        <v>922</v>
      </c>
      <c r="O65" s="45"/>
      <c r="P65" s="18">
        <v>5.8349999999999978E-2</v>
      </c>
      <c r="Q65" s="19">
        <v>21.1</v>
      </c>
      <c r="R65" s="20">
        <v>6.83E-2</v>
      </c>
      <c r="S65" s="21">
        <v>15</v>
      </c>
      <c r="T65" s="39" t="s">
        <v>24</v>
      </c>
      <c r="U65" s="17"/>
    </row>
    <row r="66" spans="2:21" x14ac:dyDescent="0.25">
      <c r="B66" s="38" t="s">
        <v>62</v>
      </c>
      <c r="C66" s="38" t="s">
        <v>61</v>
      </c>
      <c r="D66" s="38" t="s">
        <v>63</v>
      </c>
      <c r="E66" s="39" t="s">
        <v>24</v>
      </c>
      <c r="F66" s="40">
        <v>45005</v>
      </c>
      <c r="G66" s="41">
        <v>6.4</v>
      </c>
      <c r="H66" s="42">
        <v>10.9</v>
      </c>
      <c r="I66" s="43">
        <v>10.92</v>
      </c>
      <c r="J66" s="42">
        <v>9.6999999999999993</v>
      </c>
      <c r="K66" s="42">
        <v>88.827838827838818</v>
      </c>
      <c r="L66" s="44"/>
      <c r="M66" s="44"/>
      <c r="N66" s="116">
        <v>856</v>
      </c>
      <c r="O66" s="45"/>
      <c r="P66" s="14">
        <v>0.1774</v>
      </c>
      <c r="Q66" s="15">
        <v>19.3</v>
      </c>
      <c r="R66" s="16">
        <v>3.9800000000000002E-2</v>
      </c>
      <c r="S66" s="17">
        <v>16</v>
      </c>
      <c r="T66" s="39" t="s">
        <v>24</v>
      </c>
      <c r="U66" s="17"/>
    </row>
    <row r="67" spans="2:21" x14ac:dyDescent="0.25">
      <c r="B67" s="46" t="s">
        <v>64</v>
      </c>
      <c r="C67" s="46" t="s">
        <v>65</v>
      </c>
      <c r="D67" s="46" t="s">
        <v>40</v>
      </c>
      <c r="E67" s="39" t="s">
        <v>24</v>
      </c>
      <c r="F67" s="47">
        <v>45006</v>
      </c>
      <c r="G67" s="48">
        <v>7.68</v>
      </c>
      <c r="H67" s="49">
        <v>12.3</v>
      </c>
      <c r="I67" s="50">
        <v>10.56</v>
      </c>
      <c r="J67" s="49">
        <v>8.6999999999999993</v>
      </c>
      <c r="K67" s="49">
        <v>82.386363636363626</v>
      </c>
      <c r="L67" s="75"/>
      <c r="M67" s="75"/>
      <c r="N67" s="117">
        <v>1280</v>
      </c>
      <c r="O67" s="45"/>
      <c r="P67" s="18"/>
      <c r="Q67" s="19">
        <v>4.8</v>
      </c>
      <c r="R67" s="20"/>
      <c r="S67" s="21">
        <v>1</v>
      </c>
      <c r="T67" s="39" t="s">
        <v>24</v>
      </c>
      <c r="U67" s="17" t="s">
        <v>229</v>
      </c>
    </row>
    <row r="68" spans="2:21" s="97" customFormat="1" x14ac:dyDescent="0.25">
      <c r="B68" s="87" t="s">
        <v>333</v>
      </c>
      <c r="C68" s="199" t="s">
        <v>368</v>
      </c>
      <c r="D68" s="87"/>
      <c r="E68" s="88"/>
      <c r="F68" s="89">
        <v>45008</v>
      </c>
      <c r="G68" s="90">
        <v>7.63</v>
      </c>
      <c r="H68" s="91">
        <v>11.5</v>
      </c>
      <c r="I68" s="43">
        <v>10.76</v>
      </c>
      <c r="J68" s="91">
        <v>8.6999999999999993</v>
      </c>
      <c r="K68" s="91">
        <v>80.85501858736059</v>
      </c>
      <c r="L68" s="92"/>
      <c r="M68" s="92"/>
      <c r="N68" s="118">
        <v>1147</v>
      </c>
      <c r="O68" s="88"/>
      <c r="P68" s="93"/>
      <c r="Q68" s="94"/>
      <c r="R68" s="95"/>
      <c r="S68" s="83" t="s">
        <v>327</v>
      </c>
      <c r="T68" s="88"/>
      <c r="U68" s="96"/>
    </row>
    <row r="69" spans="2:21" s="97" customFormat="1" x14ac:dyDescent="0.25">
      <c r="B69" s="98" t="s">
        <v>334</v>
      </c>
      <c r="C69" s="200" t="s">
        <v>368</v>
      </c>
      <c r="D69" s="98"/>
      <c r="E69" s="88"/>
      <c r="F69" s="99">
        <v>45005</v>
      </c>
      <c r="G69" s="100">
        <v>8.23</v>
      </c>
      <c r="H69" s="101">
        <v>10.3</v>
      </c>
      <c r="I69" s="50">
        <v>11.07</v>
      </c>
      <c r="J69" s="101">
        <v>10.199999999999999</v>
      </c>
      <c r="K69" s="101">
        <v>92.140921409214087</v>
      </c>
      <c r="L69" s="102"/>
      <c r="M69" s="102"/>
      <c r="N69" s="119">
        <v>945</v>
      </c>
      <c r="O69" s="88"/>
      <c r="P69" s="103"/>
      <c r="Q69" s="104"/>
      <c r="R69" s="105"/>
      <c r="S69" s="84" t="s">
        <v>327</v>
      </c>
      <c r="T69" s="88"/>
      <c r="U69" s="96"/>
    </row>
    <row r="70" spans="2:21" s="97" customFormat="1" x14ac:dyDescent="0.25">
      <c r="B70" s="87" t="s">
        <v>335</v>
      </c>
      <c r="C70" s="199" t="s">
        <v>368</v>
      </c>
      <c r="D70" s="87"/>
      <c r="E70" s="88"/>
      <c r="F70" s="89">
        <v>45005</v>
      </c>
      <c r="G70" s="90">
        <v>8.2799999999999994</v>
      </c>
      <c r="H70" s="91">
        <v>10</v>
      </c>
      <c r="I70" s="43">
        <v>11.18</v>
      </c>
      <c r="J70" s="91">
        <v>9.9</v>
      </c>
      <c r="K70" s="91">
        <v>88.550983899821105</v>
      </c>
      <c r="L70" s="92"/>
      <c r="M70" s="92"/>
      <c r="N70" s="118">
        <v>849</v>
      </c>
      <c r="O70" s="88"/>
      <c r="P70" s="93"/>
      <c r="Q70" s="94"/>
      <c r="R70" s="95"/>
      <c r="S70" s="83" t="s">
        <v>327</v>
      </c>
      <c r="T70" s="88"/>
      <c r="U70" s="96"/>
    </row>
    <row r="71" spans="2:21" s="97" customFormat="1" x14ac:dyDescent="0.25">
      <c r="B71" s="98" t="s">
        <v>336</v>
      </c>
      <c r="C71" s="200" t="s">
        <v>368</v>
      </c>
      <c r="D71" s="98"/>
      <c r="E71" s="88"/>
      <c r="F71" s="99">
        <v>45006</v>
      </c>
      <c r="G71" s="100">
        <v>7.64</v>
      </c>
      <c r="H71" s="101">
        <v>12.3</v>
      </c>
      <c r="I71" s="50">
        <v>10.56</v>
      </c>
      <c r="J71" s="101">
        <v>9.5</v>
      </c>
      <c r="K71" s="101">
        <v>89.962121212121204</v>
      </c>
      <c r="L71" s="102"/>
      <c r="M71" s="102"/>
      <c r="N71" s="119">
        <v>1111</v>
      </c>
      <c r="O71" s="88"/>
      <c r="P71" s="103"/>
      <c r="Q71" s="104"/>
      <c r="R71" s="105"/>
      <c r="S71" s="84" t="s">
        <v>327</v>
      </c>
      <c r="T71" s="88"/>
      <c r="U71" s="96"/>
    </row>
    <row r="72" spans="2:21" s="72" customFormat="1" x14ac:dyDescent="0.25">
      <c r="B72" s="77" t="s">
        <v>227</v>
      </c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4"/>
    </row>
    <row r="73" spans="2:21" x14ac:dyDescent="0.25">
      <c r="B73" s="38" t="s">
        <v>22</v>
      </c>
      <c r="C73" s="38" t="s">
        <v>23</v>
      </c>
      <c r="D73" s="38"/>
      <c r="E73" s="39" t="s">
        <v>24</v>
      </c>
      <c r="F73" s="40">
        <v>45371</v>
      </c>
      <c r="G73" s="41">
        <v>7.27</v>
      </c>
      <c r="H73" s="42">
        <v>9.08</v>
      </c>
      <c r="I73" s="43">
        <v>11.48</v>
      </c>
      <c r="J73" s="42">
        <v>13.5</v>
      </c>
      <c r="K73" s="42">
        <v>117.59581881533101</v>
      </c>
      <c r="L73" s="44"/>
      <c r="M73" s="44"/>
      <c r="N73" s="116">
        <v>413</v>
      </c>
      <c r="O73" s="79"/>
      <c r="P73" s="14">
        <v>4.6144444444444446E-2</v>
      </c>
      <c r="Q73" s="15">
        <v>11.3</v>
      </c>
      <c r="R73" s="16">
        <v>3.1147500000000003E-3</v>
      </c>
      <c r="S73" s="83" t="s">
        <v>327</v>
      </c>
      <c r="T73" s="78" t="s">
        <v>24</v>
      </c>
      <c r="U73" s="17"/>
    </row>
    <row r="74" spans="2:21" x14ac:dyDescent="0.25">
      <c r="B74" s="46" t="s">
        <v>25</v>
      </c>
      <c r="C74" s="46" t="s">
        <v>26</v>
      </c>
      <c r="D74" s="46" t="s">
        <v>27</v>
      </c>
      <c r="E74" s="39" t="s">
        <v>24</v>
      </c>
      <c r="F74" s="47">
        <v>45372</v>
      </c>
      <c r="G74" s="48">
        <v>7.6</v>
      </c>
      <c r="H74" s="49">
        <v>12.94</v>
      </c>
      <c r="I74" s="50">
        <v>10.520000000000001</v>
      </c>
      <c r="J74" s="49">
        <v>13.02</v>
      </c>
      <c r="K74" s="49">
        <v>123.76425855513307</v>
      </c>
      <c r="L74" s="75"/>
      <c r="M74" s="75"/>
      <c r="N74" s="117">
        <v>873</v>
      </c>
      <c r="O74" s="79"/>
      <c r="P74" s="18">
        <v>0.20200261324041813</v>
      </c>
      <c r="Q74" s="19">
        <v>36.799999999999997</v>
      </c>
      <c r="R74" s="20">
        <v>0.3478485</v>
      </c>
      <c r="S74" s="84" t="s">
        <v>327</v>
      </c>
      <c r="T74" s="78" t="s">
        <v>24</v>
      </c>
      <c r="U74" s="17"/>
    </row>
    <row r="75" spans="2:21" x14ac:dyDescent="0.25">
      <c r="B75" s="38" t="s">
        <v>28</v>
      </c>
      <c r="C75" s="38" t="s">
        <v>26</v>
      </c>
      <c r="D75" s="38" t="s">
        <v>29</v>
      </c>
      <c r="E75" s="39" t="s">
        <v>24</v>
      </c>
      <c r="F75" s="40">
        <v>45371</v>
      </c>
      <c r="G75" s="53">
        <v>7.15</v>
      </c>
      <c r="H75" s="42">
        <v>11.5</v>
      </c>
      <c r="I75" s="43">
        <v>10.9</v>
      </c>
      <c r="J75" s="42">
        <v>11.77</v>
      </c>
      <c r="K75" s="42">
        <v>107.98165137614679</v>
      </c>
      <c r="L75" s="44"/>
      <c r="M75" s="44"/>
      <c r="N75" s="116">
        <v>540</v>
      </c>
      <c r="O75" s="79"/>
      <c r="P75" s="14">
        <v>0.21693863636363636</v>
      </c>
      <c r="Q75" s="15">
        <v>14.9</v>
      </c>
      <c r="R75" s="16">
        <v>7.1589749999999994E-2</v>
      </c>
      <c r="S75" s="83" t="s">
        <v>327</v>
      </c>
      <c r="T75" s="78" t="s">
        <v>24</v>
      </c>
      <c r="U75" s="17"/>
    </row>
    <row r="76" spans="2:21" x14ac:dyDescent="0.25">
      <c r="B76" s="46" t="s">
        <v>30</v>
      </c>
      <c r="C76" s="46" t="s">
        <v>26</v>
      </c>
      <c r="D76" s="46" t="s">
        <v>31</v>
      </c>
      <c r="E76" s="39" t="s">
        <v>24</v>
      </c>
      <c r="F76" s="47">
        <v>45371</v>
      </c>
      <c r="G76" s="48">
        <v>7.5</v>
      </c>
      <c r="H76" s="49">
        <v>13.05</v>
      </c>
      <c r="I76" s="50">
        <v>10.48</v>
      </c>
      <c r="J76" s="49">
        <v>12.04</v>
      </c>
      <c r="K76" s="49">
        <v>114.88549618320609</v>
      </c>
      <c r="L76" s="75"/>
      <c r="M76" s="75"/>
      <c r="N76" s="117">
        <v>748</v>
      </c>
      <c r="O76" s="79"/>
      <c r="P76" s="18">
        <v>0.20457296296296296</v>
      </c>
      <c r="Q76" s="19">
        <v>40.9</v>
      </c>
      <c r="R76" s="20">
        <v>0.27617350000000002</v>
      </c>
      <c r="S76" s="84" t="s">
        <v>327</v>
      </c>
      <c r="T76" s="78" t="s">
        <v>24</v>
      </c>
      <c r="U76" s="17"/>
    </row>
    <row r="77" spans="2:21" x14ac:dyDescent="0.25">
      <c r="B77" s="38" t="s">
        <v>32</v>
      </c>
      <c r="C77" s="38" t="s">
        <v>26</v>
      </c>
      <c r="D77" s="38" t="s">
        <v>33</v>
      </c>
      <c r="E77" s="39" t="s">
        <v>24</v>
      </c>
      <c r="F77" s="40">
        <v>45370</v>
      </c>
      <c r="G77" s="41">
        <v>7.38</v>
      </c>
      <c r="H77" s="42">
        <v>11.96</v>
      </c>
      <c r="I77" s="43">
        <v>10.8</v>
      </c>
      <c r="J77" s="42"/>
      <c r="K77" s="42"/>
      <c r="L77" s="44"/>
      <c r="M77" s="44"/>
      <c r="N77" s="116">
        <v>578</v>
      </c>
      <c r="O77" s="79"/>
      <c r="P77" s="14">
        <v>0.12069468267581472</v>
      </c>
      <c r="Q77" s="15">
        <v>20.7</v>
      </c>
      <c r="R77" s="16">
        <v>0.10554749999999997</v>
      </c>
      <c r="S77" s="83" t="s">
        <v>327</v>
      </c>
      <c r="T77" s="78" t="s">
        <v>24</v>
      </c>
      <c r="U77" s="17"/>
    </row>
    <row r="78" spans="2:21" x14ac:dyDescent="0.25">
      <c r="B78" s="46" t="s">
        <v>34</v>
      </c>
      <c r="C78" s="46" t="s">
        <v>26</v>
      </c>
      <c r="D78" s="46" t="s">
        <v>35</v>
      </c>
      <c r="E78" s="39" t="s">
        <v>24</v>
      </c>
      <c r="F78" s="47">
        <v>45369</v>
      </c>
      <c r="G78" s="48">
        <v>7.5</v>
      </c>
      <c r="H78" s="49">
        <v>10.17</v>
      </c>
      <c r="I78" s="50">
        <v>11.219999999999999</v>
      </c>
      <c r="J78" s="49">
        <v>13.34</v>
      </c>
      <c r="K78" s="49">
        <v>118.89483065953654</v>
      </c>
      <c r="L78" s="75"/>
      <c r="M78" s="75"/>
      <c r="N78" s="117">
        <v>909</v>
      </c>
      <c r="O78" s="79"/>
      <c r="P78" s="18">
        <v>0.55550931677018622</v>
      </c>
      <c r="Q78" s="19">
        <v>15</v>
      </c>
      <c r="R78" s="20">
        <v>0.44718499999999994</v>
      </c>
      <c r="S78" s="84" t="s">
        <v>327</v>
      </c>
      <c r="T78" s="78" t="s">
        <v>24</v>
      </c>
      <c r="U78" s="17"/>
    </row>
    <row r="79" spans="2:21" x14ac:dyDescent="0.25">
      <c r="B79" s="38" t="s">
        <v>36</v>
      </c>
      <c r="C79" s="38" t="s">
        <v>26</v>
      </c>
      <c r="D79" s="38" t="s">
        <v>37</v>
      </c>
      <c r="E79" s="39" t="s">
        <v>24</v>
      </c>
      <c r="F79" s="40">
        <v>45370</v>
      </c>
      <c r="G79" s="41">
        <v>7.3</v>
      </c>
      <c r="H79" s="42">
        <v>11.92</v>
      </c>
      <c r="I79" s="43">
        <v>10.820000000000002</v>
      </c>
      <c r="J79" s="42">
        <v>12.31</v>
      </c>
      <c r="K79" s="42">
        <v>113.77079482439925</v>
      </c>
      <c r="L79" s="44"/>
      <c r="M79" s="44"/>
      <c r="N79" s="116">
        <v>767</v>
      </c>
      <c r="O79" s="79"/>
      <c r="P79" s="14">
        <v>0.49329470847623713</v>
      </c>
      <c r="Q79" s="15">
        <v>34.299999999999997</v>
      </c>
      <c r="R79" s="16">
        <v>0.50340724999999997</v>
      </c>
      <c r="S79" s="83" t="s">
        <v>327</v>
      </c>
      <c r="T79" s="78" t="s">
        <v>24</v>
      </c>
      <c r="U79" s="17"/>
    </row>
    <row r="80" spans="2:21" x14ac:dyDescent="0.25">
      <c r="B80" s="46" t="s">
        <v>38</v>
      </c>
      <c r="C80" s="46" t="s">
        <v>39</v>
      </c>
      <c r="D80" s="46" t="s">
        <v>40</v>
      </c>
      <c r="E80" s="39" t="s">
        <v>24</v>
      </c>
      <c r="F80" s="47">
        <v>45371</v>
      </c>
      <c r="G80" s="48">
        <v>7.27</v>
      </c>
      <c r="H80" s="49">
        <v>11.04</v>
      </c>
      <c r="I80" s="50">
        <v>11</v>
      </c>
      <c r="J80" s="49">
        <v>12.48</v>
      </c>
      <c r="K80" s="49">
        <v>113.45454545454545</v>
      </c>
      <c r="L80" s="75"/>
      <c r="M80" s="75"/>
      <c r="N80" s="117">
        <v>763</v>
      </c>
      <c r="O80" s="79"/>
      <c r="P80" s="18">
        <v>0.13956363636363633</v>
      </c>
      <c r="Q80" s="19">
        <v>8.4</v>
      </c>
      <c r="R80" s="20">
        <v>1.5351999999999998E-2</v>
      </c>
      <c r="S80" s="84" t="s">
        <v>327</v>
      </c>
      <c r="T80" s="78" t="s">
        <v>24</v>
      </c>
      <c r="U80" s="17"/>
    </row>
    <row r="81" spans="2:21" x14ac:dyDescent="0.25">
      <c r="B81" s="38" t="s">
        <v>41</v>
      </c>
      <c r="C81" s="38" t="s">
        <v>39</v>
      </c>
      <c r="D81" s="38" t="s">
        <v>42</v>
      </c>
      <c r="E81" s="39" t="s">
        <v>24</v>
      </c>
      <c r="F81" s="40">
        <v>45371</v>
      </c>
      <c r="G81" s="41">
        <v>7.3</v>
      </c>
      <c r="H81" s="42">
        <v>11.47</v>
      </c>
      <c r="I81" s="43">
        <v>10.9</v>
      </c>
      <c r="J81" s="42">
        <v>12.36</v>
      </c>
      <c r="K81" s="42">
        <v>113.39449541284404</v>
      </c>
      <c r="L81" s="44"/>
      <c r="M81" s="44"/>
      <c r="N81" s="116">
        <v>680</v>
      </c>
      <c r="O81" s="79"/>
      <c r="P81" s="14">
        <v>0.11076206384558278</v>
      </c>
      <c r="Q81" s="15">
        <v>22.6</v>
      </c>
      <c r="R81" s="16">
        <v>4.9732166666666668E-2</v>
      </c>
      <c r="S81" s="83" t="s">
        <v>327</v>
      </c>
      <c r="T81" s="78" t="s">
        <v>24</v>
      </c>
      <c r="U81" s="17"/>
    </row>
    <row r="82" spans="2:21" x14ac:dyDescent="0.25">
      <c r="B82" s="46" t="s">
        <v>43</v>
      </c>
      <c r="C82" s="46" t="s">
        <v>44</v>
      </c>
      <c r="D82" s="46" t="s">
        <v>40</v>
      </c>
      <c r="E82" s="39" t="s">
        <v>24</v>
      </c>
      <c r="F82" s="47">
        <v>45372</v>
      </c>
      <c r="G82" s="48">
        <v>7.8</v>
      </c>
      <c r="H82" s="49">
        <v>12.13</v>
      </c>
      <c r="I82" s="50">
        <v>10.76</v>
      </c>
      <c r="J82" s="49">
        <v>12.72</v>
      </c>
      <c r="K82" s="49">
        <v>118.21561338289963</v>
      </c>
      <c r="L82" s="75"/>
      <c r="M82" s="75"/>
      <c r="N82" s="117">
        <v>812</v>
      </c>
      <c r="O82" s="79"/>
      <c r="P82" s="18">
        <v>9.8940677966101689E-2</v>
      </c>
      <c r="Q82" s="19">
        <v>6.9</v>
      </c>
      <c r="R82" s="20">
        <v>1.75125E-2</v>
      </c>
      <c r="S82" s="84" t="s">
        <v>327</v>
      </c>
      <c r="T82" s="78" t="s">
        <v>24</v>
      </c>
      <c r="U82" s="17"/>
    </row>
    <row r="83" spans="2:21" x14ac:dyDescent="0.25">
      <c r="B83" s="38" t="s">
        <v>45</v>
      </c>
      <c r="C83" s="38" t="s">
        <v>44</v>
      </c>
      <c r="D83" s="38" t="s">
        <v>46</v>
      </c>
      <c r="E83" s="39" t="s">
        <v>24</v>
      </c>
      <c r="F83" s="40">
        <v>45372</v>
      </c>
      <c r="G83" s="41">
        <v>7.4</v>
      </c>
      <c r="H83" s="42">
        <v>11.3</v>
      </c>
      <c r="I83" s="43">
        <v>10.940000000000001</v>
      </c>
      <c r="J83" s="42">
        <v>11.86</v>
      </c>
      <c r="K83" s="42">
        <v>108.40950639853746</v>
      </c>
      <c r="L83" s="44"/>
      <c r="M83" s="44"/>
      <c r="N83" s="116">
        <v>1038</v>
      </c>
      <c r="O83" s="79"/>
      <c r="P83" s="14">
        <v>0.1833858024691358</v>
      </c>
      <c r="Q83" s="15">
        <v>11</v>
      </c>
      <c r="R83" s="16">
        <v>2.9708499999999999E-2</v>
      </c>
      <c r="S83" s="83" t="s">
        <v>327</v>
      </c>
      <c r="T83" s="78" t="s">
        <v>24</v>
      </c>
      <c r="U83" s="17"/>
    </row>
    <row r="84" spans="2:21" x14ac:dyDescent="0.25">
      <c r="B84" s="46" t="s">
        <v>47</v>
      </c>
      <c r="C84" s="46" t="s">
        <v>48</v>
      </c>
      <c r="D84" s="46" t="s">
        <v>40</v>
      </c>
      <c r="E84" s="39" t="s">
        <v>24</v>
      </c>
      <c r="F84" s="47">
        <v>45369</v>
      </c>
      <c r="G84" s="48">
        <v>7.63</v>
      </c>
      <c r="H84" s="49">
        <v>13.06</v>
      </c>
      <c r="I84" s="50">
        <v>10.48</v>
      </c>
      <c r="J84" s="49">
        <v>12.03</v>
      </c>
      <c r="K84" s="49">
        <v>114.79007633587786</v>
      </c>
      <c r="L84" s="75"/>
      <c r="M84" s="75"/>
      <c r="N84" s="117">
        <v>1072</v>
      </c>
      <c r="O84" s="79"/>
      <c r="P84" s="18">
        <v>5.9144565217391303E-2</v>
      </c>
      <c r="Q84" s="19">
        <v>9</v>
      </c>
      <c r="R84" s="20">
        <v>1.3603250000000001E-2</v>
      </c>
      <c r="S84" s="84" t="s">
        <v>327</v>
      </c>
      <c r="T84" s="78" t="s">
        <v>24</v>
      </c>
      <c r="U84" s="17"/>
    </row>
    <row r="85" spans="2:21" x14ac:dyDescent="0.25">
      <c r="B85" s="38" t="s">
        <v>49</v>
      </c>
      <c r="C85" s="38" t="s">
        <v>48</v>
      </c>
      <c r="D85" s="38" t="s">
        <v>46</v>
      </c>
      <c r="E85" s="39" t="s">
        <v>24</v>
      </c>
      <c r="F85" s="40">
        <v>45369</v>
      </c>
      <c r="G85" s="41">
        <v>7.65</v>
      </c>
      <c r="H85" s="42">
        <v>12.24</v>
      </c>
      <c r="I85" s="43">
        <v>10.719999999999999</v>
      </c>
      <c r="J85" s="42">
        <v>12.1</v>
      </c>
      <c r="K85" s="42">
        <v>112.87313432835822</v>
      </c>
      <c r="L85" s="44"/>
      <c r="M85" s="44"/>
      <c r="N85" s="116">
        <v>987</v>
      </c>
      <c r="O85" s="79"/>
      <c r="P85" s="14">
        <v>0.8887249283667622</v>
      </c>
      <c r="Q85" s="15">
        <v>5.7</v>
      </c>
      <c r="R85" s="16">
        <v>0.15508250000000001</v>
      </c>
      <c r="S85" s="83" t="s">
        <v>327</v>
      </c>
      <c r="T85" s="78" t="s">
        <v>24</v>
      </c>
      <c r="U85" s="17"/>
    </row>
    <row r="86" spans="2:21" x14ac:dyDescent="0.25">
      <c r="B86" s="46" t="s">
        <v>50</v>
      </c>
      <c r="C86" s="46" t="s">
        <v>51</v>
      </c>
      <c r="D86" s="46" t="s">
        <v>42</v>
      </c>
      <c r="E86" s="39" t="s">
        <v>24</v>
      </c>
      <c r="F86" s="47">
        <v>45369</v>
      </c>
      <c r="G86" s="48">
        <v>7.99</v>
      </c>
      <c r="H86" s="49">
        <v>11.16</v>
      </c>
      <c r="I86" s="50">
        <v>10.96</v>
      </c>
      <c r="J86" s="49">
        <v>13.3</v>
      </c>
      <c r="K86" s="49">
        <v>121.35036496350364</v>
      </c>
      <c r="L86" s="75"/>
      <c r="M86" s="75"/>
      <c r="N86" s="117">
        <v>797</v>
      </c>
      <c r="O86" s="79"/>
      <c r="P86" s="18">
        <v>0.11908888888888888</v>
      </c>
      <c r="Q86" s="19">
        <v>3.1</v>
      </c>
      <c r="R86" s="20">
        <v>2.6795000000000005E-3</v>
      </c>
      <c r="S86" s="84" t="s">
        <v>327</v>
      </c>
      <c r="T86" s="78" t="s">
        <v>24</v>
      </c>
      <c r="U86" s="17"/>
    </row>
    <row r="87" spans="2:21" x14ac:dyDescent="0.25">
      <c r="B87" s="38" t="s">
        <v>53</v>
      </c>
      <c r="C87" s="38" t="s">
        <v>54</v>
      </c>
      <c r="D87" s="38" t="s">
        <v>42</v>
      </c>
      <c r="E87" s="39" t="s">
        <v>24</v>
      </c>
      <c r="F87" s="40">
        <v>45372</v>
      </c>
      <c r="G87" s="41">
        <v>7.3</v>
      </c>
      <c r="H87" s="42">
        <v>13.16</v>
      </c>
      <c r="I87" s="43">
        <v>10.46</v>
      </c>
      <c r="J87" s="42">
        <v>12.62</v>
      </c>
      <c r="K87" s="42">
        <v>120.65009560229443</v>
      </c>
      <c r="L87" s="44"/>
      <c r="M87" s="44"/>
      <c r="N87" s="116">
        <v>1696</v>
      </c>
      <c r="O87" s="79"/>
      <c r="P87" s="14">
        <v>5.0680107526881714E-2</v>
      </c>
      <c r="Q87" s="15">
        <v>8.6</v>
      </c>
      <c r="R87" s="16">
        <v>2.3566249999999997E-2</v>
      </c>
      <c r="S87" s="83" t="s">
        <v>327</v>
      </c>
      <c r="T87" s="78" t="s">
        <v>24</v>
      </c>
      <c r="U87" s="17"/>
    </row>
    <row r="88" spans="2:21" x14ac:dyDescent="0.25">
      <c r="B88" s="46" t="s">
        <v>55</v>
      </c>
      <c r="C88" s="46" t="s">
        <v>56</v>
      </c>
      <c r="D88" s="46" t="s">
        <v>42</v>
      </c>
      <c r="E88" s="39" t="s">
        <v>24</v>
      </c>
      <c r="F88" s="47">
        <v>45371</v>
      </c>
      <c r="G88" s="48">
        <v>7.25</v>
      </c>
      <c r="H88" s="49">
        <v>13.36</v>
      </c>
      <c r="I88" s="50">
        <v>10.420000000000002</v>
      </c>
      <c r="J88" s="49">
        <v>11.18</v>
      </c>
      <c r="K88" s="49">
        <v>107.29366602687138</v>
      </c>
      <c r="L88" s="75"/>
      <c r="M88" s="75"/>
      <c r="N88" s="117">
        <v>806</v>
      </c>
      <c r="O88" s="79"/>
      <c r="P88" s="18">
        <v>6.8578905630452019E-2</v>
      </c>
      <c r="Q88" s="19">
        <v>16.100000000000001</v>
      </c>
      <c r="R88" s="20">
        <v>2.16195E-2</v>
      </c>
      <c r="S88" s="84" t="s">
        <v>327</v>
      </c>
      <c r="T88" s="78" t="s">
        <v>24</v>
      </c>
      <c r="U88" s="17"/>
    </row>
    <row r="89" spans="2:21" x14ac:dyDescent="0.25">
      <c r="B89" s="38" t="s">
        <v>57</v>
      </c>
      <c r="C89" s="38" t="s">
        <v>58</v>
      </c>
      <c r="D89" s="38" t="s">
        <v>67</v>
      </c>
      <c r="E89" s="39" t="s">
        <v>24</v>
      </c>
      <c r="F89" s="40">
        <v>45370</v>
      </c>
      <c r="G89" s="41">
        <v>7.6</v>
      </c>
      <c r="H89" s="42">
        <v>11.22</v>
      </c>
      <c r="I89" s="43">
        <v>10.96</v>
      </c>
      <c r="J89" s="42">
        <v>12.86</v>
      </c>
      <c r="K89" s="42">
        <v>117.33576642335765</v>
      </c>
      <c r="L89" s="44"/>
      <c r="M89" s="44"/>
      <c r="N89" s="116">
        <v>393</v>
      </c>
      <c r="O89" s="79"/>
      <c r="P89" s="14">
        <v>0.1439364705882353</v>
      </c>
      <c r="Q89" s="15">
        <v>5.9</v>
      </c>
      <c r="R89" s="16">
        <v>1.5293249999999998E-2</v>
      </c>
      <c r="S89" s="83" t="s">
        <v>327</v>
      </c>
      <c r="T89" s="78" t="s">
        <v>24</v>
      </c>
      <c r="U89" s="17"/>
    </row>
    <row r="90" spans="2:21" x14ac:dyDescent="0.25">
      <c r="B90" s="46" t="s">
        <v>60</v>
      </c>
      <c r="C90" s="46" t="s">
        <v>61</v>
      </c>
      <c r="D90" s="46" t="s">
        <v>42</v>
      </c>
      <c r="E90" s="39" t="s">
        <v>24</v>
      </c>
      <c r="F90" s="47">
        <v>45369</v>
      </c>
      <c r="G90" s="48">
        <v>7.36</v>
      </c>
      <c r="H90" s="49">
        <v>11.97</v>
      </c>
      <c r="I90" s="50">
        <v>10.8</v>
      </c>
      <c r="J90" s="49">
        <v>11.51</v>
      </c>
      <c r="K90" s="49">
        <v>106.57407407407406</v>
      </c>
      <c r="L90" s="75"/>
      <c r="M90" s="75"/>
      <c r="N90" s="117">
        <v>859</v>
      </c>
      <c r="O90" s="79"/>
      <c r="P90" s="18">
        <v>6.8850031908104653E-2</v>
      </c>
      <c r="Q90" s="19">
        <v>10.7</v>
      </c>
      <c r="R90" s="20">
        <v>5.3944000000000006E-2</v>
      </c>
      <c r="S90" s="84" t="s">
        <v>327</v>
      </c>
      <c r="T90" s="78" t="s">
        <v>24</v>
      </c>
      <c r="U90" s="17"/>
    </row>
    <row r="91" spans="2:21" x14ac:dyDescent="0.25">
      <c r="B91" s="38" t="s">
        <v>62</v>
      </c>
      <c r="C91" s="38" t="s">
        <v>61</v>
      </c>
      <c r="D91" s="38" t="s">
        <v>63</v>
      </c>
      <c r="E91" s="39" t="s">
        <v>24</v>
      </c>
      <c r="F91" s="40">
        <v>45369</v>
      </c>
      <c r="G91" s="41">
        <v>7.4</v>
      </c>
      <c r="H91" s="42">
        <v>11.87</v>
      </c>
      <c r="I91" s="43">
        <v>10.820000000000002</v>
      </c>
      <c r="J91" s="42">
        <v>11.81</v>
      </c>
      <c r="K91" s="42">
        <v>109.14972273567467</v>
      </c>
      <c r="L91" s="44"/>
      <c r="M91" s="44"/>
      <c r="N91" s="116">
        <v>735</v>
      </c>
      <c r="O91" s="79"/>
      <c r="P91" s="14">
        <v>0.15090446927374299</v>
      </c>
      <c r="Q91" s="15">
        <v>8.4</v>
      </c>
      <c r="R91" s="16">
        <v>3.3764874999999993E-2</v>
      </c>
      <c r="S91" s="83" t="s">
        <v>327</v>
      </c>
      <c r="T91" s="78" t="s">
        <v>24</v>
      </c>
      <c r="U91" s="17"/>
    </row>
    <row r="92" spans="2:21" x14ac:dyDescent="0.25">
      <c r="B92" s="46" t="s">
        <v>64</v>
      </c>
      <c r="C92" s="46" t="s">
        <v>65</v>
      </c>
      <c r="D92" s="46" t="s">
        <v>40</v>
      </c>
      <c r="E92" s="39" t="s">
        <v>24</v>
      </c>
      <c r="F92" s="47">
        <v>45372</v>
      </c>
      <c r="G92" s="48">
        <v>7.8</v>
      </c>
      <c r="H92" s="49">
        <v>12.63</v>
      </c>
      <c r="I92" s="50">
        <v>10.58</v>
      </c>
      <c r="J92" s="49">
        <v>12.56</v>
      </c>
      <c r="K92" s="49">
        <v>118.71455576559546</v>
      </c>
      <c r="L92" s="75"/>
      <c r="M92" s="75"/>
      <c r="N92" s="117">
        <v>1436</v>
      </c>
      <c r="O92" s="79"/>
      <c r="P92" s="18"/>
      <c r="Q92" s="19">
        <v>1.6</v>
      </c>
      <c r="R92" s="20"/>
      <c r="S92" s="84" t="s">
        <v>327</v>
      </c>
      <c r="T92" s="78" t="s">
        <v>24</v>
      </c>
      <c r="U92" s="17"/>
    </row>
    <row r="93" spans="2:21" s="97" customFormat="1" x14ac:dyDescent="0.25">
      <c r="B93" s="87" t="s">
        <v>333</v>
      </c>
      <c r="C93" s="199" t="s">
        <v>368</v>
      </c>
      <c r="D93" s="87"/>
      <c r="E93" s="88" t="s">
        <v>24</v>
      </c>
      <c r="F93" s="89">
        <v>45378</v>
      </c>
      <c r="G93" s="90">
        <v>7.89</v>
      </c>
      <c r="H93" s="91">
        <v>10.35</v>
      </c>
      <c r="I93" s="43">
        <v>11.1</v>
      </c>
      <c r="J93" s="91">
        <v>10.52</v>
      </c>
      <c r="K93" s="91">
        <v>94.77477477477477</v>
      </c>
      <c r="L93" s="92"/>
      <c r="M93" s="92"/>
      <c r="N93" s="118">
        <v>1019</v>
      </c>
      <c r="O93" s="106"/>
      <c r="P93" s="93"/>
      <c r="Q93" s="94"/>
      <c r="R93" s="95"/>
      <c r="S93" s="83" t="s">
        <v>327</v>
      </c>
      <c r="T93" s="106"/>
      <c r="U93" s="96"/>
    </row>
    <row r="94" spans="2:21" s="97" customFormat="1" x14ac:dyDescent="0.25">
      <c r="B94" s="98" t="s">
        <v>334</v>
      </c>
      <c r="C94" s="200" t="s">
        <v>368</v>
      </c>
      <c r="D94" s="98"/>
      <c r="E94" s="88" t="s">
        <v>24</v>
      </c>
      <c r="F94" s="99">
        <v>45370</v>
      </c>
      <c r="G94" s="100">
        <v>7.35</v>
      </c>
      <c r="H94" s="101">
        <v>9.86</v>
      </c>
      <c r="I94" s="50">
        <v>10.52</v>
      </c>
      <c r="J94" s="101">
        <v>12.92</v>
      </c>
      <c r="K94" s="101">
        <v>122.81368821292776</v>
      </c>
      <c r="L94" s="102"/>
      <c r="M94" s="102"/>
      <c r="N94" s="119">
        <v>532</v>
      </c>
      <c r="O94" s="106"/>
      <c r="P94" s="103"/>
      <c r="Q94" s="104"/>
      <c r="R94" s="105"/>
      <c r="S94" s="84" t="s">
        <v>327</v>
      </c>
      <c r="T94" s="106"/>
      <c r="U94" s="96"/>
    </row>
    <row r="95" spans="2:21" s="97" customFormat="1" x14ac:dyDescent="0.25">
      <c r="B95" s="87" t="s">
        <v>335</v>
      </c>
      <c r="C95" s="199" t="s">
        <v>368</v>
      </c>
      <c r="D95" s="87"/>
      <c r="E95" s="88" t="s">
        <v>24</v>
      </c>
      <c r="F95" s="89">
        <v>45370</v>
      </c>
      <c r="G95" s="90">
        <v>7.65</v>
      </c>
      <c r="H95" s="91">
        <v>11.04</v>
      </c>
      <c r="I95" s="43">
        <v>10.6</v>
      </c>
      <c r="J95" s="91">
        <v>12.5</v>
      </c>
      <c r="K95" s="91">
        <v>117.9245283018868</v>
      </c>
      <c r="L95" s="92"/>
      <c r="M95" s="92"/>
      <c r="N95" s="118">
        <v>850</v>
      </c>
      <c r="O95" s="106"/>
      <c r="P95" s="93"/>
      <c r="Q95" s="94"/>
      <c r="R95" s="95"/>
      <c r="S95" s="83" t="s">
        <v>327</v>
      </c>
      <c r="T95" s="106"/>
      <c r="U95" s="96"/>
    </row>
    <row r="96" spans="2:21" s="97" customFormat="1" x14ac:dyDescent="0.25">
      <c r="B96" s="98" t="s">
        <v>336</v>
      </c>
      <c r="C96" s="200" t="s">
        <v>368</v>
      </c>
      <c r="D96" s="98"/>
      <c r="E96" s="88" t="s">
        <v>24</v>
      </c>
      <c r="F96" s="99">
        <v>45378</v>
      </c>
      <c r="G96" s="100">
        <v>7.66</v>
      </c>
      <c r="H96" s="101">
        <v>9.3000000000000007</v>
      </c>
      <c r="I96" s="50">
        <v>11.18</v>
      </c>
      <c r="J96" s="101">
        <v>10.33</v>
      </c>
      <c r="K96" s="101">
        <v>92.397137745974959</v>
      </c>
      <c r="L96" s="102"/>
      <c r="M96" s="102"/>
      <c r="N96" s="119">
        <v>1082</v>
      </c>
      <c r="O96" s="106"/>
      <c r="P96" s="103"/>
      <c r="Q96" s="104"/>
      <c r="R96" s="105"/>
      <c r="S96" s="84" t="s">
        <v>327</v>
      </c>
      <c r="T96" s="106"/>
      <c r="U96" s="96"/>
    </row>
    <row r="97" spans="2:21" s="72" customFormat="1" x14ac:dyDescent="0.25">
      <c r="B97" s="77" t="s">
        <v>228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4"/>
    </row>
    <row r="98" spans="2:21" x14ac:dyDescent="0.25">
      <c r="B98" s="38" t="s">
        <v>22</v>
      </c>
      <c r="C98" s="38" t="s">
        <v>23</v>
      </c>
      <c r="D98" s="38"/>
      <c r="E98" s="39" t="s">
        <v>24</v>
      </c>
      <c r="F98" s="40">
        <v>45735</v>
      </c>
      <c r="G98" s="41">
        <v>8.11</v>
      </c>
      <c r="H98" s="42">
        <v>6.1</v>
      </c>
      <c r="I98" s="43">
        <v>12.38</v>
      </c>
      <c r="J98" s="42">
        <v>14.9</v>
      </c>
      <c r="K98" s="42">
        <f>J98/I98*100</f>
        <v>120.35541195476576</v>
      </c>
      <c r="L98" s="42">
        <v>110</v>
      </c>
      <c r="M98" s="42">
        <v>268.7</v>
      </c>
      <c r="N98" s="116">
        <v>456</v>
      </c>
      <c r="O98" s="45"/>
      <c r="P98" s="107"/>
      <c r="Q98" s="108"/>
      <c r="R98" s="109"/>
      <c r="S98" s="83" t="s">
        <v>327</v>
      </c>
      <c r="T98" s="39" t="s">
        <v>24</v>
      </c>
      <c r="U98" s="17"/>
    </row>
    <row r="99" spans="2:21" x14ac:dyDescent="0.25">
      <c r="B99" s="46" t="s">
        <v>25</v>
      </c>
      <c r="C99" s="46" t="s">
        <v>26</v>
      </c>
      <c r="D99" s="46" t="s">
        <v>27</v>
      </c>
      <c r="E99" s="39" t="s">
        <v>24</v>
      </c>
      <c r="F99" s="47">
        <v>45737</v>
      </c>
      <c r="G99" s="48">
        <v>8.11</v>
      </c>
      <c r="H99" s="49">
        <v>11.6</v>
      </c>
      <c r="I99" s="50">
        <v>10.88</v>
      </c>
      <c r="J99" s="49">
        <v>12.23</v>
      </c>
      <c r="K99" s="49">
        <f t="shared" ref="K99:K121" si="0">J99/I99*100</f>
        <v>112.40808823529412</v>
      </c>
      <c r="L99" s="49">
        <v>111.5</v>
      </c>
      <c r="M99" s="49">
        <v>281.89999999999998</v>
      </c>
      <c r="N99" s="117">
        <v>925</v>
      </c>
      <c r="O99" s="45"/>
      <c r="P99" s="110"/>
      <c r="Q99" s="111"/>
      <c r="R99" s="112"/>
      <c r="S99" s="84" t="s">
        <v>327</v>
      </c>
      <c r="T99" s="39" t="s">
        <v>24</v>
      </c>
      <c r="U99" s="17"/>
    </row>
    <row r="100" spans="2:21" x14ac:dyDescent="0.25">
      <c r="B100" s="38" t="s">
        <v>28</v>
      </c>
      <c r="C100" s="38" t="s">
        <v>26</v>
      </c>
      <c r="D100" s="38" t="s">
        <v>29</v>
      </c>
      <c r="E100" s="39" t="s">
        <v>24</v>
      </c>
      <c r="F100" s="40">
        <v>45736</v>
      </c>
      <c r="G100" s="53">
        <v>7.95</v>
      </c>
      <c r="H100" s="42">
        <v>9.3000000000000007</v>
      </c>
      <c r="I100" s="43">
        <v>11.44</v>
      </c>
      <c r="J100" s="42">
        <v>10.55</v>
      </c>
      <c r="K100" s="42">
        <f>J100/I100*100</f>
        <v>92.220279720279734</v>
      </c>
      <c r="L100" s="42">
        <v>89.8</v>
      </c>
      <c r="M100" s="42">
        <v>270.3</v>
      </c>
      <c r="N100" s="116">
        <v>560</v>
      </c>
      <c r="O100" s="45"/>
      <c r="P100" s="107"/>
      <c r="Q100" s="108"/>
      <c r="R100" s="109"/>
      <c r="S100" s="83" t="s">
        <v>327</v>
      </c>
      <c r="T100" s="39" t="s">
        <v>24</v>
      </c>
      <c r="U100" s="17"/>
    </row>
    <row r="101" spans="2:21" x14ac:dyDescent="0.25">
      <c r="B101" s="46" t="s">
        <v>30</v>
      </c>
      <c r="C101" s="46" t="s">
        <v>26</v>
      </c>
      <c r="D101" s="46" t="s">
        <v>31</v>
      </c>
      <c r="E101" s="39" t="s">
        <v>24</v>
      </c>
      <c r="F101" s="47">
        <v>45734</v>
      </c>
      <c r="G101" s="48">
        <v>7.54</v>
      </c>
      <c r="H101" s="49">
        <v>4.3</v>
      </c>
      <c r="I101" s="50">
        <v>12.98</v>
      </c>
      <c r="J101" s="49">
        <v>12.9</v>
      </c>
      <c r="K101" s="49">
        <f t="shared" si="0"/>
        <v>99.383667180277342</v>
      </c>
      <c r="L101" s="49">
        <v>94.1</v>
      </c>
      <c r="M101" s="49">
        <v>283</v>
      </c>
      <c r="N101" s="117">
        <v>802</v>
      </c>
      <c r="O101" s="45"/>
      <c r="P101" s="110"/>
      <c r="Q101" s="111"/>
      <c r="R101" s="112"/>
      <c r="S101" s="84" t="s">
        <v>327</v>
      </c>
      <c r="T101" s="39" t="s">
        <v>24</v>
      </c>
      <c r="U101" s="17"/>
    </row>
    <row r="102" spans="2:21" x14ac:dyDescent="0.25">
      <c r="B102" s="38" t="s">
        <v>32</v>
      </c>
      <c r="C102" s="38" t="s">
        <v>26</v>
      </c>
      <c r="D102" s="38" t="s">
        <v>33</v>
      </c>
      <c r="E102" s="39" t="s">
        <v>24</v>
      </c>
      <c r="F102" s="40">
        <v>45734</v>
      </c>
      <c r="G102" s="41">
        <v>7.73</v>
      </c>
      <c r="H102" s="42">
        <v>7.2</v>
      </c>
      <c r="I102" s="43">
        <v>12.06</v>
      </c>
      <c r="J102" s="42">
        <v>13.1</v>
      </c>
      <c r="K102" s="42">
        <f>J102/I102*100</f>
        <v>108.62354892205637</v>
      </c>
      <c r="L102" s="42">
        <v>103.7</v>
      </c>
      <c r="M102" s="42">
        <v>271.10000000000002</v>
      </c>
      <c r="N102" s="116">
        <v>687</v>
      </c>
      <c r="O102" s="45"/>
      <c r="P102" s="107"/>
      <c r="Q102" s="108"/>
      <c r="R102" s="109"/>
      <c r="S102" s="83" t="s">
        <v>327</v>
      </c>
      <c r="T102" s="39" t="s">
        <v>24</v>
      </c>
      <c r="U102" s="17"/>
    </row>
    <row r="103" spans="2:21" x14ac:dyDescent="0.25">
      <c r="B103" s="46" t="s">
        <v>34</v>
      </c>
      <c r="C103" s="46" t="s">
        <v>26</v>
      </c>
      <c r="D103" s="46" t="s">
        <v>35</v>
      </c>
      <c r="E103" s="39" t="s">
        <v>24</v>
      </c>
      <c r="F103" s="47">
        <v>45737</v>
      </c>
      <c r="G103" s="48">
        <v>7.85</v>
      </c>
      <c r="H103" s="49">
        <v>6.9</v>
      </c>
      <c r="I103" s="50">
        <v>12.14</v>
      </c>
      <c r="J103" s="49">
        <v>12.16</v>
      </c>
      <c r="K103" s="49">
        <f t="shared" si="0"/>
        <v>100.164744645799</v>
      </c>
      <c r="L103" s="49">
        <v>97.6</v>
      </c>
      <c r="M103" s="49">
        <v>270.8</v>
      </c>
      <c r="N103" s="117">
        <v>1007</v>
      </c>
      <c r="O103" s="45"/>
      <c r="P103" s="110"/>
      <c r="Q103" s="111"/>
      <c r="R103" s="112"/>
      <c r="S103" s="84" t="s">
        <v>327</v>
      </c>
      <c r="T103" s="39" t="s">
        <v>24</v>
      </c>
      <c r="U103" s="17"/>
    </row>
    <row r="104" spans="2:21" x14ac:dyDescent="0.25">
      <c r="B104" s="38" t="s">
        <v>36</v>
      </c>
      <c r="C104" s="38" t="s">
        <v>26</v>
      </c>
      <c r="D104" s="38" t="s">
        <v>37</v>
      </c>
      <c r="E104" s="39" t="s">
        <v>24</v>
      </c>
      <c r="F104" s="40">
        <v>45734</v>
      </c>
      <c r="G104" s="41">
        <v>7.85</v>
      </c>
      <c r="H104" s="42">
        <v>4.8</v>
      </c>
      <c r="I104" s="43">
        <v>12.78</v>
      </c>
      <c r="J104" s="42">
        <v>13.03</v>
      </c>
      <c r="K104" s="42">
        <f>J104/I104*100</f>
        <v>101.95618153364632</v>
      </c>
      <c r="L104" s="42">
        <v>96.7</v>
      </c>
      <c r="M104" s="42">
        <v>279.8</v>
      </c>
      <c r="N104" s="116">
        <v>697</v>
      </c>
      <c r="O104" s="45"/>
      <c r="P104" s="107"/>
      <c r="Q104" s="108"/>
      <c r="R104" s="109"/>
      <c r="S104" s="83" t="s">
        <v>327</v>
      </c>
      <c r="T104" s="39" t="s">
        <v>24</v>
      </c>
      <c r="U104" s="17"/>
    </row>
    <row r="105" spans="2:21" x14ac:dyDescent="0.25">
      <c r="B105" s="46" t="s">
        <v>38</v>
      </c>
      <c r="C105" s="46" t="s">
        <v>39</v>
      </c>
      <c r="D105" s="46" t="s">
        <v>40</v>
      </c>
      <c r="E105" s="39" t="s">
        <v>24</v>
      </c>
      <c r="F105" s="47">
        <v>45735</v>
      </c>
      <c r="G105" s="48">
        <v>7.98</v>
      </c>
      <c r="H105" s="49">
        <v>9.1999999999999993</v>
      </c>
      <c r="I105" s="50">
        <v>11.46</v>
      </c>
      <c r="J105" s="49">
        <v>11.8</v>
      </c>
      <c r="K105" s="49">
        <f t="shared" si="0"/>
        <v>102.96684118673647</v>
      </c>
      <c r="L105" s="49">
        <v>99.4</v>
      </c>
      <c r="M105" s="49">
        <v>263</v>
      </c>
      <c r="N105" s="117">
        <v>798</v>
      </c>
      <c r="O105" s="45"/>
      <c r="P105" s="110"/>
      <c r="Q105" s="111"/>
      <c r="R105" s="112"/>
      <c r="S105" s="84" t="s">
        <v>327</v>
      </c>
      <c r="T105" s="39" t="s">
        <v>24</v>
      </c>
      <c r="U105" s="17"/>
    </row>
    <row r="106" spans="2:21" x14ac:dyDescent="0.25">
      <c r="B106" s="38" t="s">
        <v>41</v>
      </c>
      <c r="C106" s="38" t="s">
        <v>39</v>
      </c>
      <c r="D106" s="38" t="s">
        <v>42</v>
      </c>
      <c r="E106" s="39" t="s">
        <v>24</v>
      </c>
      <c r="F106" s="40">
        <v>45735</v>
      </c>
      <c r="G106" s="41">
        <v>8.34</v>
      </c>
      <c r="H106" s="42">
        <v>10.3</v>
      </c>
      <c r="I106" s="43">
        <v>11.18</v>
      </c>
      <c r="J106" s="42">
        <v>15.53</v>
      </c>
      <c r="K106" s="42">
        <f>J106/I106*100</f>
        <v>138.9087656529517</v>
      </c>
      <c r="L106" s="42">
        <v>133</v>
      </c>
      <c r="M106" s="42">
        <v>261.10000000000002</v>
      </c>
      <c r="N106" s="116">
        <v>730</v>
      </c>
      <c r="O106" s="45"/>
      <c r="P106" s="107"/>
      <c r="Q106" s="108"/>
      <c r="R106" s="109"/>
      <c r="S106" s="83" t="s">
        <v>327</v>
      </c>
      <c r="T106" s="39" t="s">
        <v>24</v>
      </c>
      <c r="U106" s="17"/>
    </row>
    <row r="107" spans="2:21" x14ac:dyDescent="0.25">
      <c r="B107" s="46" t="s">
        <v>43</v>
      </c>
      <c r="C107" s="46" t="s">
        <v>44</v>
      </c>
      <c r="D107" s="46" t="s">
        <v>40</v>
      </c>
      <c r="E107" s="39" t="s">
        <v>24</v>
      </c>
      <c r="F107" s="47">
        <v>45736</v>
      </c>
      <c r="G107" s="48">
        <v>8.23</v>
      </c>
      <c r="H107" s="49">
        <v>8.6999999999999993</v>
      </c>
      <c r="I107" s="50">
        <v>11.62</v>
      </c>
      <c r="J107" s="49">
        <v>11.65</v>
      </c>
      <c r="K107" s="49">
        <f t="shared" si="0"/>
        <v>100.25817555938039</v>
      </c>
      <c r="L107" s="49">
        <v>97</v>
      </c>
      <c r="M107" s="49">
        <v>251.2</v>
      </c>
      <c r="N107" s="117">
        <v>805</v>
      </c>
      <c r="O107" s="45"/>
      <c r="P107" s="110"/>
      <c r="Q107" s="207" t="s">
        <v>332</v>
      </c>
      <c r="R107" s="207"/>
      <c r="S107" s="84" t="s">
        <v>327</v>
      </c>
      <c r="T107" s="39" t="s">
        <v>24</v>
      </c>
      <c r="U107" s="17"/>
    </row>
    <row r="108" spans="2:21" x14ac:dyDescent="0.25">
      <c r="B108" s="38" t="s">
        <v>45</v>
      </c>
      <c r="C108" s="38" t="s">
        <v>44</v>
      </c>
      <c r="D108" s="38" t="s">
        <v>46</v>
      </c>
      <c r="E108" s="39" t="s">
        <v>24</v>
      </c>
      <c r="F108" s="40">
        <v>45736</v>
      </c>
      <c r="G108" s="41">
        <v>7.92</v>
      </c>
      <c r="H108" s="42">
        <v>9.9</v>
      </c>
      <c r="I108" s="43">
        <v>11.32</v>
      </c>
      <c r="J108" s="42">
        <v>11.15</v>
      </c>
      <c r="K108" s="42">
        <f>J108/I108*100</f>
        <v>98.4982332155477</v>
      </c>
      <c r="L108" s="42">
        <v>95.9</v>
      </c>
      <c r="M108" s="42">
        <v>248.7</v>
      </c>
      <c r="N108" s="116">
        <v>1027</v>
      </c>
      <c r="O108" s="45"/>
      <c r="P108" s="107"/>
      <c r="Q108" s="208"/>
      <c r="R108" s="208"/>
      <c r="S108" s="83" t="s">
        <v>327</v>
      </c>
      <c r="T108" s="39" t="s">
        <v>24</v>
      </c>
      <c r="U108" s="17"/>
    </row>
    <row r="109" spans="2:21" x14ac:dyDescent="0.25">
      <c r="B109" s="46" t="s">
        <v>47</v>
      </c>
      <c r="C109" s="46" t="s">
        <v>48</v>
      </c>
      <c r="D109" s="46" t="s">
        <v>40</v>
      </c>
      <c r="E109" s="39" t="s">
        <v>24</v>
      </c>
      <c r="F109" s="47">
        <v>45733</v>
      </c>
      <c r="G109" s="48">
        <v>7.97</v>
      </c>
      <c r="H109" s="49">
        <v>8.1999999999999993</v>
      </c>
      <c r="I109" s="50">
        <v>11.76</v>
      </c>
      <c r="J109" s="49">
        <v>11.06</v>
      </c>
      <c r="K109" s="49">
        <f t="shared" si="0"/>
        <v>94.047619047619051</v>
      </c>
      <c r="L109" s="49">
        <v>91.4</v>
      </c>
      <c r="M109" s="49">
        <v>252.6</v>
      </c>
      <c r="N109" s="117">
        <v>1088</v>
      </c>
      <c r="O109" s="45"/>
      <c r="P109" s="110"/>
      <c r="Q109" s="209"/>
      <c r="R109" s="209"/>
      <c r="S109" s="84" t="s">
        <v>327</v>
      </c>
      <c r="T109" s="39" t="s">
        <v>24</v>
      </c>
      <c r="U109" s="17"/>
    </row>
    <row r="110" spans="2:21" x14ac:dyDescent="0.25">
      <c r="B110" s="38" t="s">
        <v>49</v>
      </c>
      <c r="C110" s="38" t="s">
        <v>48</v>
      </c>
      <c r="D110" s="38" t="s">
        <v>46</v>
      </c>
      <c r="E110" s="39" t="s">
        <v>24</v>
      </c>
      <c r="F110" s="40">
        <v>45733</v>
      </c>
      <c r="G110" s="41">
        <v>7.53</v>
      </c>
      <c r="H110" s="42">
        <v>8.5</v>
      </c>
      <c r="I110" s="43">
        <v>11.7</v>
      </c>
      <c r="J110" s="42">
        <v>10.74</v>
      </c>
      <c r="K110" s="42">
        <f>J110/I110*100</f>
        <v>91.794871794871796</v>
      </c>
      <c r="L110" s="42">
        <v>88.5</v>
      </c>
      <c r="M110" s="42">
        <v>273.5</v>
      </c>
      <c r="N110" s="116">
        <v>999</v>
      </c>
      <c r="O110" s="45"/>
      <c r="P110" s="107"/>
      <c r="Q110" s="108"/>
      <c r="R110" s="109"/>
      <c r="S110" s="83" t="s">
        <v>327</v>
      </c>
      <c r="T110" s="39" t="s">
        <v>24</v>
      </c>
      <c r="U110" s="17"/>
    </row>
    <row r="111" spans="2:21" x14ac:dyDescent="0.25">
      <c r="B111" s="46" t="s">
        <v>50</v>
      </c>
      <c r="C111" s="46" t="s">
        <v>51</v>
      </c>
      <c r="D111" s="46" t="s">
        <v>42</v>
      </c>
      <c r="E111" s="39" t="s">
        <v>24</v>
      </c>
      <c r="F111" s="47">
        <v>45737</v>
      </c>
      <c r="G111" s="48">
        <v>8.4700000000000006</v>
      </c>
      <c r="H111" s="49">
        <v>14.4</v>
      </c>
      <c r="I111" s="50">
        <v>10.14</v>
      </c>
      <c r="J111" s="49">
        <v>10.35</v>
      </c>
      <c r="K111" s="49">
        <f t="shared" si="0"/>
        <v>102.07100591715977</v>
      </c>
      <c r="L111" s="49">
        <v>100.8</v>
      </c>
      <c r="M111" s="49">
        <v>299.39999999999998</v>
      </c>
      <c r="N111" s="117">
        <v>719</v>
      </c>
      <c r="O111" s="45"/>
      <c r="P111" s="110"/>
      <c r="Q111" s="111"/>
      <c r="R111" s="112"/>
      <c r="S111" s="84" t="s">
        <v>327</v>
      </c>
      <c r="T111" s="39" t="s">
        <v>24</v>
      </c>
      <c r="U111" s="17"/>
    </row>
    <row r="112" spans="2:21" x14ac:dyDescent="0.25">
      <c r="B112" s="38" t="s">
        <v>53</v>
      </c>
      <c r="C112" s="38" t="s">
        <v>54</v>
      </c>
      <c r="D112" s="38" t="s">
        <v>42</v>
      </c>
      <c r="E112" s="39" t="s">
        <v>24</v>
      </c>
      <c r="F112" s="40">
        <v>45737</v>
      </c>
      <c r="G112" s="41">
        <v>7.57</v>
      </c>
      <c r="H112" s="42">
        <v>8.8000000000000007</v>
      </c>
      <c r="I112" s="43">
        <v>11.58</v>
      </c>
      <c r="J112" s="42">
        <v>10.57</v>
      </c>
      <c r="K112" s="42">
        <f>J112/I112*100</f>
        <v>91.278065630397236</v>
      </c>
      <c r="L112" s="42">
        <v>89.6</v>
      </c>
      <c r="M112" s="42">
        <v>273.10000000000002</v>
      </c>
      <c r="N112" s="116">
        <v>708</v>
      </c>
      <c r="O112" s="45"/>
      <c r="P112" s="107"/>
      <c r="Q112" s="108"/>
      <c r="R112" s="109"/>
      <c r="S112" s="83" t="s">
        <v>327</v>
      </c>
      <c r="T112" s="39" t="s">
        <v>24</v>
      </c>
      <c r="U112" s="17"/>
    </row>
    <row r="113" spans="2:21" x14ac:dyDescent="0.25">
      <c r="B113" s="46" t="s">
        <v>55</v>
      </c>
      <c r="C113" s="46" t="s">
        <v>56</v>
      </c>
      <c r="D113" s="46" t="s">
        <v>42</v>
      </c>
      <c r="E113" s="39" t="s">
        <v>24</v>
      </c>
      <c r="F113" s="47">
        <v>45736</v>
      </c>
      <c r="G113" s="48">
        <v>7.88</v>
      </c>
      <c r="H113" s="49">
        <v>10.1</v>
      </c>
      <c r="I113" s="50">
        <v>11.26</v>
      </c>
      <c r="J113" s="49">
        <v>10.24</v>
      </c>
      <c r="K113" s="49">
        <f t="shared" si="0"/>
        <v>90.941385435168741</v>
      </c>
      <c r="L113" s="49">
        <v>88.7</v>
      </c>
      <c r="M113" s="49">
        <v>253</v>
      </c>
      <c r="N113" s="117">
        <v>861</v>
      </c>
      <c r="O113" s="45"/>
      <c r="P113" s="110"/>
      <c r="Q113" s="111"/>
      <c r="R113" s="112"/>
      <c r="S113" s="84" t="s">
        <v>327</v>
      </c>
      <c r="T113" s="39" t="s">
        <v>24</v>
      </c>
      <c r="U113" s="17"/>
    </row>
    <row r="114" spans="2:21" x14ac:dyDescent="0.25">
      <c r="B114" s="38" t="s">
        <v>57</v>
      </c>
      <c r="C114" s="38" t="s">
        <v>58</v>
      </c>
      <c r="D114" s="38" t="s">
        <v>67</v>
      </c>
      <c r="E114" s="39" t="s">
        <v>24</v>
      </c>
      <c r="F114" s="40">
        <v>45733</v>
      </c>
      <c r="G114" s="41">
        <v>7.99</v>
      </c>
      <c r="H114" s="42">
        <v>7.1</v>
      </c>
      <c r="I114" s="43">
        <v>12.08</v>
      </c>
      <c r="J114" s="42">
        <v>12.44</v>
      </c>
      <c r="K114" s="42">
        <f>J114/I114*100</f>
        <v>102.98013245033113</v>
      </c>
      <c r="L114" s="42">
        <v>98.3</v>
      </c>
      <c r="M114" s="42">
        <v>255.7</v>
      </c>
      <c r="N114" s="116">
        <v>601</v>
      </c>
      <c r="O114" s="45"/>
      <c r="P114" s="107"/>
      <c r="Q114" s="108"/>
      <c r="R114" s="109"/>
      <c r="S114" s="83" t="s">
        <v>327</v>
      </c>
      <c r="T114" s="39" t="s">
        <v>24</v>
      </c>
      <c r="U114" s="17"/>
    </row>
    <row r="115" spans="2:21" x14ac:dyDescent="0.25">
      <c r="B115" s="46" t="s">
        <v>60</v>
      </c>
      <c r="C115" s="46" t="s">
        <v>61</v>
      </c>
      <c r="D115" s="46" t="s">
        <v>42</v>
      </c>
      <c r="E115" s="39" t="s">
        <v>24</v>
      </c>
      <c r="F115" s="47">
        <v>45734</v>
      </c>
      <c r="G115" s="48">
        <v>7.58</v>
      </c>
      <c r="H115" s="49">
        <v>4.8</v>
      </c>
      <c r="I115" s="50">
        <v>12.78</v>
      </c>
      <c r="J115" s="49">
        <v>10.96</v>
      </c>
      <c r="K115" s="49">
        <f t="shared" si="0"/>
        <v>85.758998435054792</v>
      </c>
      <c r="L115" s="49">
        <v>81.3</v>
      </c>
      <c r="M115" s="49">
        <v>275.7</v>
      </c>
      <c r="N115" s="117">
        <v>1037</v>
      </c>
      <c r="O115" s="45"/>
      <c r="P115" s="110"/>
      <c r="Q115" s="111"/>
      <c r="R115" s="112"/>
      <c r="S115" s="84" t="s">
        <v>327</v>
      </c>
      <c r="T115" s="39" t="s">
        <v>24</v>
      </c>
      <c r="U115" s="17"/>
    </row>
    <row r="116" spans="2:21" x14ac:dyDescent="0.25">
      <c r="B116" s="38" t="s">
        <v>62</v>
      </c>
      <c r="C116" s="38" t="s">
        <v>61</v>
      </c>
      <c r="D116" s="38" t="s">
        <v>63</v>
      </c>
      <c r="E116" s="39" t="s">
        <v>24</v>
      </c>
      <c r="F116" s="40">
        <v>45733</v>
      </c>
      <c r="G116" s="41">
        <v>7.23</v>
      </c>
      <c r="H116" s="42">
        <v>9.3000000000000007</v>
      </c>
      <c r="I116" s="43">
        <v>11.44</v>
      </c>
      <c r="J116" s="42">
        <v>9.8699999999999992</v>
      </c>
      <c r="K116" s="42">
        <f>J116/I116*100</f>
        <v>86.276223776223773</v>
      </c>
      <c r="L116" s="42">
        <v>82.4</v>
      </c>
      <c r="M116" s="42">
        <v>253.9</v>
      </c>
      <c r="N116" s="116">
        <v>967</v>
      </c>
      <c r="O116" s="45"/>
      <c r="P116" s="107"/>
      <c r="Q116" s="108"/>
      <c r="R116" s="109"/>
      <c r="S116" s="83" t="s">
        <v>327</v>
      </c>
      <c r="T116" s="39" t="s">
        <v>24</v>
      </c>
      <c r="U116" s="17"/>
    </row>
    <row r="117" spans="2:21" x14ac:dyDescent="0.25">
      <c r="B117" s="46" t="s">
        <v>64</v>
      </c>
      <c r="C117" s="46" t="s">
        <v>65</v>
      </c>
      <c r="D117" s="46" t="s">
        <v>40</v>
      </c>
      <c r="E117" s="39" t="s">
        <v>24</v>
      </c>
      <c r="F117" s="47">
        <v>45736</v>
      </c>
      <c r="G117" s="48">
        <v>8.17</v>
      </c>
      <c r="H117" s="49">
        <v>8.4</v>
      </c>
      <c r="I117" s="50">
        <v>11.72</v>
      </c>
      <c r="J117" s="49">
        <v>11.82</v>
      </c>
      <c r="K117" s="49">
        <f t="shared" si="0"/>
        <v>100.85324232081912</v>
      </c>
      <c r="L117" s="49">
        <v>97.8</v>
      </c>
      <c r="M117" s="49">
        <v>252.7</v>
      </c>
      <c r="N117" s="117">
        <v>1318</v>
      </c>
      <c r="O117" s="45"/>
      <c r="P117" s="110"/>
      <c r="Q117" s="111"/>
      <c r="R117" s="112"/>
      <c r="S117" s="84" t="s">
        <v>327</v>
      </c>
      <c r="T117" s="39" t="s">
        <v>24</v>
      </c>
      <c r="U117" s="17"/>
    </row>
    <row r="118" spans="2:21" s="97" customFormat="1" x14ac:dyDescent="0.25">
      <c r="B118" s="87" t="s">
        <v>333</v>
      </c>
      <c r="C118" s="199" t="s">
        <v>368</v>
      </c>
      <c r="D118" s="87"/>
      <c r="E118" s="88"/>
      <c r="F118" s="89">
        <v>45737</v>
      </c>
      <c r="G118" s="90">
        <v>8.1</v>
      </c>
      <c r="H118" s="91">
        <v>12.5</v>
      </c>
      <c r="I118" s="43">
        <v>10.6</v>
      </c>
      <c r="J118" s="91">
        <v>9.56</v>
      </c>
      <c r="K118" s="91">
        <f>J118/I118*100</f>
        <v>90.188679245283026</v>
      </c>
      <c r="L118" s="91">
        <v>88.4</v>
      </c>
      <c r="M118" s="91">
        <v>268.8</v>
      </c>
      <c r="N118" s="118">
        <v>1303</v>
      </c>
      <c r="O118" s="88"/>
      <c r="P118" s="113"/>
      <c r="Q118" s="114"/>
      <c r="R118" s="115"/>
      <c r="S118" s="83" t="s">
        <v>327</v>
      </c>
      <c r="T118" s="88"/>
      <c r="U118" s="96"/>
    </row>
    <row r="119" spans="2:21" s="97" customFormat="1" x14ac:dyDescent="0.25">
      <c r="B119" s="98" t="s">
        <v>334</v>
      </c>
      <c r="C119" s="200" t="s">
        <v>368</v>
      </c>
      <c r="D119" s="98"/>
      <c r="E119" s="88"/>
      <c r="F119" s="99"/>
      <c r="G119" s="100"/>
      <c r="H119" s="101"/>
      <c r="I119" s="50"/>
      <c r="J119" s="101"/>
      <c r="K119" s="101"/>
      <c r="L119" s="101"/>
      <c r="M119" s="101"/>
      <c r="N119" s="119"/>
      <c r="O119" s="88"/>
      <c r="P119" s="103"/>
      <c r="Q119" s="104"/>
      <c r="R119" s="105"/>
      <c r="S119" s="84" t="s">
        <v>327</v>
      </c>
      <c r="T119" s="88"/>
      <c r="U119" s="96"/>
    </row>
    <row r="120" spans="2:21" s="97" customFormat="1" x14ac:dyDescent="0.25">
      <c r="B120" s="87" t="s">
        <v>335</v>
      </c>
      <c r="C120" s="199" t="s">
        <v>368</v>
      </c>
      <c r="D120" s="87"/>
      <c r="E120" s="88"/>
      <c r="F120" s="89">
        <v>45733</v>
      </c>
      <c r="G120" s="90">
        <v>8.0500000000000007</v>
      </c>
      <c r="H120" s="91">
        <v>7.7</v>
      </c>
      <c r="I120" s="43">
        <v>11.92</v>
      </c>
      <c r="J120" s="91">
        <v>11.65</v>
      </c>
      <c r="K120" s="91">
        <f>J120/I120*100</f>
        <v>97.734899328859058</v>
      </c>
      <c r="L120" s="91">
        <v>93.6</v>
      </c>
      <c r="M120" s="91">
        <v>240.3</v>
      </c>
      <c r="N120" s="118">
        <v>792</v>
      </c>
      <c r="O120" s="88"/>
      <c r="P120" s="93"/>
      <c r="Q120" s="94"/>
      <c r="R120" s="95"/>
      <c r="S120" s="83" t="s">
        <v>327</v>
      </c>
      <c r="T120" s="88"/>
      <c r="U120" s="96"/>
    </row>
    <row r="121" spans="2:21" s="97" customFormat="1" x14ac:dyDescent="0.25">
      <c r="B121" s="98" t="s">
        <v>336</v>
      </c>
      <c r="C121" s="200" t="s">
        <v>368</v>
      </c>
      <c r="D121" s="98"/>
      <c r="E121" s="88"/>
      <c r="F121" s="99">
        <v>45736</v>
      </c>
      <c r="G121" s="100">
        <v>7.84</v>
      </c>
      <c r="H121" s="101">
        <v>5.9</v>
      </c>
      <c r="I121" s="50">
        <v>12.44</v>
      </c>
      <c r="J121" s="101">
        <v>11.75</v>
      </c>
      <c r="K121" s="101">
        <f t="shared" si="0"/>
        <v>94.453376205787791</v>
      </c>
      <c r="L121" s="101">
        <v>91</v>
      </c>
      <c r="M121" s="101">
        <v>265.8</v>
      </c>
      <c r="N121" s="119">
        <v>1186</v>
      </c>
      <c r="O121" s="88"/>
      <c r="P121" s="103"/>
      <c r="Q121" s="104"/>
      <c r="R121" s="105"/>
      <c r="S121" s="84" t="s">
        <v>327</v>
      </c>
      <c r="T121" s="88"/>
      <c r="U121" s="96"/>
    </row>
  </sheetData>
  <mergeCells count="6">
    <mergeCell ref="Q107:R109"/>
    <mergeCell ref="B2:D2"/>
    <mergeCell ref="F2:S2"/>
    <mergeCell ref="F19:N19"/>
    <mergeCell ref="P19:S19"/>
    <mergeCell ref="K3:L3"/>
  </mergeCells>
  <pageMargins left="0.7" right="0.7" top="0.78749999999999998" bottom="0.78749999999999998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37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11.140625" defaultRowHeight="15.75" x14ac:dyDescent="0.25"/>
  <cols>
    <col min="1" max="2" width="13.7109375" style="23" customWidth="1"/>
    <col min="3" max="3" width="20.7109375" style="23" customWidth="1"/>
    <col min="4" max="4" width="7.28515625" style="23" customWidth="1"/>
    <col min="5" max="5" width="9.7109375" style="23" customWidth="1"/>
    <col min="6" max="6" width="6.7109375" style="23" customWidth="1"/>
    <col min="7" max="7" width="9.7109375" style="23" customWidth="1"/>
    <col min="8" max="8" width="11.140625" style="23"/>
    <col min="9" max="9" width="6.7109375" style="23" customWidth="1"/>
    <col min="10" max="10" width="11.140625" style="23"/>
    <col min="11" max="11" width="9.7109375" style="23" customWidth="1"/>
    <col min="12" max="12" width="12.140625" style="23" customWidth="1"/>
    <col min="13" max="13" width="9.140625" style="23" customWidth="1"/>
    <col min="14" max="14" width="54.7109375" style="23" customWidth="1"/>
    <col min="15" max="15" width="3.7109375" style="23" customWidth="1"/>
    <col min="16" max="16" width="15.7109375" style="37" customWidth="1"/>
    <col min="17" max="17" width="21.7109375" style="37" customWidth="1"/>
    <col min="18" max="16384" width="11.140625" style="23"/>
  </cols>
  <sheetData>
    <row r="1" spans="1:17" s="55" customFormat="1" ht="33" customHeight="1" x14ac:dyDescent="0.25">
      <c r="A1" s="60" t="s">
        <v>218</v>
      </c>
      <c r="B1" s="61" t="s">
        <v>3</v>
      </c>
      <c r="C1" s="61" t="s">
        <v>219</v>
      </c>
      <c r="D1" s="82" t="s">
        <v>75</v>
      </c>
      <c r="E1" s="61" t="s">
        <v>69</v>
      </c>
      <c r="F1" s="82" t="s">
        <v>298</v>
      </c>
      <c r="G1" s="60" t="s">
        <v>9</v>
      </c>
      <c r="H1" s="60" t="s">
        <v>70</v>
      </c>
      <c r="I1" s="82" t="s">
        <v>304</v>
      </c>
      <c r="J1" s="60" t="s">
        <v>223</v>
      </c>
      <c r="K1" s="60" t="s">
        <v>326</v>
      </c>
      <c r="L1" s="62" t="s">
        <v>71</v>
      </c>
      <c r="M1" s="56" t="s">
        <v>72</v>
      </c>
      <c r="N1" s="80" t="s">
        <v>2</v>
      </c>
      <c r="P1" s="216" t="s">
        <v>340</v>
      </c>
      <c r="Q1" s="219" t="s">
        <v>381</v>
      </c>
    </row>
    <row r="2" spans="1:17" s="13" customFormat="1" ht="12" customHeight="1" x14ac:dyDescent="0.25">
      <c r="C2" s="57"/>
      <c r="D2" s="57"/>
      <c r="E2" s="164" t="s">
        <v>73</v>
      </c>
      <c r="F2" s="164"/>
      <c r="G2" s="164" t="s">
        <v>18</v>
      </c>
      <c r="H2" s="164" t="s">
        <v>17</v>
      </c>
      <c r="I2" s="164"/>
      <c r="J2" s="164" t="s">
        <v>369</v>
      </c>
      <c r="K2" s="164" t="s">
        <v>16</v>
      </c>
      <c r="L2" s="164" t="s">
        <v>20</v>
      </c>
      <c r="M2" s="164"/>
      <c r="N2" s="164"/>
      <c r="P2" s="217"/>
      <c r="Q2" s="220"/>
    </row>
    <row r="3" spans="1:17" s="13" customFormat="1" ht="12" customHeight="1" x14ac:dyDescent="0.25">
      <c r="C3" s="126" t="s">
        <v>339</v>
      </c>
      <c r="D3" s="57"/>
      <c r="E3" s="139">
        <f>COUNTBLANK(E4:E2137)</f>
        <v>77</v>
      </c>
      <c r="F3" s="162"/>
      <c r="G3" s="139">
        <f>COUNTBLANK(G4:G2137)</f>
        <v>75</v>
      </c>
      <c r="H3" s="139">
        <f>COUNTBLANK(H4:H2137)</f>
        <v>97</v>
      </c>
      <c r="I3" s="162"/>
      <c r="J3" s="139">
        <f>COUNTBLANK(J1817:J2137)</f>
        <v>18</v>
      </c>
      <c r="K3" s="139">
        <f>COUNTBLANK(K4:K2137)</f>
        <v>77</v>
      </c>
      <c r="L3" s="139">
        <f>COUNTBLANK(L4:L2137)</f>
        <v>77</v>
      </c>
      <c r="M3" s="162"/>
      <c r="N3" s="180" t="s">
        <v>349</v>
      </c>
      <c r="P3" s="218"/>
      <c r="Q3" s="221"/>
    </row>
    <row r="4" spans="1:17" ht="16.5" customHeight="1" x14ac:dyDescent="0.25">
      <c r="A4" s="66">
        <v>44295</v>
      </c>
      <c r="B4" s="67" t="s">
        <v>22</v>
      </c>
      <c r="C4" s="129" t="str">
        <f t="shared" ref="C4:C67" si="0">CONCATENATE(TEXT(A4,"TT.MM.JJJJ"),"_",B4)</f>
        <v>09.04.2021_BOYkl</v>
      </c>
      <c r="D4" s="143">
        <f>COUNTBLANK(E4)+COUNTBLANK(G4:H4)+COUNTBLANK(K4:L4)</f>
        <v>0</v>
      </c>
      <c r="E4" s="157">
        <v>7.73</v>
      </c>
      <c r="F4" s="165"/>
      <c r="G4" s="166">
        <v>785</v>
      </c>
      <c r="H4" s="167">
        <v>15</v>
      </c>
      <c r="I4" s="165"/>
      <c r="J4" s="167"/>
      <c r="K4" s="167">
        <v>8.5</v>
      </c>
      <c r="L4" s="167">
        <v>9.5</v>
      </c>
      <c r="M4" s="168"/>
      <c r="N4" s="67"/>
      <c r="O4" s="13"/>
      <c r="P4" s="23"/>
      <c r="Q4" s="13"/>
    </row>
    <row r="5" spans="1:17" ht="16.5" customHeight="1" x14ac:dyDescent="0.25">
      <c r="A5" s="66">
        <v>44295</v>
      </c>
      <c r="B5" s="67" t="s">
        <v>28</v>
      </c>
      <c r="C5" s="129" t="str">
        <f t="shared" si="0"/>
        <v>09.04.2021_BOYohBr</v>
      </c>
      <c r="D5" s="143">
        <f t="shared" ref="D5:D68" si="1">COUNTBLANK(E5)+COUNTBLANK(G5:H5)+COUNTBLANK(K5:L5)</f>
        <v>0</v>
      </c>
      <c r="E5" s="157">
        <v>8</v>
      </c>
      <c r="F5" s="165"/>
      <c r="G5" s="166">
        <v>547</v>
      </c>
      <c r="H5" s="167">
        <v>14.3</v>
      </c>
      <c r="I5" s="165"/>
      <c r="J5" s="167"/>
      <c r="K5" s="167">
        <v>8.8000000000000007</v>
      </c>
      <c r="L5" s="167">
        <v>14</v>
      </c>
      <c r="M5" s="168"/>
      <c r="N5" s="67"/>
      <c r="O5" s="13"/>
      <c r="P5" s="23"/>
      <c r="Q5" s="23"/>
    </row>
    <row r="6" spans="1:17" ht="16.5" customHeight="1" x14ac:dyDescent="0.25">
      <c r="A6" s="66">
        <v>44295</v>
      </c>
      <c r="B6" s="67" t="s">
        <v>30</v>
      </c>
      <c r="C6" s="129" t="str">
        <f t="shared" si="0"/>
        <v>09.04.2021_BOYohKi</v>
      </c>
      <c r="D6" s="143">
        <f t="shared" si="1"/>
        <v>0</v>
      </c>
      <c r="E6" s="157">
        <v>8.11</v>
      </c>
      <c r="F6" s="165"/>
      <c r="G6" s="166">
        <v>764</v>
      </c>
      <c r="H6" s="167">
        <v>12.1</v>
      </c>
      <c r="I6" s="165"/>
      <c r="J6" s="167"/>
      <c r="K6" s="167">
        <v>9.1999999999999993</v>
      </c>
      <c r="L6" s="167">
        <v>36</v>
      </c>
      <c r="M6" s="168"/>
      <c r="N6" s="67" t="s">
        <v>74</v>
      </c>
      <c r="O6" s="13"/>
    </row>
    <row r="7" spans="1:17" ht="16.5" customHeight="1" x14ac:dyDescent="0.25">
      <c r="A7" s="66">
        <v>44295</v>
      </c>
      <c r="B7" s="67" t="s">
        <v>32</v>
      </c>
      <c r="C7" s="129" t="str">
        <f t="shared" si="0"/>
        <v>09.04.2021_BOYohSp</v>
      </c>
      <c r="D7" s="143">
        <f t="shared" si="1"/>
        <v>0</v>
      </c>
      <c r="E7" s="157">
        <v>8</v>
      </c>
      <c r="F7" s="165"/>
      <c r="G7" s="166">
        <v>710</v>
      </c>
      <c r="H7" s="167">
        <v>12.7</v>
      </c>
      <c r="I7" s="165"/>
      <c r="J7" s="167"/>
      <c r="K7" s="167">
        <v>8.6</v>
      </c>
      <c r="L7" s="167">
        <v>37</v>
      </c>
      <c r="M7" s="168"/>
      <c r="N7" s="67"/>
      <c r="O7" s="13"/>
      <c r="P7" s="13"/>
      <c r="Q7" s="13"/>
    </row>
    <row r="8" spans="1:17" ht="16.5" customHeight="1" x14ac:dyDescent="0.25">
      <c r="A8" s="66">
        <v>44295</v>
      </c>
      <c r="B8" s="67" t="s">
        <v>36</v>
      </c>
      <c r="C8" s="129" t="str">
        <f t="shared" si="0"/>
        <v>09.04.2021_BOYuhSp</v>
      </c>
      <c r="D8" s="143">
        <f t="shared" si="1"/>
        <v>0</v>
      </c>
      <c r="E8" s="157">
        <v>7.89</v>
      </c>
      <c r="F8" s="165"/>
      <c r="G8" s="166">
        <v>707</v>
      </c>
      <c r="H8" s="167">
        <v>11.4</v>
      </c>
      <c r="I8" s="165"/>
      <c r="J8" s="167"/>
      <c r="K8" s="167">
        <v>8.1999999999999993</v>
      </c>
      <c r="L8" s="167">
        <v>31</v>
      </c>
      <c r="M8" s="168"/>
      <c r="N8" s="67" t="s">
        <v>74</v>
      </c>
      <c r="O8" s="13"/>
      <c r="P8" s="13"/>
      <c r="Q8" s="13"/>
    </row>
    <row r="9" spans="1:17" ht="16.5" customHeight="1" x14ac:dyDescent="0.25">
      <c r="A9" s="66">
        <v>44295</v>
      </c>
      <c r="B9" s="67" t="s">
        <v>38</v>
      </c>
      <c r="C9" s="129" t="str">
        <f t="shared" si="0"/>
        <v>09.04.2021_BRAob</v>
      </c>
      <c r="D9" s="143">
        <f t="shared" si="1"/>
        <v>0</v>
      </c>
      <c r="E9" s="157">
        <v>7.85</v>
      </c>
      <c r="F9" s="165"/>
      <c r="G9" s="166">
        <v>848</v>
      </c>
      <c r="H9" s="167">
        <v>9.1999999999999993</v>
      </c>
      <c r="I9" s="165"/>
      <c r="J9" s="167"/>
      <c r="K9" s="167">
        <v>6.9</v>
      </c>
      <c r="L9" s="167">
        <v>8</v>
      </c>
      <c r="M9" s="168"/>
      <c r="N9" s="67"/>
      <c r="O9" s="13"/>
      <c r="P9" s="13"/>
    </row>
    <row r="10" spans="1:17" ht="16.5" customHeight="1" x14ac:dyDescent="0.25">
      <c r="A10" s="66">
        <v>44295</v>
      </c>
      <c r="B10" s="67" t="s">
        <v>41</v>
      </c>
      <c r="C10" s="129" t="str">
        <f t="shared" si="0"/>
        <v>09.04.2021_BRAohBo</v>
      </c>
      <c r="D10" s="143">
        <f t="shared" si="1"/>
        <v>0</v>
      </c>
      <c r="E10" s="157">
        <v>7.9</v>
      </c>
      <c r="F10" s="165"/>
      <c r="G10" s="166">
        <v>770</v>
      </c>
      <c r="H10" s="167">
        <v>15.4</v>
      </c>
      <c r="I10" s="165"/>
      <c r="J10" s="167"/>
      <c r="K10" s="167">
        <v>8.1</v>
      </c>
      <c r="L10" s="167">
        <v>17.2</v>
      </c>
      <c r="M10" s="168"/>
      <c r="N10" s="67"/>
      <c r="O10" s="13"/>
      <c r="P10" s="13"/>
    </row>
    <row r="11" spans="1:17" ht="16.5" customHeight="1" x14ac:dyDescent="0.25">
      <c r="A11" s="66">
        <v>44295</v>
      </c>
      <c r="B11" s="67" t="s">
        <v>43</v>
      </c>
      <c r="C11" s="129" t="str">
        <f t="shared" si="0"/>
        <v>09.04.2021_HAAob</v>
      </c>
      <c r="D11" s="143">
        <f t="shared" si="1"/>
        <v>0</v>
      </c>
      <c r="E11" s="157">
        <v>8.09</v>
      </c>
      <c r="F11" s="165"/>
      <c r="G11" s="166">
        <v>792</v>
      </c>
      <c r="H11" s="167">
        <v>10.6</v>
      </c>
      <c r="I11" s="165"/>
      <c r="J11" s="167"/>
      <c r="K11" s="167">
        <v>10.199999999999999</v>
      </c>
      <c r="L11" s="167">
        <v>20.5</v>
      </c>
      <c r="M11" s="168"/>
      <c r="N11" s="67" t="s">
        <v>74</v>
      </c>
      <c r="O11" s="13"/>
    </row>
    <row r="12" spans="1:17" ht="16.5" customHeight="1" x14ac:dyDescent="0.25">
      <c r="A12" s="66">
        <v>44295</v>
      </c>
      <c r="B12" s="67" t="s">
        <v>45</v>
      </c>
      <c r="C12" s="129" t="str">
        <f t="shared" si="0"/>
        <v>09.04.2021_HAAun</v>
      </c>
      <c r="D12" s="143">
        <f t="shared" si="1"/>
        <v>0</v>
      </c>
      <c r="E12" s="157">
        <v>7.9</v>
      </c>
      <c r="F12" s="165"/>
      <c r="G12" s="166">
        <v>1033</v>
      </c>
      <c r="H12" s="167">
        <v>11.4</v>
      </c>
      <c r="I12" s="165"/>
      <c r="J12" s="167"/>
      <c r="K12" s="167">
        <v>10.1</v>
      </c>
      <c r="L12" s="167">
        <v>23</v>
      </c>
      <c r="M12" s="168"/>
      <c r="N12" s="67"/>
      <c r="O12" s="13"/>
    </row>
    <row r="13" spans="1:17" ht="16.5" customHeight="1" x14ac:dyDescent="0.25">
      <c r="A13" s="66">
        <v>44295</v>
      </c>
      <c r="B13" s="67" t="s">
        <v>47</v>
      </c>
      <c r="C13" s="129" t="str">
        <f t="shared" si="0"/>
        <v>09.04.2021_KIRob</v>
      </c>
      <c r="D13" s="143">
        <f t="shared" si="1"/>
        <v>0</v>
      </c>
      <c r="E13" s="157">
        <v>7.92</v>
      </c>
      <c r="F13" s="165"/>
      <c r="G13" s="166">
        <v>1096</v>
      </c>
      <c r="H13" s="167">
        <v>12.5</v>
      </c>
      <c r="I13" s="165"/>
      <c r="J13" s="167"/>
      <c r="K13" s="167">
        <v>8.1</v>
      </c>
      <c r="L13" s="167">
        <v>9.5</v>
      </c>
      <c r="M13" s="168"/>
      <c r="N13" s="67"/>
      <c r="O13" s="13"/>
    </row>
    <row r="14" spans="1:17" ht="16.5" customHeight="1" x14ac:dyDescent="0.25">
      <c r="A14" s="66">
        <v>44295</v>
      </c>
      <c r="B14" s="67" t="s">
        <v>49</v>
      </c>
      <c r="C14" s="129" t="str">
        <f t="shared" si="0"/>
        <v>09.04.2021_KIRun</v>
      </c>
      <c r="D14" s="143">
        <f t="shared" si="1"/>
        <v>0</v>
      </c>
      <c r="E14" s="157">
        <v>8</v>
      </c>
      <c r="F14" s="165"/>
      <c r="G14" s="166">
        <v>962</v>
      </c>
      <c r="H14" s="167">
        <v>12.2</v>
      </c>
      <c r="I14" s="165"/>
      <c r="J14" s="167"/>
      <c r="K14" s="167">
        <v>7.9</v>
      </c>
      <c r="L14" s="167">
        <v>12</v>
      </c>
      <c r="M14" s="168"/>
      <c r="N14" s="67"/>
      <c r="O14" s="13"/>
    </row>
    <row r="15" spans="1:17" ht="16.5" customHeight="1" x14ac:dyDescent="0.25">
      <c r="A15" s="66">
        <v>44295</v>
      </c>
      <c r="B15" s="67" t="s">
        <v>55</v>
      </c>
      <c r="C15" s="129" t="str">
        <f t="shared" si="0"/>
        <v>09.04.2021_QUAohBo</v>
      </c>
      <c r="D15" s="143">
        <f t="shared" si="1"/>
        <v>0</v>
      </c>
      <c r="E15" s="157">
        <v>8.06</v>
      </c>
      <c r="F15" s="165"/>
      <c r="G15" s="166">
        <v>933</v>
      </c>
      <c r="H15" s="167">
        <v>14.6</v>
      </c>
      <c r="I15" s="165"/>
      <c r="J15" s="167"/>
      <c r="K15" s="167">
        <v>8.9</v>
      </c>
      <c r="L15" s="167">
        <v>20</v>
      </c>
      <c r="M15" s="168"/>
      <c r="N15" s="67"/>
      <c r="O15" s="13"/>
    </row>
    <row r="16" spans="1:17" ht="16.5" customHeight="1" x14ac:dyDescent="0.25">
      <c r="A16" s="66">
        <v>44295</v>
      </c>
      <c r="B16" s="67" t="s">
        <v>57</v>
      </c>
      <c r="C16" s="129" t="str">
        <f t="shared" si="0"/>
        <v>09.04.2021_SCHohVo</v>
      </c>
      <c r="D16" s="143">
        <f t="shared" si="1"/>
        <v>0</v>
      </c>
      <c r="E16" s="157">
        <v>7.68</v>
      </c>
      <c r="F16" s="165"/>
      <c r="G16" s="166">
        <v>560</v>
      </c>
      <c r="H16" s="167">
        <v>15.1</v>
      </c>
      <c r="I16" s="165"/>
      <c r="J16" s="167"/>
      <c r="K16" s="167">
        <v>6.3</v>
      </c>
      <c r="L16" s="167">
        <v>16.100000000000001</v>
      </c>
      <c r="M16" s="168"/>
      <c r="N16" s="67"/>
      <c r="O16" s="13"/>
    </row>
    <row r="17" spans="1:15" ht="16.5" customHeight="1" x14ac:dyDescent="0.25">
      <c r="A17" s="66">
        <v>44295</v>
      </c>
      <c r="B17" s="67" t="s">
        <v>60</v>
      </c>
      <c r="C17" s="129" t="str">
        <f t="shared" si="0"/>
        <v>09.04.2021_VORohBo</v>
      </c>
      <c r="D17" s="143">
        <f t="shared" si="1"/>
        <v>0</v>
      </c>
      <c r="E17" s="157">
        <v>7.62</v>
      </c>
      <c r="F17" s="165"/>
      <c r="G17" s="166">
        <v>975</v>
      </c>
      <c r="H17" s="167">
        <v>14.1</v>
      </c>
      <c r="I17" s="165"/>
      <c r="J17" s="167"/>
      <c r="K17" s="167">
        <v>7.7</v>
      </c>
      <c r="L17" s="167">
        <v>10</v>
      </c>
      <c r="M17" s="168"/>
      <c r="N17" s="67"/>
      <c r="O17" s="13"/>
    </row>
    <row r="18" spans="1:15" ht="16.5" customHeight="1" x14ac:dyDescent="0.25">
      <c r="A18" s="66">
        <v>44295</v>
      </c>
      <c r="B18" s="67" t="s">
        <v>62</v>
      </c>
      <c r="C18" s="129" t="str">
        <f t="shared" si="0"/>
        <v>09.04.2021_VORuhSc</v>
      </c>
      <c r="D18" s="143">
        <f t="shared" si="1"/>
        <v>0</v>
      </c>
      <c r="E18" s="157">
        <v>7.32</v>
      </c>
      <c r="F18" s="165"/>
      <c r="G18" s="166">
        <v>908</v>
      </c>
      <c r="H18" s="167">
        <v>13.5</v>
      </c>
      <c r="I18" s="165"/>
      <c r="J18" s="167"/>
      <c r="K18" s="167">
        <v>7.2</v>
      </c>
      <c r="L18" s="167">
        <v>12.5</v>
      </c>
      <c r="M18" s="168"/>
      <c r="N18" s="67"/>
      <c r="O18" s="13"/>
    </row>
    <row r="19" spans="1:15" ht="16.5" customHeight="1" x14ac:dyDescent="0.25">
      <c r="A19" s="66">
        <v>44295</v>
      </c>
      <c r="B19" s="67" t="s">
        <v>64</v>
      </c>
      <c r="C19" s="129" t="str">
        <f t="shared" si="0"/>
        <v>09.04.2021_WITob</v>
      </c>
      <c r="D19" s="143">
        <f t="shared" si="1"/>
        <v>0</v>
      </c>
      <c r="E19" s="157">
        <v>8.1999999999999993</v>
      </c>
      <c r="F19" s="165"/>
      <c r="G19" s="166">
        <v>1303</v>
      </c>
      <c r="H19" s="167">
        <v>11.6</v>
      </c>
      <c r="I19" s="165"/>
      <c r="J19" s="167"/>
      <c r="K19" s="167">
        <v>11.6</v>
      </c>
      <c r="L19" s="167">
        <v>3</v>
      </c>
      <c r="M19" s="168"/>
      <c r="N19" s="67"/>
      <c r="O19" s="13"/>
    </row>
    <row r="20" spans="1:15" x14ac:dyDescent="0.25">
      <c r="A20" s="66">
        <v>44309</v>
      </c>
      <c r="B20" s="67" t="s">
        <v>22</v>
      </c>
      <c r="C20" s="129" t="str">
        <f t="shared" si="0"/>
        <v>23.04.2021_BOYkl</v>
      </c>
      <c r="D20" s="143">
        <f t="shared" si="1"/>
        <v>0</v>
      </c>
      <c r="E20" s="157">
        <v>7.94</v>
      </c>
      <c r="F20" s="165"/>
      <c r="G20" s="166">
        <v>497</v>
      </c>
      <c r="H20" s="167">
        <v>11.3</v>
      </c>
      <c r="I20" s="165"/>
      <c r="J20" s="167"/>
      <c r="K20" s="167">
        <v>11.4</v>
      </c>
      <c r="L20" s="167">
        <v>8.1999999999999993</v>
      </c>
      <c r="M20" s="168">
        <v>0.52013888888888904</v>
      </c>
      <c r="N20" s="67"/>
    </row>
    <row r="21" spans="1:15" x14ac:dyDescent="0.25">
      <c r="A21" s="66">
        <v>44309</v>
      </c>
      <c r="B21" s="67" t="s">
        <v>28</v>
      </c>
      <c r="C21" s="129" t="str">
        <f t="shared" si="0"/>
        <v>23.04.2021_BOYohBr</v>
      </c>
      <c r="D21" s="143">
        <f t="shared" si="1"/>
        <v>0</v>
      </c>
      <c r="E21" s="157">
        <v>7.97</v>
      </c>
      <c r="F21" s="165"/>
      <c r="G21" s="166">
        <v>566</v>
      </c>
      <c r="H21" s="167">
        <v>11.4</v>
      </c>
      <c r="I21" s="165"/>
      <c r="J21" s="167"/>
      <c r="K21" s="167">
        <v>11.6</v>
      </c>
      <c r="L21" s="167">
        <v>16.899999999999999</v>
      </c>
      <c r="M21" s="168">
        <v>0.58402777777777803</v>
      </c>
      <c r="N21" s="169"/>
    </row>
    <row r="22" spans="1:15" x14ac:dyDescent="0.25">
      <c r="A22" s="66">
        <v>44309</v>
      </c>
      <c r="B22" s="67" t="s">
        <v>30</v>
      </c>
      <c r="C22" s="129" t="str">
        <f t="shared" si="0"/>
        <v>23.04.2021_BOYohKi</v>
      </c>
      <c r="D22" s="143">
        <f t="shared" si="1"/>
        <v>0</v>
      </c>
      <c r="E22" s="157">
        <v>7.94</v>
      </c>
      <c r="F22" s="165"/>
      <c r="G22" s="166">
        <v>798</v>
      </c>
      <c r="H22" s="167">
        <v>11.5</v>
      </c>
      <c r="I22" s="165"/>
      <c r="J22" s="167"/>
      <c r="K22" s="167">
        <v>8.5</v>
      </c>
      <c r="L22" s="167">
        <v>33</v>
      </c>
      <c r="M22" s="168">
        <v>0.39930555555555602</v>
      </c>
      <c r="N22" s="67"/>
    </row>
    <row r="23" spans="1:15" x14ac:dyDescent="0.25">
      <c r="A23" s="66">
        <v>44309</v>
      </c>
      <c r="B23" s="67" t="s">
        <v>32</v>
      </c>
      <c r="C23" s="129" t="str">
        <f t="shared" si="0"/>
        <v>23.04.2021_BOYohSp</v>
      </c>
      <c r="D23" s="143">
        <f t="shared" si="1"/>
        <v>0</v>
      </c>
      <c r="E23" s="157">
        <v>7.95</v>
      </c>
      <c r="F23" s="165"/>
      <c r="G23" s="166">
        <v>709</v>
      </c>
      <c r="H23" s="167">
        <v>10.6</v>
      </c>
      <c r="I23" s="165"/>
      <c r="J23" s="167"/>
      <c r="K23" s="167">
        <v>12</v>
      </c>
      <c r="L23" s="167">
        <v>33.200000000000003</v>
      </c>
      <c r="M23" s="168">
        <v>0.62152777777777801</v>
      </c>
      <c r="N23" s="67"/>
    </row>
    <row r="24" spans="1:15" x14ac:dyDescent="0.25">
      <c r="A24" s="66">
        <v>44309</v>
      </c>
      <c r="B24" s="67" t="s">
        <v>36</v>
      </c>
      <c r="C24" s="129" t="str">
        <f t="shared" si="0"/>
        <v>23.04.2021_BOYuhSp</v>
      </c>
      <c r="D24" s="143">
        <f t="shared" si="1"/>
        <v>0</v>
      </c>
      <c r="E24" s="157">
        <v>7.87</v>
      </c>
      <c r="F24" s="165"/>
      <c r="G24" s="166">
        <v>721</v>
      </c>
      <c r="H24" s="167">
        <v>10.8</v>
      </c>
      <c r="I24" s="165"/>
      <c r="J24" s="167"/>
      <c r="K24" s="167">
        <v>11.1</v>
      </c>
      <c r="L24" s="167">
        <v>26.5</v>
      </c>
      <c r="M24" s="168">
        <v>0.60763888888888895</v>
      </c>
      <c r="N24" s="67"/>
    </row>
    <row r="25" spans="1:15" x14ac:dyDescent="0.25">
      <c r="A25" s="66">
        <v>44309</v>
      </c>
      <c r="B25" s="67" t="s">
        <v>38</v>
      </c>
      <c r="C25" s="129" t="str">
        <f t="shared" si="0"/>
        <v>23.04.2021_BRAob</v>
      </c>
      <c r="D25" s="143">
        <f t="shared" si="1"/>
        <v>0</v>
      </c>
      <c r="E25" s="157">
        <v>7.91</v>
      </c>
      <c r="F25" s="165"/>
      <c r="G25" s="166">
        <v>853</v>
      </c>
      <c r="H25" s="167">
        <v>10.3</v>
      </c>
      <c r="I25" s="165"/>
      <c r="J25" s="167"/>
      <c r="K25" s="167">
        <v>12.5</v>
      </c>
      <c r="L25" s="167">
        <v>6.6</v>
      </c>
      <c r="M25" s="168">
        <v>0.53888888888888897</v>
      </c>
      <c r="N25" s="67"/>
    </row>
    <row r="26" spans="1:15" x14ac:dyDescent="0.25">
      <c r="A26" s="66">
        <v>44309</v>
      </c>
      <c r="B26" s="67" t="s">
        <v>41</v>
      </c>
      <c r="C26" s="129" t="str">
        <f t="shared" si="0"/>
        <v>23.04.2021_BRAohBo</v>
      </c>
      <c r="D26" s="143">
        <f t="shared" si="1"/>
        <v>0</v>
      </c>
      <c r="E26" s="157">
        <v>8.18</v>
      </c>
      <c r="F26" s="165"/>
      <c r="G26" s="166">
        <v>792</v>
      </c>
      <c r="H26" s="167">
        <v>13.4</v>
      </c>
      <c r="I26" s="165"/>
      <c r="J26" s="167"/>
      <c r="K26" s="167">
        <v>12.3</v>
      </c>
      <c r="L26" s="167">
        <v>12.5</v>
      </c>
      <c r="M26" s="168">
        <v>0.55555555555555602</v>
      </c>
      <c r="N26" s="67"/>
    </row>
    <row r="27" spans="1:15" x14ac:dyDescent="0.25">
      <c r="A27" s="66">
        <v>44309</v>
      </c>
      <c r="B27" s="67" t="s">
        <v>43</v>
      </c>
      <c r="C27" s="129" t="str">
        <f t="shared" si="0"/>
        <v>23.04.2021_HAAob</v>
      </c>
      <c r="D27" s="143">
        <f t="shared" si="1"/>
        <v>0</v>
      </c>
      <c r="E27" s="157">
        <v>8.02</v>
      </c>
      <c r="F27" s="165"/>
      <c r="G27" s="166">
        <v>832</v>
      </c>
      <c r="H27" s="167">
        <v>8.1999999999999993</v>
      </c>
      <c r="I27" s="165"/>
      <c r="J27" s="167"/>
      <c r="K27" s="167">
        <v>15.5</v>
      </c>
      <c r="L27" s="167">
        <v>10.8</v>
      </c>
      <c r="M27" s="168"/>
      <c r="N27" s="67" t="s">
        <v>348</v>
      </c>
    </row>
    <row r="28" spans="1:15" x14ac:dyDescent="0.25">
      <c r="A28" s="66">
        <v>44309</v>
      </c>
      <c r="B28" s="67" t="s">
        <v>45</v>
      </c>
      <c r="C28" s="129" t="str">
        <f t="shared" si="0"/>
        <v>23.04.2021_HAAun</v>
      </c>
      <c r="D28" s="143">
        <f t="shared" si="1"/>
        <v>0</v>
      </c>
      <c r="E28" s="157">
        <v>8.02</v>
      </c>
      <c r="F28" s="165"/>
      <c r="G28" s="166">
        <v>1089</v>
      </c>
      <c r="H28" s="167">
        <v>10.199999999999999</v>
      </c>
      <c r="I28" s="165"/>
      <c r="J28" s="167"/>
      <c r="K28" s="167">
        <v>14.2</v>
      </c>
      <c r="L28" s="167">
        <v>22.4</v>
      </c>
      <c r="M28" s="168">
        <v>0.656944444444444</v>
      </c>
      <c r="N28" s="67"/>
    </row>
    <row r="29" spans="1:15" x14ac:dyDescent="0.25">
      <c r="A29" s="66">
        <v>44309</v>
      </c>
      <c r="B29" s="67" t="s">
        <v>47</v>
      </c>
      <c r="C29" s="129" t="str">
        <f t="shared" si="0"/>
        <v>23.04.2021_KIRob</v>
      </c>
      <c r="D29" s="143">
        <f t="shared" si="1"/>
        <v>0</v>
      </c>
      <c r="E29" s="157">
        <v>8.02</v>
      </c>
      <c r="F29" s="165"/>
      <c r="G29" s="166">
        <v>1089</v>
      </c>
      <c r="H29" s="167">
        <v>9.6999999999999993</v>
      </c>
      <c r="I29" s="165"/>
      <c r="J29" s="167"/>
      <c r="K29" s="167">
        <v>9.8000000000000007</v>
      </c>
      <c r="L29" s="167">
        <v>7</v>
      </c>
      <c r="M29" s="168">
        <v>0.43611111111111101</v>
      </c>
      <c r="N29" s="67"/>
    </row>
    <row r="30" spans="1:15" x14ac:dyDescent="0.25">
      <c r="A30" s="66">
        <v>44309</v>
      </c>
      <c r="B30" s="67" t="s">
        <v>49</v>
      </c>
      <c r="C30" s="129" t="str">
        <f t="shared" si="0"/>
        <v>23.04.2021_KIRun</v>
      </c>
      <c r="D30" s="143">
        <f t="shared" si="1"/>
        <v>0</v>
      </c>
      <c r="E30" s="157">
        <v>8.09</v>
      </c>
      <c r="F30" s="165"/>
      <c r="G30" s="166">
        <v>994</v>
      </c>
      <c r="H30" s="167">
        <v>11.2</v>
      </c>
      <c r="I30" s="165"/>
      <c r="J30" s="167"/>
      <c r="K30" s="167">
        <v>9.4</v>
      </c>
      <c r="L30" s="167">
        <v>4.7</v>
      </c>
      <c r="M30" s="168">
        <v>0.41805555555555601</v>
      </c>
      <c r="N30" s="67"/>
    </row>
    <row r="31" spans="1:15" x14ac:dyDescent="0.25">
      <c r="A31" s="66">
        <v>44309</v>
      </c>
      <c r="B31" s="67" t="s">
        <v>55</v>
      </c>
      <c r="C31" s="129" t="str">
        <f t="shared" si="0"/>
        <v>23.04.2021_QUAohBo</v>
      </c>
      <c r="D31" s="143">
        <f t="shared" si="1"/>
        <v>0</v>
      </c>
      <c r="E31" s="157">
        <v>7.96</v>
      </c>
      <c r="F31" s="165"/>
      <c r="G31" s="166">
        <v>907</v>
      </c>
      <c r="H31" s="167">
        <v>11.5</v>
      </c>
      <c r="I31" s="165"/>
      <c r="J31" s="167"/>
      <c r="K31" s="167">
        <v>11.7</v>
      </c>
      <c r="L31" s="167">
        <v>13.6</v>
      </c>
      <c r="M31" s="168">
        <v>0.63749999999999996</v>
      </c>
      <c r="N31" s="67"/>
    </row>
    <row r="32" spans="1:15" x14ac:dyDescent="0.25">
      <c r="A32" s="66">
        <v>44309</v>
      </c>
      <c r="B32" s="67" t="s">
        <v>57</v>
      </c>
      <c r="C32" s="129" t="str">
        <f t="shared" si="0"/>
        <v>23.04.2021_SCHohVo</v>
      </c>
      <c r="D32" s="143">
        <f t="shared" si="1"/>
        <v>0</v>
      </c>
      <c r="E32" s="157">
        <v>7.78</v>
      </c>
      <c r="F32" s="165"/>
      <c r="G32" s="166">
        <v>606</v>
      </c>
      <c r="H32" s="167">
        <v>10.5</v>
      </c>
      <c r="I32" s="165"/>
      <c r="J32" s="167"/>
      <c r="K32" s="167">
        <v>8.6</v>
      </c>
      <c r="L32" s="167">
        <v>16.2</v>
      </c>
      <c r="M32" s="168">
        <v>0.46180555555555602</v>
      </c>
      <c r="N32" s="67"/>
    </row>
    <row r="33" spans="1:14" x14ac:dyDescent="0.25">
      <c r="A33" s="66">
        <v>44309</v>
      </c>
      <c r="B33" s="67" t="s">
        <v>60</v>
      </c>
      <c r="C33" s="129" t="str">
        <f t="shared" si="0"/>
        <v>23.04.2021_VORohBo</v>
      </c>
      <c r="D33" s="143">
        <f t="shared" si="1"/>
        <v>0</v>
      </c>
      <c r="E33" s="157">
        <v>7.65</v>
      </c>
      <c r="F33" s="165"/>
      <c r="G33" s="166">
        <v>1014</v>
      </c>
      <c r="H33" s="167">
        <v>11.2</v>
      </c>
      <c r="I33" s="165"/>
      <c r="J33" s="167"/>
      <c r="K33" s="167">
        <v>9.3000000000000007</v>
      </c>
      <c r="L33" s="167">
        <v>6.9</v>
      </c>
      <c r="M33" s="168">
        <v>0.49722222222222201</v>
      </c>
      <c r="N33" s="67"/>
    </row>
    <row r="34" spans="1:14" x14ac:dyDescent="0.25">
      <c r="A34" s="66">
        <v>44309</v>
      </c>
      <c r="B34" s="67" t="s">
        <v>62</v>
      </c>
      <c r="C34" s="129" t="str">
        <f t="shared" si="0"/>
        <v>23.04.2021_VORuhSc</v>
      </c>
      <c r="D34" s="143">
        <f t="shared" si="1"/>
        <v>0</v>
      </c>
      <c r="E34" s="157">
        <v>7.3</v>
      </c>
      <c r="F34" s="165"/>
      <c r="G34" s="166">
        <v>963</v>
      </c>
      <c r="H34" s="167">
        <v>8.5</v>
      </c>
      <c r="I34" s="165"/>
      <c r="J34" s="167"/>
      <c r="K34" s="167">
        <v>8.6</v>
      </c>
      <c r="L34" s="167">
        <v>7.9</v>
      </c>
      <c r="M34" s="168">
        <v>0.47916666666666702</v>
      </c>
      <c r="N34" s="67"/>
    </row>
    <row r="35" spans="1:14" x14ac:dyDescent="0.25">
      <c r="A35" s="66">
        <v>44309</v>
      </c>
      <c r="B35" s="67" t="s">
        <v>64</v>
      </c>
      <c r="C35" s="129" t="str">
        <f t="shared" si="0"/>
        <v>23.04.2021_WITob</v>
      </c>
      <c r="D35" s="143">
        <f t="shared" si="1"/>
        <v>0</v>
      </c>
      <c r="E35" s="157">
        <v>8.08</v>
      </c>
      <c r="F35" s="165"/>
      <c r="G35" s="166">
        <v>1319</v>
      </c>
      <c r="H35" s="167">
        <v>8.1</v>
      </c>
      <c r="I35" s="165"/>
      <c r="J35" s="167"/>
      <c r="K35" s="167">
        <v>14.6</v>
      </c>
      <c r="L35" s="167">
        <v>2.8</v>
      </c>
      <c r="M35" s="168">
        <v>0.70763888888888904</v>
      </c>
      <c r="N35" s="67"/>
    </row>
    <row r="36" spans="1:14" x14ac:dyDescent="0.25">
      <c r="A36" s="66">
        <v>44323</v>
      </c>
      <c r="B36" s="67" t="s">
        <v>22</v>
      </c>
      <c r="C36" s="129" t="str">
        <f t="shared" si="0"/>
        <v>07.05.2021_BOYkl</v>
      </c>
      <c r="D36" s="143">
        <f t="shared" si="1"/>
        <v>0</v>
      </c>
      <c r="E36" s="157">
        <v>8.02</v>
      </c>
      <c r="F36" s="165"/>
      <c r="G36" s="166">
        <v>415</v>
      </c>
      <c r="H36" s="167">
        <v>12.4</v>
      </c>
      <c r="I36" s="165"/>
      <c r="J36" s="167"/>
      <c r="K36" s="167">
        <v>9.9</v>
      </c>
      <c r="L36" s="167">
        <v>5.2</v>
      </c>
      <c r="M36" s="168">
        <v>0.5</v>
      </c>
      <c r="N36" s="67"/>
    </row>
    <row r="37" spans="1:14" x14ac:dyDescent="0.25">
      <c r="A37" s="66">
        <v>44323</v>
      </c>
      <c r="B37" s="67" t="s">
        <v>25</v>
      </c>
      <c r="C37" s="129" t="str">
        <f t="shared" si="0"/>
        <v>07.05.2021_BOYohB224</v>
      </c>
      <c r="D37" s="143">
        <f t="shared" si="1"/>
        <v>0</v>
      </c>
      <c r="E37" s="157">
        <v>8.23</v>
      </c>
      <c r="F37" s="165"/>
      <c r="G37" s="166">
        <v>905</v>
      </c>
      <c r="H37" s="167">
        <v>11.6</v>
      </c>
      <c r="I37" s="165"/>
      <c r="J37" s="167"/>
      <c r="K37" s="167">
        <v>15.2</v>
      </c>
      <c r="L37" s="167">
        <v>15.4</v>
      </c>
      <c r="M37" s="168">
        <v>0.69930555555555596</v>
      </c>
      <c r="N37" s="67"/>
    </row>
    <row r="38" spans="1:14" x14ac:dyDescent="0.25">
      <c r="A38" s="66">
        <v>44323</v>
      </c>
      <c r="B38" s="67" t="s">
        <v>28</v>
      </c>
      <c r="C38" s="129" t="str">
        <f t="shared" si="0"/>
        <v>07.05.2021_BOYohBr</v>
      </c>
      <c r="D38" s="143">
        <f t="shared" si="1"/>
        <v>0</v>
      </c>
      <c r="E38" s="157">
        <v>7.72</v>
      </c>
      <c r="F38" s="165"/>
      <c r="G38" s="166">
        <v>553</v>
      </c>
      <c r="H38" s="167">
        <v>9.6999999999999993</v>
      </c>
      <c r="I38" s="165"/>
      <c r="J38" s="167"/>
      <c r="K38" s="167">
        <v>10.7</v>
      </c>
      <c r="L38" s="167">
        <v>14.6</v>
      </c>
      <c r="M38" s="168">
        <v>0.57152777777777797</v>
      </c>
      <c r="N38" s="67"/>
    </row>
    <row r="39" spans="1:14" x14ac:dyDescent="0.25">
      <c r="A39" s="66">
        <v>44323</v>
      </c>
      <c r="B39" s="67" t="s">
        <v>30</v>
      </c>
      <c r="C39" s="129" t="str">
        <f t="shared" si="0"/>
        <v>07.05.2021_BOYohKi</v>
      </c>
      <c r="D39" s="143">
        <f t="shared" si="1"/>
        <v>0</v>
      </c>
      <c r="E39" s="157">
        <v>7.87</v>
      </c>
      <c r="F39" s="165"/>
      <c r="G39" s="166">
        <v>769</v>
      </c>
      <c r="H39" s="167">
        <v>10.3</v>
      </c>
      <c r="I39" s="165"/>
      <c r="J39" s="167"/>
      <c r="K39" s="167">
        <v>8.4</v>
      </c>
      <c r="L39" s="167">
        <v>30.3</v>
      </c>
      <c r="M39" s="168">
        <v>0.39861111111111103</v>
      </c>
      <c r="N39" s="67"/>
    </row>
    <row r="40" spans="1:14" x14ac:dyDescent="0.25">
      <c r="A40" s="66">
        <v>44323</v>
      </c>
      <c r="B40" s="67" t="s">
        <v>32</v>
      </c>
      <c r="C40" s="129" t="str">
        <f t="shared" si="0"/>
        <v>07.05.2021_BOYohSp</v>
      </c>
      <c r="D40" s="143">
        <f t="shared" si="1"/>
        <v>0</v>
      </c>
      <c r="E40" s="157">
        <v>7.94</v>
      </c>
      <c r="F40" s="165"/>
      <c r="G40" s="166">
        <v>662</v>
      </c>
      <c r="H40" s="167">
        <v>11</v>
      </c>
      <c r="I40" s="165"/>
      <c r="J40" s="167"/>
      <c r="K40" s="167">
        <v>10.5</v>
      </c>
      <c r="L40" s="167">
        <v>32</v>
      </c>
      <c r="M40" s="168">
        <v>0.60624999999999996</v>
      </c>
      <c r="N40" s="67"/>
    </row>
    <row r="41" spans="1:14" x14ac:dyDescent="0.25">
      <c r="A41" s="66">
        <v>44323</v>
      </c>
      <c r="B41" s="67" t="s">
        <v>36</v>
      </c>
      <c r="C41" s="129" t="str">
        <f t="shared" si="0"/>
        <v>07.05.2021_BOYuhSp</v>
      </c>
      <c r="D41" s="143">
        <f t="shared" si="1"/>
        <v>0</v>
      </c>
      <c r="E41" s="157">
        <v>7.85</v>
      </c>
      <c r="F41" s="165"/>
      <c r="G41" s="166">
        <v>677</v>
      </c>
      <c r="H41" s="167">
        <v>10.4</v>
      </c>
      <c r="I41" s="165"/>
      <c r="J41" s="167"/>
      <c r="K41" s="167">
        <v>9.6999999999999993</v>
      </c>
      <c r="L41" s="167">
        <v>27.5</v>
      </c>
      <c r="M41" s="168">
        <v>0.59097222222222201</v>
      </c>
      <c r="N41" s="67"/>
    </row>
    <row r="42" spans="1:14" x14ac:dyDescent="0.25">
      <c r="A42" s="66">
        <v>44323</v>
      </c>
      <c r="B42" s="67" t="s">
        <v>38</v>
      </c>
      <c r="C42" s="129" t="str">
        <f t="shared" si="0"/>
        <v>07.05.2021_BRAob</v>
      </c>
      <c r="D42" s="143">
        <f t="shared" si="1"/>
        <v>0</v>
      </c>
      <c r="E42" s="157">
        <v>7.98</v>
      </c>
      <c r="F42" s="165"/>
      <c r="G42" s="166">
        <v>833</v>
      </c>
      <c r="H42" s="167">
        <v>11.3</v>
      </c>
      <c r="I42" s="165"/>
      <c r="J42" s="167"/>
      <c r="K42" s="167">
        <v>10</v>
      </c>
      <c r="L42" s="167">
        <v>4.7</v>
      </c>
      <c r="M42" s="168">
        <v>0.52152777777777803</v>
      </c>
      <c r="N42" s="67"/>
    </row>
    <row r="43" spans="1:14" x14ac:dyDescent="0.25">
      <c r="A43" s="66">
        <v>44323</v>
      </c>
      <c r="B43" s="67" t="s">
        <v>41</v>
      </c>
      <c r="C43" s="129" t="str">
        <f t="shared" si="0"/>
        <v>07.05.2021_BRAohBo</v>
      </c>
      <c r="D43" s="143">
        <f t="shared" si="1"/>
        <v>0</v>
      </c>
      <c r="E43" s="157">
        <v>8.5500000000000007</v>
      </c>
      <c r="F43" s="165"/>
      <c r="G43" s="166">
        <v>725</v>
      </c>
      <c r="H43" s="167">
        <v>15.7</v>
      </c>
      <c r="I43" s="165"/>
      <c r="J43" s="167"/>
      <c r="K43" s="167">
        <v>10.8</v>
      </c>
      <c r="L43" s="167">
        <v>11.3</v>
      </c>
      <c r="M43" s="168">
        <v>0.55069444444444504</v>
      </c>
      <c r="N43" s="67"/>
    </row>
    <row r="44" spans="1:14" x14ac:dyDescent="0.25">
      <c r="A44" s="66">
        <v>44323</v>
      </c>
      <c r="B44" s="67" t="s">
        <v>43</v>
      </c>
      <c r="C44" s="129" t="str">
        <f t="shared" si="0"/>
        <v>07.05.2021_HAAob</v>
      </c>
      <c r="D44" s="143">
        <f t="shared" si="1"/>
        <v>0</v>
      </c>
      <c r="E44" s="157">
        <v>8.0399999999999991</v>
      </c>
      <c r="F44" s="165"/>
      <c r="G44" s="166">
        <v>804</v>
      </c>
      <c r="H44" s="167">
        <v>9.9</v>
      </c>
      <c r="I44" s="165"/>
      <c r="J44" s="167"/>
      <c r="K44" s="167">
        <v>12.7</v>
      </c>
      <c r="L44" s="167">
        <v>15.4</v>
      </c>
      <c r="M44" s="168">
        <v>0.656944444444444</v>
      </c>
      <c r="N44" s="67"/>
    </row>
    <row r="45" spans="1:14" x14ac:dyDescent="0.25">
      <c r="A45" s="66">
        <v>44323</v>
      </c>
      <c r="B45" s="67" t="s">
        <v>45</v>
      </c>
      <c r="C45" s="129" t="str">
        <f t="shared" si="0"/>
        <v>07.05.2021_HAAun</v>
      </c>
      <c r="D45" s="143">
        <f t="shared" si="1"/>
        <v>0</v>
      </c>
      <c r="E45" s="157">
        <v>7.86</v>
      </c>
      <c r="F45" s="165"/>
      <c r="G45" s="166">
        <v>1044</v>
      </c>
      <c r="H45" s="167">
        <v>10.199999999999999</v>
      </c>
      <c r="I45" s="165"/>
      <c r="J45" s="167"/>
      <c r="K45" s="167">
        <v>11.7</v>
      </c>
      <c r="L45" s="167">
        <v>21.1</v>
      </c>
      <c r="M45" s="168">
        <v>0.64305555555555605</v>
      </c>
      <c r="N45" s="67"/>
    </row>
    <row r="46" spans="1:14" x14ac:dyDescent="0.25">
      <c r="A46" s="66">
        <v>44323</v>
      </c>
      <c r="B46" s="67" t="s">
        <v>47</v>
      </c>
      <c r="C46" s="129" t="str">
        <f t="shared" si="0"/>
        <v>07.05.2021_KIRob</v>
      </c>
      <c r="D46" s="143">
        <f t="shared" si="1"/>
        <v>0</v>
      </c>
      <c r="E46" s="157">
        <v>7.73</v>
      </c>
      <c r="F46" s="165"/>
      <c r="G46" s="166">
        <v>1020</v>
      </c>
      <c r="H46" s="167">
        <v>8.1</v>
      </c>
      <c r="I46" s="165"/>
      <c r="J46" s="167"/>
      <c r="K46" s="167">
        <v>9.1</v>
      </c>
      <c r="L46" s="167">
        <v>6.5</v>
      </c>
      <c r="M46" s="168">
        <v>0.43125000000000002</v>
      </c>
      <c r="N46" s="67"/>
    </row>
    <row r="47" spans="1:14" x14ac:dyDescent="0.25">
      <c r="A47" s="66">
        <v>44323</v>
      </c>
      <c r="B47" s="67" t="s">
        <v>49</v>
      </c>
      <c r="C47" s="129" t="str">
        <f t="shared" si="0"/>
        <v>07.05.2021_KIRun</v>
      </c>
      <c r="D47" s="143">
        <f t="shared" si="1"/>
        <v>0</v>
      </c>
      <c r="E47" s="157">
        <v>7.89</v>
      </c>
      <c r="F47" s="165"/>
      <c r="G47" s="166">
        <v>851</v>
      </c>
      <c r="H47" s="167">
        <v>9.9</v>
      </c>
      <c r="I47" s="165"/>
      <c r="J47" s="167"/>
      <c r="K47" s="167">
        <v>9.3000000000000007</v>
      </c>
      <c r="L47" s="167">
        <v>6.7</v>
      </c>
      <c r="M47" s="168">
        <v>0.41944444444444401</v>
      </c>
      <c r="N47" s="67"/>
    </row>
    <row r="48" spans="1:14" x14ac:dyDescent="0.25">
      <c r="A48" s="66">
        <v>44323</v>
      </c>
      <c r="B48" s="67" t="s">
        <v>53</v>
      </c>
      <c r="C48" s="129" t="str">
        <f t="shared" si="0"/>
        <v>07.05.2021_NATohBo</v>
      </c>
      <c r="D48" s="143">
        <f t="shared" si="1"/>
        <v>1</v>
      </c>
      <c r="E48" s="157">
        <v>7.9</v>
      </c>
      <c r="F48" s="165"/>
      <c r="G48" s="166">
        <v>1056</v>
      </c>
      <c r="H48" s="167">
        <v>9.6</v>
      </c>
      <c r="I48" s="165"/>
      <c r="J48" s="167"/>
      <c r="K48" s="167">
        <v>11.5</v>
      </c>
      <c r="L48" s="167"/>
      <c r="M48" s="168">
        <v>0.72569444444444497</v>
      </c>
      <c r="N48" s="67" t="s">
        <v>76</v>
      </c>
    </row>
    <row r="49" spans="1:14" x14ac:dyDescent="0.25">
      <c r="A49" s="66">
        <v>44323</v>
      </c>
      <c r="B49" s="67" t="s">
        <v>55</v>
      </c>
      <c r="C49" s="129" t="str">
        <f t="shared" si="0"/>
        <v>07.05.2021_QUAohBo</v>
      </c>
      <c r="D49" s="143">
        <f t="shared" si="1"/>
        <v>0</v>
      </c>
      <c r="E49" s="157">
        <v>7.8</v>
      </c>
      <c r="F49" s="165"/>
      <c r="G49" s="166">
        <v>884</v>
      </c>
      <c r="H49" s="167">
        <v>11.6</v>
      </c>
      <c r="I49" s="165"/>
      <c r="J49" s="167"/>
      <c r="K49" s="167">
        <v>10.5</v>
      </c>
      <c r="L49" s="167">
        <v>13.4</v>
      </c>
      <c r="M49" s="168">
        <v>0.62152777777777801</v>
      </c>
      <c r="N49" s="67"/>
    </row>
    <row r="50" spans="1:14" x14ac:dyDescent="0.25">
      <c r="A50" s="66">
        <v>44323</v>
      </c>
      <c r="B50" s="67" t="s">
        <v>57</v>
      </c>
      <c r="C50" s="129" t="str">
        <f t="shared" si="0"/>
        <v>07.05.2021_SCHohVo</v>
      </c>
      <c r="D50" s="143">
        <f t="shared" si="1"/>
        <v>0</v>
      </c>
      <c r="E50" s="157">
        <v>7.88</v>
      </c>
      <c r="F50" s="165"/>
      <c r="G50" s="166">
        <v>603</v>
      </c>
      <c r="H50" s="167">
        <v>11.2</v>
      </c>
      <c r="I50" s="165"/>
      <c r="J50" s="167"/>
      <c r="K50" s="167">
        <v>8.1</v>
      </c>
      <c r="L50" s="167">
        <v>16.100000000000001</v>
      </c>
      <c r="M50" s="168">
        <v>0.45138888888888901</v>
      </c>
      <c r="N50" s="67"/>
    </row>
    <row r="51" spans="1:14" x14ac:dyDescent="0.25">
      <c r="A51" s="66">
        <v>44323</v>
      </c>
      <c r="B51" s="67" t="s">
        <v>60</v>
      </c>
      <c r="C51" s="129" t="str">
        <f t="shared" si="0"/>
        <v>07.05.2021_VORohBo</v>
      </c>
      <c r="D51" s="143">
        <f t="shared" si="1"/>
        <v>0</v>
      </c>
      <c r="E51" s="157">
        <v>7.52</v>
      </c>
      <c r="F51" s="165"/>
      <c r="G51" s="166">
        <v>1013</v>
      </c>
      <c r="H51" s="167">
        <v>10</v>
      </c>
      <c r="I51" s="165"/>
      <c r="J51" s="167"/>
      <c r="K51" s="167">
        <v>8.8000000000000007</v>
      </c>
      <c r="L51" s="167">
        <v>4.9000000000000004</v>
      </c>
      <c r="M51" s="168">
        <v>0.47847222222222202</v>
      </c>
      <c r="N51" s="67"/>
    </row>
    <row r="52" spans="1:14" x14ac:dyDescent="0.25">
      <c r="A52" s="66">
        <v>44323</v>
      </c>
      <c r="B52" s="67" t="s">
        <v>62</v>
      </c>
      <c r="C52" s="129" t="str">
        <f t="shared" si="0"/>
        <v>07.05.2021_VORuhSc</v>
      </c>
      <c r="D52" s="143">
        <f t="shared" si="1"/>
        <v>0</v>
      </c>
      <c r="E52" s="157">
        <v>7.3</v>
      </c>
      <c r="F52" s="165"/>
      <c r="G52" s="166">
        <v>977</v>
      </c>
      <c r="H52" s="167">
        <v>8</v>
      </c>
      <c r="I52" s="165"/>
      <c r="J52" s="167"/>
      <c r="K52" s="167">
        <v>8.9</v>
      </c>
      <c r="L52" s="167">
        <v>9.9</v>
      </c>
      <c r="M52" s="168">
        <v>0.46458333333333302</v>
      </c>
      <c r="N52" s="67"/>
    </row>
    <row r="53" spans="1:14" x14ac:dyDescent="0.25">
      <c r="A53" s="66">
        <v>44323</v>
      </c>
      <c r="B53" s="67" t="s">
        <v>64</v>
      </c>
      <c r="C53" s="129" t="str">
        <f t="shared" si="0"/>
        <v>07.05.2021_WITob</v>
      </c>
      <c r="D53" s="143">
        <f t="shared" si="1"/>
        <v>0</v>
      </c>
      <c r="E53" s="157">
        <v>8.19</v>
      </c>
      <c r="F53" s="165"/>
      <c r="G53" s="166">
        <v>1255</v>
      </c>
      <c r="H53" s="167">
        <v>9.5</v>
      </c>
      <c r="I53" s="165"/>
      <c r="J53" s="167"/>
      <c r="K53" s="167">
        <v>12.6</v>
      </c>
      <c r="L53" s="167">
        <v>0.6</v>
      </c>
      <c r="M53" s="168">
        <v>0.68125000000000002</v>
      </c>
      <c r="N53" s="67"/>
    </row>
    <row r="54" spans="1:14" x14ac:dyDescent="0.25">
      <c r="A54" s="66">
        <v>44337</v>
      </c>
      <c r="B54" s="67" t="s">
        <v>22</v>
      </c>
      <c r="C54" s="129" t="str">
        <f t="shared" si="0"/>
        <v>21.05.2021_BOYkl</v>
      </c>
      <c r="D54" s="143">
        <f t="shared" si="1"/>
        <v>0</v>
      </c>
      <c r="E54" s="157">
        <v>7.99</v>
      </c>
      <c r="F54" s="165"/>
      <c r="G54" s="166">
        <v>480</v>
      </c>
      <c r="H54" s="167">
        <v>9.8000000000000007</v>
      </c>
      <c r="I54" s="165"/>
      <c r="J54" s="167"/>
      <c r="K54" s="167">
        <v>12.2</v>
      </c>
      <c r="L54" s="167">
        <v>8.5</v>
      </c>
      <c r="M54" s="168">
        <v>0.47916666666666702</v>
      </c>
      <c r="N54" s="67"/>
    </row>
    <row r="55" spans="1:14" x14ac:dyDescent="0.25">
      <c r="A55" s="66">
        <v>44337</v>
      </c>
      <c r="B55" s="67" t="s">
        <v>25</v>
      </c>
      <c r="C55" s="129" t="str">
        <f t="shared" si="0"/>
        <v>21.05.2021_BOYohB224</v>
      </c>
      <c r="D55" s="143">
        <f t="shared" si="1"/>
        <v>0</v>
      </c>
      <c r="E55" s="157">
        <v>8.9700000000000006</v>
      </c>
      <c r="F55" s="165"/>
      <c r="G55" s="166">
        <v>850</v>
      </c>
      <c r="H55" s="167">
        <v>11.4</v>
      </c>
      <c r="I55" s="165"/>
      <c r="J55" s="167"/>
      <c r="K55" s="167">
        <v>17.100000000000001</v>
      </c>
      <c r="L55" s="167">
        <v>22</v>
      </c>
      <c r="M55" s="168">
        <v>0.63541666666666696</v>
      </c>
      <c r="N55" s="67"/>
    </row>
    <row r="56" spans="1:14" x14ac:dyDescent="0.25">
      <c r="A56" s="66">
        <v>44337</v>
      </c>
      <c r="B56" s="67" t="s">
        <v>28</v>
      </c>
      <c r="C56" s="129" t="str">
        <f t="shared" si="0"/>
        <v>21.05.2021_BOYohBr</v>
      </c>
      <c r="D56" s="143">
        <f t="shared" si="1"/>
        <v>0</v>
      </c>
      <c r="E56" s="157">
        <v>7.99</v>
      </c>
      <c r="F56" s="165"/>
      <c r="G56" s="166">
        <v>533</v>
      </c>
      <c r="H56" s="167">
        <v>8.1999999999999993</v>
      </c>
      <c r="I56" s="165"/>
      <c r="J56" s="167"/>
      <c r="K56" s="167">
        <v>12.7</v>
      </c>
      <c r="L56" s="167">
        <v>18.2</v>
      </c>
      <c r="M56" s="168">
        <v>0.52777777777777801</v>
      </c>
      <c r="N56" s="67"/>
    </row>
    <row r="57" spans="1:14" x14ac:dyDescent="0.25">
      <c r="A57" s="66">
        <v>44337</v>
      </c>
      <c r="B57" s="67" t="s">
        <v>30</v>
      </c>
      <c r="C57" s="129" t="str">
        <f t="shared" si="0"/>
        <v>21.05.2021_BOYohKi</v>
      </c>
      <c r="D57" s="143">
        <f t="shared" si="1"/>
        <v>0</v>
      </c>
      <c r="E57" s="157">
        <v>8.25</v>
      </c>
      <c r="F57" s="165"/>
      <c r="G57" s="166">
        <v>724</v>
      </c>
      <c r="H57" s="167">
        <v>9.8000000000000007</v>
      </c>
      <c r="I57" s="165"/>
      <c r="J57" s="167"/>
      <c r="K57" s="167">
        <v>12.4</v>
      </c>
      <c r="L57" s="167">
        <v>35</v>
      </c>
      <c r="M57" s="168"/>
      <c r="N57" s="67" t="s">
        <v>77</v>
      </c>
    </row>
    <row r="58" spans="1:14" x14ac:dyDescent="0.25">
      <c r="A58" s="66">
        <v>44337</v>
      </c>
      <c r="B58" s="67" t="s">
        <v>32</v>
      </c>
      <c r="C58" s="129" t="str">
        <f t="shared" si="0"/>
        <v>21.05.2021_BOYohSp</v>
      </c>
      <c r="D58" s="143">
        <f t="shared" si="1"/>
        <v>0</v>
      </c>
      <c r="E58" s="157">
        <v>8.19</v>
      </c>
      <c r="F58" s="165"/>
      <c r="G58" s="166">
        <v>656</v>
      </c>
      <c r="H58" s="167">
        <v>9.3000000000000007</v>
      </c>
      <c r="I58" s="165"/>
      <c r="J58" s="167"/>
      <c r="K58" s="167">
        <v>12.7</v>
      </c>
      <c r="L58" s="167">
        <v>39.799999999999997</v>
      </c>
      <c r="M58" s="168">
        <v>0.55555555555555602</v>
      </c>
      <c r="N58" s="67" t="s">
        <v>232</v>
      </c>
    </row>
    <row r="59" spans="1:14" x14ac:dyDescent="0.25">
      <c r="A59" s="66">
        <v>44337</v>
      </c>
      <c r="B59" s="67" t="s">
        <v>36</v>
      </c>
      <c r="C59" s="129" t="str">
        <f t="shared" si="0"/>
        <v>21.05.2021_BOYuhSp</v>
      </c>
      <c r="D59" s="143">
        <f t="shared" si="1"/>
        <v>0</v>
      </c>
      <c r="E59" s="157">
        <v>8.2200000000000006</v>
      </c>
      <c r="F59" s="165"/>
      <c r="G59" s="166">
        <v>674</v>
      </c>
      <c r="H59" s="167">
        <v>9.4</v>
      </c>
      <c r="I59" s="165"/>
      <c r="J59" s="167"/>
      <c r="K59" s="167">
        <v>12.3</v>
      </c>
      <c r="L59" s="167">
        <v>33.1</v>
      </c>
      <c r="M59" s="168">
        <v>0.54166666666666696</v>
      </c>
      <c r="N59" s="67"/>
    </row>
    <row r="60" spans="1:14" x14ac:dyDescent="0.25">
      <c r="A60" s="66">
        <v>44337</v>
      </c>
      <c r="B60" s="67" t="s">
        <v>38</v>
      </c>
      <c r="C60" s="129" t="str">
        <f t="shared" si="0"/>
        <v>21.05.2021_BRAob</v>
      </c>
      <c r="D60" s="143">
        <f t="shared" si="1"/>
        <v>0</v>
      </c>
      <c r="E60" s="157">
        <v>8.1999999999999993</v>
      </c>
      <c r="F60" s="165"/>
      <c r="G60" s="166">
        <v>815</v>
      </c>
      <c r="H60" s="167">
        <v>9.1</v>
      </c>
      <c r="I60" s="165"/>
      <c r="J60" s="167"/>
      <c r="K60" s="167">
        <v>13</v>
      </c>
      <c r="L60" s="167">
        <v>6.7</v>
      </c>
      <c r="M60" s="168">
        <v>0.49305555555555602</v>
      </c>
      <c r="N60" s="67"/>
    </row>
    <row r="61" spans="1:14" x14ac:dyDescent="0.25">
      <c r="A61" s="66">
        <v>44337</v>
      </c>
      <c r="B61" s="67" t="s">
        <v>41</v>
      </c>
      <c r="C61" s="129" t="str">
        <f t="shared" si="0"/>
        <v>21.05.2021_BRAohBo</v>
      </c>
      <c r="D61" s="143">
        <f t="shared" si="1"/>
        <v>0</v>
      </c>
      <c r="E61" s="157">
        <v>8.27</v>
      </c>
      <c r="F61" s="165"/>
      <c r="G61" s="166">
        <v>760</v>
      </c>
      <c r="H61" s="167">
        <v>11</v>
      </c>
      <c r="I61" s="165"/>
      <c r="J61" s="167"/>
      <c r="K61" s="167">
        <v>13.1</v>
      </c>
      <c r="L61" s="167">
        <v>14.7</v>
      </c>
      <c r="M61" s="168">
        <v>0.51041666666666696</v>
      </c>
      <c r="N61" s="67"/>
    </row>
    <row r="62" spans="1:14" x14ac:dyDescent="0.25">
      <c r="A62" s="66">
        <v>44337</v>
      </c>
      <c r="B62" s="67" t="s">
        <v>43</v>
      </c>
      <c r="C62" s="129" t="str">
        <f t="shared" si="0"/>
        <v>21.05.2021_HAAob</v>
      </c>
      <c r="D62" s="143">
        <f t="shared" si="1"/>
        <v>0</v>
      </c>
      <c r="E62" s="157">
        <v>8.35</v>
      </c>
      <c r="F62" s="165"/>
      <c r="G62" s="166">
        <v>706</v>
      </c>
      <c r="H62" s="167">
        <v>8.5</v>
      </c>
      <c r="I62" s="165"/>
      <c r="J62" s="167"/>
      <c r="K62" s="167">
        <v>15.4</v>
      </c>
      <c r="L62" s="167">
        <v>14.7</v>
      </c>
      <c r="M62" s="168">
        <v>0.60416666666666696</v>
      </c>
      <c r="N62" s="67"/>
    </row>
    <row r="63" spans="1:14" x14ac:dyDescent="0.25">
      <c r="A63" s="66">
        <v>44337</v>
      </c>
      <c r="B63" s="67" t="s">
        <v>45</v>
      </c>
      <c r="C63" s="129" t="str">
        <f t="shared" si="0"/>
        <v>21.05.2021_HAAun</v>
      </c>
      <c r="D63" s="143">
        <f t="shared" si="1"/>
        <v>0</v>
      </c>
      <c r="E63" s="157">
        <v>8.2100000000000009</v>
      </c>
      <c r="F63" s="165"/>
      <c r="G63" s="166">
        <v>955</v>
      </c>
      <c r="H63" s="167">
        <v>8.3000000000000007</v>
      </c>
      <c r="I63" s="165"/>
      <c r="J63" s="167"/>
      <c r="K63" s="167">
        <v>14.3</v>
      </c>
      <c r="L63" s="167">
        <v>22.9</v>
      </c>
      <c r="M63" s="168">
        <v>0.58333333333333304</v>
      </c>
      <c r="N63" s="67"/>
    </row>
    <row r="64" spans="1:14" x14ac:dyDescent="0.25">
      <c r="A64" s="66">
        <v>44337</v>
      </c>
      <c r="B64" s="67" t="s">
        <v>47</v>
      </c>
      <c r="C64" s="129" t="str">
        <f t="shared" si="0"/>
        <v>21.05.2021_KIRob</v>
      </c>
      <c r="D64" s="143">
        <f t="shared" si="1"/>
        <v>0</v>
      </c>
      <c r="E64" s="157">
        <v>8.1300000000000008</v>
      </c>
      <c r="F64" s="165"/>
      <c r="G64" s="166">
        <v>1086</v>
      </c>
      <c r="H64" s="167">
        <v>7.4</v>
      </c>
      <c r="I64" s="165"/>
      <c r="J64" s="167"/>
      <c r="K64" s="167">
        <v>12.4</v>
      </c>
      <c r="L64" s="167">
        <v>7.6</v>
      </c>
      <c r="M64" s="168"/>
      <c r="N64" s="67"/>
    </row>
    <row r="65" spans="1:14" x14ac:dyDescent="0.25">
      <c r="A65" s="66">
        <v>44337</v>
      </c>
      <c r="B65" s="67" t="s">
        <v>49</v>
      </c>
      <c r="C65" s="129" t="str">
        <f t="shared" si="0"/>
        <v>21.05.2021_KIRun</v>
      </c>
      <c r="D65" s="143">
        <f t="shared" si="1"/>
        <v>0</v>
      </c>
      <c r="E65" s="157">
        <v>8.33</v>
      </c>
      <c r="F65" s="165"/>
      <c r="G65" s="166">
        <v>974</v>
      </c>
      <c r="H65" s="167">
        <v>8.6999999999999993</v>
      </c>
      <c r="I65" s="165"/>
      <c r="J65" s="167"/>
      <c r="K65" s="167">
        <v>12.2</v>
      </c>
      <c r="L65" s="167">
        <v>6.1</v>
      </c>
      <c r="M65" s="168"/>
      <c r="N65" s="67"/>
    </row>
    <row r="66" spans="1:14" x14ac:dyDescent="0.25">
      <c r="A66" s="66">
        <v>44337</v>
      </c>
      <c r="B66" s="67" t="s">
        <v>53</v>
      </c>
      <c r="C66" s="129" t="str">
        <f t="shared" si="0"/>
        <v>21.05.2021_NATohBo</v>
      </c>
      <c r="D66" s="143">
        <f t="shared" si="1"/>
        <v>1</v>
      </c>
      <c r="E66" s="157">
        <v>8.2100000000000009</v>
      </c>
      <c r="F66" s="165"/>
      <c r="G66" s="166">
        <v>1011</v>
      </c>
      <c r="H66" s="167">
        <v>10.4</v>
      </c>
      <c r="I66" s="165"/>
      <c r="J66" s="167"/>
      <c r="K66" s="167">
        <v>14</v>
      </c>
      <c r="L66" s="167"/>
      <c r="M66" s="168">
        <v>0.65625</v>
      </c>
      <c r="N66" s="67" t="s">
        <v>76</v>
      </c>
    </row>
    <row r="67" spans="1:14" x14ac:dyDescent="0.25">
      <c r="A67" s="66">
        <v>44337</v>
      </c>
      <c r="B67" s="67" t="s">
        <v>55</v>
      </c>
      <c r="C67" s="129" t="str">
        <f t="shared" si="0"/>
        <v>21.05.2021_QUAohBo</v>
      </c>
      <c r="D67" s="143">
        <f t="shared" si="1"/>
        <v>0</v>
      </c>
      <c r="E67" s="157">
        <v>8.24</v>
      </c>
      <c r="F67" s="165"/>
      <c r="G67" s="166">
        <v>886</v>
      </c>
      <c r="H67" s="167">
        <v>9.4</v>
      </c>
      <c r="I67" s="165"/>
      <c r="J67" s="167"/>
      <c r="K67" s="167">
        <v>12.6</v>
      </c>
      <c r="L67" s="167">
        <v>14.3</v>
      </c>
      <c r="M67" s="168">
        <v>0.57291666666666696</v>
      </c>
      <c r="N67" s="67"/>
    </row>
    <row r="68" spans="1:14" x14ac:dyDescent="0.25">
      <c r="A68" s="66">
        <v>44337</v>
      </c>
      <c r="B68" s="67" t="s">
        <v>57</v>
      </c>
      <c r="C68" s="129" t="str">
        <f t="shared" ref="C68:C131" si="2">CONCATENATE(TEXT(A68,"TT.MM.JJJJ"),"_",B68)</f>
        <v>21.05.2021_SCHohVo</v>
      </c>
      <c r="D68" s="143">
        <f t="shared" si="1"/>
        <v>0</v>
      </c>
      <c r="E68" s="157">
        <v>8.07</v>
      </c>
      <c r="F68" s="165"/>
      <c r="G68" s="166">
        <v>544</v>
      </c>
      <c r="H68" s="167">
        <v>9.1999999999999993</v>
      </c>
      <c r="I68" s="165"/>
      <c r="J68" s="167"/>
      <c r="K68" s="167">
        <v>12</v>
      </c>
      <c r="L68" s="167">
        <v>15.8</v>
      </c>
      <c r="M68" s="168">
        <v>0.43472222222222201</v>
      </c>
      <c r="N68" s="67"/>
    </row>
    <row r="69" spans="1:14" x14ac:dyDescent="0.25">
      <c r="A69" s="66">
        <v>44337</v>
      </c>
      <c r="B69" s="67" t="s">
        <v>60</v>
      </c>
      <c r="C69" s="129" t="str">
        <f t="shared" si="2"/>
        <v>21.05.2021_VORohBo</v>
      </c>
      <c r="D69" s="143">
        <f t="shared" ref="D69:D132" si="3">COUNTBLANK(E69)+COUNTBLANK(G69:H69)+COUNTBLANK(K69:L69)</f>
        <v>0</v>
      </c>
      <c r="E69" s="157">
        <v>7.87</v>
      </c>
      <c r="F69" s="165"/>
      <c r="G69" s="166">
        <v>935</v>
      </c>
      <c r="H69" s="167">
        <v>7.9</v>
      </c>
      <c r="I69" s="165"/>
      <c r="J69" s="167"/>
      <c r="K69" s="167">
        <v>12.1</v>
      </c>
      <c r="L69" s="167">
        <v>7.9</v>
      </c>
      <c r="M69" s="168">
        <v>0.45833333333333298</v>
      </c>
      <c r="N69" s="67"/>
    </row>
    <row r="70" spans="1:14" x14ac:dyDescent="0.25">
      <c r="A70" s="66">
        <v>44337</v>
      </c>
      <c r="B70" s="67" t="s">
        <v>62</v>
      </c>
      <c r="C70" s="129" t="str">
        <f t="shared" si="2"/>
        <v>21.05.2021_VORuhSc</v>
      </c>
      <c r="D70" s="143">
        <f t="shared" si="3"/>
        <v>0</v>
      </c>
      <c r="E70" s="157">
        <v>7.57</v>
      </c>
      <c r="F70" s="165"/>
      <c r="G70" s="166">
        <v>884</v>
      </c>
      <c r="H70" s="167">
        <v>7.6</v>
      </c>
      <c r="I70" s="165"/>
      <c r="J70" s="167"/>
      <c r="K70" s="167">
        <v>11.9</v>
      </c>
      <c r="L70" s="167">
        <v>11.3</v>
      </c>
      <c r="M70" s="168">
        <v>0.44305555555555598</v>
      </c>
      <c r="N70" s="67"/>
    </row>
    <row r="71" spans="1:14" x14ac:dyDescent="0.25">
      <c r="A71" s="66">
        <v>44337</v>
      </c>
      <c r="B71" s="67" t="s">
        <v>64</v>
      </c>
      <c r="C71" s="129" t="str">
        <f t="shared" si="2"/>
        <v>21.05.2021_WITob</v>
      </c>
      <c r="D71" s="143">
        <f t="shared" si="3"/>
        <v>0</v>
      </c>
      <c r="E71" s="157">
        <v>8.58</v>
      </c>
      <c r="F71" s="165"/>
      <c r="G71" s="166">
        <v>1296</v>
      </c>
      <c r="H71" s="167">
        <v>9.4</v>
      </c>
      <c r="I71" s="165"/>
      <c r="J71" s="167"/>
      <c r="K71" s="167">
        <v>14.4</v>
      </c>
      <c r="L71" s="167">
        <v>2</v>
      </c>
      <c r="M71" s="168">
        <v>0.625</v>
      </c>
      <c r="N71" s="67" t="s">
        <v>78</v>
      </c>
    </row>
    <row r="72" spans="1:14" x14ac:dyDescent="0.25">
      <c r="A72" s="66">
        <v>44351</v>
      </c>
      <c r="B72" s="67" t="s">
        <v>22</v>
      </c>
      <c r="C72" s="129" t="str">
        <f t="shared" si="2"/>
        <v>04.06.2021_BOYkl</v>
      </c>
      <c r="D72" s="143">
        <f t="shared" si="3"/>
        <v>0</v>
      </c>
      <c r="E72" s="157">
        <v>8.08</v>
      </c>
      <c r="F72" s="165"/>
      <c r="G72" s="166">
        <v>487</v>
      </c>
      <c r="H72" s="167">
        <v>8.1999999999999993</v>
      </c>
      <c r="I72" s="165"/>
      <c r="J72" s="167"/>
      <c r="K72" s="167">
        <v>16.399999999999999</v>
      </c>
      <c r="L72" s="167">
        <v>6.3</v>
      </c>
      <c r="M72" s="168">
        <v>0.51388888888888895</v>
      </c>
      <c r="N72" s="67"/>
    </row>
    <row r="73" spans="1:14" x14ac:dyDescent="0.25">
      <c r="A73" s="66">
        <v>44351</v>
      </c>
      <c r="B73" s="67" t="s">
        <v>25</v>
      </c>
      <c r="C73" s="129" t="str">
        <f t="shared" si="2"/>
        <v>04.06.2021_BOYohB224</v>
      </c>
      <c r="D73" s="143">
        <f t="shared" si="3"/>
        <v>0</v>
      </c>
      <c r="E73" s="157">
        <v>8.68</v>
      </c>
      <c r="F73" s="165"/>
      <c r="G73" s="166">
        <v>797</v>
      </c>
      <c r="H73" s="167">
        <v>7.9</v>
      </c>
      <c r="I73" s="165"/>
      <c r="J73" s="167"/>
      <c r="K73" s="167">
        <v>26</v>
      </c>
      <c r="L73" s="167">
        <v>24.2</v>
      </c>
      <c r="M73" s="168">
        <v>0.750694444444444</v>
      </c>
      <c r="N73" s="67"/>
    </row>
    <row r="74" spans="1:14" x14ac:dyDescent="0.25">
      <c r="A74" s="66">
        <v>44351</v>
      </c>
      <c r="B74" s="67" t="s">
        <v>28</v>
      </c>
      <c r="C74" s="129" t="str">
        <f t="shared" si="2"/>
        <v>04.06.2021_BOYohBr</v>
      </c>
      <c r="D74" s="143">
        <f t="shared" si="3"/>
        <v>0</v>
      </c>
      <c r="E74" s="157">
        <v>7.97</v>
      </c>
      <c r="F74" s="165"/>
      <c r="G74" s="166">
        <v>535</v>
      </c>
      <c r="H74" s="167">
        <v>6.4</v>
      </c>
      <c r="I74" s="165"/>
      <c r="J74" s="167"/>
      <c r="K74" s="167">
        <v>15.8</v>
      </c>
      <c r="L74" s="167">
        <v>14.1</v>
      </c>
      <c r="M74" s="168">
        <v>0.58333333333333304</v>
      </c>
      <c r="N74" s="67"/>
    </row>
    <row r="75" spans="1:14" x14ac:dyDescent="0.25">
      <c r="A75" s="66">
        <v>44351</v>
      </c>
      <c r="B75" s="67" t="s">
        <v>30</v>
      </c>
      <c r="C75" s="129" t="str">
        <f t="shared" si="2"/>
        <v>04.06.2021_BOYohKi</v>
      </c>
      <c r="D75" s="143">
        <f t="shared" si="3"/>
        <v>0</v>
      </c>
      <c r="E75" s="157">
        <v>8.17</v>
      </c>
      <c r="F75" s="165"/>
      <c r="G75" s="166">
        <v>550</v>
      </c>
      <c r="H75" s="167">
        <v>7.1</v>
      </c>
      <c r="I75" s="165"/>
      <c r="J75" s="167"/>
      <c r="K75" s="167">
        <v>17.5</v>
      </c>
      <c r="L75" s="167">
        <v>36.1</v>
      </c>
      <c r="M75" s="168">
        <v>0.38402777777777802</v>
      </c>
      <c r="N75" s="67"/>
    </row>
    <row r="76" spans="1:14" x14ac:dyDescent="0.25">
      <c r="A76" s="66">
        <v>44351</v>
      </c>
      <c r="B76" s="67" t="s">
        <v>32</v>
      </c>
      <c r="C76" s="129" t="str">
        <f t="shared" si="2"/>
        <v>04.06.2021_BOYohSp</v>
      </c>
      <c r="D76" s="143">
        <f t="shared" si="3"/>
        <v>0</v>
      </c>
      <c r="E76" s="157">
        <v>7.89</v>
      </c>
      <c r="F76" s="165"/>
      <c r="G76" s="166">
        <v>624</v>
      </c>
      <c r="H76" s="167">
        <v>6.1</v>
      </c>
      <c r="I76" s="165"/>
      <c r="J76" s="167"/>
      <c r="K76" s="167">
        <v>17.600000000000001</v>
      </c>
      <c r="L76" s="167">
        <v>14.1</v>
      </c>
      <c r="M76" s="168"/>
      <c r="N76" s="67"/>
    </row>
    <row r="77" spans="1:14" x14ac:dyDescent="0.25">
      <c r="A77" s="66">
        <v>44351</v>
      </c>
      <c r="B77" s="67" t="s">
        <v>36</v>
      </c>
      <c r="C77" s="129" t="str">
        <f t="shared" si="2"/>
        <v>04.06.2021_BOYuhSp</v>
      </c>
      <c r="D77" s="143">
        <f t="shared" si="3"/>
        <v>0</v>
      </c>
      <c r="E77" s="157">
        <v>8.1199999999999992</v>
      </c>
      <c r="F77" s="165"/>
      <c r="G77" s="166">
        <v>605</v>
      </c>
      <c r="H77" s="167">
        <v>6.6</v>
      </c>
      <c r="I77" s="165"/>
      <c r="J77" s="167"/>
      <c r="K77" s="167">
        <v>17.399999999999999</v>
      </c>
      <c r="L77" s="167">
        <v>27.6</v>
      </c>
      <c r="M77" s="168"/>
      <c r="N77" s="67"/>
    </row>
    <row r="78" spans="1:14" x14ac:dyDescent="0.25">
      <c r="A78" s="66">
        <v>44351</v>
      </c>
      <c r="B78" s="67" t="s">
        <v>38</v>
      </c>
      <c r="C78" s="129" t="str">
        <f t="shared" si="2"/>
        <v>04.06.2021_BRAob</v>
      </c>
      <c r="D78" s="143">
        <f t="shared" si="3"/>
        <v>0</v>
      </c>
      <c r="E78" s="157">
        <v>8.16</v>
      </c>
      <c r="F78" s="165"/>
      <c r="G78" s="166">
        <v>751</v>
      </c>
      <c r="H78" s="167">
        <v>7.3</v>
      </c>
      <c r="I78" s="165"/>
      <c r="J78" s="167"/>
      <c r="K78" s="167">
        <v>17.8</v>
      </c>
      <c r="L78" s="167">
        <v>7.3</v>
      </c>
      <c r="M78" s="168">
        <v>0.53819444444444398</v>
      </c>
      <c r="N78" s="67"/>
    </row>
    <row r="79" spans="1:14" x14ac:dyDescent="0.25">
      <c r="A79" s="66">
        <v>44351</v>
      </c>
      <c r="B79" s="67" t="s">
        <v>41</v>
      </c>
      <c r="C79" s="129" t="str">
        <f t="shared" si="2"/>
        <v>04.06.2021_BRAohBo</v>
      </c>
      <c r="D79" s="143">
        <f t="shared" si="3"/>
        <v>0</v>
      </c>
      <c r="E79" s="157">
        <v>8.2100000000000009</v>
      </c>
      <c r="F79" s="165"/>
      <c r="G79" s="166">
        <v>599</v>
      </c>
      <c r="H79" s="167">
        <v>7.3</v>
      </c>
      <c r="I79" s="165"/>
      <c r="J79" s="167"/>
      <c r="K79" s="167">
        <v>19.7</v>
      </c>
      <c r="L79" s="167">
        <v>13.9</v>
      </c>
      <c r="M79" s="168"/>
      <c r="N79" s="67"/>
    </row>
    <row r="80" spans="1:14" x14ac:dyDescent="0.25">
      <c r="A80" s="66">
        <v>44351</v>
      </c>
      <c r="B80" s="67" t="s">
        <v>43</v>
      </c>
      <c r="C80" s="129" t="str">
        <f t="shared" si="2"/>
        <v>04.06.2021_HAAob</v>
      </c>
      <c r="D80" s="143">
        <f t="shared" si="3"/>
        <v>0</v>
      </c>
      <c r="E80" s="157">
        <v>8.41</v>
      </c>
      <c r="F80" s="165"/>
      <c r="G80" s="166">
        <v>709</v>
      </c>
      <c r="H80" s="167">
        <v>5.8</v>
      </c>
      <c r="I80" s="165"/>
      <c r="J80" s="167"/>
      <c r="K80" s="167">
        <v>20.8</v>
      </c>
      <c r="L80" s="167">
        <v>14.3</v>
      </c>
      <c r="M80" s="168"/>
      <c r="N80" s="67"/>
    </row>
    <row r="81" spans="1:14" x14ac:dyDescent="0.25">
      <c r="A81" s="66">
        <v>44351</v>
      </c>
      <c r="B81" s="67" t="s">
        <v>45</v>
      </c>
      <c r="C81" s="129" t="str">
        <f t="shared" si="2"/>
        <v>04.06.2021_HAAun</v>
      </c>
      <c r="D81" s="143">
        <f t="shared" si="3"/>
        <v>0</v>
      </c>
      <c r="E81" s="157">
        <v>8.32</v>
      </c>
      <c r="F81" s="165"/>
      <c r="G81" s="166">
        <v>1034</v>
      </c>
      <c r="H81" s="167">
        <v>6.5</v>
      </c>
      <c r="I81" s="165"/>
      <c r="J81" s="167"/>
      <c r="K81" s="167">
        <v>18.899999999999999</v>
      </c>
      <c r="L81" s="167">
        <v>20.7</v>
      </c>
      <c r="M81" s="168"/>
      <c r="N81" s="67"/>
    </row>
    <row r="82" spans="1:14" x14ac:dyDescent="0.25">
      <c r="A82" s="66">
        <v>44351</v>
      </c>
      <c r="B82" s="67" t="s">
        <v>47</v>
      </c>
      <c r="C82" s="129" t="str">
        <f t="shared" si="2"/>
        <v>04.06.2021_KIRob</v>
      </c>
      <c r="D82" s="143">
        <f t="shared" si="3"/>
        <v>0</v>
      </c>
      <c r="E82" s="157">
        <v>7.89</v>
      </c>
      <c r="F82" s="165"/>
      <c r="G82" s="166">
        <v>975</v>
      </c>
      <c r="H82" s="167">
        <v>5</v>
      </c>
      <c r="I82" s="165"/>
      <c r="J82" s="167"/>
      <c r="K82" s="167">
        <v>15.3</v>
      </c>
      <c r="L82" s="167">
        <v>6.6</v>
      </c>
      <c r="M82" s="168"/>
      <c r="N82" s="67"/>
    </row>
    <row r="83" spans="1:14" x14ac:dyDescent="0.25">
      <c r="A83" s="66">
        <v>44351</v>
      </c>
      <c r="B83" s="67" t="s">
        <v>49</v>
      </c>
      <c r="C83" s="129" t="str">
        <f t="shared" si="2"/>
        <v>04.06.2021_KIRun</v>
      </c>
      <c r="D83" s="143">
        <f t="shared" si="3"/>
        <v>0</v>
      </c>
      <c r="E83" s="157">
        <v>8.1999999999999993</v>
      </c>
      <c r="F83" s="165"/>
      <c r="G83" s="166">
        <v>844</v>
      </c>
      <c r="H83" s="167">
        <v>7.3</v>
      </c>
      <c r="I83" s="165"/>
      <c r="J83" s="167"/>
      <c r="K83" s="167">
        <v>15.7</v>
      </c>
      <c r="L83" s="167">
        <v>6.2</v>
      </c>
      <c r="M83" s="168">
        <v>0.40486111111111101</v>
      </c>
      <c r="N83" s="67"/>
    </row>
    <row r="84" spans="1:14" x14ac:dyDescent="0.25">
      <c r="A84" s="66">
        <v>44351</v>
      </c>
      <c r="B84" s="67" t="s">
        <v>53</v>
      </c>
      <c r="C84" s="129" t="str">
        <f t="shared" si="2"/>
        <v>04.06.2021_NATohBo</v>
      </c>
      <c r="D84" s="143">
        <f t="shared" si="3"/>
        <v>1</v>
      </c>
      <c r="E84" s="157">
        <v>7.8</v>
      </c>
      <c r="F84" s="165"/>
      <c r="G84" s="166">
        <v>1772</v>
      </c>
      <c r="H84" s="167">
        <v>11.4</v>
      </c>
      <c r="I84" s="165"/>
      <c r="J84" s="167"/>
      <c r="K84" s="167">
        <v>20.399999999999999</v>
      </c>
      <c r="L84" s="167"/>
      <c r="M84" s="168">
        <v>0.76736111111111105</v>
      </c>
      <c r="N84" s="67" t="s">
        <v>76</v>
      </c>
    </row>
    <row r="85" spans="1:14" x14ac:dyDescent="0.25">
      <c r="A85" s="66">
        <v>44351</v>
      </c>
      <c r="B85" s="67" t="s">
        <v>55</v>
      </c>
      <c r="C85" s="129" t="str">
        <f t="shared" si="2"/>
        <v>04.06.2021_QUAohBo</v>
      </c>
      <c r="D85" s="143">
        <f t="shared" si="3"/>
        <v>0</v>
      </c>
      <c r="E85" s="157">
        <v>8.16</v>
      </c>
      <c r="F85" s="165"/>
      <c r="G85" s="166">
        <v>827</v>
      </c>
      <c r="H85" s="167">
        <v>5</v>
      </c>
      <c r="I85" s="165"/>
      <c r="J85" s="167"/>
      <c r="K85" s="167">
        <v>17.899999999999999</v>
      </c>
      <c r="L85" s="167">
        <v>9.9</v>
      </c>
      <c r="M85" s="168"/>
      <c r="N85" s="67"/>
    </row>
    <row r="86" spans="1:14" x14ac:dyDescent="0.25">
      <c r="A86" s="66">
        <v>44351</v>
      </c>
      <c r="B86" s="67" t="s">
        <v>57</v>
      </c>
      <c r="C86" s="129" t="str">
        <f t="shared" si="2"/>
        <v>04.06.2021_SCHohVo</v>
      </c>
      <c r="D86" s="143">
        <f t="shared" si="3"/>
        <v>0</v>
      </c>
      <c r="E86" s="157">
        <v>8.1199999999999992</v>
      </c>
      <c r="F86" s="165"/>
      <c r="G86" s="166">
        <v>572</v>
      </c>
      <c r="H86" s="167">
        <v>7.4</v>
      </c>
      <c r="I86" s="165"/>
      <c r="J86" s="167"/>
      <c r="K86" s="167">
        <v>16.399999999999999</v>
      </c>
      <c r="L86" s="167">
        <v>14.7</v>
      </c>
      <c r="M86" s="168"/>
      <c r="N86" s="67"/>
    </row>
    <row r="87" spans="1:14" x14ac:dyDescent="0.25">
      <c r="A87" s="66">
        <v>44351</v>
      </c>
      <c r="B87" s="67" t="s">
        <v>60</v>
      </c>
      <c r="C87" s="129" t="str">
        <f t="shared" si="2"/>
        <v>04.06.2021_VORohBo</v>
      </c>
      <c r="D87" s="143">
        <f t="shared" si="3"/>
        <v>0</v>
      </c>
      <c r="E87" s="157">
        <v>7.8</v>
      </c>
      <c r="F87" s="165"/>
      <c r="G87" s="166">
        <v>858</v>
      </c>
      <c r="H87" s="167">
        <v>5.0999999999999996</v>
      </c>
      <c r="I87" s="165"/>
      <c r="J87" s="167"/>
      <c r="K87" s="167">
        <v>16.600000000000001</v>
      </c>
      <c r="L87" s="167">
        <v>9.1</v>
      </c>
      <c r="M87" s="168">
        <v>0.49097222222222198</v>
      </c>
      <c r="N87" s="67"/>
    </row>
    <row r="88" spans="1:14" x14ac:dyDescent="0.25">
      <c r="A88" s="66">
        <v>44351</v>
      </c>
      <c r="B88" s="67" t="s">
        <v>62</v>
      </c>
      <c r="C88" s="129" t="str">
        <f t="shared" si="2"/>
        <v>04.06.2021_VORuhSc</v>
      </c>
      <c r="D88" s="143">
        <f t="shared" si="3"/>
        <v>0</v>
      </c>
      <c r="E88" s="157">
        <v>7.58</v>
      </c>
      <c r="F88" s="165"/>
      <c r="G88" s="166">
        <v>776</v>
      </c>
      <c r="H88" s="167">
        <v>4.5</v>
      </c>
      <c r="I88" s="165"/>
      <c r="J88" s="167"/>
      <c r="K88" s="167">
        <v>16.2</v>
      </c>
      <c r="L88" s="167">
        <v>10</v>
      </c>
      <c r="M88" s="168"/>
      <c r="N88" s="67"/>
    </row>
    <row r="89" spans="1:14" x14ac:dyDescent="0.25">
      <c r="A89" s="66">
        <v>44351</v>
      </c>
      <c r="B89" s="67" t="s">
        <v>64</v>
      </c>
      <c r="C89" s="129" t="str">
        <f t="shared" si="2"/>
        <v>04.06.2021_WITob</v>
      </c>
      <c r="D89" s="143">
        <f t="shared" si="3"/>
        <v>0</v>
      </c>
      <c r="E89" s="157">
        <v>8.66</v>
      </c>
      <c r="F89" s="165"/>
      <c r="G89" s="166">
        <v>1213</v>
      </c>
      <c r="H89" s="167">
        <v>8</v>
      </c>
      <c r="I89" s="165"/>
      <c r="J89" s="167"/>
      <c r="K89" s="167">
        <v>17.7</v>
      </c>
      <c r="L89" s="167">
        <v>0.4</v>
      </c>
      <c r="M89" s="168">
        <v>0.72916666666666696</v>
      </c>
      <c r="N89" s="67"/>
    </row>
    <row r="90" spans="1:14" x14ac:dyDescent="0.25">
      <c r="A90" s="66">
        <v>44365</v>
      </c>
      <c r="B90" s="67" t="s">
        <v>22</v>
      </c>
      <c r="C90" s="129" t="str">
        <f t="shared" si="2"/>
        <v>18.06.2021_BOYkl</v>
      </c>
      <c r="D90" s="143">
        <f t="shared" si="3"/>
        <v>0</v>
      </c>
      <c r="E90" s="157">
        <v>8.36</v>
      </c>
      <c r="F90" s="165"/>
      <c r="G90" s="166">
        <v>553</v>
      </c>
      <c r="H90" s="167">
        <v>5.7</v>
      </c>
      <c r="I90" s="165"/>
      <c r="J90" s="167"/>
      <c r="K90" s="167">
        <v>20.7</v>
      </c>
      <c r="L90" s="167">
        <v>4</v>
      </c>
      <c r="M90" s="168">
        <v>0.50694444444444398</v>
      </c>
      <c r="N90" s="67" t="s">
        <v>79</v>
      </c>
    </row>
    <row r="91" spans="1:14" x14ac:dyDescent="0.25">
      <c r="A91" s="66">
        <v>44365</v>
      </c>
      <c r="B91" s="67" t="s">
        <v>25</v>
      </c>
      <c r="C91" s="129" t="str">
        <f t="shared" si="2"/>
        <v>18.06.2021_BOYohB224</v>
      </c>
      <c r="D91" s="143">
        <f t="shared" si="3"/>
        <v>0</v>
      </c>
      <c r="E91" s="157">
        <v>8.73</v>
      </c>
      <c r="F91" s="165"/>
      <c r="G91" s="166">
        <v>1042</v>
      </c>
      <c r="H91" s="167">
        <v>9.9</v>
      </c>
      <c r="I91" s="165"/>
      <c r="J91" s="167"/>
      <c r="K91" s="167">
        <v>30</v>
      </c>
      <c r="L91" s="167">
        <v>19</v>
      </c>
      <c r="M91" s="168">
        <v>0.77083333333333304</v>
      </c>
      <c r="N91" s="67"/>
    </row>
    <row r="92" spans="1:14" x14ac:dyDescent="0.25">
      <c r="A92" s="66">
        <v>44365</v>
      </c>
      <c r="B92" s="67" t="s">
        <v>28</v>
      </c>
      <c r="C92" s="129" t="str">
        <f t="shared" si="2"/>
        <v>18.06.2021_BOYohBr</v>
      </c>
      <c r="D92" s="143">
        <f t="shared" si="3"/>
        <v>0</v>
      </c>
      <c r="E92" s="157">
        <v>8.16</v>
      </c>
      <c r="F92" s="165"/>
      <c r="G92" s="166">
        <v>570</v>
      </c>
      <c r="H92" s="167">
        <v>6.3</v>
      </c>
      <c r="I92" s="165"/>
      <c r="J92" s="167"/>
      <c r="K92" s="167">
        <v>15.2</v>
      </c>
      <c r="L92" s="167">
        <v>10</v>
      </c>
      <c r="M92" s="168">
        <v>0.57291666666666696</v>
      </c>
      <c r="N92" s="67"/>
    </row>
    <row r="93" spans="1:14" x14ac:dyDescent="0.25">
      <c r="A93" s="66">
        <v>44365</v>
      </c>
      <c r="B93" s="67" t="s">
        <v>30</v>
      </c>
      <c r="C93" s="129" t="str">
        <f t="shared" si="2"/>
        <v>18.06.2021_BOYohKi</v>
      </c>
      <c r="D93" s="143">
        <f t="shared" si="3"/>
        <v>0</v>
      </c>
      <c r="E93" s="157">
        <v>8.44</v>
      </c>
      <c r="F93" s="165"/>
      <c r="G93" s="166">
        <v>862</v>
      </c>
      <c r="H93" s="167">
        <v>8.3000000000000007</v>
      </c>
      <c r="I93" s="165"/>
      <c r="J93" s="167"/>
      <c r="K93" s="167">
        <v>19.100000000000001</v>
      </c>
      <c r="L93" s="167">
        <v>28</v>
      </c>
      <c r="M93" s="168">
        <v>0.375</v>
      </c>
      <c r="N93" s="67"/>
    </row>
    <row r="94" spans="1:14" x14ac:dyDescent="0.25">
      <c r="A94" s="66">
        <v>44365</v>
      </c>
      <c r="B94" s="67" t="s">
        <v>32</v>
      </c>
      <c r="C94" s="129" t="str">
        <f t="shared" si="2"/>
        <v>18.06.2021_BOYohSp</v>
      </c>
      <c r="D94" s="143">
        <f t="shared" si="3"/>
        <v>0</v>
      </c>
      <c r="E94" s="157">
        <v>8.32</v>
      </c>
      <c r="F94" s="165"/>
      <c r="G94" s="166">
        <v>645</v>
      </c>
      <c r="H94" s="167">
        <v>6.7</v>
      </c>
      <c r="I94" s="165"/>
      <c r="J94" s="167"/>
      <c r="K94" s="167">
        <v>17.3</v>
      </c>
      <c r="L94" s="167">
        <v>19.5</v>
      </c>
      <c r="M94" s="168">
        <v>0.62152777777777801</v>
      </c>
      <c r="N94" s="67" t="s">
        <v>80</v>
      </c>
    </row>
    <row r="95" spans="1:14" x14ac:dyDescent="0.25">
      <c r="A95" s="66">
        <v>44365</v>
      </c>
      <c r="B95" s="67" t="s">
        <v>36</v>
      </c>
      <c r="C95" s="129" t="str">
        <f t="shared" si="2"/>
        <v>18.06.2021_BOYuhSp</v>
      </c>
      <c r="D95" s="143">
        <f t="shared" si="3"/>
        <v>0</v>
      </c>
      <c r="E95" s="157">
        <v>8.4</v>
      </c>
      <c r="F95" s="165"/>
      <c r="G95" s="166">
        <v>663</v>
      </c>
      <c r="H95" s="167">
        <v>6.9</v>
      </c>
      <c r="I95" s="165"/>
      <c r="J95" s="167"/>
      <c r="K95" s="167">
        <v>17.2</v>
      </c>
      <c r="L95" s="167">
        <v>21</v>
      </c>
      <c r="M95" s="168">
        <v>0.60208333333333297</v>
      </c>
      <c r="N95" s="67"/>
    </row>
    <row r="96" spans="1:14" x14ac:dyDescent="0.25">
      <c r="A96" s="66">
        <v>44365</v>
      </c>
      <c r="B96" s="67" t="s">
        <v>38</v>
      </c>
      <c r="C96" s="129" t="str">
        <f t="shared" si="2"/>
        <v>18.06.2021_BRAob</v>
      </c>
      <c r="D96" s="143">
        <f t="shared" si="3"/>
        <v>0</v>
      </c>
      <c r="E96" s="157">
        <v>8.51</v>
      </c>
      <c r="F96" s="165"/>
      <c r="G96" s="166">
        <v>711</v>
      </c>
      <c r="H96" s="167">
        <v>6.9</v>
      </c>
      <c r="I96" s="165"/>
      <c r="J96" s="167"/>
      <c r="K96" s="167">
        <v>20</v>
      </c>
      <c r="L96" s="167">
        <v>2</v>
      </c>
      <c r="M96" s="168">
        <v>0.52777777777777801</v>
      </c>
      <c r="N96" s="67" t="s">
        <v>81</v>
      </c>
    </row>
    <row r="97" spans="1:14" x14ac:dyDescent="0.25">
      <c r="A97" s="66">
        <v>44365</v>
      </c>
      <c r="B97" s="67" t="s">
        <v>41</v>
      </c>
      <c r="C97" s="129" t="str">
        <f t="shared" si="2"/>
        <v>18.06.2021_BRAohBo</v>
      </c>
      <c r="D97" s="143">
        <f t="shared" si="3"/>
        <v>0</v>
      </c>
      <c r="E97" s="157">
        <v>8.67</v>
      </c>
      <c r="F97" s="165"/>
      <c r="G97" s="166">
        <v>758</v>
      </c>
      <c r="H97" s="167">
        <v>6.8</v>
      </c>
      <c r="I97" s="165"/>
      <c r="J97" s="167"/>
      <c r="K97" s="167">
        <v>21.7</v>
      </c>
      <c r="L97" s="167">
        <v>7</v>
      </c>
      <c r="M97" s="168">
        <v>0.55208333333333304</v>
      </c>
      <c r="N97" s="67" t="s">
        <v>82</v>
      </c>
    </row>
    <row r="98" spans="1:14" x14ac:dyDescent="0.25">
      <c r="A98" s="66">
        <v>44365</v>
      </c>
      <c r="B98" s="67" t="s">
        <v>43</v>
      </c>
      <c r="C98" s="129" t="str">
        <f t="shared" si="2"/>
        <v>18.06.2021_HAAob</v>
      </c>
      <c r="D98" s="143">
        <f t="shared" si="3"/>
        <v>0</v>
      </c>
      <c r="E98" s="157">
        <v>8.49</v>
      </c>
      <c r="F98" s="165"/>
      <c r="G98" s="166">
        <v>794</v>
      </c>
      <c r="H98" s="167">
        <v>6.7</v>
      </c>
      <c r="I98" s="165"/>
      <c r="J98" s="167"/>
      <c r="K98" s="167">
        <v>22.5</v>
      </c>
      <c r="L98" s="167">
        <v>12.5</v>
      </c>
      <c r="M98" s="168">
        <v>0.70486111111111105</v>
      </c>
      <c r="N98" s="67" t="s">
        <v>81</v>
      </c>
    </row>
    <row r="99" spans="1:14" x14ac:dyDescent="0.25">
      <c r="A99" s="66">
        <v>44365</v>
      </c>
      <c r="B99" s="67" t="s">
        <v>45</v>
      </c>
      <c r="C99" s="129" t="str">
        <f t="shared" si="2"/>
        <v>18.06.2021_HAAun</v>
      </c>
      <c r="D99" s="143">
        <f t="shared" si="3"/>
        <v>0</v>
      </c>
      <c r="E99" s="157">
        <v>8.1999999999999993</v>
      </c>
      <c r="F99" s="165"/>
      <c r="G99" s="166">
        <v>1210</v>
      </c>
      <c r="H99" s="167">
        <v>6.1</v>
      </c>
      <c r="I99" s="165"/>
      <c r="J99" s="167"/>
      <c r="K99" s="167">
        <v>20.6</v>
      </c>
      <c r="L99" s="167">
        <v>13.5</v>
      </c>
      <c r="M99" s="168">
        <v>0.6875</v>
      </c>
      <c r="N99" s="67" t="s">
        <v>80</v>
      </c>
    </row>
    <row r="100" spans="1:14" x14ac:dyDescent="0.25">
      <c r="A100" s="66">
        <v>44365</v>
      </c>
      <c r="B100" s="67" t="s">
        <v>47</v>
      </c>
      <c r="C100" s="129" t="str">
        <f t="shared" si="2"/>
        <v>18.06.2021_KIRob</v>
      </c>
      <c r="D100" s="143">
        <f t="shared" si="3"/>
        <v>0</v>
      </c>
      <c r="E100" s="157">
        <v>8.26</v>
      </c>
      <c r="F100" s="165"/>
      <c r="G100" s="166">
        <v>1150</v>
      </c>
      <c r="H100" s="167">
        <v>6.9</v>
      </c>
      <c r="I100" s="165"/>
      <c r="J100" s="167"/>
      <c r="K100" s="167">
        <v>16.600000000000001</v>
      </c>
      <c r="L100" s="167">
        <v>9</v>
      </c>
      <c r="M100" s="168">
        <v>0.4375</v>
      </c>
      <c r="N100" s="67"/>
    </row>
    <row r="101" spans="1:14" x14ac:dyDescent="0.25">
      <c r="A101" s="66">
        <v>44365</v>
      </c>
      <c r="B101" s="67" t="s">
        <v>49</v>
      </c>
      <c r="C101" s="129" t="str">
        <f t="shared" si="2"/>
        <v>18.06.2021_KIRun</v>
      </c>
      <c r="D101" s="143">
        <f t="shared" si="3"/>
        <v>0</v>
      </c>
      <c r="E101" s="157">
        <v>8.44</v>
      </c>
      <c r="F101" s="165"/>
      <c r="G101" s="166">
        <v>1036</v>
      </c>
      <c r="H101" s="167">
        <v>7.1</v>
      </c>
      <c r="I101" s="165"/>
      <c r="J101" s="167"/>
      <c r="K101" s="167">
        <v>16.3</v>
      </c>
      <c r="L101" s="167">
        <v>11</v>
      </c>
      <c r="M101" s="168">
        <v>0.41666666666666702</v>
      </c>
      <c r="N101" s="67"/>
    </row>
    <row r="102" spans="1:14" x14ac:dyDescent="0.25">
      <c r="A102" s="66">
        <v>44365</v>
      </c>
      <c r="B102" s="67" t="s">
        <v>53</v>
      </c>
      <c r="C102" s="129" t="str">
        <f t="shared" si="2"/>
        <v>18.06.2021_NATohBo</v>
      </c>
      <c r="D102" s="143">
        <f t="shared" si="3"/>
        <v>0</v>
      </c>
      <c r="E102" s="157">
        <v>7.96</v>
      </c>
      <c r="F102" s="165"/>
      <c r="G102" s="166">
        <v>1857</v>
      </c>
      <c r="H102" s="167">
        <v>8.9</v>
      </c>
      <c r="I102" s="165"/>
      <c r="J102" s="167"/>
      <c r="K102" s="167">
        <v>24.7</v>
      </c>
      <c r="L102" s="167">
        <v>8</v>
      </c>
      <c r="M102" s="168">
        <v>0.74305555555555602</v>
      </c>
      <c r="N102" s="67" t="s">
        <v>83</v>
      </c>
    </row>
    <row r="103" spans="1:14" x14ac:dyDescent="0.25">
      <c r="A103" s="66">
        <v>44365</v>
      </c>
      <c r="B103" s="67" t="s">
        <v>55</v>
      </c>
      <c r="C103" s="129" t="str">
        <f t="shared" si="2"/>
        <v>18.06.2021_QUAohBo</v>
      </c>
      <c r="D103" s="143">
        <f t="shared" si="3"/>
        <v>0</v>
      </c>
      <c r="E103" s="157">
        <v>8.15</v>
      </c>
      <c r="F103" s="165"/>
      <c r="G103" s="166">
        <v>881</v>
      </c>
      <c r="H103" s="167">
        <v>1.7</v>
      </c>
      <c r="I103" s="165"/>
      <c r="J103" s="167"/>
      <c r="K103" s="167">
        <v>21.7</v>
      </c>
      <c r="L103" s="167">
        <v>5.5</v>
      </c>
      <c r="M103" s="168">
        <v>0.65972222222222199</v>
      </c>
      <c r="N103" s="67" t="s">
        <v>79</v>
      </c>
    </row>
    <row r="104" spans="1:14" x14ac:dyDescent="0.25">
      <c r="A104" s="66">
        <v>44365</v>
      </c>
      <c r="B104" s="67" t="s">
        <v>57</v>
      </c>
      <c r="C104" s="129" t="str">
        <f t="shared" si="2"/>
        <v>18.06.2021_SCHohVo</v>
      </c>
      <c r="D104" s="143">
        <f t="shared" si="3"/>
        <v>0</v>
      </c>
      <c r="E104" s="157">
        <v>7.97</v>
      </c>
      <c r="F104" s="165"/>
      <c r="G104" s="166">
        <v>837</v>
      </c>
      <c r="H104" s="167">
        <v>5.6</v>
      </c>
      <c r="I104" s="165"/>
      <c r="J104" s="167"/>
      <c r="K104" s="167">
        <v>19.2</v>
      </c>
      <c r="L104" s="167">
        <v>3</v>
      </c>
      <c r="M104" s="168">
        <v>0.47916666666666702</v>
      </c>
      <c r="N104" s="67" t="s">
        <v>84</v>
      </c>
    </row>
    <row r="105" spans="1:14" x14ac:dyDescent="0.25">
      <c r="A105" s="66">
        <v>44365</v>
      </c>
      <c r="B105" s="67" t="s">
        <v>60</v>
      </c>
      <c r="C105" s="129" t="str">
        <f t="shared" si="2"/>
        <v>18.06.2021_VORohBo</v>
      </c>
      <c r="D105" s="143">
        <f t="shared" si="3"/>
        <v>0</v>
      </c>
      <c r="E105" s="157">
        <v>8.01</v>
      </c>
      <c r="F105" s="165"/>
      <c r="G105" s="166">
        <v>1150</v>
      </c>
      <c r="H105" s="167">
        <v>6.3</v>
      </c>
      <c r="I105" s="165"/>
      <c r="J105" s="167"/>
      <c r="K105" s="167">
        <v>16.3</v>
      </c>
      <c r="L105" s="167">
        <v>13</v>
      </c>
      <c r="M105" s="168">
        <v>0.39930555555555602</v>
      </c>
      <c r="N105" s="67" t="s">
        <v>85</v>
      </c>
    </row>
    <row r="106" spans="1:14" x14ac:dyDescent="0.25">
      <c r="A106" s="66">
        <v>44365</v>
      </c>
      <c r="B106" s="67" t="s">
        <v>62</v>
      </c>
      <c r="C106" s="129" t="str">
        <f t="shared" si="2"/>
        <v>18.06.2021_VORuhSc</v>
      </c>
      <c r="D106" s="143">
        <f t="shared" si="3"/>
        <v>0</v>
      </c>
      <c r="E106" s="157">
        <v>7.49</v>
      </c>
      <c r="F106" s="165"/>
      <c r="G106" s="166">
        <v>1206</v>
      </c>
      <c r="H106" s="167">
        <v>5.4</v>
      </c>
      <c r="I106" s="165"/>
      <c r="J106" s="167"/>
      <c r="K106" s="167">
        <v>16.3</v>
      </c>
      <c r="L106" s="167">
        <v>7</v>
      </c>
      <c r="M106" s="168">
        <v>0.45486111111111099</v>
      </c>
      <c r="N106" s="67"/>
    </row>
    <row r="107" spans="1:14" x14ac:dyDescent="0.25">
      <c r="A107" s="66">
        <v>44365</v>
      </c>
      <c r="B107" s="67" t="s">
        <v>64</v>
      </c>
      <c r="C107" s="129" t="str">
        <f t="shared" si="2"/>
        <v>18.06.2021_WITob</v>
      </c>
      <c r="D107" s="143">
        <f t="shared" si="3"/>
        <v>0</v>
      </c>
      <c r="E107" s="157">
        <v>8.67</v>
      </c>
      <c r="F107" s="165"/>
      <c r="G107" s="166">
        <v>1325</v>
      </c>
      <c r="H107" s="167">
        <v>6.9</v>
      </c>
      <c r="I107" s="165"/>
      <c r="J107" s="167"/>
      <c r="K107" s="167">
        <v>20.5</v>
      </c>
      <c r="L107" s="167">
        <v>1</v>
      </c>
      <c r="M107" s="168">
        <v>0.72222222222222199</v>
      </c>
      <c r="N107" s="67" t="s">
        <v>86</v>
      </c>
    </row>
    <row r="108" spans="1:14" x14ac:dyDescent="0.25">
      <c r="A108" s="66">
        <v>44379</v>
      </c>
      <c r="B108" s="67" t="s">
        <v>22</v>
      </c>
      <c r="C108" s="129" t="str">
        <f t="shared" si="2"/>
        <v>02.07.2021_BOYkl</v>
      </c>
      <c r="D108" s="143">
        <f t="shared" si="3"/>
        <v>0</v>
      </c>
      <c r="E108" s="157">
        <v>7.98</v>
      </c>
      <c r="F108" s="165"/>
      <c r="G108" s="166">
        <v>507</v>
      </c>
      <c r="H108" s="167">
        <v>8.1999999999999993</v>
      </c>
      <c r="I108" s="165"/>
      <c r="J108" s="167"/>
      <c r="K108" s="167">
        <v>16.600000000000001</v>
      </c>
      <c r="L108" s="167">
        <v>5.5</v>
      </c>
      <c r="M108" s="168">
        <v>0.55833333333333302</v>
      </c>
      <c r="N108" s="67"/>
    </row>
    <row r="109" spans="1:14" x14ac:dyDescent="0.25">
      <c r="A109" s="66">
        <v>44379</v>
      </c>
      <c r="B109" s="67" t="s">
        <v>25</v>
      </c>
      <c r="C109" s="129" t="str">
        <f t="shared" si="2"/>
        <v>02.07.2021_BOYohB224</v>
      </c>
      <c r="D109" s="143">
        <f t="shared" si="3"/>
        <v>0</v>
      </c>
      <c r="E109" s="157">
        <v>8.61</v>
      </c>
      <c r="F109" s="165"/>
      <c r="G109" s="166">
        <v>895</v>
      </c>
      <c r="H109" s="167">
        <v>8.5</v>
      </c>
      <c r="I109" s="165"/>
      <c r="J109" s="167"/>
      <c r="K109" s="167">
        <v>22.9</v>
      </c>
      <c r="L109" s="167">
        <v>20</v>
      </c>
      <c r="M109" s="168">
        <v>0.75902777777777797</v>
      </c>
      <c r="N109" s="67"/>
    </row>
    <row r="110" spans="1:14" x14ac:dyDescent="0.25">
      <c r="A110" s="66">
        <v>44379</v>
      </c>
      <c r="B110" s="67" t="s">
        <v>28</v>
      </c>
      <c r="C110" s="129" t="str">
        <f t="shared" si="2"/>
        <v>02.07.2021_BOYohBr</v>
      </c>
      <c r="D110" s="143">
        <f t="shared" si="3"/>
        <v>0</v>
      </c>
      <c r="E110" s="157">
        <v>7.8</v>
      </c>
      <c r="F110" s="165"/>
      <c r="G110" s="166">
        <v>516</v>
      </c>
      <c r="H110" s="167">
        <v>7.2</v>
      </c>
      <c r="I110" s="165"/>
      <c r="J110" s="167"/>
      <c r="K110" s="167">
        <v>14.3</v>
      </c>
      <c r="L110" s="167">
        <v>12</v>
      </c>
      <c r="M110" s="168">
        <v>0.60763888888888895</v>
      </c>
      <c r="N110" s="67"/>
    </row>
    <row r="111" spans="1:14" x14ac:dyDescent="0.25">
      <c r="A111" s="66">
        <v>44379</v>
      </c>
      <c r="B111" s="67" t="s">
        <v>30</v>
      </c>
      <c r="C111" s="129" t="str">
        <f t="shared" si="2"/>
        <v>02.07.2021_BOYohKi</v>
      </c>
      <c r="D111" s="143">
        <f t="shared" si="3"/>
        <v>0</v>
      </c>
      <c r="E111" s="157">
        <v>8.1300000000000008</v>
      </c>
      <c r="F111" s="165"/>
      <c r="G111" s="166">
        <v>730</v>
      </c>
      <c r="H111" s="167">
        <v>10.199999999999999</v>
      </c>
      <c r="I111" s="165"/>
      <c r="J111" s="167"/>
      <c r="K111" s="167">
        <v>15.7</v>
      </c>
      <c r="L111" s="167">
        <v>33.1</v>
      </c>
      <c r="M111" s="168">
        <v>0.40347222222222201</v>
      </c>
      <c r="N111" s="67"/>
    </row>
    <row r="112" spans="1:14" x14ac:dyDescent="0.25">
      <c r="A112" s="66">
        <v>44379</v>
      </c>
      <c r="B112" s="67" t="s">
        <v>32</v>
      </c>
      <c r="C112" s="129" t="str">
        <f t="shared" si="2"/>
        <v>02.07.2021_BOYohSp</v>
      </c>
      <c r="D112" s="143">
        <f t="shared" si="3"/>
        <v>0</v>
      </c>
      <c r="E112" s="157">
        <v>7.86</v>
      </c>
      <c r="F112" s="165"/>
      <c r="G112" s="166">
        <v>606</v>
      </c>
      <c r="H112" s="167">
        <v>7.4</v>
      </c>
      <c r="I112" s="165"/>
      <c r="J112" s="167"/>
      <c r="K112" s="167">
        <v>15.2</v>
      </c>
      <c r="L112" s="167">
        <v>31</v>
      </c>
      <c r="M112" s="168">
        <v>0.64166666666666705</v>
      </c>
      <c r="N112" s="67"/>
    </row>
    <row r="113" spans="1:14" x14ac:dyDescent="0.25">
      <c r="A113" s="66">
        <v>44379</v>
      </c>
      <c r="B113" s="67" t="s">
        <v>36</v>
      </c>
      <c r="C113" s="129" t="str">
        <f t="shared" si="2"/>
        <v>02.07.2021_BOYuhSp</v>
      </c>
      <c r="D113" s="143">
        <f t="shared" si="3"/>
        <v>0</v>
      </c>
      <c r="E113" s="157">
        <v>7.85</v>
      </c>
      <c r="F113" s="165"/>
      <c r="G113" s="166">
        <v>624</v>
      </c>
      <c r="H113" s="167">
        <v>8.6999999999999993</v>
      </c>
      <c r="I113" s="165"/>
      <c r="J113" s="167"/>
      <c r="K113" s="167">
        <v>15</v>
      </c>
      <c r="L113" s="167">
        <v>28.2</v>
      </c>
      <c r="M113" s="168">
        <v>0.625694444444444</v>
      </c>
      <c r="N113" s="67" t="s">
        <v>233</v>
      </c>
    </row>
    <row r="114" spans="1:14" x14ac:dyDescent="0.25">
      <c r="A114" s="66">
        <v>44379</v>
      </c>
      <c r="B114" s="67" t="s">
        <v>38</v>
      </c>
      <c r="C114" s="129" t="str">
        <f t="shared" si="2"/>
        <v>02.07.2021_BRAob</v>
      </c>
      <c r="D114" s="143">
        <f t="shared" si="3"/>
        <v>0</v>
      </c>
      <c r="E114" s="157">
        <v>7.81</v>
      </c>
      <c r="F114" s="165"/>
      <c r="G114" s="166">
        <v>804</v>
      </c>
      <c r="H114" s="167">
        <v>7.8</v>
      </c>
      <c r="I114" s="165"/>
      <c r="J114" s="167"/>
      <c r="K114" s="167">
        <v>16.2</v>
      </c>
      <c r="L114" s="167">
        <v>4.3</v>
      </c>
      <c r="M114" s="168">
        <v>0.57430555555555596</v>
      </c>
      <c r="N114" s="67"/>
    </row>
    <row r="115" spans="1:14" x14ac:dyDescent="0.25">
      <c r="A115" s="66">
        <v>44379</v>
      </c>
      <c r="B115" s="67" t="s">
        <v>41</v>
      </c>
      <c r="C115" s="129" t="str">
        <f t="shared" si="2"/>
        <v>02.07.2021_BRAohBo</v>
      </c>
      <c r="D115" s="143">
        <f t="shared" si="3"/>
        <v>0</v>
      </c>
      <c r="E115" s="157">
        <v>8.06</v>
      </c>
      <c r="F115" s="165"/>
      <c r="G115" s="166">
        <v>716</v>
      </c>
      <c r="H115" s="167">
        <v>8.1</v>
      </c>
      <c r="I115" s="165"/>
      <c r="J115" s="167"/>
      <c r="K115" s="167">
        <v>16.899999999999999</v>
      </c>
      <c r="L115" s="167">
        <v>12.8</v>
      </c>
      <c r="M115" s="168">
        <v>0.58958333333333302</v>
      </c>
      <c r="N115" s="67"/>
    </row>
    <row r="116" spans="1:14" x14ac:dyDescent="0.25">
      <c r="A116" s="66">
        <v>44379</v>
      </c>
      <c r="B116" s="67" t="s">
        <v>43</v>
      </c>
      <c r="C116" s="129" t="str">
        <f t="shared" si="2"/>
        <v>02.07.2021_HAAob</v>
      </c>
      <c r="D116" s="143">
        <f t="shared" si="3"/>
        <v>0</v>
      </c>
      <c r="E116" s="157">
        <v>8.02</v>
      </c>
      <c r="F116" s="165"/>
      <c r="G116" s="166">
        <v>615</v>
      </c>
      <c r="H116" s="167">
        <v>7.8</v>
      </c>
      <c r="I116" s="165"/>
      <c r="J116" s="167"/>
      <c r="K116" s="167">
        <v>18.899999999999999</v>
      </c>
      <c r="L116" s="167">
        <v>14.2</v>
      </c>
      <c r="M116" s="168">
        <v>0.70555555555555605</v>
      </c>
      <c r="N116" s="67"/>
    </row>
    <row r="117" spans="1:14" x14ac:dyDescent="0.25">
      <c r="A117" s="66">
        <v>44379</v>
      </c>
      <c r="B117" s="67" t="s">
        <v>45</v>
      </c>
      <c r="C117" s="129" t="str">
        <f t="shared" si="2"/>
        <v>02.07.2021_HAAun</v>
      </c>
      <c r="D117" s="143">
        <f t="shared" si="3"/>
        <v>0</v>
      </c>
      <c r="E117" s="157">
        <v>7.97</v>
      </c>
      <c r="F117" s="165"/>
      <c r="G117" s="166">
        <v>903</v>
      </c>
      <c r="H117" s="167">
        <v>7.5</v>
      </c>
      <c r="I117" s="165"/>
      <c r="J117" s="167"/>
      <c r="K117" s="167">
        <v>17.399999999999999</v>
      </c>
      <c r="L117" s="167">
        <v>17</v>
      </c>
      <c r="M117" s="168">
        <v>0.67916666666666703</v>
      </c>
      <c r="N117" s="67" t="s">
        <v>234</v>
      </c>
    </row>
    <row r="118" spans="1:14" x14ac:dyDescent="0.25">
      <c r="A118" s="66">
        <v>44379</v>
      </c>
      <c r="B118" s="67" t="s">
        <v>47</v>
      </c>
      <c r="C118" s="129" t="str">
        <f t="shared" si="2"/>
        <v>02.07.2021_KIRob</v>
      </c>
      <c r="D118" s="143">
        <f t="shared" si="3"/>
        <v>0</v>
      </c>
      <c r="E118" s="157">
        <v>7.81</v>
      </c>
      <c r="F118" s="165"/>
      <c r="G118" s="166">
        <v>1059</v>
      </c>
      <c r="H118" s="167">
        <v>7.3</v>
      </c>
      <c r="I118" s="165"/>
      <c r="J118" s="167"/>
      <c r="K118" s="167">
        <v>14.3</v>
      </c>
      <c r="L118" s="167">
        <v>5.4</v>
      </c>
      <c r="M118" s="168">
        <v>0.4375</v>
      </c>
      <c r="N118" s="67"/>
    </row>
    <row r="119" spans="1:14" x14ac:dyDescent="0.25">
      <c r="A119" s="66">
        <v>44379</v>
      </c>
      <c r="B119" s="67" t="s">
        <v>49</v>
      </c>
      <c r="C119" s="129" t="str">
        <f t="shared" si="2"/>
        <v>02.07.2021_KIRun</v>
      </c>
      <c r="D119" s="143">
        <f t="shared" si="3"/>
        <v>0</v>
      </c>
      <c r="E119" s="157">
        <v>7.88</v>
      </c>
      <c r="F119" s="165"/>
      <c r="G119" s="166">
        <v>924</v>
      </c>
      <c r="H119" s="167">
        <v>8</v>
      </c>
      <c r="I119" s="165"/>
      <c r="J119" s="167"/>
      <c r="K119" s="167">
        <v>14.1</v>
      </c>
      <c r="L119" s="167">
        <v>9.9</v>
      </c>
      <c r="M119" s="168">
        <v>0.422916666666667</v>
      </c>
      <c r="N119" s="67"/>
    </row>
    <row r="120" spans="1:14" x14ac:dyDescent="0.25">
      <c r="A120" s="66">
        <v>44379</v>
      </c>
      <c r="B120" s="67" t="s">
        <v>50</v>
      </c>
      <c r="C120" s="129" t="str">
        <f t="shared" si="2"/>
        <v>02.07.2021_LIEohBo</v>
      </c>
      <c r="D120" s="143">
        <f t="shared" si="3"/>
        <v>1</v>
      </c>
      <c r="E120" s="157">
        <v>7.46</v>
      </c>
      <c r="F120" s="165"/>
      <c r="G120" s="166">
        <v>1560</v>
      </c>
      <c r="H120" s="167">
        <v>4.8</v>
      </c>
      <c r="I120" s="165"/>
      <c r="J120" s="167"/>
      <c r="K120" s="167">
        <v>15.2</v>
      </c>
      <c r="L120" s="167"/>
      <c r="M120" s="168">
        <v>0.45833333333333298</v>
      </c>
      <c r="N120" s="67" t="s">
        <v>87</v>
      </c>
    </row>
    <row r="121" spans="1:14" x14ac:dyDescent="0.25">
      <c r="A121" s="66">
        <v>44379</v>
      </c>
      <c r="B121" s="67" t="s">
        <v>53</v>
      </c>
      <c r="C121" s="129" t="str">
        <f t="shared" si="2"/>
        <v>02.07.2021_NATohBo</v>
      </c>
      <c r="D121" s="143">
        <f t="shared" si="3"/>
        <v>0</v>
      </c>
      <c r="E121" s="157">
        <v>7.69</v>
      </c>
      <c r="F121" s="165"/>
      <c r="G121" s="166">
        <v>1528</v>
      </c>
      <c r="H121" s="167">
        <v>6.8</v>
      </c>
      <c r="I121" s="165"/>
      <c r="J121" s="167"/>
      <c r="K121" s="167">
        <v>17.2</v>
      </c>
      <c r="L121" s="167">
        <v>10.8</v>
      </c>
      <c r="M121" s="168">
        <v>0.77430555555555602</v>
      </c>
      <c r="N121" s="67" t="s">
        <v>235</v>
      </c>
    </row>
    <row r="122" spans="1:14" x14ac:dyDescent="0.25">
      <c r="A122" s="66">
        <v>44379</v>
      </c>
      <c r="B122" s="67" t="s">
        <v>55</v>
      </c>
      <c r="C122" s="129" t="str">
        <f t="shared" si="2"/>
        <v>02.07.2021_QUAohBo</v>
      </c>
      <c r="D122" s="143">
        <f t="shared" si="3"/>
        <v>0</v>
      </c>
      <c r="E122" s="157">
        <v>7.76</v>
      </c>
      <c r="F122" s="165"/>
      <c r="G122" s="166">
        <v>819</v>
      </c>
      <c r="H122" s="167">
        <v>6</v>
      </c>
      <c r="I122" s="165"/>
      <c r="J122" s="167"/>
      <c r="K122" s="167">
        <v>16.399999999999999</v>
      </c>
      <c r="L122" s="167">
        <v>10</v>
      </c>
      <c r="M122" s="168">
        <v>0.65902777777777799</v>
      </c>
      <c r="N122" s="67"/>
    </row>
    <row r="123" spans="1:14" x14ac:dyDescent="0.25">
      <c r="A123" s="66">
        <v>44379</v>
      </c>
      <c r="B123" s="67" t="s">
        <v>57</v>
      </c>
      <c r="C123" s="129" t="str">
        <f t="shared" si="2"/>
        <v>02.07.2021_SCHohVo</v>
      </c>
      <c r="D123" s="143">
        <f t="shared" si="3"/>
        <v>0</v>
      </c>
      <c r="E123" s="157">
        <v>7.92</v>
      </c>
      <c r="F123" s="165"/>
      <c r="G123" s="166">
        <v>671</v>
      </c>
      <c r="H123" s="167">
        <v>8</v>
      </c>
      <c r="I123" s="165"/>
      <c r="J123" s="167"/>
      <c r="K123" s="167">
        <v>15.1</v>
      </c>
      <c r="L123" s="167">
        <v>10.199999999999999</v>
      </c>
      <c r="M123" s="168">
        <v>0.45555555555555599</v>
      </c>
      <c r="N123" s="67"/>
    </row>
    <row r="124" spans="1:14" x14ac:dyDescent="0.25">
      <c r="A124" s="66">
        <v>44379</v>
      </c>
      <c r="B124" s="67" t="s">
        <v>60</v>
      </c>
      <c r="C124" s="129" t="str">
        <f t="shared" si="2"/>
        <v>02.07.2021_VORohBo</v>
      </c>
      <c r="D124" s="143">
        <f t="shared" si="3"/>
        <v>0</v>
      </c>
      <c r="E124" s="157">
        <v>7.57</v>
      </c>
      <c r="F124" s="165"/>
      <c r="G124" s="166">
        <v>971</v>
      </c>
      <c r="H124" s="167">
        <v>7.5</v>
      </c>
      <c r="I124" s="165"/>
      <c r="J124" s="167"/>
      <c r="K124" s="167">
        <v>14.7</v>
      </c>
      <c r="L124" s="167">
        <v>7.7</v>
      </c>
      <c r="M124" s="168">
        <v>0.5</v>
      </c>
      <c r="N124" s="67"/>
    </row>
    <row r="125" spans="1:14" x14ac:dyDescent="0.25">
      <c r="A125" s="66">
        <v>44379</v>
      </c>
      <c r="B125" s="67" t="s">
        <v>62</v>
      </c>
      <c r="C125" s="129" t="str">
        <f t="shared" si="2"/>
        <v>02.07.2021_VORuhSc</v>
      </c>
      <c r="D125" s="143">
        <f t="shared" si="3"/>
        <v>0</v>
      </c>
      <c r="E125" s="157">
        <v>7.33</v>
      </c>
      <c r="F125" s="165"/>
      <c r="G125" s="166">
        <v>938</v>
      </c>
      <c r="H125" s="167">
        <v>6.1</v>
      </c>
      <c r="I125" s="165"/>
      <c r="J125" s="167"/>
      <c r="K125" s="167">
        <v>14.4</v>
      </c>
      <c r="L125" s="167">
        <v>9.8000000000000007</v>
      </c>
      <c r="M125" s="168">
        <v>0.48194444444444401</v>
      </c>
      <c r="N125" s="67"/>
    </row>
    <row r="126" spans="1:14" x14ac:dyDescent="0.25">
      <c r="A126" s="66">
        <v>44379</v>
      </c>
      <c r="B126" s="67" t="s">
        <v>64</v>
      </c>
      <c r="C126" s="129" t="str">
        <f t="shared" si="2"/>
        <v>02.07.2021_WITob</v>
      </c>
      <c r="D126" s="143">
        <f t="shared" si="3"/>
        <v>0</v>
      </c>
      <c r="E126" s="157">
        <v>8.33</v>
      </c>
      <c r="F126" s="165"/>
      <c r="G126" s="166">
        <v>1222</v>
      </c>
      <c r="H126" s="167">
        <v>8.5</v>
      </c>
      <c r="I126" s="165"/>
      <c r="J126" s="167"/>
      <c r="K126" s="167">
        <v>16.7</v>
      </c>
      <c r="L126" s="167">
        <v>2</v>
      </c>
      <c r="M126" s="168">
        <v>0.72013888888888899</v>
      </c>
      <c r="N126" s="67"/>
    </row>
    <row r="127" spans="1:14" x14ac:dyDescent="0.25">
      <c r="A127" s="66">
        <v>44393</v>
      </c>
      <c r="B127" s="67" t="s">
        <v>22</v>
      </c>
      <c r="C127" s="129" t="str">
        <f t="shared" si="2"/>
        <v>16.07.2021_BOYkl</v>
      </c>
      <c r="D127" s="143">
        <f t="shared" si="3"/>
        <v>0</v>
      </c>
      <c r="E127" s="157">
        <v>7.64</v>
      </c>
      <c r="F127" s="165"/>
      <c r="G127" s="166">
        <v>475</v>
      </c>
      <c r="H127" s="167">
        <v>11.3</v>
      </c>
      <c r="I127" s="165"/>
      <c r="J127" s="167"/>
      <c r="K127" s="167">
        <v>17.100000000000001</v>
      </c>
      <c r="L127" s="167">
        <v>13</v>
      </c>
      <c r="M127" s="168">
        <v>0.49652777777777801</v>
      </c>
      <c r="N127" s="67" t="s">
        <v>88</v>
      </c>
    </row>
    <row r="128" spans="1:14" x14ac:dyDescent="0.25">
      <c r="A128" s="66">
        <v>44393</v>
      </c>
      <c r="B128" s="67" t="s">
        <v>25</v>
      </c>
      <c r="C128" s="129" t="str">
        <f t="shared" si="2"/>
        <v>16.07.2021_BOYohB224</v>
      </c>
      <c r="D128" s="143">
        <f t="shared" si="3"/>
        <v>0</v>
      </c>
      <c r="E128" s="157">
        <v>8.2799999999999994</v>
      </c>
      <c r="F128" s="165"/>
      <c r="G128" s="166">
        <v>665</v>
      </c>
      <c r="H128" s="167">
        <v>7.3</v>
      </c>
      <c r="I128" s="165"/>
      <c r="J128" s="167"/>
      <c r="K128" s="167">
        <v>18.7</v>
      </c>
      <c r="L128" s="167">
        <v>43</v>
      </c>
      <c r="M128" s="168">
        <v>0.71111111111111103</v>
      </c>
      <c r="N128" s="67"/>
    </row>
    <row r="129" spans="1:14" x14ac:dyDescent="0.25">
      <c r="A129" s="66">
        <v>44393</v>
      </c>
      <c r="B129" s="67" t="s">
        <v>28</v>
      </c>
      <c r="C129" s="129" t="str">
        <f t="shared" si="2"/>
        <v>16.07.2021_BOYohBr</v>
      </c>
      <c r="D129" s="143">
        <f t="shared" si="3"/>
        <v>0</v>
      </c>
      <c r="E129" s="157">
        <v>7.57</v>
      </c>
      <c r="F129" s="165"/>
      <c r="G129" s="166">
        <v>539</v>
      </c>
      <c r="H129" s="167">
        <v>7.5</v>
      </c>
      <c r="I129" s="165"/>
      <c r="J129" s="167"/>
      <c r="K129" s="167">
        <v>16.7</v>
      </c>
      <c r="L129" s="167">
        <v>28</v>
      </c>
      <c r="M129" s="168">
        <v>0.56458333333333299</v>
      </c>
      <c r="N129" s="67"/>
    </row>
    <row r="130" spans="1:14" x14ac:dyDescent="0.25">
      <c r="A130" s="66">
        <v>44393</v>
      </c>
      <c r="B130" s="67" t="s">
        <v>30</v>
      </c>
      <c r="C130" s="129" t="str">
        <f t="shared" si="2"/>
        <v>16.07.2021_BOYohKi</v>
      </c>
      <c r="D130" s="143">
        <f t="shared" si="3"/>
        <v>0</v>
      </c>
      <c r="E130" s="157">
        <v>7.73</v>
      </c>
      <c r="F130" s="165"/>
      <c r="G130" s="166">
        <v>610</v>
      </c>
      <c r="H130" s="167">
        <v>7.1</v>
      </c>
      <c r="I130" s="165"/>
      <c r="J130" s="167"/>
      <c r="K130" s="167">
        <v>17.100000000000001</v>
      </c>
      <c r="L130" s="167">
        <v>64</v>
      </c>
      <c r="M130" s="168">
        <v>0.39374999999999999</v>
      </c>
      <c r="N130" s="67" t="s">
        <v>88</v>
      </c>
    </row>
    <row r="131" spans="1:14" x14ac:dyDescent="0.25">
      <c r="A131" s="66">
        <v>44393</v>
      </c>
      <c r="B131" s="67" t="s">
        <v>32</v>
      </c>
      <c r="C131" s="129" t="str">
        <f t="shared" si="2"/>
        <v>16.07.2021_BOYohSp</v>
      </c>
      <c r="D131" s="143">
        <f t="shared" si="3"/>
        <v>0</v>
      </c>
      <c r="E131" s="157">
        <v>7.65</v>
      </c>
      <c r="F131" s="165"/>
      <c r="G131" s="166">
        <v>619</v>
      </c>
      <c r="H131" s="167">
        <v>8.6</v>
      </c>
      <c r="I131" s="165"/>
      <c r="J131" s="167"/>
      <c r="K131" s="167">
        <v>17</v>
      </c>
      <c r="L131" s="167">
        <v>49</v>
      </c>
      <c r="M131" s="168">
        <v>0.60138888888888897</v>
      </c>
      <c r="N131" s="67" t="s">
        <v>89</v>
      </c>
    </row>
    <row r="132" spans="1:14" x14ac:dyDescent="0.25">
      <c r="A132" s="66">
        <v>44393</v>
      </c>
      <c r="B132" s="67" t="s">
        <v>36</v>
      </c>
      <c r="C132" s="129" t="str">
        <f t="shared" ref="C132:C195" si="4">CONCATENATE(TEXT(A132,"TT.MM.JJJJ"),"_",B132)</f>
        <v>16.07.2021_BOYuhSp</v>
      </c>
      <c r="D132" s="143">
        <f t="shared" si="3"/>
        <v>0</v>
      </c>
      <c r="E132" s="157">
        <v>7.71</v>
      </c>
      <c r="F132" s="165"/>
      <c r="G132" s="166">
        <v>610</v>
      </c>
      <c r="H132" s="167">
        <v>7.9</v>
      </c>
      <c r="I132" s="165"/>
      <c r="J132" s="167"/>
      <c r="K132" s="167">
        <v>16.8</v>
      </c>
      <c r="L132" s="167">
        <v>51.5</v>
      </c>
      <c r="M132" s="168">
        <v>0.58958333333333302</v>
      </c>
      <c r="N132" s="67"/>
    </row>
    <row r="133" spans="1:14" x14ac:dyDescent="0.25">
      <c r="A133" s="66">
        <v>44393</v>
      </c>
      <c r="B133" s="67" t="s">
        <v>38</v>
      </c>
      <c r="C133" s="129" t="str">
        <f t="shared" si="4"/>
        <v>16.07.2021_BRAob</v>
      </c>
      <c r="D133" s="143">
        <f t="shared" ref="D133:D196" si="5">COUNTBLANK(E133)+COUNTBLANK(G133:H133)+COUNTBLANK(K133:L133)</f>
        <v>0</v>
      </c>
      <c r="E133" s="157">
        <v>7.84</v>
      </c>
      <c r="F133" s="165"/>
      <c r="G133" s="166">
        <v>775</v>
      </c>
      <c r="H133" s="167">
        <v>9</v>
      </c>
      <c r="I133" s="165"/>
      <c r="J133" s="167"/>
      <c r="K133" s="167">
        <v>16.399999999999999</v>
      </c>
      <c r="L133" s="167">
        <v>13</v>
      </c>
      <c r="M133" s="168">
        <v>0.52916666666666701</v>
      </c>
      <c r="N133" s="67"/>
    </row>
    <row r="134" spans="1:14" x14ac:dyDescent="0.25">
      <c r="A134" s="66">
        <v>44393</v>
      </c>
      <c r="B134" s="67" t="s">
        <v>41</v>
      </c>
      <c r="C134" s="129" t="str">
        <f t="shared" si="4"/>
        <v>16.07.2021_BRAohBo</v>
      </c>
      <c r="D134" s="143">
        <f t="shared" si="5"/>
        <v>0</v>
      </c>
      <c r="E134" s="157">
        <v>7.58</v>
      </c>
      <c r="F134" s="165"/>
      <c r="G134" s="166">
        <v>669</v>
      </c>
      <c r="H134" s="167">
        <v>6.9</v>
      </c>
      <c r="I134" s="165"/>
      <c r="J134" s="167"/>
      <c r="K134" s="167">
        <v>17.100000000000001</v>
      </c>
      <c r="L134" s="167">
        <v>39</v>
      </c>
      <c r="M134" s="168">
        <v>0.54305555555555596</v>
      </c>
      <c r="N134" s="67"/>
    </row>
    <row r="135" spans="1:14" x14ac:dyDescent="0.25">
      <c r="A135" s="66">
        <v>44393</v>
      </c>
      <c r="B135" s="67" t="s">
        <v>43</v>
      </c>
      <c r="C135" s="129" t="str">
        <f t="shared" si="4"/>
        <v>16.07.2021_HAAob</v>
      </c>
      <c r="D135" s="143">
        <f t="shared" si="5"/>
        <v>0</v>
      </c>
      <c r="E135" s="157">
        <v>8.02</v>
      </c>
      <c r="F135" s="165"/>
      <c r="G135" s="166">
        <v>594</v>
      </c>
      <c r="H135" s="167">
        <v>9.9</v>
      </c>
      <c r="I135" s="165"/>
      <c r="J135" s="167"/>
      <c r="K135" s="167">
        <v>19.8</v>
      </c>
      <c r="L135" s="167">
        <v>18</v>
      </c>
      <c r="M135" s="168">
        <v>0.67777777777777803</v>
      </c>
      <c r="N135" s="67"/>
    </row>
    <row r="136" spans="1:14" x14ac:dyDescent="0.25">
      <c r="A136" s="66">
        <v>44393</v>
      </c>
      <c r="B136" s="67" t="s">
        <v>45</v>
      </c>
      <c r="C136" s="129" t="str">
        <f t="shared" si="4"/>
        <v>16.07.2021_HAAun</v>
      </c>
      <c r="D136" s="143">
        <f t="shared" si="5"/>
        <v>0</v>
      </c>
      <c r="E136" s="157">
        <v>7.78</v>
      </c>
      <c r="F136" s="165"/>
      <c r="G136" s="166">
        <v>804</v>
      </c>
      <c r="H136" s="167">
        <v>7.4</v>
      </c>
      <c r="I136" s="165"/>
      <c r="J136" s="167"/>
      <c r="K136" s="167">
        <v>18.2</v>
      </c>
      <c r="L136" s="167">
        <v>18</v>
      </c>
      <c r="M136" s="168">
        <v>0.65972222222222199</v>
      </c>
      <c r="N136" s="67"/>
    </row>
    <row r="137" spans="1:14" x14ac:dyDescent="0.25">
      <c r="A137" s="66">
        <v>44393</v>
      </c>
      <c r="B137" s="67" t="s">
        <v>47</v>
      </c>
      <c r="C137" s="129" t="str">
        <f t="shared" si="4"/>
        <v>16.07.2021_KIRob</v>
      </c>
      <c r="D137" s="143">
        <f t="shared" si="5"/>
        <v>0</v>
      </c>
      <c r="E137" s="157">
        <v>7.88</v>
      </c>
      <c r="F137" s="165"/>
      <c r="G137" s="166">
        <v>1020</v>
      </c>
      <c r="H137" s="167">
        <v>8.6</v>
      </c>
      <c r="I137" s="165"/>
      <c r="J137" s="167"/>
      <c r="K137" s="167">
        <v>14.9</v>
      </c>
      <c r="L137" s="167">
        <v>10</v>
      </c>
      <c r="M137" s="168">
        <v>0.43541666666666701</v>
      </c>
      <c r="N137" s="67"/>
    </row>
    <row r="138" spans="1:14" x14ac:dyDescent="0.25">
      <c r="A138" s="66">
        <v>44393</v>
      </c>
      <c r="B138" s="67" t="s">
        <v>49</v>
      </c>
      <c r="C138" s="129" t="str">
        <f t="shared" si="4"/>
        <v>16.07.2021_KIRun</v>
      </c>
      <c r="D138" s="143">
        <f t="shared" si="5"/>
        <v>0</v>
      </c>
      <c r="E138" s="157">
        <v>8.11</v>
      </c>
      <c r="F138" s="165"/>
      <c r="G138" s="166">
        <v>959</v>
      </c>
      <c r="H138" s="167">
        <v>8.6</v>
      </c>
      <c r="I138" s="165"/>
      <c r="J138" s="167"/>
      <c r="K138" s="167">
        <v>15.3</v>
      </c>
      <c r="L138" s="167">
        <v>11.5</v>
      </c>
      <c r="M138" s="168">
        <v>0.41180555555555598</v>
      </c>
      <c r="N138" s="67"/>
    </row>
    <row r="139" spans="1:14" x14ac:dyDescent="0.25">
      <c r="A139" s="66">
        <v>44393</v>
      </c>
      <c r="B139" s="67" t="s">
        <v>50</v>
      </c>
      <c r="C139" s="129" t="str">
        <f t="shared" si="4"/>
        <v>16.07.2021_LIEohBo</v>
      </c>
      <c r="D139" s="143">
        <f t="shared" si="5"/>
        <v>1</v>
      </c>
      <c r="E139" s="157">
        <v>8.7899999999999991</v>
      </c>
      <c r="F139" s="165"/>
      <c r="G139" s="166"/>
      <c r="H139" s="167">
        <v>13</v>
      </c>
      <c r="I139" s="165"/>
      <c r="J139" s="167"/>
      <c r="K139" s="167">
        <v>21.8</v>
      </c>
      <c r="L139" s="167">
        <v>7.7</v>
      </c>
      <c r="M139" s="168">
        <v>0.74513888888888902</v>
      </c>
      <c r="N139" s="170"/>
    </row>
    <row r="140" spans="1:14" x14ac:dyDescent="0.25">
      <c r="A140" s="66">
        <v>44393</v>
      </c>
      <c r="B140" s="67" t="s">
        <v>53</v>
      </c>
      <c r="C140" s="129" t="str">
        <f t="shared" si="4"/>
        <v>16.07.2021_NATohBo</v>
      </c>
      <c r="D140" s="143">
        <f t="shared" si="5"/>
        <v>0</v>
      </c>
      <c r="E140" s="157">
        <v>8.1999999999999993</v>
      </c>
      <c r="F140" s="165"/>
      <c r="G140" s="166">
        <v>934</v>
      </c>
      <c r="H140" s="167">
        <v>7.3</v>
      </c>
      <c r="I140" s="165"/>
      <c r="J140" s="167"/>
      <c r="K140" s="167">
        <v>19.600000000000001</v>
      </c>
      <c r="L140" s="167">
        <v>19.5</v>
      </c>
      <c r="M140" s="168">
        <v>0.73124999999999996</v>
      </c>
      <c r="N140" s="67"/>
    </row>
    <row r="141" spans="1:14" x14ac:dyDescent="0.25">
      <c r="A141" s="66">
        <v>44393</v>
      </c>
      <c r="B141" s="67" t="s">
        <v>55</v>
      </c>
      <c r="C141" s="129" t="str">
        <f t="shared" si="4"/>
        <v>16.07.2021_QUAohBo</v>
      </c>
      <c r="D141" s="143">
        <f t="shared" si="5"/>
        <v>0</v>
      </c>
      <c r="E141" s="157">
        <v>7.63</v>
      </c>
      <c r="F141" s="165"/>
      <c r="G141" s="166">
        <v>788</v>
      </c>
      <c r="H141" s="167">
        <v>6.3</v>
      </c>
      <c r="I141" s="165"/>
      <c r="J141" s="167"/>
      <c r="K141" s="167">
        <v>17.100000000000001</v>
      </c>
      <c r="L141" s="167">
        <v>41</v>
      </c>
      <c r="M141" s="168">
        <v>0.62291666666666701</v>
      </c>
      <c r="N141" s="67"/>
    </row>
    <row r="142" spans="1:14" x14ac:dyDescent="0.25">
      <c r="A142" s="66">
        <v>44393</v>
      </c>
      <c r="B142" s="67" t="s">
        <v>57</v>
      </c>
      <c r="C142" s="129" t="str">
        <f t="shared" si="4"/>
        <v>16.07.2021_SCHohVo</v>
      </c>
      <c r="D142" s="143">
        <f t="shared" si="5"/>
        <v>0</v>
      </c>
      <c r="E142" s="157">
        <v>7.81</v>
      </c>
      <c r="F142" s="165"/>
      <c r="G142" s="166">
        <v>423</v>
      </c>
      <c r="H142" s="167">
        <v>9.1999999999999993</v>
      </c>
      <c r="I142" s="165"/>
      <c r="J142" s="167"/>
      <c r="K142" s="167">
        <v>17</v>
      </c>
      <c r="L142" s="167">
        <v>16</v>
      </c>
      <c r="M142" s="168">
        <v>0.45069444444444401</v>
      </c>
      <c r="N142" s="67"/>
    </row>
    <row r="143" spans="1:14" x14ac:dyDescent="0.25">
      <c r="A143" s="66">
        <v>44393</v>
      </c>
      <c r="B143" s="67" t="s">
        <v>60</v>
      </c>
      <c r="C143" s="129" t="str">
        <f t="shared" si="4"/>
        <v>16.07.2021_VORohBo</v>
      </c>
      <c r="D143" s="143">
        <f t="shared" si="5"/>
        <v>0</v>
      </c>
      <c r="E143" s="157">
        <v>7.74</v>
      </c>
      <c r="F143" s="165"/>
      <c r="G143" s="166">
        <v>781</v>
      </c>
      <c r="H143" s="167">
        <v>7.4</v>
      </c>
      <c r="I143" s="165"/>
      <c r="J143" s="167"/>
      <c r="K143" s="167">
        <v>16.399999999999999</v>
      </c>
      <c r="L143" s="167">
        <v>13.5</v>
      </c>
      <c r="M143" s="168">
        <v>0.47638888888888897</v>
      </c>
      <c r="N143" s="67"/>
    </row>
    <row r="144" spans="1:14" x14ac:dyDescent="0.25">
      <c r="A144" s="66">
        <v>44393</v>
      </c>
      <c r="B144" s="67" t="s">
        <v>62</v>
      </c>
      <c r="C144" s="129" t="str">
        <f t="shared" si="4"/>
        <v>16.07.2021_VORuhSc</v>
      </c>
      <c r="D144" s="143">
        <f t="shared" si="5"/>
        <v>0</v>
      </c>
      <c r="E144" s="157">
        <v>7.51</v>
      </c>
      <c r="F144" s="165"/>
      <c r="G144" s="166">
        <v>709</v>
      </c>
      <c r="H144" s="167">
        <v>6.4</v>
      </c>
      <c r="I144" s="165"/>
      <c r="J144" s="167"/>
      <c r="K144" s="167">
        <v>16.5</v>
      </c>
      <c r="L144" s="167">
        <v>14</v>
      </c>
      <c r="M144" s="168">
        <v>0.46319444444444402</v>
      </c>
      <c r="N144" s="67"/>
    </row>
    <row r="145" spans="1:14" x14ac:dyDescent="0.25">
      <c r="A145" s="66">
        <v>44393</v>
      </c>
      <c r="B145" s="67" t="s">
        <v>64</v>
      </c>
      <c r="C145" s="129" t="str">
        <f t="shared" si="4"/>
        <v>16.07.2021_WITob</v>
      </c>
      <c r="D145" s="143">
        <f t="shared" si="5"/>
        <v>0</v>
      </c>
      <c r="E145" s="157">
        <v>8.49</v>
      </c>
      <c r="F145" s="165"/>
      <c r="G145" s="166">
        <v>1355</v>
      </c>
      <c r="H145" s="167">
        <v>8.8000000000000007</v>
      </c>
      <c r="I145" s="165"/>
      <c r="J145" s="167"/>
      <c r="K145" s="167">
        <v>16.5</v>
      </c>
      <c r="L145" s="167">
        <v>4</v>
      </c>
      <c r="M145" s="168">
        <v>0.69861111111111096</v>
      </c>
      <c r="N145" s="67"/>
    </row>
    <row r="146" spans="1:14" x14ac:dyDescent="0.25">
      <c r="A146" s="66">
        <v>44407</v>
      </c>
      <c r="B146" s="67" t="s">
        <v>22</v>
      </c>
      <c r="C146" s="129" t="str">
        <f t="shared" si="4"/>
        <v>30.07.2021_BOYkl</v>
      </c>
      <c r="D146" s="143">
        <f t="shared" si="5"/>
        <v>0</v>
      </c>
      <c r="E146" s="157">
        <v>8.5299999999999994</v>
      </c>
      <c r="F146" s="165"/>
      <c r="G146" s="166">
        <v>516</v>
      </c>
      <c r="H146" s="167">
        <v>7.9</v>
      </c>
      <c r="I146" s="165"/>
      <c r="J146" s="167"/>
      <c r="K146" s="167">
        <v>17.2</v>
      </c>
      <c r="L146" s="167">
        <v>10</v>
      </c>
      <c r="M146" s="168">
        <v>0.53819444444444398</v>
      </c>
      <c r="N146" s="171" t="s">
        <v>236</v>
      </c>
    </row>
    <row r="147" spans="1:14" x14ac:dyDescent="0.25">
      <c r="A147" s="66">
        <v>44407</v>
      </c>
      <c r="B147" s="67" t="s">
        <v>25</v>
      </c>
      <c r="C147" s="129" t="str">
        <f t="shared" si="4"/>
        <v>30.07.2021_BOYohB224</v>
      </c>
      <c r="D147" s="143">
        <f t="shared" si="5"/>
        <v>0</v>
      </c>
      <c r="E147" s="157">
        <v>8.57</v>
      </c>
      <c r="F147" s="165"/>
      <c r="G147" s="166">
        <v>884</v>
      </c>
      <c r="H147" s="167">
        <v>7.4</v>
      </c>
      <c r="I147" s="165"/>
      <c r="J147" s="167"/>
      <c r="K147" s="167">
        <v>21.8</v>
      </c>
      <c r="L147" s="167">
        <v>23</v>
      </c>
      <c r="M147" s="168">
        <v>0.75694444444444497</v>
      </c>
      <c r="N147" s="171"/>
    </row>
    <row r="148" spans="1:14" x14ac:dyDescent="0.25">
      <c r="A148" s="66">
        <v>44407</v>
      </c>
      <c r="B148" s="67" t="s">
        <v>28</v>
      </c>
      <c r="C148" s="129" t="str">
        <f t="shared" si="4"/>
        <v>30.07.2021_BOYohBr</v>
      </c>
      <c r="D148" s="143">
        <f t="shared" si="5"/>
        <v>0</v>
      </c>
      <c r="E148" s="157">
        <v>8.25</v>
      </c>
      <c r="F148" s="165"/>
      <c r="G148" s="166">
        <v>575</v>
      </c>
      <c r="H148" s="167">
        <v>6.8</v>
      </c>
      <c r="I148" s="165"/>
      <c r="J148" s="167"/>
      <c r="K148" s="167">
        <v>15.1</v>
      </c>
      <c r="L148" s="167">
        <v>21.2</v>
      </c>
      <c r="M148" s="168">
        <v>0.60763888888888895</v>
      </c>
      <c r="N148" s="171" t="s">
        <v>90</v>
      </c>
    </row>
    <row r="149" spans="1:14" x14ac:dyDescent="0.25">
      <c r="A149" s="66">
        <v>44407</v>
      </c>
      <c r="B149" s="67" t="s">
        <v>30</v>
      </c>
      <c r="C149" s="129" t="str">
        <f t="shared" si="4"/>
        <v>30.07.2021_BOYohKi</v>
      </c>
      <c r="D149" s="143">
        <f t="shared" si="5"/>
        <v>0</v>
      </c>
      <c r="E149" s="157">
        <v>8.4600000000000009</v>
      </c>
      <c r="F149" s="165"/>
      <c r="G149" s="166">
        <v>755</v>
      </c>
      <c r="H149" s="167">
        <v>8.4</v>
      </c>
      <c r="I149" s="165"/>
      <c r="J149" s="167"/>
      <c r="K149" s="167">
        <v>15.7</v>
      </c>
      <c r="L149" s="167">
        <v>31.6</v>
      </c>
      <c r="M149" s="168">
        <v>0.391666666666667</v>
      </c>
      <c r="N149" s="171" t="s">
        <v>306</v>
      </c>
    </row>
    <row r="150" spans="1:14" x14ac:dyDescent="0.25">
      <c r="A150" s="66">
        <v>44407</v>
      </c>
      <c r="B150" s="67" t="s">
        <v>32</v>
      </c>
      <c r="C150" s="129" t="str">
        <f t="shared" si="4"/>
        <v>30.07.2021_BOYohSp</v>
      </c>
      <c r="D150" s="143">
        <f t="shared" si="5"/>
        <v>0</v>
      </c>
      <c r="E150" s="157">
        <v>8.2100000000000009</v>
      </c>
      <c r="F150" s="165"/>
      <c r="G150" s="166">
        <v>694</v>
      </c>
      <c r="H150" s="167">
        <v>7.2</v>
      </c>
      <c r="I150" s="165"/>
      <c r="J150" s="167"/>
      <c r="K150" s="167">
        <v>16.5</v>
      </c>
      <c r="L150" s="167">
        <v>34.799999999999997</v>
      </c>
      <c r="M150" s="168">
        <v>0.65625</v>
      </c>
      <c r="N150" s="171" t="s">
        <v>91</v>
      </c>
    </row>
    <row r="151" spans="1:14" x14ac:dyDescent="0.25">
      <c r="A151" s="66">
        <v>44407</v>
      </c>
      <c r="B151" s="67" t="s">
        <v>36</v>
      </c>
      <c r="C151" s="129" t="str">
        <f t="shared" si="4"/>
        <v>30.07.2021_BOYuhSp</v>
      </c>
      <c r="D151" s="143">
        <f t="shared" si="5"/>
        <v>0</v>
      </c>
      <c r="E151" s="157">
        <v>8.35</v>
      </c>
      <c r="F151" s="165"/>
      <c r="G151" s="166">
        <v>703</v>
      </c>
      <c r="H151" s="167">
        <v>7.2</v>
      </c>
      <c r="I151" s="165"/>
      <c r="J151" s="167"/>
      <c r="K151" s="167">
        <v>16.3</v>
      </c>
      <c r="L151" s="167">
        <v>31</v>
      </c>
      <c r="M151" s="168">
        <v>0.63888888888888895</v>
      </c>
      <c r="N151" s="171"/>
    </row>
    <row r="152" spans="1:14" x14ac:dyDescent="0.25">
      <c r="A152" s="66">
        <v>44407</v>
      </c>
      <c r="B152" s="67" t="s">
        <v>38</v>
      </c>
      <c r="C152" s="129" t="str">
        <f t="shared" si="4"/>
        <v>30.07.2021_BRAob</v>
      </c>
      <c r="D152" s="143">
        <f t="shared" si="5"/>
        <v>0</v>
      </c>
      <c r="E152" s="157">
        <v>8.17</v>
      </c>
      <c r="F152" s="165"/>
      <c r="G152" s="166">
        <v>800</v>
      </c>
      <c r="H152" s="167">
        <v>7.6</v>
      </c>
      <c r="I152" s="165"/>
      <c r="J152" s="167"/>
      <c r="K152" s="167">
        <v>17</v>
      </c>
      <c r="L152" s="167">
        <v>4.8</v>
      </c>
      <c r="M152" s="168">
        <v>0.56597222222222199</v>
      </c>
      <c r="N152" s="171"/>
    </row>
    <row r="153" spans="1:14" x14ac:dyDescent="0.25">
      <c r="A153" s="66">
        <v>44407</v>
      </c>
      <c r="B153" s="67" t="s">
        <v>41</v>
      </c>
      <c r="C153" s="129" t="str">
        <f t="shared" si="4"/>
        <v>30.07.2021_BRAohBo</v>
      </c>
      <c r="D153" s="143">
        <f t="shared" si="5"/>
        <v>0</v>
      </c>
      <c r="E153" s="157">
        <v>8.35</v>
      </c>
      <c r="F153" s="165"/>
      <c r="G153" s="166">
        <v>722</v>
      </c>
      <c r="H153" s="167">
        <v>7.3</v>
      </c>
      <c r="I153" s="165"/>
      <c r="J153" s="167"/>
      <c r="K153" s="167">
        <v>17.600000000000001</v>
      </c>
      <c r="L153" s="167">
        <v>17.3</v>
      </c>
      <c r="M153" s="168">
        <v>0.58333333333333304</v>
      </c>
      <c r="N153" s="171"/>
    </row>
    <row r="154" spans="1:14" x14ac:dyDescent="0.25">
      <c r="A154" s="66">
        <v>44407</v>
      </c>
      <c r="B154" s="67" t="s">
        <v>43</v>
      </c>
      <c r="C154" s="129" t="str">
        <f t="shared" si="4"/>
        <v>30.07.2021_HAAob</v>
      </c>
      <c r="D154" s="143">
        <f t="shared" si="5"/>
        <v>0</v>
      </c>
      <c r="E154" s="157">
        <v>8.49</v>
      </c>
      <c r="F154" s="165"/>
      <c r="G154" s="166">
        <v>601</v>
      </c>
      <c r="H154" s="167">
        <v>7.3</v>
      </c>
      <c r="I154" s="165"/>
      <c r="J154" s="167"/>
      <c r="K154" s="167">
        <v>19.7</v>
      </c>
      <c r="L154" s="167">
        <v>5.5</v>
      </c>
      <c r="M154" s="168">
        <v>0.71527777777777801</v>
      </c>
      <c r="N154" s="171" t="s">
        <v>237</v>
      </c>
    </row>
    <row r="155" spans="1:14" x14ac:dyDescent="0.25">
      <c r="A155" s="66">
        <v>44407</v>
      </c>
      <c r="B155" s="67" t="s">
        <v>45</v>
      </c>
      <c r="C155" s="129" t="str">
        <f t="shared" si="4"/>
        <v>30.07.2021_HAAun</v>
      </c>
      <c r="D155" s="143">
        <f t="shared" si="5"/>
        <v>0</v>
      </c>
      <c r="E155" s="157">
        <v>8.23</v>
      </c>
      <c r="F155" s="165"/>
      <c r="G155" s="166">
        <v>965</v>
      </c>
      <c r="H155" s="167">
        <v>6.6</v>
      </c>
      <c r="I155" s="165"/>
      <c r="J155" s="167"/>
      <c r="K155" s="167">
        <v>18.2</v>
      </c>
      <c r="L155" s="167">
        <v>8</v>
      </c>
      <c r="M155" s="168">
        <v>0.69444444444444497</v>
      </c>
      <c r="N155" s="171"/>
    </row>
    <row r="156" spans="1:14" x14ac:dyDescent="0.25">
      <c r="A156" s="66">
        <v>44407</v>
      </c>
      <c r="B156" s="67" t="s">
        <v>47</v>
      </c>
      <c r="C156" s="129" t="str">
        <f t="shared" si="4"/>
        <v>30.07.2021_KIRob</v>
      </c>
      <c r="D156" s="143">
        <f t="shared" si="5"/>
        <v>0</v>
      </c>
      <c r="E156" s="157">
        <v>8.24</v>
      </c>
      <c r="F156" s="165"/>
      <c r="G156" s="166">
        <v>1044</v>
      </c>
      <c r="H156" s="167">
        <v>7</v>
      </c>
      <c r="I156" s="165"/>
      <c r="J156" s="167"/>
      <c r="K156" s="167">
        <v>14.7</v>
      </c>
      <c r="L156" s="167">
        <v>7.5</v>
      </c>
      <c r="M156" s="168">
        <v>0.42986111111111103</v>
      </c>
      <c r="N156" s="171"/>
    </row>
    <row r="157" spans="1:14" x14ac:dyDescent="0.25">
      <c r="A157" s="66">
        <v>44407</v>
      </c>
      <c r="B157" s="67" t="s">
        <v>49</v>
      </c>
      <c r="C157" s="129" t="str">
        <f t="shared" si="4"/>
        <v>30.07.2021_KIRun</v>
      </c>
      <c r="D157" s="143">
        <f t="shared" si="5"/>
        <v>0</v>
      </c>
      <c r="E157" s="157">
        <v>8.5</v>
      </c>
      <c r="F157" s="165"/>
      <c r="G157" s="166">
        <v>989</v>
      </c>
      <c r="H157" s="167">
        <v>7.8</v>
      </c>
      <c r="I157" s="165"/>
      <c r="J157" s="167"/>
      <c r="K157" s="167">
        <v>14.6</v>
      </c>
      <c r="L157" s="167">
        <v>7.6</v>
      </c>
      <c r="M157" s="168">
        <v>0.41041666666666698</v>
      </c>
      <c r="N157" s="171"/>
    </row>
    <row r="158" spans="1:14" x14ac:dyDescent="0.25">
      <c r="A158" s="66">
        <v>44407</v>
      </c>
      <c r="B158" s="67" t="s">
        <v>50</v>
      </c>
      <c r="C158" s="129" t="str">
        <f t="shared" si="4"/>
        <v>30.07.2021_LIEohBo</v>
      </c>
      <c r="D158" s="143">
        <f t="shared" si="5"/>
        <v>0</v>
      </c>
      <c r="E158" s="157">
        <v>8.5</v>
      </c>
      <c r="F158" s="165"/>
      <c r="G158" s="166">
        <v>483</v>
      </c>
      <c r="H158" s="167">
        <v>7.2</v>
      </c>
      <c r="I158" s="165"/>
      <c r="J158" s="167"/>
      <c r="K158" s="167">
        <v>19.600000000000001</v>
      </c>
      <c r="L158" s="167">
        <v>23</v>
      </c>
      <c r="M158" s="168">
        <v>0.81597222222222199</v>
      </c>
      <c r="N158" s="171"/>
    </row>
    <row r="159" spans="1:14" x14ac:dyDescent="0.25">
      <c r="A159" s="66">
        <v>44407</v>
      </c>
      <c r="B159" s="67" t="s">
        <v>53</v>
      </c>
      <c r="C159" s="129" t="str">
        <f t="shared" si="4"/>
        <v>30.07.2021_NATohBo</v>
      </c>
      <c r="D159" s="143">
        <f t="shared" si="5"/>
        <v>0</v>
      </c>
      <c r="E159" s="157">
        <v>7.68</v>
      </c>
      <c r="F159" s="165"/>
      <c r="G159" s="166">
        <v>1422</v>
      </c>
      <c r="H159" s="167">
        <v>6.5</v>
      </c>
      <c r="I159" s="165"/>
      <c r="J159" s="167"/>
      <c r="K159" s="167">
        <v>18.100000000000001</v>
      </c>
      <c r="L159" s="167">
        <v>8</v>
      </c>
      <c r="M159" s="168">
        <v>0.78888888888888897</v>
      </c>
      <c r="N159" s="171" t="s">
        <v>92</v>
      </c>
    </row>
    <row r="160" spans="1:14" x14ac:dyDescent="0.25">
      <c r="A160" s="66">
        <v>44407</v>
      </c>
      <c r="B160" s="67" t="s">
        <v>55</v>
      </c>
      <c r="C160" s="129" t="str">
        <f t="shared" si="4"/>
        <v>30.07.2021_QUAohBo</v>
      </c>
      <c r="D160" s="143">
        <f t="shared" si="5"/>
        <v>0</v>
      </c>
      <c r="E160" s="157">
        <v>8.2799999999999994</v>
      </c>
      <c r="F160" s="165"/>
      <c r="G160" s="166">
        <v>825</v>
      </c>
      <c r="H160" s="167">
        <v>5.8</v>
      </c>
      <c r="I160" s="165"/>
      <c r="J160" s="167"/>
      <c r="K160" s="167">
        <v>17.600000000000001</v>
      </c>
      <c r="L160" s="167">
        <v>17</v>
      </c>
      <c r="M160" s="168">
        <v>0.67500000000000004</v>
      </c>
      <c r="N160" s="171"/>
    </row>
    <row r="161" spans="1:14" x14ac:dyDescent="0.25">
      <c r="A161" s="66">
        <v>44407</v>
      </c>
      <c r="B161" s="67" t="s">
        <v>57</v>
      </c>
      <c r="C161" s="129" t="str">
        <f t="shared" si="4"/>
        <v>30.07.2021_SCHohVo</v>
      </c>
      <c r="D161" s="143">
        <f t="shared" si="5"/>
        <v>0</v>
      </c>
      <c r="E161" s="157">
        <v>8.4700000000000006</v>
      </c>
      <c r="F161" s="165"/>
      <c r="G161" s="166">
        <v>545</v>
      </c>
      <c r="H161" s="167">
        <v>8</v>
      </c>
      <c r="I161" s="165"/>
      <c r="J161" s="167"/>
      <c r="K161" s="167">
        <v>16</v>
      </c>
      <c r="L161" s="167">
        <v>6</v>
      </c>
      <c r="M161" s="168">
        <v>0.45486111111111099</v>
      </c>
      <c r="N161" s="171"/>
    </row>
    <row r="162" spans="1:14" x14ac:dyDescent="0.25">
      <c r="A162" s="66">
        <v>44407</v>
      </c>
      <c r="B162" s="67" t="s">
        <v>60</v>
      </c>
      <c r="C162" s="129" t="str">
        <f t="shared" si="4"/>
        <v>30.07.2021_VORohBo</v>
      </c>
      <c r="D162" s="143">
        <f t="shared" si="5"/>
        <v>0</v>
      </c>
      <c r="E162" s="157">
        <v>8.02</v>
      </c>
      <c r="F162" s="165"/>
      <c r="G162" s="166">
        <v>1024</v>
      </c>
      <c r="H162" s="167">
        <v>6.5</v>
      </c>
      <c r="I162" s="165"/>
      <c r="J162" s="167"/>
      <c r="K162" s="167">
        <v>13.5</v>
      </c>
      <c r="L162" s="167">
        <v>6.6</v>
      </c>
      <c r="M162" s="168">
        <v>0.51180555555555596</v>
      </c>
      <c r="N162" s="171"/>
    </row>
    <row r="163" spans="1:14" x14ac:dyDescent="0.25">
      <c r="A163" s="66">
        <v>44407</v>
      </c>
      <c r="B163" s="67" t="s">
        <v>62</v>
      </c>
      <c r="C163" s="129" t="str">
        <f t="shared" si="4"/>
        <v>30.07.2021_VORuhSc</v>
      </c>
      <c r="D163" s="143">
        <f t="shared" si="5"/>
        <v>0</v>
      </c>
      <c r="E163" s="157">
        <v>7.75</v>
      </c>
      <c r="F163" s="165"/>
      <c r="G163" s="166">
        <v>987</v>
      </c>
      <c r="H163" s="167">
        <v>5.8</v>
      </c>
      <c r="I163" s="165"/>
      <c r="J163" s="167"/>
      <c r="K163" s="167">
        <v>14.8</v>
      </c>
      <c r="L163" s="167">
        <v>5.5</v>
      </c>
      <c r="M163" s="168">
        <v>0.48958333333333298</v>
      </c>
      <c r="N163" s="171"/>
    </row>
    <row r="164" spans="1:14" x14ac:dyDescent="0.25">
      <c r="A164" s="66">
        <v>44407</v>
      </c>
      <c r="B164" s="67" t="s">
        <v>64</v>
      </c>
      <c r="C164" s="129" t="str">
        <f t="shared" si="4"/>
        <v>30.07.2021_WITob</v>
      </c>
      <c r="D164" s="143">
        <f t="shared" si="5"/>
        <v>0</v>
      </c>
      <c r="E164" s="157">
        <v>8.56</v>
      </c>
      <c r="F164" s="165"/>
      <c r="G164" s="166">
        <v>1318</v>
      </c>
      <c r="H164" s="167">
        <v>8</v>
      </c>
      <c r="I164" s="165"/>
      <c r="J164" s="167"/>
      <c r="K164" s="167">
        <v>17.3</v>
      </c>
      <c r="L164" s="167">
        <v>2.5</v>
      </c>
      <c r="M164" s="168">
        <v>0.73611111111111105</v>
      </c>
      <c r="N164" s="171"/>
    </row>
    <row r="165" spans="1:14" x14ac:dyDescent="0.25">
      <c r="A165" s="66">
        <v>44421</v>
      </c>
      <c r="B165" s="67" t="s">
        <v>22</v>
      </c>
      <c r="C165" s="129" t="str">
        <f t="shared" si="4"/>
        <v>13.08.2021_BOYkl</v>
      </c>
      <c r="D165" s="143">
        <f t="shared" si="5"/>
        <v>0</v>
      </c>
      <c r="E165" s="157">
        <v>8.06</v>
      </c>
      <c r="F165" s="165"/>
      <c r="G165" s="166">
        <v>509</v>
      </c>
      <c r="H165" s="167">
        <v>10.8</v>
      </c>
      <c r="I165" s="165"/>
      <c r="J165" s="167"/>
      <c r="K165" s="167">
        <v>17.600000000000001</v>
      </c>
      <c r="L165" s="167">
        <v>4.5</v>
      </c>
      <c r="M165" s="168">
        <v>0.49166666666666697</v>
      </c>
      <c r="N165" s="67" t="s">
        <v>93</v>
      </c>
    </row>
    <row r="166" spans="1:14" x14ac:dyDescent="0.25">
      <c r="A166" s="66">
        <v>44421</v>
      </c>
      <c r="B166" s="67" t="s">
        <v>25</v>
      </c>
      <c r="C166" s="129" t="str">
        <f t="shared" si="4"/>
        <v>13.08.2021_BOYohB224</v>
      </c>
      <c r="D166" s="143">
        <f t="shared" si="5"/>
        <v>0</v>
      </c>
      <c r="E166" s="157">
        <v>8.51</v>
      </c>
      <c r="F166" s="165"/>
      <c r="G166" s="166">
        <v>1003</v>
      </c>
      <c r="H166" s="167">
        <v>13.7</v>
      </c>
      <c r="I166" s="165"/>
      <c r="J166" s="167"/>
      <c r="K166" s="167">
        <v>23.4</v>
      </c>
      <c r="L166" s="167">
        <v>26</v>
      </c>
      <c r="M166" s="168">
        <v>0.66527777777777797</v>
      </c>
      <c r="N166" s="67"/>
    </row>
    <row r="167" spans="1:14" x14ac:dyDescent="0.25">
      <c r="A167" s="66">
        <v>44421</v>
      </c>
      <c r="B167" s="67" t="s">
        <v>28</v>
      </c>
      <c r="C167" s="129" t="str">
        <f t="shared" si="4"/>
        <v>13.08.2021_BOYohBr</v>
      </c>
      <c r="D167" s="143">
        <f t="shared" si="5"/>
        <v>0</v>
      </c>
      <c r="E167" s="157">
        <v>7.76</v>
      </c>
      <c r="F167" s="165"/>
      <c r="G167" s="166">
        <v>567</v>
      </c>
      <c r="H167" s="167">
        <v>9.5</v>
      </c>
      <c r="I167" s="165"/>
      <c r="J167" s="167"/>
      <c r="K167" s="167">
        <v>15.2</v>
      </c>
      <c r="L167" s="167">
        <v>15.5</v>
      </c>
      <c r="M167" s="168">
        <v>0.55138888888888904</v>
      </c>
      <c r="N167" s="67" t="s">
        <v>238</v>
      </c>
    </row>
    <row r="168" spans="1:14" x14ac:dyDescent="0.25">
      <c r="A168" s="66">
        <v>44421</v>
      </c>
      <c r="B168" s="67" t="s">
        <v>30</v>
      </c>
      <c r="C168" s="129" t="str">
        <f t="shared" si="4"/>
        <v>13.08.2021_BOYohKi</v>
      </c>
      <c r="D168" s="143">
        <f t="shared" si="5"/>
        <v>0</v>
      </c>
      <c r="E168" s="157">
        <v>7.91</v>
      </c>
      <c r="F168" s="165"/>
      <c r="G168" s="166">
        <v>883</v>
      </c>
      <c r="H168" s="167">
        <v>8.1</v>
      </c>
      <c r="I168" s="165"/>
      <c r="J168" s="167"/>
      <c r="K168" s="167">
        <v>16.100000000000001</v>
      </c>
      <c r="L168" s="167">
        <v>23.5</v>
      </c>
      <c r="M168" s="168">
        <v>0.390277777777778</v>
      </c>
      <c r="N168" s="67" t="s">
        <v>239</v>
      </c>
    </row>
    <row r="169" spans="1:14" x14ac:dyDescent="0.25">
      <c r="A169" s="66">
        <v>44421</v>
      </c>
      <c r="B169" s="67" t="s">
        <v>32</v>
      </c>
      <c r="C169" s="129" t="str">
        <f t="shared" si="4"/>
        <v>13.08.2021_BOYohSp</v>
      </c>
      <c r="D169" s="143">
        <f t="shared" si="5"/>
        <v>0</v>
      </c>
      <c r="E169" s="157">
        <v>7.86</v>
      </c>
      <c r="F169" s="165"/>
      <c r="G169" s="166">
        <v>651</v>
      </c>
      <c r="H169" s="167">
        <v>10</v>
      </c>
      <c r="I169" s="165"/>
      <c r="J169" s="167"/>
      <c r="K169" s="167">
        <v>16.2</v>
      </c>
      <c r="L169" s="167">
        <v>20</v>
      </c>
      <c r="M169" s="168">
        <v>0.58611111111111103</v>
      </c>
      <c r="N169" s="67" t="s">
        <v>240</v>
      </c>
    </row>
    <row r="170" spans="1:14" x14ac:dyDescent="0.25">
      <c r="A170" s="66">
        <v>44421</v>
      </c>
      <c r="B170" s="67" t="s">
        <v>36</v>
      </c>
      <c r="C170" s="129" t="str">
        <f t="shared" si="4"/>
        <v>13.08.2021_BOYuhSp</v>
      </c>
      <c r="D170" s="143">
        <f t="shared" si="5"/>
        <v>0</v>
      </c>
      <c r="E170" s="157">
        <v>7.86</v>
      </c>
      <c r="F170" s="165"/>
      <c r="G170" s="166">
        <v>658</v>
      </c>
      <c r="H170" s="167">
        <v>9.9</v>
      </c>
      <c r="I170" s="165"/>
      <c r="J170" s="167"/>
      <c r="K170" s="167">
        <v>16.100000000000001</v>
      </c>
      <c r="L170" s="167">
        <v>30.5</v>
      </c>
      <c r="M170" s="168">
        <v>0.56944444444444398</v>
      </c>
      <c r="N170" s="67"/>
    </row>
    <row r="171" spans="1:14" x14ac:dyDescent="0.25">
      <c r="A171" s="66">
        <v>44421</v>
      </c>
      <c r="B171" s="67" t="s">
        <v>38</v>
      </c>
      <c r="C171" s="129" t="str">
        <f t="shared" si="4"/>
        <v>13.08.2021_BRAob</v>
      </c>
      <c r="D171" s="143">
        <f t="shared" si="5"/>
        <v>0</v>
      </c>
      <c r="E171" s="157">
        <v>8.0500000000000007</v>
      </c>
      <c r="F171" s="165"/>
      <c r="G171" s="166">
        <v>767</v>
      </c>
      <c r="H171" s="167">
        <v>11.4</v>
      </c>
      <c r="I171" s="165"/>
      <c r="J171" s="167"/>
      <c r="K171" s="167">
        <v>17.3</v>
      </c>
      <c r="L171" s="167">
        <v>7.5</v>
      </c>
      <c r="M171" s="168">
        <v>0.50972222222222197</v>
      </c>
      <c r="N171" s="67"/>
    </row>
    <row r="172" spans="1:14" x14ac:dyDescent="0.25">
      <c r="A172" s="66">
        <v>44421</v>
      </c>
      <c r="B172" s="67" t="s">
        <v>41</v>
      </c>
      <c r="C172" s="129" t="str">
        <f t="shared" si="4"/>
        <v>13.08.2021_BRAohBo</v>
      </c>
      <c r="D172" s="143">
        <f t="shared" si="5"/>
        <v>0</v>
      </c>
      <c r="E172" s="157">
        <v>8.11</v>
      </c>
      <c r="F172" s="165"/>
      <c r="G172" s="166">
        <v>736</v>
      </c>
      <c r="H172" s="167">
        <v>10.6</v>
      </c>
      <c r="I172" s="165"/>
      <c r="J172" s="167"/>
      <c r="K172" s="167">
        <v>17.5</v>
      </c>
      <c r="L172" s="167">
        <v>13.5</v>
      </c>
      <c r="M172" s="168">
        <v>0.52361111111111103</v>
      </c>
      <c r="N172" s="67"/>
    </row>
    <row r="173" spans="1:14" x14ac:dyDescent="0.25">
      <c r="A173" s="66">
        <v>44421</v>
      </c>
      <c r="B173" s="67" t="s">
        <v>43</v>
      </c>
      <c r="C173" s="129" t="str">
        <f t="shared" si="4"/>
        <v>13.08.2021_HAAob</v>
      </c>
      <c r="D173" s="143">
        <f t="shared" si="5"/>
        <v>0</v>
      </c>
      <c r="E173" s="157">
        <v>8.1</v>
      </c>
      <c r="F173" s="165"/>
      <c r="G173" s="166">
        <v>767</v>
      </c>
      <c r="H173" s="167">
        <v>10.1</v>
      </c>
      <c r="I173" s="165"/>
      <c r="J173" s="167"/>
      <c r="K173" s="167">
        <v>18.100000000000001</v>
      </c>
      <c r="L173" s="167">
        <v>11.5</v>
      </c>
      <c r="M173" s="168">
        <v>0.625</v>
      </c>
      <c r="N173" s="67"/>
    </row>
    <row r="174" spans="1:14" x14ac:dyDescent="0.25">
      <c r="A174" s="66">
        <v>44421</v>
      </c>
      <c r="B174" s="67" t="s">
        <v>45</v>
      </c>
      <c r="C174" s="129" t="str">
        <f t="shared" si="4"/>
        <v>13.08.2021_HAAun</v>
      </c>
      <c r="D174" s="143">
        <f t="shared" si="5"/>
        <v>0</v>
      </c>
      <c r="E174" s="157">
        <v>7.9</v>
      </c>
      <c r="F174" s="165"/>
      <c r="G174" s="166">
        <v>1101</v>
      </c>
      <c r="H174" s="167">
        <v>9.3000000000000007</v>
      </c>
      <c r="I174" s="165"/>
      <c r="J174" s="167"/>
      <c r="K174" s="167">
        <v>18.399999999999999</v>
      </c>
      <c r="L174" s="167">
        <v>8</v>
      </c>
      <c r="M174" s="168">
        <v>0.61250000000000004</v>
      </c>
      <c r="N174" s="67" t="s">
        <v>241</v>
      </c>
    </row>
    <row r="175" spans="1:14" x14ac:dyDescent="0.25">
      <c r="A175" s="66">
        <v>44421</v>
      </c>
      <c r="B175" s="67" t="s">
        <v>47</v>
      </c>
      <c r="C175" s="129" t="str">
        <f t="shared" si="4"/>
        <v>13.08.2021_KIRob</v>
      </c>
      <c r="D175" s="143">
        <f t="shared" si="5"/>
        <v>0</v>
      </c>
      <c r="E175" s="157">
        <v>7.94</v>
      </c>
      <c r="F175" s="165"/>
      <c r="G175" s="166">
        <v>1107</v>
      </c>
      <c r="H175" s="167">
        <v>10.6</v>
      </c>
      <c r="I175" s="165"/>
      <c r="J175" s="167"/>
      <c r="K175" s="167">
        <v>15.4</v>
      </c>
      <c r="L175" s="167">
        <v>9</v>
      </c>
      <c r="M175" s="168">
        <v>0.421527777777778</v>
      </c>
      <c r="N175" s="67"/>
    </row>
    <row r="176" spans="1:14" x14ac:dyDescent="0.25">
      <c r="A176" s="66">
        <v>44421</v>
      </c>
      <c r="B176" s="67" t="s">
        <v>49</v>
      </c>
      <c r="C176" s="129" t="str">
        <f t="shared" si="4"/>
        <v>13.08.2021_KIRun</v>
      </c>
      <c r="D176" s="143">
        <f t="shared" si="5"/>
        <v>0</v>
      </c>
      <c r="E176" s="157">
        <v>8.0500000000000007</v>
      </c>
      <c r="F176" s="165"/>
      <c r="G176" s="166">
        <v>1030</v>
      </c>
      <c r="H176" s="167">
        <v>10.7</v>
      </c>
      <c r="I176" s="165"/>
      <c r="J176" s="167"/>
      <c r="K176" s="167">
        <v>15.3</v>
      </c>
      <c r="L176" s="167">
        <v>12</v>
      </c>
      <c r="M176" s="168">
        <v>0.40972222222222199</v>
      </c>
      <c r="N176" s="67"/>
    </row>
    <row r="177" spans="1:14" x14ac:dyDescent="0.25">
      <c r="A177" s="66">
        <v>44421</v>
      </c>
      <c r="B177" s="67" t="s">
        <v>50</v>
      </c>
      <c r="C177" s="129" t="str">
        <f t="shared" si="4"/>
        <v>13.08.2021_LIEohBo</v>
      </c>
      <c r="D177" s="143">
        <f t="shared" si="5"/>
        <v>1</v>
      </c>
      <c r="E177" s="157">
        <v>9.2200000000000006</v>
      </c>
      <c r="F177" s="165"/>
      <c r="G177" s="166">
        <v>505</v>
      </c>
      <c r="H177" s="167"/>
      <c r="I177" s="165"/>
      <c r="J177" s="167"/>
      <c r="K177" s="167">
        <v>25</v>
      </c>
      <c r="L177" s="167">
        <v>7.5</v>
      </c>
      <c r="M177" s="168">
        <v>0.69305555555555598</v>
      </c>
      <c r="N177" s="67"/>
    </row>
    <row r="178" spans="1:14" x14ac:dyDescent="0.25">
      <c r="A178" s="66">
        <v>44421</v>
      </c>
      <c r="B178" s="67" t="s">
        <v>53</v>
      </c>
      <c r="C178" s="129" t="str">
        <f t="shared" si="4"/>
        <v>13.08.2021_NATohBo</v>
      </c>
      <c r="D178" s="143">
        <f t="shared" si="5"/>
        <v>0</v>
      </c>
      <c r="E178" s="157">
        <v>7.57</v>
      </c>
      <c r="F178" s="165"/>
      <c r="G178" s="166">
        <v>1935</v>
      </c>
      <c r="H178" s="167">
        <v>11.8</v>
      </c>
      <c r="I178" s="165"/>
      <c r="J178" s="167"/>
      <c r="K178" s="167">
        <v>18.899999999999999</v>
      </c>
      <c r="L178" s="167">
        <v>14</v>
      </c>
      <c r="M178" s="168">
        <v>0.68194444444444502</v>
      </c>
      <c r="N178" s="67"/>
    </row>
    <row r="179" spans="1:14" x14ac:dyDescent="0.25">
      <c r="A179" s="66">
        <v>44421</v>
      </c>
      <c r="B179" s="67" t="s">
        <v>55</v>
      </c>
      <c r="C179" s="129" t="str">
        <f t="shared" si="4"/>
        <v>13.08.2021_QUAohBo</v>
      </c>
      <c r="D179" s="143">
        <f t="shared" si="5"/>
        <v>0</v>
      </c>
      <c r="E179" s="157">
        <v>7.56</v>
      </c>
      <c r="F179" s="165"/>
      <c r="G179" s="166">
        <v>848</v>
      </c>
      <c r="H179" s="167">
        <v>6.6</v>
      </c>
      <c r="I179" s="165"/>
      <c r="J179" s="167"/>
      <c r="K179" s="167">
        <v>18</v>
      </c>
      <c r="L179" s="167">
        <v>17.5</v>
      </c>
      <c r="M179" s="168">
        <v>0.6</v>
      </c>
      <c r="N179" s="67"/>
    </row>
    <row r="180" spans="1:14" x14ac:dyDescent="0.25">
      <c r="A180" s="66">
        <v>44421</v>
      </c>
      <c r="B180" s="67" t="s">
        <v>57</v>
      </c>
      <c r="C180" s="129" t="str">
        <f t="shared" si="4"/>
        <v>13.08.2021_SCHohVo</v>
      </c>
      <c r="D180" s="143">
        <f t="shared" si="5"/>
        <v>0</v>
      </c>
      <c r="E180" s="157">
        <v>8.06</v>
      </c>
      <c r="F180" s="165"/>
      <c r="G180" s="166">
        <v>783</v>
      </c>
      <c r="H180" s="167">
        <v>10.1</v>
      </c>
      <c r="I180" s="165"/>
      <c r="J180" s="167"/>
      <c r="K180" s="167">
        <v>17</v>
      </c>
      <c r="L180" s="167">
        <v>4.5</v>
      </c>
      <c r="M180" s="168">
        <v>0.44027777777777799</v>
      </c>
      <c r="N180" s="67"/>
    </row>
    <row r="181" spans="1:14" x14ac:dyDescent="0.25">
      <c r="A181" s="66">
        <v>44421</v>
      </c>
      <c r="B181" s="67" t="s">
        <v>60</v>
      </c>
      <c r="C181" s="129" t="str">
        <f t="shared" si="4"/>
        <v>13.08.2021_VORohBo</v>
      </c>
      <c r="D181" s="143">
        <f t="shared" si="5"/>
        <v>0</v>
      </c>
      <c r="E181" s="157">
        <v>7.64</v>
      </c>
      <c r="F181" s="165"/>
      <c r="G181" s="166">
        <v>1137</v>
      </c>
      <c r="H181" s="167">
        <v>9.4</v>
      </c>
      <c r="I181" s="165"/>
      <c r="J181" s="167"/>
      <c r="K181" s="167">
        <v>15.5</v>
      </c>
      <c r="L181" s="167">
        <v>10</v>
      </c>
      <c r="M181" s="168">
        <v>0.468055555555556</v>
      </c>
      <c r="N181" s="67"/>
    </row>
    <row r="182" spans="1:14" x14ac:dyDescent="0.25">
      <c r="A182" s="66">
        <v>44421</v>
      </c>
      <c r="B182" s="67" t="s">
        <v>62</v>
      </c>
      <c r="C182" s="129" t="str">
        <f t="shared" si="4"/>
        <v>13.08.2021_VORuhSc</v>
      </c>
      <c r="D182" s="143">
        <f t="shared" si="5"/>
        <v>0</v>
      </c>
      <c r="E182" s="157">
        <v>7.22</v>
      </c>
      <c r="F182" s="165"/>
      <c r="G182" s="166">
        <v>1151</v>
      </c>
      <c r="H182" s="167">
        <v>8</v>
      </c>
      <c r="I182" s="165"/>
      <c r="J182" s="167"/>
      <c r="K182" s="167">
        <v>15.2</v>
      </c>
      <c r="L182" s="167">
        <v>9</v>
      </c>
      <c r="M182" s="168">
        <v>0.454166666666667</v>
      </c>
      <c r="N182" s="67"/>
    </row>
    <row r="183" spans="1:14" x14ac:dyDescent="0.25">
      <c r="A183" s="66">
        <v>44421</v>
      </c>
      <c r="B183" s="67" t="s">
        <v>64</v>
      </c>
      <c r="C183" s="129" t="str">
        <f t="shared" si="4"/>
        <v>13.08.2021_WITob</v>
      </c>
      <c r="D183" s="143">
        <f t="shared" si="5"/>
        <v>0</v>
      </c>
      <c r="E183" s="157">
        <v>8.1300000000000008</v>
      </c>
      <c r="F183" s="165"/>
      <c r="G183" s="166">
        <v>1288</v>
      </c>
      <c r="H183" s="167">
        <v>10.4</v>
      </c>
      <c r="I183" s="165"/>
      <c r="J183" s="167"/>
      <c r="K183" s="167">
        <v>18.399999999999999</v>
      </c>
      <c r="L183" s="167">
        <v>1.5</v>
      </c>
      <c r="M183" s="168">
        <v>0.65069444444444502</v>
      </c>
      <c r="N183" s="67"/>
    </row>
    <row r="184" spans="1:14" x14ac:dyDescent="0.25">
      <c r="A184" s="66">
        <v>44435</v>
      </c>
      <c r="B184" s="67" t="s">
        <v>22</v>
      </c>
      <c r="C184" s="129" t="str">
        <f t="shared" si="4"/>
        <v>27.08.2021_BOYkl</v>
      </c>
      <c r="D184" s="143">
        <f t="shared" si="5"/>
        <v>0</v>
      </c>
      <c r="E184" s="157">
        <v>8.41</v>
      </c>
      <c r="F184" s="165"/>
      <c r="G184" s="166">
        <v>521</v>
      </c>
      <c r="H184" s="167">
        <v>12.7</v>
      </c>
      <c r="I184" s="165"/>
      <c r="J184" s="167"/>
      <c r="K184" s="167">
        <v>15.3</v>
      </c>
      <c r="L184" s="167">
        <v>3</v>
      </c>
      <c r="M184" s="168">
        <v>0.5</v>
      </c>
      <c r="N184" s="172"/>
    </row>
    <row r="185" spans="1:14" x14ac:dyDescent="0.25">
      <c r="A185" s="66">
        <v>44435</v>
      </c>
      <c r="B185" s="67" t="s">
        <v>25</v>
      </c>
      <c r="C185" s="129" t="str">
        <f t="shared" si="4"/>
        <v>27.08.2021_BOYohB224</v>
      </c>
      <c r="D185" s="143">
        <f t="shared" si="5"/>
        <v>0</v>
      </c>
      <c r="E185" s="157">
        <v>8.11</v>
      </c>
      <c r="F185" s="165"/>
      <c r="G185" s="166">
        <v>904</v>
      </c>
      <c r="H185" s="167">
        <v>12</v>
      </c>
      <c r="I185" s="165"/>
      <c r="J185" s="167"/>
      <c r="K185" s="167">
        <v>19</v>
      </c>
      <c r="L185" s="167">
        <v>21</v>
      </c>
      <c r="M185" s="168">
        <v>0.67291666666666705</v>
      </c>
      <c r="N185" s="172"/>
    </row>
    <row r="186" spans="1:14" x14ac:dyDescent="0.25">
      <c r="A186" s="66">
        <v>44435</v>
      </c>
      <c r="B186" s="67" t="s">
        <v>28</v>
      </c>
      <c r="C186" s="129" t="str">
        <f t="shared" si="4"/>
        <v>27.08.2021_BOYohBr</v>
      </c>
      <c r="D186" s="143">
        <f t="shared" si="5"/>
        <v>0</v>
      </c>
      <c r="E186" s="157">
        <v>7.9</v>
      </c>
      <c r="F186" s="165"/>
      <c r="G186" s="166">
        <v>488</v>
      </c>
      <c r="H186" s="167">
        <v>12.3</v>
      </c>
      <c r="I186" s="165"/>
      <c r="J186" s="167"/>
      <c r="K186" s="167">
        <v>13.9</v>
      </c>
      <c r="L186" s="167">
        <v>14</v>
      </c>
      <c r="M186" s="168">
        <v>0.55000000000000004</v>
      </c>
      <c r="N186" s="172"/>
    </row>
    <row r="187" spans="1:14" x14ac:dyDescent="0.25">
      <c r="A187" s="66">
        <v>44435</v>
      </c>
      <c r="B187" s="67" t="s">
        <v>30</v>
      </c>
      <c r="C187" s="129" t="str">
        <f t="shared" si="4"/>
        <v>27.08.2021_BOYohKi</v>
      </c>
      <c r="D187" s="143">
        <f t="shared" si="5"/>
        <v>0</v>
      </c>
      <c r="E187" s="157">
        <v>7.88</v>
      </c>
      <c r="F187" s="165"/>
      <c r="G187" s="166">
        <v>742</v>
      </c>
      <c r="H187" s="167">
        <v>10.4</v>
      </c>
      <c r="I187" s="165"/>
      <c r="J187" s="167"/>
      <c r="K187" s="167">
        <v>14.4</v>
      </c>
      <c r="L187" s="167">
        <v>30.5</v>
      </c>
      <c r="M187" s="168">
        <v>0.39652777777777798</v>
      </c>
      <c r="N187" s="172"/>
    </row>
    <row r="188" spans="1:14" x14ac:dyDescent="0.25">
      <c r="A188" s="66">
        <v>44435</v>
      </c>
      <c r="B188" s="67" t="s">
        <v>32</v>
      </c>
      <c r="C188" s="129" t="str">
        <f t="shared" si="4"/>
        <v>27.08.2021_BOYohSp</v>
      </c>
      <c r="D188" s="143">
        <f t="shared" si="5"/>
        <v>0</v>
      </c>
      <c r="E188" s="157">
        <v>7.95</v>
      </c>
      <c r="F188" s="165"/>
      <c r="G188" s="166">
        <v>553</v>
      </c>
      <c r="H188" s="167">
        <v>10.7</v>
      </c>
      <c r="I188" s="165"/>
      <c r="J188" s="167"/>
      <c r="K188" s="167">
        <v>14.5</v>
      </c>
      <c r="L188" s="167">
        <v>22</v>
      </c>
      <c r="M188" s="168">
        <v>0.58333333333333304</v>
      </c>
      <c r="N188" s="172"/>
    </row>
    <row r="189" spans="1:14" x14ac:dyDescent="0.25">
      <c r="A189" s="66">
        <v>44435</v>
      </c>
      <c r="B189" s="67" t="s">
        <v>36</v>
      </c>
      <c r="C189" s="129" t="str">
        <f t="shared" si="4"/>
        <v>27.08.2021_BOYuhSp</v>
      </c>
      <c r="D189" s="143">
        <f t="shared" si="5"/>
        <v>0</v>
      </c>
      <c r="E189" s="157">
        <v>7.97</v>
      </c>
      <c r="F189" s="165"/>
      <c r="G189" s="166">
        <v>566</v>
      </c>
      <c r="H189" s="167">
        <v>11.1</v>
      </c>
      <c r="I189" s="165"/>
      <c r="J189" s="167"/>
      <c r="K189" s="167">
        <v>14.5</v>
      </c>
      <c r="L189" s="167">
        <v>29.5</v>
      </c>
      <c r="M189" s="168">
        <v>0.56736111111111098</v>
      </c>
      <c r="N189" s="172"/>
    </row>
    <row r="190" spans="1:14" x14ac:dyDescent="0.25">
      <c r="A190" s="66">
        <v>44435</v>
      </c>
      <c r="B190" s="67" t="s">
        <v>38</v>
      </c>
      <c r="C190" s="129" t="str">
        <f t="shared" si="4"/>
        <v>27.08.2021_BRAob</v>
      </c>
      <c r="D190" s="143">
        <f t="shared" si="5"/>
        <v>0</v>
      </c>
      <c r="E190" s="157">
        <v>8.11</v>
      </c>
      <c r="F190" s="165"/>
      <c r="G190" s="166">
        <v>746</v>
      </c>
      <c r="H190" s="167">
        <v>13.4</v>
      </c>
      <c r="I190" s="165"/>
      <c r="J190" s="167"/>
      <c r="K190" s="167">
        <v>14.9</v>
      </c>
      <c r="L190" s="167">
        <v>7</v>
      </c>
      <c r="M190" s="168">
        <v>0.51666666666666705</v>
      </c>
      <c r="N190" s="172"/>
    </row>
    <row r="191" spans="1:14" x14ac:dyDescent="0.25">
      <c r="A191" s="66">
        <v>44435</v>
      </c>
      <c r="B191" s="67" t="s">
        <v>41</v>
      </c>
      <c r="C191" s="129" t="str">
        <f t="shared" si="4"/>
        <v>27.08.2021_BRAohBo</v>
      </c>
      <c r="D191" s="143">
        <f t="shared" si="5"/>
        <v>0</v>
      </c>
      <c r="E191" s="157">
        <v>8.24</v>
      </c>
      <c r="F191" s="165"/>
      <c r="G191" s="166">
        <v>663</v>
      </c>
      <c r="H191" s="167">
        <v>12.2</v>
      </c>
      <c r="I191" s="165"/>
      <c r="J191" s="167"/>
      <c r="K191" s="167">
        <v>15</v>
      </c>
      <c r="L191" s="167">
        <v>16</v>
      </c>
      <c r="M191" s="168">
        <v>0.530555555555556</v>
      </c>
      <c r="N191" s="172"/>
    </row>
    <row r="192" spans="1:14" x14ac:dyDescent="0.25">
      <c r="A192" s="66">
        <v>44435</v>
      </c>
      <c r="B192" s="67" t="s">
        <v>43</v>
      </c>
      <c r="C192" s="129" t="str">
        <f t="shared" si="4"/>
        <v>27.08.2021_HAAob</v>
      </c>
      <c r="D192" s="143">
        <f t="shared" si="5"/>
        <v>0</v>
      </c>
      <c r="E192" s="157">
        <v>8.1199999999999992</v>
      </c>
      <c r="F192" s="165"/>
      <c r="G192" s="166">
        <v>784</v>
      </c>
      <c r="H192" s="167">
        <v>12.6</v>
      </c>
      <c r="I192" s="165"/>
      <c r="J192" s="167"/>
      <c r="K192" s="167">
        <v>16.7</v>
      </c>
      <c r="L192" s="167">
        <v>13.5</v>
      </c>
      <c r="M192" s="168">
        <v>0.63819444444444395</v>
      </c>
      <c r="N192" s="172"/>
    </row>
    <row r="193" spans="1:14" x14ac:dyDescent="0.25">
      <c r="A193" s="66">
        <v>44435</v>
      </c>
      <c r="B193" s="67" t="s">
        <v>45</v>
      </c>
      <c r="C193" s="129" t="str">
        <f t="shared" si="4"/>
        <v>27.08.2021_HAAun</v>
      </c>
      <c r="D193" s="143">
        <f t="shared" si="5"/>
        <v>0</v>
      </c>
      <c r="E193" s="157">
        <v>7.95</v>
      </c>
      <c r="F193" s="165"/>
      <c r="G193" s="166">
        <v>1230</v>
      </c>
      <c r="H193" s="167">
        <v>11.2</v>
      </c>
      <c r="I193" s="165"/>
      <c r="J193" s="167"/>
      <c r="K193" s="167">
        <v>15.5</v>
      </c>
      <c r="L193" s="167">
        <v>4</v>
      </c>
      <c r="M193" s="168">
        <v>0.624305555555556</v>
      </c>
      <c r="N193" s="172" t="s">
        <v>242</v>
      </c>
    </row>
    <row r="194" spans="1:14" x14ac:dyDescent="0.25">
      <c r="A194" s="66">
        <v>44435</v>
      </c>
      <c r="B194" s="67" t="s">
        <v>47</v>
      </c>
      <c r="C194" s="129" t="str">
        <f t="shared" si="4"/>
        <v>27.08.2021_KIRob</v>
      </c>
      <c r="D194" s="143">
        <f t="shared" si="5"/>
        <v>0</v>
      </c>
      <c r="E194" s="157">
        <v>8.01</v>
      </c>
      <c r="F194" s="165"/>
      <c r="G194" s="166">
        <v>1105</v>
      </c>
      <c r="H194" s="167">
        <v>11.3</v>
      </c>
      <c r="I194" s="165"/>
      <c r="J194" s="167"/>
      <c r="K194" s="167">
        <v>14</v>
      </c>
      <c r="L194" s="167">
        <v>9.5</v>
      </c>
      <c r="M194" s="168">
        <v>0.421527777777778</v>
      </c>
      <c r="N194" s="172"/>
    </row>
    <row r="195" spans="1:14" x14ac:dyDescent="0.25">
      <c r="A195" s="66">
        <v>44435</v>
      </c>
      <c r="B195" s="67" t="s">
        <v>49</v>
      </c>
      <c r="C195" s="129" t="str">
        <f t="shared" si="4"/>
        <v>27.08.2021_KIRun</v>
      </c>
      <c r="D195" s="143">
        <f t="shared" si="5"/>
        <v>0</v>
      </c>
      <c r="E195" s="157">
        <v>8.0500000000000007</v>
      </c>
      <c r="F195" s="165"/>
      <c r="G195" s="166">
        <v>996</v>
      </c>
      <c r="H195" s="167">
        <v>11.6</v>
      </c>
      <c r="I195" s="165"/>
      <c r="J195" s="167"/>
      <c r="K195" s="167">
        <v>14</v>
      </c>
      <c r="L195" s="167">
        <v>10</v>
      </c>
      <c r="M195" s="168">
        <v>0.41111111111111098</v>
      </c>
      <c r="N195" s="172"/>
    </row>
    <row r="196" spans="1:14" x14ac:dyDescent="0.25">
      <c r="A196" s="66">
        <v>44435</v>
      </c>
      <c r="B196" s="67" t="s">
        <v>50</v>
      </c>
      <c r="C196" s="129" t="str">
        <f t="shared" ref="C196:C259" si="6">CONCATENATE(TEXT(A196,"TT.MM.JJJJ"),"_",B196)</f>
        <v>27.08.2021_LIEohBo</v>
      </c>
      <c r="D196" s="143">
        <f t="shared" si="5"/>
        <v>1</v>
      </c>
      <c r="E196" s="157">
        <v>9.06</v>
      </c>
      <c r="F196" s="165"/>
      <c r="G196" s="166"/>
      <c r="H196" s="167">
        <v>15</v>
      </c>
      <c r="I196" s="165"/>
      <c r="J196" s="167"/>
      <c r="K196" s="167">
        <v>21.6</v>
      </c>
      <c r="L196" s="167">
        <v>8.5</v>
      </c>
      <c r="M196" s="168">
        <v>0.70347222222222205</v>
      </c>
      <c r="N196" s="173"/>
    </row>
    <row r="197" spans="1:14" x14ac:dyDescent="0.25">
      <c r="A197" s="66">
        <v>44435</v>
      </c>
      <c r="B197" s="67" t="s">
        <v>53</v>
      </c>
      <c r="C197" s="129" t="str">
        <f t="shared" si="6"/>
        <v>27.08.2021_NATohBo</v>
      </c>
      <c r="D197" s="143">
        <f t="shared" ref="D197:D260" si="7">COUNTBLANK(E197)+COUNTBLANK(G197:H197)+COUNTBLANK(K197:L197)</f>
        <v>0</v>
      </c>
      <c r="E197" s="157">
        <v>7.79</v>
      </c>
      <c r="F197" s="165"/>
      <c r="G197" s="166">
        <v>1467</v>
      </c>
      <c r="H197" s="167">
        <v>12.6</v>
      </c>
      <c r="I197" s="165"/>
      <c r="J197" s="167"/>
      <c r="K197" s="167">
        <v>16</v>
      </c>
      <c r="L197" s="167">
        <v>14</v>
      </c>
      <c r="M197" s="168">
        <v>0.68958333333333299</v>
      </c>
      <c r="N197" s="172"/>
    </row>
    <row r="198" spans="1:14" x14ac:dyDescent="0.25">
      <c r="A198" s="66">
        <v>44435</v>
      </c>
      <c r="B198" s="67" t="s">
        <v>55</v>
      </c>
      <c r="C198" s="129" t="str">
        <f t="shared" si="6"/>
        <v>27.08.2021_QUAohBo</v>
      </c>
      <c r="D198" s="143">
        <f t="shared" si="7"/>
        <v>0</v>
      </c>
      <c r="E198" s="157">
        <v>7.88</v>
      </c>
      <c r="F198" s="165"/>
      <c r="G198" s="166">
        <v>818</v>
      </c>
      <c r="H198" s="167">
        <v>11.2</v>
      </c>
      <c r="I198" s="165"/>
      <c r="J198" s="167"/>
      <c r="K198" s="167">
        <v>15.3</v>
      </c>
      <c r="L198" s="167">
        <v>11</v>
      </c>
      <c r="M198" s="168">
        <v>0.60208333333333297</v>
      </c>
      <c r="N198" s="172"/>
    </row>
    <row r="199" spans="1:14" x14ac:dyDescent="0.25">
      <c r="A199" s="66">
        <v>44435</v>
      </c>
      <c r="B199" s="67" t="s">
        <v>57</v>
      </c>
      <c r="C199" s="129" t="str">
        <f t="shared" si="6"/>
        <v>27.08.2021_SCHohVo</v>
      </c>
      <c r="D199" s="143">
        <f t="shared" si="7"/>
        <v>0</v>
      </c>
      <c r="E199" s="157">
        <v>8.1300000000000008</v>
      </c>
      <c r="F199" s="165"/>
      <c r="G199" s="166">
        <v>696</v>
      </c>
      <c r="H199" s="167">
        <v>12</v>
      </c>
      <c r="I199" s="165"/>
      <c r="J199" s="167"/>
      <c r="K199" s="167">
        <v>14.5</v>
      </c>
      <c r="L199" s="167">
        <v>2</v>
      </c>
      <c r="M199" s="168">
        <v>0.44236111111111098</v>
      </c>
      <c r="N199" s="172"/>
    </row>
    <row r="200" spans="1:14" x14ac:dyDescent="0.25">
      <c r="A200" s="66">
        <v>44435</v>
      </c>
      <c r="B200" s="67" t="s">
        <v>60</v>
      </c>
      <c r="C200" s="129" t="str">
        <f t="shared" si="6"/>
        <v>27.08.2021_VORohBo</v>
      </c>
      <c r="D200" s="143">
        <f t="shared" si="7"/>
        <v>0</v>
      </c>
      <c r="E200" s="157">
        <v>7.71</v>
      </c>
      <c r="F200" s="165"/>
      <c r="G200" s="166">
        <v>1126</v>
      </c>
      <c r="H200" s="167">
        <v>10.7</v>
      </c>
      <c r="I200" s="165"/>
      <c r="J200" s="167"/>
      <c r="K200" s="167">
        <v>14.1</v>
      </c>
      <c r="L200" s="167">
        <v>8</v>
      </c>
      <c r="M200" s="168">
        <v>0.48263888888888901</v>
      </c>
      <c r="N200" s="172"/>
    </row>
    <row r="201" spans="1:14" x14ac:dyDescent="0.25">
      <c r="A201" s="66">
        <v>44435</v>
      </c>
      <c r="B201" s="67" t="s">
        <v>62</v>
      </c>
      <c r="C201" s="129" t="str">
        <f t="shared" si="6"/>
        <v>27.08.2021_VORuhSc</v>
      </c>
      <c r="D201" s="143">
        <f t="shared" si="7"/>
        <v>0</v>
      </c>
      <c r="E201" s="157">
        <v>7.39</v>
      </c>
      <c r="F201" s="165"/>
      <c r="G201" s="166">
        <v>1098</v>
      </c>
      <c r="H201" s="167">
        <v>10.199999999999999</v>
      </c>
      <c r="I201" s="165"/>
      <c r="J201" s="167"/>
      <c r="K201" s="167">
        <v>13.8</v>
      </c>
      <c r="L201" s="167">
        <v>8</v>
      </c>
      <c r="M201" s="168">
        <v>0.45486111111111099</v>
      </c>
      <c r="N201" s="172"/>
    </row>
    <row r="202" spans="1:14" x14ac:dyDescent="0.25">
      <c r="A202" s="66">
        <v>44435</v>
      </c>
      <c r="B202" s="67" t="s">
        <v>64</v>
      </c>
      <c r="C202" s="129" t="str">
        <f t="shared" si="6"/>
        <v>27.08.2021_WITob</v>
      </c>
      <c r="D202" s="143">
        <f t="shared" si="7"/>
        <v>0</v>
      </c>
      <c r="E202" s="157">
        <v>8.3000000000000007</v>
      </c>
      <c r="F202" s="165"/>
      <c r="G202" s="166">
        <v>1247</v>
      </c>
      <c r="H202" s="167">
        <v>14.5</v>
      </c>
      <c r="I202" s="165"/>
      <c r="J202" s="167"/>
      <c r="K202" s="167">
        <v>15.9</v>
      </c>
      <c r="L202" s="167">
        <v>2</v>
      </c>
      <c r="M202" s="168">
        <v>0.65277777777777801</v>
      </c>
      <c r="N202" s="172"/>
    </row>
    <row r="203" spans="1:14" x14ac:dyDescent="0.25">
      <c r="A203" s="66">
        <v>44449</v>
      </c>
      <c r="B203" s="67" t="s">
        <v>22</v>
      </c>
      <c r="C203" s="129" t="str">
        <f t="shared" si="6"/>
        <v>10.09.2021_BOYkl</v>
      </c>
      <c r="D203" s="143">
        <f t="shared" si="7"/>
        <v>0</v>
      </c>
      <c r="E203" s="157">
        <v>8.25</v>
      </c>
      <c r="F203" s="165"/>
      <c r="G203" s="166">
        <v>518</v>
      </c>
      <c r="H203" s="167">
        <v>7.3</v>
      </c>
      <c r="I203" s="165"/>
      <c r="J203" s="167"/>
      <c r="K203" s="167">
        <v>17.5</v>
      </c>
      <c r="L203" s="167">
        <v>3.1</v>
      </c>
      <c r="M203" s="168">
        <v>0.46319444444444402</v>
      </c>
      <c r="N203" s="67" t="s">
        <v>243</v>
      </c>
    </row>
    <row r="204" spans="1:14" x14ac:dyDescent="0.25">
      <c r="A204" s="66">
        <v>44449</v>
      </c>
      <c r="B204" s="67" t="s">
        <v>25</v>
      </c>
      <c r="C204" s="129" t="str">
        <f t="shared" si="6"/>
        <v>10.09.2021_BOYohB224</v>
      </c>
      <c r="D204" s="143">
        <f t="shared" si="7"/>
        <v>0</v>
      </c>
      <c r="E204" s="157">
        <v>8.01</v>
      </c>
      <c r="F204" s="165"/>
      <c r="G204" s="166">
        <v>890</v>
      </c>
      <c r="H204" s="167">
        <v>7.5</v>
      </c>
      <c r="I204" s="165"/>
      <c r="J204" s="167"/>
      <c r="K204" s="167">
        <v>21.2</v>
      </c>
      <c r="L204" s="167">
        <v>19.399999999999999</v>
      </c>
      <c r="M204" s="168">
        <v>0.65277777777777801</v>
      </c>
      <c r="N204" s="67"/>
    </row>
    <row r="205" spans="1:14" x14ac:dyDescent="0.25">
      <c r="A205" s="66">
        <v>44449</v>
      </c>
      <c r="B205" s="67" t="s">
        <v>28</v>
      </c>
      <c r="C205" s="129" t="str">
        <f t="shared" si="6"/>
        <v>10.09.2021_BOYohBr</v>
      </c>
      <c r="D205" s="143">
        <f t="shared" si="7"/>
        <v>0</v>
      </c>
      <c r="E205" s="157">
        <v>7.92</v>
      </c>
      <c r="F205" s="165"/>
      <c r="G205" s="166">
        <v>560</v>
      </c>
      <c r="H205" s="167">
        <v>6</v>
      </c>
      <c r="I205" s="165"/>
      <c r="J205" s="167"/>
      <c r="K205" s="167">
        <v>14.7</v>
      </c>
      <c r="L205" s="167">
        <v>13.9</v>
      </c>
      <c r="M205" s="168">
        <v>0.50902777777777797</v>
      </c>
      <c r="N205" s="67"/>
    </row>
    <row r="206" spans="1:14" x14ac:dyDescent="0.25">
      <c r="A206" s="66">
        <v>44449</v>
      </c>
      <c r="B206" s="67" t="s">
        <v>30</v>
      </c>
      <c r="C206" s="129" t="str">
        <f t="shared" si="6"/>
        <v>10.09.2021_BOYohKi</v>
      </c>
      <c r="D206" s="143">
        <f t="shared" si="7"/>
        <v>0</v>
      </c>
      <c r="E206" s="157">
        <v>8.0399999999999991</v>
      </c>
      <c r="F206" s="165"/>
      <c r="G206" s="166">
        <v>814</v>
      </c>
      <c r="H206" s="167">
        <v>5.9</v>
      </c>
      <c r="I206" s="165"/>
      <c r="J206" s="167"/>
      <c r="K206" s="167">
        <v>16</v>
      </c>
      <c r="L206" s="167">
        <v>36.6</v>
      </c>
      <c r="M206" s="168">
        <v>0.375</v>
      </c>
      <c r="N206" s="67"/>
    </row>
    <row r="207" spans="1:14" x14ac:dyDescent="0.25">
      <c r="A207" s="66">
        <v>44449</v>
      </c>
      <c r="B207" s="67" t="s">
        <v>32</v>
      </c>
      <c r="C207" s="129" t="str">
        <f t="shared" si="6"/>
        <v>10.09.2021_BOYohSp</v>
      </c>
      <c r="D207" s="143">
        <f t="shared" si="7"/>
        <v>0</v>
      </c>
      <c r="E207" s="157">
        <v>7.92</v>
      </c>
      <c r="F207" s="165"/>
      <c r="G207" s="166">
        <v>615</v>
      </c>
      <c r="H207" s="167">
        <v>6.6</v>
      </c>
      <c r="I207" s="165"/>
      <c r="J207" s="167"/>
      <c r="K207" s="167">
        <v>15.8</v>
      </c>
      <c r="L207" s="167">
        <v>23.7</v>
      </c>
      <c r="M207" s="168">
        <v>0.55069444444444504</v>
      </c>
      <c r="N207" s="67"/>
    </row>
    <row r="208" spans="1:14" x14ac:dyDescent="0.25">
      <c r="A208" s="66">
        <v>44449</v>
      </c>
      <c r="B208" s="67" t="s">
        <v>36</v>
      </c>
      <c r="C208" s="129" t="str">
        <f t="shared" si="6"/>
        <v>10.09.2021_BOYuhSp</v>
      </c>
      <c r="D208" s="143">
        <f t="shared" si="7"/>
        <v>0</v>
      </c>
      <c r="E208" s="157">
        <v>7.88</v>
      </c>
      <c r="F208" s="165"/>
      <c r="G208" s="166">
        <v>626</v>
      </c>
      <c r="H208" s="167">
        <v>6.9</v>
      </c>
      <c r="I208" s="165"/>
      <c r="J208" s="167"/>
      <c r="K208" s="167">
        <v>15.8</v>
      </c>
      <c r="L208" s="167">
        <v>25.6</v>
      </c>
      <c r="M208" s="168">
        <v>0.54305555555555596</v>
      </c>
      <c r="N208" s="67"/>
    </row>
    <row r="209" spans="1:14" x14ac:dyDescent="0.25">
      <c r="A209" s="66">
        <v>44449</v>
      </c>
      <c r="B209" s="67" t="s">
        <v>38</v>
      </c>
      <c r="C209" s="129" t="str">
        <f t="shared" si="6"/>
        <v>10.09.2021_BRAob</v>
      </c>
      <c r="D209" s="143">
        <f t="shared" si="7"/>
        <v>0</v>
      </c>
      <c r="E209" s="157">
        <v>8.09</v>
      </c>
      <c r="F209" s="165"/>
      <c r="G209" s="166">
        <v>717</v>
      </c>
      <c r="H209" s="167">
        <v>7.1</v>
      </c>
      <c r="I209" s="165"/>
      <c r="J209" s="167"/>
      <c r="K209" s="167">
        <v>17.100000000000001</v>
      </c>
      <c r="L209" s="167">
        <v>4</v>
      </c>
      <c r="M209" s="168">
        <v>0.47916666666666702</v>
      </c>
      <c r="N209" s="67"/>
    </row>
    <row r="210" spans="1:14" x14ac:dyDescent="0.25">
      <c r="A210" s="66">
        <v>44449</v>
      </c>
      <c r="B210" s="67" t="s">
        <v>41</v>
      </c>
      <c r="C210" s="129" t="str">
        <f t="shared" si="6"/>
        <v>10.09.2021_BRAohBo</v>
      </c>
      <c r="D210" s="143">
        <f t="shared" si="7"/>
        <v>0</v>
      </c>
      <c r="E210" s="157">
        <v>8.1199999999999992</v>
      </c>
      <c r="F210" s="165"/>
      <c r="G210" s="166">
        <v>654</v>
      </c>
      <c r="H210" s="167">
        <v>6.8</v>
      </c>
      <c r="I210" s="165"/>
      <c r="J210" s="167"/>
      <c r="K210" s="167">
        <v>17.399999999999999</v>
      </c>
      <c r="L210" s="167">
        <v>9.6</v>
      </c>
      <c r="M210" s="168">
        <v>0.49236111111111103</v>
      </c>
      <c r="N210" s="67"/>
    </row>
    <row r="211" spans="1:14" x14ac:dyDescent="0.25">
      <c r="A211" s="66">
        <v>44449</v>
      </c>
      <c r="B211" s="67" t="s">
        <v>43</v>
      </c>
      <c r="C211" s="129" t="str">
        <f t="shared" si="6"/>
        <v>10.09.2021_HAAob</v>
      </c>
      <c r="D211" s="143">
        <f t="shared" si="7"/>
        <v>0</v>
      </c>
      <c r="E211" s="157">
        <v>8.16</v>
      </c>
      <c r="F211" s="165"/>
      <c r="G211" s="166">
        <v>728</v>
      </c>
      <c r="H211" s="167">
        <v>7.1</v>
      </c>
      <c r="I211" s="165"/>
      <c r="J211" s="167"/>
      <c r="K211" s="167">
        <v>19.399999999999999</v>
      </c>
      <c r="L211" s="167">
        <v>13.8</v>
      </c>
      <c r="M211" s="168">
        <v>0.59722222222222199</v>
      </c>
      <c r="N211" s="67"/>
    </row>
    <row r="212" spans="1:14" x14ac:dyDescent="0.25">
      <c r="A212" s="66">
        <v>44449</v>
      </c>
      <c r="B212" s="67" t="s">
        <v>45</v>
      </c>
      <c r="C212" s="129" t="str">
        <f t="shared" si="6"/>
        <v>10.09.2021_HAAun</v>
      </c>
      <c r="D212" s="143">
        <f t="shared" si="7"/>
        <v>0</v>
      </c>
      <c r="E212" s="157">
        <v>7.91</v>
      </c>
      <c r="F212" s="165"/>
      <c r="G212" s="166">
        <v>929</v>
      </c>
      <c r="H212" s="167">
        <v>6.1</v>
      </c>
      <c r="I212" s="165"/>
      <c r="J212" s="167"/>
      <c r="K212" s="167">
        <v>18</v>
      </c>
      <c r="L212" s="167">
        <v>9.3000000000000007</v>
      </c>
      <c r="M212" s="168">
        <v>0.57986111111111105</v>
      </c>
      <c r="N212" s="67" t="s">
        <v>244</v>
      </c>
    </row>
    <row r="213" spans="1:14" x14ac:dyDescent="0.25">
      <c r="A213" s="66">
        <v>44449</v>
      </c>
      <c r="B213" s="67" t="s">
        <v>47</v>
      </c>
      <c r="C213" s="129" t="str">
        <f t="shared" si="6"/>
        <v>10.09.2021_KIRob</v>
      </c>
      <c r="D213" s="143">
        <f t="shared" si="7"/>
        <v>0</v>
      </c>
      <c r="E213" s="157">
        <v>7.77</v>
      </c>
      <c r="F213" s="165"/>
      <c r="G213" s="166">
        <v>1025</v>
      </c>
      <c r="H213" s="167">
        <v>6.2</v>
      </c>
      <c r="I213" s="165"/>
      <c r="J213" s="167"/>
      <c r="K213" s="167">
        <v>16</v>
      </c>
      <c r="L213" s="167">
        <v>24.3</v>
      </c>
      <c r="M213" s="168">
        <v>0.40138888888888902</v>
      </c>
      <c r="N213" s="67"/>
    </row>
    <row r="214" spans="1:14" x14ac:dyDescent="0.25">
      <c r="A214" s="66">
        <v>44449</v>
      </c>
      <c r="B214" s="67" t="s">
        <v>49</v>
      </c>
      <c r="C214" s="129" t="str">
        <f t="shared" si="6"/>
        <v>10.09.2021_KIRun</v>
      </c>
      <c r="D214" s="143">
        <f t="shared" si="7"/>
        <v>0</v>
      </c>
      <c r="E214" s="157">
        <v>7.95</v>
      </c>
      <c r="F214" s="165"/>
      <c r="G214" s="166">
        <v>979</v>
      </c>
      <c r="H214" s="167">
        <v>7</v>
      </c>
      <c r="I214" s="165"/>
      <c r="J214" s="167"/>
      <c r="K214" s="167">
        <v>15.9</v>
      </c>
      <c r="L214" s="167">
        <v>14</v>
      </c>
      <c r="M214" s="168">
        <v>0.39305555555555599</v>
      </c>
      <c r="N214" s="67"/>
    </row>
    <row r="215" spans="1:14" x14ac:dyDescent="0.25">
      <c r="A215" s="66">
        <v>44449</v>
      </c>
      <c r="B215" s="67" t="s">
        <v>50</v>
      </c>
      <c r="C215" s="129" t="str">
        <f t="shared" si="6"/>
        <v>10.09.2021_LIEohBo</v>
      </c>
      <c r="D215" s="143">
        <f t="shared" si="7"/>
        <v>0</v>
      </c>
      <c r="E215" s="157">
        <v>8.5500000000000007</v>
      </c>
      <c r="F215" s="165"/>
      <c r="G215" s="166">
        <v>517</v>
      </c>
      <c r="H215" s="167">
        <v>9.8000000000000007</v>
      </c>
      <c r="I215" s="165"/>
      <c r="J215" s="167"/>
      <c r="K215" s="167">
        <v>23</v>
      </c>
      <c r="L215" s="167">
        <v>10</v>
      </c>
      <c r="M215" s="168">
        <v>0.68333333333333302</v>
      </c>
      <c r="N215" s="174"/>
    </row>
    <row r="216" spans="1:14" x14ac:dyDescent="0.25">
      <c r="A216" s="66">
        <v>44449</v>
      </c>
      <c r="B216" s="67" t="s">
        <v>53</v>
      </c>
      <c r="C216" s="129" t="str">
        <f t="shared" si="6"/>
        <v>10.09.2021_NATohBo</v>
      </c>
      <c r="D216" s="143">
        <f t="shared" si="7"/>
        <v>0</v>
      </c>
      <c r="E216" s="157">
        <v>7.82</v>
      </c>
      <c r="F216" s="165"/>
      <c r="G216" s="166">
        <v>791</v>
      </c>
      <c r="H216" s="167">
        <v>6.1</v>
      </c>
      <c r="I216" s="165"/>
      <c r="J216" s="167"/>
      <c r="K216" s="167">
        <v>18.8</v>
      </c>
      <c r="L216" s="167">
        <v>12.6</v>
      </c>
      <c r="M216" s="168">
        <v>0.66666666666666696</v>
      </c>
      <c r="N216" s="67" t="s">
        <v>94</v>
      </c>
    </row>
    <row r="217" spans="1:14" x14ac:dyDescent="0.25">
      <c r="A217" s="66">
        <v>44449</v>
      </c>
      <c r="B217" s="67" t="s">
        <v>55</v>
      </c>
      <c r="C217" s="129" t="str">
        <f t="shared" si="6"/>
        <v>10.09.2021_QUAohBo</v>
      </c>
      <c r="D217" s="143">
        <f t="shared" si="7"/>
        <v>0</v>
      </c>
      <c r="E217" s="157">
        <v>7.83</v>
      </c>
      <c r="F217" s="165"/>
      <c r="G217" s="166">
        <v>815</v>
      </c>
      <c r="H217" s="167">
        <v>4.3</v>
      </c>
      <c r="I217" s="165"/>
      <c r="J217" s="167"/>
      <c r="K217" s="167">
        <v>17.7</v>
      </c>
      <c r="L217" s="167">
        <v>14.1</v>
      </c>
      <c r="M217" s="168">
        <v>0.56597222222222199</v>
      </c>
      <c r="N217" s="67"/>
    </row>
    <row r="218" spans="1:14" x14ac:dyDescent="0.25">
      <c r="A218" s="66">
        <v>44449</v>
      </c>
      <c r="B218" s="67" t="s">
        <v>57</v>
      </c>
      <c r="C218" s="129" t="str">
        <f t="shared" si="6"/>
        <v>10.09.2021_SCHohVo</v>
      </c>
      <c r="D218" s="143">
        <f t="shared" si="7"/>
        <v>0</v>
      </c>
      <c r="E218" s="157">
        <v>8.1999999999999993</v>
      </c>
      <c r="F218" s="165"/>
      <c r="G218" s="166">
        <v>722</v>
      </c>
      <c r="H218" s="167">
        <v>5.8</v>
      </c>
      <c r="I218" s="165"/>
      <c r="J218" s="167"/>
      <c r="K218" s="167">
        <v>17.100000000000001</v>
      </c>
      <c r="L218" s="167">
        <v>1</v>
      </c>
      <c r="M218" s="168">
        <v>0.41666666666666702</v>
      </c>
      <c r="N218" s="67"/>
    </row>
    <row r="219" spans="1:14" x14ac:dyDescent="0.25">
      <c r="A219" s="66">
        <v>44449</v>
      </c>
      <c r="B219" s="67" t="s">
        <v>60</v>
      </c>
      <c r="C219" s="129" t="str">
        <f t="shared" si="6"/>
        <v>10.09.2021_VORohBo</v>
      </c>
      <c r="D219" s="143">
        <f t="shared" si="7"/>
        <v>0</v>
      </c>
      <c r="E219" s="157">
        <v>7.51</v>
      </c>
      <c r="F219" s="165"/>
      <c r="G219" s="166">
        <v>1085</v>
      </c>
      <c r="H219" s="167">
        <v>5.7</v>
      </c>
      <c r="I219" s="165"/>
      <c r="J219" s="167"/>
      <c r="K219" s="167">
        <v>15.5</v>
      </c>
      <c r="L219" s="167">
        <v>22.8</v>
      </c>
      <c r="M219" s="168">
        <v>0.44444444444444398</v>
      </c>
      <c r="N219" s="67"/>
    </row>
    <row r="220" spans="1:14" x14ac:dyDescent="0.25">
      <c r="A220" s="66">
        <v>44449</v>
      </c>
      <c r="B220" s="67" t="s">
        <v>62</v>
      </c>
      <c r="C220" s="129" t="str">
        <f t="shared" si="6"/>
        <v>10.09.2021_VORuhSc</v>
      </c>
      <c r="D220" s="143">
        <f t="shared" si="7"/>
        <v>0</v>
      </c>
      <c r="E220" s="157">
        <v>7.25</v>
      </c>
      <c r="F220" s="165"/>
      <c r="G220" s="166">
        <v>1115</v>
      </c>
      <c r="H220" s="167">
        <v>4.7</v>
      </c>
      <c r="I220" s="165"/>
      <c r="J220" s="167"/>
      <c r="K220" s="167">
        <v>15.5</v>
      </c>
      <c r="L220" s="167">
        <v>13.2</v>
      </c>
      <c r="M220" s="168">
        <v>0.42847222222222198</v>
      </c>
      <c r="N220" s="67"/>
    </row>
    <row r="221" spans="1:14" x14ac:dyDescent="0.25">
      <c r="A221" s="66">
        <v>44449</v>
      </c>
      <c r="B221" s="67" t="s">
        <v>64</v>
      </c>
      <c r="C221" s="129" t="str">
        <f t="shared" si="6"/>
        <v>10.09.2021_WITob</v>
      </c>
      <c r="D221" s="143">
        <f t="shared" si="7"/>
        <v>0</v>
      </c>
      <c r="E221" s="157">
        <v>8.11</v>
      </c>
      <c r="F221" s="165"/>
      <c r="G221" s="166">
        <v>1154</v>
      </c>
      <c r="H221" s="167">
        <v>7.4</v>
      </c>
      <c r="I221" s="165"/>
      <c r="J221" s="167"/>
      <c r="K221" s="167">
        <v>18.3</v>
      </c>
      <c r="L221" s="167">
        <v>1.7</v>
      </c>
      <c r="M221" s="168">
        <v>0.61250000000000004</v>
      </c>
      <c r="N221" s="67"/>
    </row>
    <row r="222" spans="1:14" x14ac:dyDescent="0.25">
      <c r="A222" s="66">
        <v>44463</v>
      </c>
      <c r="B222" s="67" t="s">
        <v>22</v>
      </c>
      <c r="C222" s="129" t="str">
        <f t="shared" si="6"/>
        <v>24.09.2021_BOYkl</v>
      </c>
      <c r="D222" s="143">
        <f t="shared" si="7"/>
        <v>0</v>
      </c>
      <c r="E222" s="157">
        <v>8.1199999999999992</v>
      </c>
      <c r="F222" s="165"/>
      <c r="G222" s="166">
        <v>502</v>
      </c>
      <c r="H222" s="167">
        <v>7.2</v>
      </c>
      <c r="I222" s="165"/>
      <c r="J222" s="167"/>
      <c r="K222" s="167">
        <v>14.9</v>
      </c>
      <c r="L222" s="167">
        <v>5.5</v>
      </c>
      <c r="M222" s="168">
        <v>0.47916666666666702</v>
      </c>
      <c r="N222" s="67" t="s">
        <v>95</v>
      </c>
    </row>
    <row r="223" spans="1:14" x14ac:dyDescent="0.25">
      <c r="A223" s="66">
        <v>44463</v>
      </c>
      <c r="B223" s="67" t="s">
        <v>25</v>
      </c>
      <c r="C223" s="129" t="str">
        <f t="shared" si="6"/>
        <v>24.09.2021_BOYohB224</v>
      </c>
      <c r="D223" s="143">
        <f t="shared" si="7"/>
        <v>0</v>
      </c>
      <c r="E223" s="157">
        <v>7.92</v>
      </c>
      <c r="F223" s="165"/>
      <c r="G223" s="166">
        <v>955</v>
      </c>
      <c r="H223" s="167">
        <v>7.6</v>
      </c>
      <c r="I223" s="165"/>
      <c r="J223" s="167"/>
      <c r="K223" s="167">
        <v>16.399999999999999</v>
      </c>
      <c r="L223" s="167">
        <v>41.5</v>
      </c>
      <c r="M223" s="168">
        <v>0.6875</v>
      </c>
      <c r="N223" s="67" t="s">
        <v>245</v>
      </c>
    </row>
    <row r="224" spans="1:14" x14ac:dyDescent="0.25">
      <c r="A224" s="66">
        <v>44463</v>
      </c>
      <c r="B224" s="67" t="s">
        <v>28</v>
      </c>
      <c r="C224" s="129" t="str">
        <f t="shared" si="6"/>
        <v>24.09.2021_BOYohBr</v>
      </c>
      <c r="D224" s="143">
        <f t="shared" si="7"/>
        <v>0</v>
      </c>
      <c r="E224" s="157">
        <v>7.9</v>
      </c>
      <c r="F224" s="165"/>
      <c r="G224" s="166">
        <v>567</v>
      </c>
      <c r="H224" s="167">
        <v>5.3</v>
      </c>
      <c r="I224" s="165"/>
      <c r="J224" s="167"/>
      <c r="K224" s="167">
        <v>13.6</v>
      </c>
      <c r="L224" s="167">
        <v>20</v>
      </c>
      <c r="M224" s="168">
        <v>0.55069444444444504</v>
      </c>
      <c r="N224" s="67" t="s">
        <v>245</v>
      </c>
    </row>
    <row r="225" spans="1:14" x14ac:dyDescent="0.25">
      <c r="A225" s="66">
        <v>44463</v>
      </c>
      <c r="B225" s="67" t="s">
        <v>30</v>
      </c>
      <c r="C225" s="129" t="str">
        <f t="shared" si="6"/>
        <v>24.09.2021_BOYohKi</v>
      </c>
      <c r="D225" s="143">
        <f t="shared" si="7"/>
        <v>0</v>
      </c>
      <c r="E225" s="157">
        <v>7.79</v>
      </c>
      <c r="F225" s="165"/>
      <c r="G225" s="166">
        <v>812</v>
      </c>
      <c r="H225" s="167">
        <v>5.3</v>
      </c>
      <c r="I225" s="165"/>
      <c r="J225" s="167"/>
      <c r="K225" s="167">
        <v>14.1</v>
      </c>
      <c r="L225" s="167">
        <v>31</v>
      </c>
      <c r="M225" s="168">
        <v>0.38194444444444398</v>
      </c>
      <c r="N225" s="67" t="s">
        <v>245</v>
      </c>
    </row>
    <row r="226" spans="1:14" x14ac:dyDescent="0.25">
      <c r="A226" s="66">
        <v>44463</v>
      </c>
      <c r="B226" s="67" t="s">
        <v>32</v>
      </c>
      <c r="C226" s="129" t="str">
        <f t="shared" si="6"/>
        <v>24.09.2021_BOYohSp</v>
      </c>
      <c r="D226" s="143">
        <f t="shared" si="7"/>
        <v>0</v>
      </c>
      <c r="E226" s="157">
        <v>8.07</v>
      </c>
      <c r="F226" s="165"/>
      <c r="G226" s="166">
        <v>657</v>
      </c>
      <c r="H226" s="167">
        <v>7.4</v>
      </c>
      <c r="I226" s="165"/>
      <c r="J226" s="167"/>
      <c r="K226" s="167">
        <v>14.2</v>
      </c>
      <c r="L226" s="167">
        <v>21</v>
      </c>
      <c r="M226" s="168">
        <v>0.59097222222222201</v>
      </c>
      <c r="N226" s="67" t="s">
        <v>245</v>
      </c>
    </row>
    <row r="227" spans="1:14" x14ac:dyDescent="0.25">
      <c r="A227" s="66">
        <v>44463</v>
      </c>
      <c r="B227" s="67" t="s">
        <v>36</v>
      </c>
      <c r="C227" s="129" t="str">
        <f t="shared" si="6"/>
        <v>24.09.2021_BOYuhSp</v>
      </c>
      <c r="D227" s="143">
        <f t="shared" si="7"/>
        <v>0</v>
      </c>
      <c r="E227" s="157">
        <v>8.02</v>
      </c>
      <c r="F227" s="165"/>
      <c r="G227" s="166">
        <v>648</v>
      </c>
      <c r="H227" s="167">
        <v>8.1999999999999993</v>
      </c>
      <c r="I227" s="165"/>
      <c r="J227" s="167"/>
      <c r="K227" s="167">
        <v>14.2</v>
      </c>
      <c r="L227" s="167">
        <v>31.5</v>
      </c>
      <c r="M227" s="168">
        <v>0.57916666666666705</v>
      </c>
      <c r="N227" s="67" t="s">
        <v>245</v>
      </c>
    </row>
    <row r="228" spans="1:14" x14ac:dyDescent="0.25">
      <c r="A228" s="66">
        <v>44463</v>
      </c>
      <c r="B228" s="67" t="s">
        <v>38</v>
      </c>
      <c r="C228" s="129" t="str">
        <f t="shared" si="6"/>
        <v>24.09.2021_BRAob</v>
      </c>
      <c r="D228" s="143">
        <f t="shared" si="7"/>
        <v>0</v>
      </c>
      <c r="E228" s="157">
        <v>7.98</v>
      </c>
      <c r="F228" s="165"/>
      <c r="G228" s="166">
        <v>758</v>
      </c>
      <c r="H228" s="167">
        <v>6.3</v>
      </c>
      <c r="I228" s="165"/>
      <c r="J228" s="167"/>
      <c r="K228" s="167">
        <v>14.4</v>
      </c>
      <c r="L228" s="167">
        <v>5.0999999999999996</v>
      </c>
      <c r="M228" s="168">
        <v>0.5</v>
      </c>
      <c r="N228" s="67" t="s">
        <v>245</v>
      </c>
    </row>
    <row r="229" spans="1:14" x14ac:dyDescent="0.25">
      <c r="A229" s="66">
        <v>44463</v>
      </c>
      <c r="B229" s="67" t="s">
        <v>41</v>
      </c>
      <c r="C229" s="129" t="str">
        <f t="shared" si="6"/>
        <v>24.09.2021_BRAohBo</v>
      </c>
      <c r="D229" s="143">
        <f t="shared" si="7"/>
        <v>0</v>
      </c>
      <c r="E229" s="157">
        <v>8.15</v>
      </c>
      <c r="F229" s="165"/>
      <c r="G229" s="166">
        <v>697</v>
      </c>
      <c r="H229" s="167">
        <v>8.1</v>
      </c>
      <c r="I229" s="165"/>
      <c r="J229" s="167"/>
      <c r="K229" s="167">
        <v>14.7</v>
      </c>
      <c r="L229" s="167">
        <v>17</v>
      </c>
      <c r="M229" s="168">
        <v>0.51805555555555605</v>
      </c>
      <c r="N229" s="67" t="s">
        <v>245</v>
      </c>
    </row>
    <row r="230" spans="1:14" x14ac:dyDescent="0.25">
      <c r="A230" s="66">
        <v>44463</v>
      </c>
      <c r="B230" s="67" t="s">
        <v>43</v>
      </c>
      <c r="C230" s="129" t="str">
        <f t="shared" si="6"/>
        <v>24.09.2021_HAAob</v>
      </c>
      <c r="D230" s="143">
        <f t="shared" si="7"/>
        <v>0</v>
      </c>
      <c r="E230" s="157">
        <v>7.9</v>
      </c>
      <c r="F230" s="165"/>
      <c r="G230" s="166">
        <v>830</v>
      </c>
      <c r="H230" s="167">
        <v>7.6</v>
      </c>
      <c r="I230" s="165"/>
      <c r="J230" s="167"/>
      <c r="K230" s="167">
        <v>16.2</v>
      </c>
      <c r="L230" s="167">
        <v>11.2</v>
      </c>
      <c r="M230" s="168">
        <v>0.64583333333333304</v>
      </c>
      <c r="N230" s="67" t="s">
        <v>245</v>
      </c>
    </row>
    <row r="231" spans="1:14" x14ac:dyDescent="0.25">
      <c r="A231" s="66">
        <v>44463</v>
      </c>
      <c r="B231" s="67" t="s">
        <v>45</v>
      </c>
      <c r="C231" s="129" t="str">
        <f t="shared" si="6"/>
        <v>24.09.2021_HAAun</v>
      </c>
      <c r="D231" s="143">
        <f t="shared" si="7"/>
        <v>0</v>
      </c>
      <c r="E231" s="157">
        <v>7.8</v>
      </c>
      <c r="F231" s="165"/>
      <c r="G231" s="166">
        <v>1136</v>
      </c>
      <c r="H231" s="167">
        <v>7.4</v>
      </c>
      <c r="I231" s="165"/>
      <c r="J231" s="167"/>
      <c r="K231" s="167">
        <v>15.3</v>
      </c>
      <c r="L231" s="167">
        <v>6.5</v>
      </c>
      <c r="M231" s="168">
        <v>0.62847222222222199</v>
      </c>
      <c r="N231" s="67" t="s">
        <v>247</v>
      </c>
    </row>
    <row r="232" spans="1:14" x14ac:dyDescent="0.25">
      <c r="A232" s="66">
        <v>44463</v>
      </c>
      <c r="B232" s="67" t="s">
        <v>47</v>
      </c>
      <c r="C232" s="129" t="str">
        <f t="shared" si="6"/>
        <v>24.09.2021_KIRob</v>
      </c>
      <c r="D232" s="143">
        <f t="shared" si="7"/>
        <v>0</v>
      </c>
      <c r="E232" s="157">
        <v>7.44</v>
      </c>
      <c r="F232" s="165"/>
      <c r="G232" s="166">
        <v>1022</v>
      </c>
      <c r="H232" s="167">
        <v>5</v>
      </c>
      <c r="I232" s="165"/>
      <c r="J232" s="167"/>
      <c r="K232" s="167">
        <v>14.5</v>
      </c>
      <c r="L232" s="167">
        <v>8.5</v>
      </c>
      <c r="M232" s="168">
        <v>0.41249999999999998</v>
      </c>
      <c r="N232" s="67"/>
    </row>
    <row r="233" spans="1:14" x14ac:dyDescent="0.25">
      <c r="A233" s="66">
        <v>44463</v>
      </c>
      <c r="B233" s="67" t="s">
        <v>49</v>
      </c>
      <c r="C233" s="129" t="str">
        <f t="shared" si="6"/>
        <v>24.09.2021_KIRun</v>
      </c>
      <c r="D233" s="143">
        <f t="shared" si="7"/>
        <v>0</v>
      </c>
      <c r="E233" s="157">
        <v>7.98</v>
      </c>
      <c r="F233" s="165"/>
      <c r="G233" s="166">
        <v>994</v>
      </c>
      <c r="H233" s="167">
        <v>7</v>
      </c>
      <c r="I233" s="165"/>
      <c r="J233" s="167"/>
      <c r="K233" s="167">
        <v>14.1</v>
      </c>
      <c r="L233" s="167">
        <v>12</v>
      </c>
      <c r="M233" s="168">
        <v>0.39374999999999999</v>
      </c>
      <c r="N233" s="67" t="s">
        <v>245</v>
      </c>
    </row>
    <row r="234" spans="1:14" x14ac:dyDescent="0.25">
      <c r="A234" s="66">
        <v>44463</v>
      </c>
      <c r="B234" s="67" t="s">
        <v>50</v>
      </c>
      <c r="C234" s="129" t="str">
        <f t="shared" si="6"/>
        <v>24.09.2021_LIEohBo</v>
      </c>
      <c r="D234" s="143">
        <f t="shared" si="7"/>
        <v>0</v>
      </c>
      <c r="E234" s="157">
        <v>8.1300000000000008</v>
      </c>
      <c r="F234" s="165"/>
      <c r="G234" s="166">
        <v>688</v>
      </c>
      <c r="H234" s="167">
        <v>9.8000000000000007</v>
      </c>
      <c r="I234" s="165"/>
      <c r="J234" s="167"/>
      <c r="K234" s="167">
        <v>17.7</v>
      </c>
      <c r="L234" s="167">
        <v>8</v>
      </c>
      <c r="M234" s="168">
        <v>0.72222222222222199</v>
      </c>
      <c r="N234" s="67" t="s">
        <v>246</v>
      </c>
    </row>
    <row r="235" spans="1:14" x14ac:dyDescent="0.25">
      <c r="A235" s="66">
        <v>44463</v>
      </c>
      <c r="B235" s="67" t="s">
        <v>53</v>
      </c>
      <c r="C235" s="129" t="str">
        <f t="shared" si="6"/>
        <v>24.09.2021_NATohBo</v>
      </c>
      <c r="D235" s="143">
        <f t="shared" si="7"/>
        <v>0</v>
      </c>
      <c r="E235" s="157">
        <v>7.66</v>
      </c>
      <c r="F235" s="165"/>
      <c r="G235" s="166">
        <v>1836</v>
      </c>
      <c r="H235" s="167">
        <v>6.3</v>
      </c>
      <c r="I235" s="165"/>
      <c r="J235" s="167"/>
      <c r="K235" s="167">
        <v>15.1</v>
      </c>
      <c r="L235" s="167">
        <v>9.5</v>
      </c>
      <c r="M235" s="168">
        <v>0.70833333333333304</v>
      </c>
      <c r="N235" s="67" t="s">
        <v>246</v>
      </c>
    </row>
    <row r="236" spans="1:14" x14ac:dyDescent="0.25">
      <c r="A236" s="66">
        <v>44463</v>
      </c>
      <c r="B236" s="67" t="s">
        <v>55</v>
      </c>
      <c r="C236" s="129" t="str">
        <f t="shared" si="6"/>
        <v>24.09.2021_QUAohBo</v>
      </c>
      <c r="D236" s="143">
        <f t="shared" si="7"/>
        <v>0</v>
      </c>
      <c r="E236" s="157">
        <v>7.5</v>
      </c>
      <c r="F236" s="165"/>
      <c r="G236" s="166">
        <v>828</v>
      </c>
      <c r="H236" s="167">
        <v>4.4000000000000004</v>
      </c>
      <c r="I236" s="165"/>
      <c r="J236" s="167"/>
      <c r="K236" s="167">
        <v>15</v>
      </c>
      <c r="L236" s="167">
        <v>14</v>
      </c>
      <c r="M236" s="168">
        <v>0.60763888888888895</v>
      </c>
      <c r="N236" s="67"/>
    </row>
    <row r="237" spans="1:14" x14ac:dyDescent="0.25">
      <c r="A237" s="66">
        <v>44463</v>
      </c>
      <c r="B237" s="67" t="s">
        <v>57</v>
      </c>
      <c r="C237" s="129" t="str">
        <f t="shared" si="6"/>
        <v>24.09.2021_SCHohVo</v>
      </c>
      <c r="D237" s="143">
        <f t="shared" si="7"/>
        <v>0</v>
      </c>
      <c r="E237" s="157">
        <v>7.97</v>
      </c>
      <c r="F237" s="165"/>
      <c r="G237" s="166">
        <v>782</v>
      </c>
      <c r="H237" s="167">
        <v>8</v>
      </c>
      <c r="I237" s="165"/>
      <c r="J237" s="167"/>
      <c r="K237" s="167">
        <v>14.4</v>
      </c>
      <c r="L237" s="167">
        <v>2</v>
      </c>
      <c r="M237" s="168">
        <v>0.42638888888888898</v>
      </c>
      <c r="N237" s="67" t="s">
        <v>248</v>
      </c>
    </row>
    <row r="238" spans="1:14" x14ac:dyDescent="0.25">
      <c r="A238" s="66">
        <v>44463</v>
      </c>
      <c r="B238" s="67" t="s">
        <v>60</v>
      </c>
      <c r="C238" s="129" t="str">
        <f t="shared" si="6"/>
        <v>24.09.2021_VORohBo</v>
      </c>
      <c r="D238" s="143">
        <f t="shared" si="7"/>
        <v>0</v>
      </c>
      <c r="E238" s="157">
        <v>7.6</v>
      </c>
      <c r="F238" s="165"/>
      <c r="G238" s="166">
        <v>1099</v>
      </c>
      <c r="H238" s="167">
        <v>5.8</v>
      </c>
      <c r="I238" s="165"/>
      <c r="J238" s="167"/>
      <c r="K238" s="167">
        <v>13.8</v>
      </c>
      <c r="L238" s="167">
        <v>8</v>
      </c>
      <c r="M238" s="168">
        <v>0.45486111111111099</v>
      </c>
      <c r="N238" s="67"/>
    </row>
    <row r="239" spans="1:14" x14ac:dyDescent="0.25">
      <c r="A239" s="66">
        <v>44463</v>
      </c>
      <c r="B239" s="67" t="s">
        <v>62</v>
      </c>
      <c r="C239" s="129" t="str">
        <f t="shared" si="6"/>
        <v>24.09.2021_VORuhSc</v>
      </c>
      <c r="D239" s="143">
        <f t="shared" si="7"/>
        <v>0</v>
      </c>
      <c r="E239" s="157">
        <v>7.34</v>
      </c>
      <c r="F239" s="165"/>
      <c r="G239" s="166">
        <v>1120</v>
      </c>
      <c r="H239" s="167">
        <v>5.4</v>
      </c>
      <c r="I239" s="165"/>
      <c r="J239" s="167"/>
      <c r="K239" s="167">
        <v>13.8</v>
      </c>
      <c r="L239" s="167">
        <v>10</v>
      </c>
      <c r="M239" s="168">
        <v>0.44166666666666698</v>
      </c>
      <c r="N239" s="67"/>
    </row>
    <row r="240" spans="1:14" x14ac:dyDescent="0.25">
      <c r="A240" s="66">
        <v>44463</v>
      </c>
      <c r="B240" s="67" t="s">
        <v>64</v>
      </c>
      <c r="C240" s="129" t="str">
        <f t="shared" si="6"/>
        <v>24.09.2021_WITob</v>
      </c>
      <c r="D240" s="143">
        <f t="shared" si="7"/>
        <v>0</v>
      </c>
      <c r="E240" s="157">
        <v>7.98</v>
      </c>
      <c r="F240" s="165"/>
      <c r="G240" s="166">
        <v>1280</v>
      </c>
      <c r="H240" s="167">
        <v>7.7</v>
      </c>
      <c r="I240" s="165"/>
      <c r="J240" s="167"/>
      <c r="K240" s="167">
        <v>15.4</v>
      </c>
      <c r="L240" s="167">
        <v>2</v>
      </c>
      <c r="M240" s="168">
        <v>0.66666666666666696</v>
      </c>
      <c r="N240" s="67"/>
    </row>
    <row r="241" spans="1:14" x14ac:dyDescent="0.25">
      <c r="A241" s="66">
        <v>44477</v>
      </c>
      <c r="B241" s="67" t="s">
        <v>22</v>
      </c>
      <c r="C241" s="129" t="str">
        <f t="shared" si="6"/>
        <v>08.10.2021_BOYkl</v>
      </c>
      <c r="D241" s="143">
        <f t="shared" si="7"/>
        <v>0</v>
      </c>
      <c r="E241" s="157">
        <v>8.3800000000000008</v>
      </c>
      <c r="F241" s="165"/>
      <c r="G241" s="166">
        <v>467</v>
      </c>
      <c r="H241" s="167">
        <v>8.6999999999999993</v>
      </c>
      <c r="I241" s="165"/>
      <c r="J241" s="167"/>
      <c r="K241" s="167">
        <v>11.9</v>
      </c>
      <c r="L241" s="167">
        <v>12</v>
      </c>
      <c r="M241" s="168">
        <v>0.46736111111111101</v>
      </c>
      <c r="N241" s="67"/>
    </row>
    <row r="242" spans="1:14" x14ac:dyDescent="0.25">
      <c r="A242" s="66">
        <v>44477</v>
      </c>
      <c r="B242" s="67" t="s">
        <v>25</v>
      </c>
      <c r="C242" s="129" t="str">
        <f t="shared" si="6"/>
        <v>08.10.2021_BOYohB224</v>
      </c>
      <c r="D242" s="143">
        <f t="shared" si="7"/>
        <v>0</v>
      </c>
      <c r="E242" s="157">
        <v>8.57</v>
      </c>
      <c r="F242" s="165"/>
      <c r="G242" s="166">
        <v>847</v>
      </c>
      <c r="H242" s="167">
        <v>10.6</v>
      </c>
      <c r="I242" s="165"/>
      <c r="J242" s="167"/>
      <c r="K242" s="167">
        <v>14.2</v>
      </c>
      <c r="L242" s="167">
        <v>35</v>
      </c>
      <c r="M242" s="168">
        <v>0.65208333333333302</v>
      </c>
      <c r="N242" s="67"/>
    </row>
    <row r="243" spans="1:14" x14ac:dyDescent="0.25">
      <c r="A243" s="66">
        <v>44477</v>
      </c>
      <c r="B243" s="67" t="s">
        <v>28</v>
      </c>
      <c r="C243" s="129" t="str">
        <f t="shared" si="6"/>
        <v>08.10.2021_BOYohBr</v>
      </c>
      <c r="D243" s="143">
        <f t="shared" si="7"/>
        <v>0</v>
      </c>
      <c r="E243" s="157">
        <v>8.27</v>
      </c>
      <c r="F243" s="165"/>
      <c r="G243" s="166">
        <v>548</v>
      </c>
      <c r="H243" s="167">
        <v>8.1</v>
      </c>
      <c r="I243" s="165"/>
      <c r="J243" s="167"/>
      <c r="K243" s="167">
        <v>11.6</v>
      </c>
      <c r="L243" s="167">
        <v>15</v>
      </c>
      <c r="M243" s="168">
        <v>0.54166666666666696</v>
      </c>
      <c r="N243" s="67"/>
    </row>
    <row r="244" spans="1:14" x14ac:dyDescent="0.25">
      <c r="A244" s="66">
        <v>44477</v>
      </c>
      <c r="B244" s="67" t="s">
        <v>30</v>
      </c>
      <c r="C244" s="129" t="str">
        <f t="shared" si="6"/>
        <v>08.10.2021_BOYohKi</v>
      </c>
      <c r="D244" s="143">
        <f t="shared" si="7"/>
        <v>0</v>
      </c>
      <c r="E244" s="157">
        <v>7.83</v>
      </c>
      <c r="F244" s="165"/>
      <c r="G244" s="166">
        <v>729</v>
      </c>
      <c r="H244" s="167">
        <v>11.7</v>
      </c>
      <c r="I244" s="165"/>
      <c r="J244" s="167"/>
      <c r="K244" s="167">
        <v>10.5</v>
      </c>
      <c r="L244" s="167">
        <v>42</v>
      </c>
      <c r="M244" s="168">
        <v>0.36875000000000002</v>
      </c>
      <c r="N244" s="67"/>
    </row>
    <row r="245" spans="1:14" x14ac:dyDescent="0.25">
      <c r="A245" s="66">
        <v>44477</v>
      </c>
      <c r="B245" s="67" t="s">
        <v>32</v>
      </c>
      <c r="C245" s="129" t="str">
        <f t="shared" si="6"/>
        <v>08.10.2021_BOYohSp</v>
      </c>
      <c r="D245" s="143">
        <f t="shared" si="7"/>
        <v>0</v>
      </c>
      <c r="E245" s="157">
        <v>8.1199999999999992</v>
      </c>
      <c r="F245" s="165"/>
      <c r="G245" s="166">
        <v>641</v>
      </c>
      <c r="H245" s="167">
        <v>9.4</v>
      </c>
      <c r="I245" s="165"/>
      <c r="J245" s="167"/>
      <c r="K245" s="167">
        <v>11.6</v>
      </c>
      <c r="L245" s="167">
        <v>26</v>
      </c>
      <c r="M245" s="168">
        <v>0.58194444444444504</v>
      </c>
      <c r="N245" s="67"/>
    </row>
    <row r="246" spans="1:14" x14ac:dyDescent="0.25">
      <c r="A246" s="66">
        <v>44477</v>
      </c>
      <c r="B246" s="67" t="s">
        <v>36</v>
      </c>
      <c r="C246" s="129" t="str">
        <f t="shared" si="6"/>
        <v>08.10.2021_BOYuhSp</v>
      </c>
      <c r="D246" s="143">
        <f t="shared" si="7"/>
        <v>0</v>
      </c>
      <c r="E246" s="157">
        <v>8.3699999999999992</v>
      </c>
      <c r="F246" s="165"/>
      <c r="G246" s="166">
        <v>632</v>
      </c>
      <c r="H246" s="167">
        <v>9.1</v>
      </c>
      <c r="I246" s="165"/>
      <c r="J246" s="167"/>
      <c r="K246" s="167">
        <v>11.6</v>
      </c>
      <c r="L246" s="167">
        <v>36</v>
      </c>
      <c r="M246" s="168">
        <v>0.57291666666666696</v>
      </c>
      <c r="N246" s="67"/>
    </row>
    <row r="247" spans="1:14" x14ac:dyDescent="0.25">
      <c r="A247" s="66">
        <v>44477</v>
      </c>
      <c r="B247" s="67" t="s">
        <v>38</v>
      </c>
      <c r="C247" s="129" t="str">
        <f t="shared" si="6"/>
        <v>08.10.2021_BRAob</v>
      </c>
      <c r="D247" s="143">
        <f t="shared" si="7"/>
        <v>0</v>
      </c>
      <c r="E247" s="157">
        <v>8.27</v>
      </c>
      <c r="F247" s="165"/>
      <c r="G247" s="166">
        <v>778</v>
      </c>
      <c r="H247" s="167">
        <v>8.6</v>
      </c>
      <c r="I247" s="165"/>
      <c r="J247" s="167"/>
      <c r="K247" s="167">
        <v>11.4</v>
      </c>
      <c r="L247" s="167">
        <v>5.5</v>
      </c>
      <c r="M247" s="168">
        <v>0.484027777777778</v>
      </c>
      <c r="N247" s="67" t="s">
        <v>96</v>
      </c>
    </row>
    <row r="248" spans="1:14" x14ac:dyDescent="0.25">
      <c r="A248" s="66">
        <v>44477</v>
      </c>
      <c r="B248" s="67" t="s">
        <v>41</v>
      </c>
      <c r="C248" s="129" t="str">
        <f t="shared" si="6"/>
        <v>08.10.2021_BRAohBo</v>
      </c>
      <c r="D248" s="143">
        <f t="shared" si="7"/>
        <v>0</v>
      </c>
      <c r="E248" s="157">
        <v>8.24</v>
      </c>
      <c r="F248" s="165"/>
      <c r="G248" s="166">
        <v>707</v>
      </c>
      <c r="H248" s="167">
        <v>9.1</v>
      </c>
      <c r="I248" s="165"/>
      <c r="J248" s="167"/>
      <c r="K248" s="167">
        <v>10.9</v>
      </c>
      <c r="L248" s="167">
        <v>22.5</v>
      </c>
      <c r="M248" s="168">
        <v>0.50902777777777797</v>
      </c>
      <c r="N248" s="67"/>
    </row>
    <row r="249" spans="1:14" x14ac:dyDescent="0.25">
      <c r="A249" s="66">
        <v>44477</v>
      </c>
      <c r="B249" s="67" t="s">
        <v>43</v>
      </c>
      <c r="C249" s="129" t="str">
        <f t="shared" si="6"/>
        <v>08.10.2021_HAAob</v>
      </c>
      <c r="D249" s="143">
        <f t="shared" si="7"/>
        <v>0</v>
      </c>
      <c r="E249" s="157">
        <v>8.5</v>
      </c>
      <c r="F249" s="165"/>
      <c r="G249" s="166">
        <v>759</v>
      </c>
      <c r="H249" s="167">
        <v>9.1</v>
      </c>
      <c r="I249" s="165"/>
      <c r="J249" s="167"/>
      <c r="K249" s="167">
        <v>13.9</v>
      </c>
      <c r="L249" s="167">
        <v>11.5</v>
      </c>
      <c r="M249" s="168">
        <v>0.625694444444444</v>
      </c>
      <c r="N249" s="67" t="s">
        <v>96</v>
      </c>
    </row>
    <row r="250" spans="1:14" x14ac:dyDescent="0.25">
      <c r="A250" s="66">
        <v>44477</v>
      </c>
      <c r="B250" s="67" t="s">
        <v>45</v>
      </c>
      <c r="C250" s="129" t="str">
        <f t="shared" si="6"/>
        <v>08.10.2021_HAAun</v>
      </c>
      <c r="D250" s="143">
        <f t="shared" si="7"/>
        <v>0</v>
      </c>
      <c r="E250" s="157">
        <v>8.3800000000000008</v>
      </c>
      <c r="F250" s="165"/>
      <c r="G250" s="166">
        <v>1041</v>
      </c>
      <c r="H250" s="167">
        <v>10.1</v>
      </c>
      <c r="I250" s="165"/>
      <c r="J250" s="167"/>
      <c r="K250" s="167">
        <v>13.3</v>
      </c>
      <c r="L250" s="167">
        <v>10.5</v>
      </c>
      <c r="M250" s="168">
        <v>0.60902777777777795</v>
      </c>
      <c r="N250" s="67" t="s">
        <v>97</v>
      </c>
    </row>
    <row r="251" spans="1:14" x14ac:dyDescent="0.25">
      <c r="A251" s="66">
        <v>44477</v>
      </c>
      <c r="B251" s="67" t="s">
        <v>47</v>
      </c>
      <c r="C251" s="129" t="str">
        <f t="shared" si="6"/>
        <v>08.10.2021_KIRob</v>
      </c>
      <c r="D251" s="143">
        <f t="shared" si="7"/>
        <v>0</v>
      </c>
      <c r="E251" s="157">
        <v>8.08</v>
      </c>
      <c r="F251" s="165"/>
      <c r="G251" s="166">
        <v>1074</v>
      </c>
      <c r="H251" s="167">
        <v>5.2</v>
      </c>
      <c r="I251" s="165"/>
      <c r="J251" s="167"/>
      <c r="K251" s="167">
        <v>10.6</v>
      </c>
      <c r="L251" s="167">
        <v>11.5</v>
      </c>
      <c r="M251" s="168">
        <v>0.4</v>
      </c>
      <c r="N251" s="67"/>
    </row>
    <row r="252" spans="1:14" x14ac:dyDescent="0.25">
      <c r="A252" s="66">
        <v>44477</v>
      </c>
      <c r="B252" s="67" t="s">
        <v>49</v>
      </c>
      <c r="C252" s="129" t="str">
        <f t="shared" si="6"/>
        <v>08.10.2021_KIRun</v>
      </c>
      <c r="D252" s="143">
        <f t="shared" si="7"/>
        <v>0</v>
      </c>
      <c r="E252" s="157">
        <v>8.1199999999999992</v>
      </c>
      <c r="F252" s="165"/>
      <c r="G252" s="166">
        <v>997</v>
      </c>
      <c r="H252" s="167">
        <v>6.8</v>
      </c>
      <c r="I252" s="165"/>
      <c r="J252" s="167"/>
      <c r="K252" s="167">
        <v>10.8</v>
      </c>
      <c r="L252" s="167">
        <v>11</v>
      </c>
      <c r="M252" s="168">
        <v>0.38541666666666702</v>
      </c>
      <c r="N252" s="67"/>
    </row>
    <row r="253" spans="1:14" x14ac:dyDescent="0.25">
      <c r="A253" s="66">
        <v>44477</v>
      </c>
      <c r="B253" s="67" t="s">
        <v>50</v>
      </c>
      <c r="C253" s="129" t="str">
        <f t="shared" si="6"/>
        <v>08.10.2021_LIEohBo</v>
      </c>
      <c r="D253" s="143">
        <f t="shared" si="7"/>
        <v>0</v>
      </c>
      <c r="E253" s="157">
        <v>8.81</v>
      </c>
      <c r="F253" s="165"/>
      <c r="G253" s="166">
        <v>621</v>
      </c>
      <c r="H253" s="167">
        <v>14.9</v>
      </c>
      <c r="I253" s="165"/>
      <c r="J253" s="167"/>
      <c r="K253" s="167">
        <v>17.399999999999999</v>
      </c>
      <c r="L253" s="167">
        <v>7</v>
      </c>
      <c r="M253" s="168">
        <v>0.67638888888888904</v>
      </c>
      <c r="N253" s="67"/>
    </row>
    <row r="254" spans="1:14" x14ac:dyDescent="0.25">
      <c r="A254" s="66">
        <v>44477</v>
      </c>
      <c r="B254" s="67" t="s">
        <v>53</v>
      </c>
      <c r="C254" s="129" t="str">
        <f t="shared" si="6"/>
        <v>08.10.2021_NATohBo</v>
      </c>
      <c r="D254" s="143">
        <f t="shared" si="7"/>
        <v>0</v>
      </c>
      <c r="E254" s="157">
        <v>8.08</v>
      </c>
      <c r="F254" s="165"/>
      <c r="G254" s="166">
        <v>1563</v>
      </c>
      <c r="H254" s="167">
        <v>8.5</v>
      </c>
      <c r="I254" s="165"/>
      <c r="J254" s="167"/>
      <c r="K254" s="167">
        <v>12.8</v>
      </c>
      <c r="L254" s="167">
        <v>7.5</v>
      </c>
      <c r="M254" s="168">
        <v>0.66458333333333297</v>
      </c>
      <c r="N254" s="67"/>
    </row>
    <row r="255" spans="1:14" x14ac:dyDescent="0.25">
      <c r="A255" s="66">
        <v>44477</v>
      </c>
      <c r="B255" s="67" t="s">
        <v>55</v>
      </c>
      <c r="C255" s="129" t="str">
        <f t="shared" si="6"/>
        <v>08.10.2021_QUAohBo</v>
      </c>
      <c r="D255" s="143">
        <f t="shared" si="7"/>
        <v>0</v>
      </c>
      <c r="E255" s="157">
        <v>8.19</v>
      </c>
      <c r="F255" s="165"/>
      <c r="G255" s="166">
        <v>820</v>
      </c>
      <c r="H255" s="167">
        <v>8.4</v>
      </c>
      <c r="I255" s="165"/>
      <c r="J255" s="167"/>
      <c r="K255" s="167">
        <v>11.9</v>
      </c>
      <c r="L255" s="167">
        <v>18</v>
      </c>
      <c r="M255" s="168">
        <v>0.59652777777777799</v>
      </c>
      <c r="N255" s="67"/>
    </row>
    <row r="256" spans="1:14" x14ac:dyDescent="0.25">
      <c r="A256" s="66">
        <v>44477</v>
      </c>
      <c r="B256" s="67" t="s">
        <v>57</v>
      </c>
      <c r="C256" s="129" t="str">
        <f t="shared" si="6"/>
        <v>08.10.2021_SCHohVo</v>
      </c>
      <c r="D256" s="143">
        <f t="shared" si="7"/>
        <v>0</v>
      </c>
      <c r="E256" s="157">
        <v>8.1999999999999993</v>
      </c>
      <c r="F256" s="165"/>
      <c r="G256" s="166">
        <v>554</v>
      </c>
      <c r="H256" s="167">
        <v>8.3000000000000007</v>
      </c>
      <c r="I256" s="165"/>
      <c r="J256" s="167"/>
      <c r="K256" s="167">
        <v>10.3</v>
      </c>
      <c r="L256" s="167">
        <v>4</v>
      </c>
      <c r="M256" s="168">
        <v>0.41736111111111102</v>
      </c>
      <c r="N256" s="67"/>
    </row>
    <row r="257" spans="1:14" x14ac:dyDescent="0.25">
      <c r="A257" s="66">
        <v>44477</v>
      </c>
      <c r="B257" s="67" t="s">
        <v>60</v>
      </c>
      <c r="C257" s="129" t="str">
        <f t="shared" si="6"/>
        <v>08.10.2021_VORohBo</v>
      </c>
      <c r="D257" s="143">
        <f t="shared" si="7"/>
        <v>0</v>
      </c>
      <c r="E257" s="157">
        <v>7.91</v>
      </c>
      <c r="F257" s="165"/>
      <c r="G257" s="166">
        <v>1027</v>
      </c>
      <c r="H257" s="167">
        <v>7.8</v>
      </c>
      <c r="I257" s="165"/>
      <c r="J257" s="167"/>
      <c r="K257" s="167">
        <v>10.8</v>
      </c>
      <c r="L257" s="167">
        <v>8.5</v>
      </c>
      <c r="M257" s="168">
        <v>0.44861111111111102</v>
      </c>
      <c r="N257" s="67"/>
    </row>
    <row r="258" spans="1:14" x14ac:dyDescent="0.25">
      <c r="A258" s="66">
        <v>44477</v>
      </c>
      <c r="B258" s="67" t="s">
        <v>62</v>
      </c>
      <c r="C258" s="129" t="str">
        <f t="shared" si="6"/>
        <v>08.10.2021_VORuhSc</v>
      </c>
      <c r="D258" s="143">
        <f t="shared" si="7"/>
        <v>0</v>
      </c>
      <c r="E258" s="157">
        <v>7.54</v>
      </c>
      <c r="F258" s="165"/>
      <c r="G258" s="166">
        <v>1025</v>
      </c>
      <c r="H258" s="167">
        <v>7.2</v>
      </c>
      <c r="I258" s="165"/>
      <c r="J258" s="167"/>
      <c r="K258" s="167">
        <v>11.1</v>
      </c>
      <c r="L258" s="167">
        <v>10</v>
      </c>
      <c r="M258" s="168">
        <v>0.43055555555555602</v>
      </c>
      <c r="N258" s="67"/>
    </row>
    <row r="259" spans="1:14" x14ac:dyDescent="0.25">
      <c r="A259" s="66">
        <v>44477</v>
      </c>
      <c r="B259" s="67" t="s">
        <v>64</v>
      </c>
      <c r="C259" s="129" t="str">
        <f t="shared" si="6"/>
        <v>08.10.2021_WITob</v>
      </c>
      <c r="D259" s="143">
        <f t="shared" si="7"/>
        <v>0</v>
      </c>
      <c r="E259" s="157">
        <v>8.48</v>
      </c>
      <c r="F259" s="165"/>
      <c r="G259" s="166">
        <v>1198</v>
      </c>
      <c r="H259" s="167">
        <v>9.8000000000000007</v>
      </c>
      <c r="I259" s="165"/>
      <c r="J259" s="167"/>
      <c r="K259" s="167">
        <v>14.2</v>
      </c>
      <c r="L259" s="167">
        <v>1.5</v>
      </c>
      <c r="M259" s="168">
        <v>0.63888888888888895</v>
      </c>
      <c r="N259" s="67"/>
    </row>
    <row r="260" spans="1:14" x14ac:dyDescent="0.25">
      <c r="A260" s="66">
        <v>44491</v>
      </c>
      <c r="B260" s="67" t="s">
        <v>22</v>
      </c>
      <c r="C260" s="129" t="str">
        <f t="shared" ref="C260:C323" si="8">CONCATENATE(TEXT(A260,"TT.MM.JJJJ"),"_",B260)</f>
        <v>22.10.2021_BOYkl</v>
      </c>
      <c r="D260" s="143">
        <f t="shared" si="7"/>
        <v>0</v>
      </c>
      <c r="E260" s="157">
        <v>7.88</v>
      </c>
      <c r="F260" s="165"/>
      <c r="G260" s="166">
        <v>488</v>
      </c>
      <c r="H260" s="167">
        <v>10.199999999999999</v>
      </c>
      <c r="I260" s="165"/>
      <c r="J260" s="167"/>
      <c r="K260" s="167">
        <v>10.6</v>
      </c>
      <c r="L260" s="167">
        <v>14</v>
      </c>
      <c r="M260" s="168">
        <v>0.485416666666667</v>
      </c>
      <c r="N260" s="67" t="s">
        <v>98</v>
      </c>
    </row>
    <row r="261" spans="1:14" x14ac:dyDescent="0.25">
      <c r="A261" s="66">
        <v>44491</v>
      </c>
      <c r="B261" s="67" t="s">
        <v>25</v>
      </c>
      <c r="C261" s="129" t="str">
        <f t="shared" si="8"/>
        <v>22.10.2021_BOYohB224</v>
      </c>
      <c r="D261" s="143">
        <f t="shared" ref="D261:D324" si="9">COUNTBLANK(E261)+COUNTBLANK(G261:H261)+COUNTBLANK(K261:L261)</f>
        <v>0</v>
      </c>
      <c r="E261" s="157">
        <v>8.11</v>
      </c>
      <c r="F261" s="165"/>
      <c r="G261" s="166">
        <v>796</v>
      </c>
      <c r="H261" s="167">
        <v>11</v>
      </c>
      <c r="I261" s="165"/>
      <c r="J261" s="167"/>
      <c r="K261" s="167">
        <v>11.3</v>
      </c>
      <c r="L261" s="167">
        <v>21.5</v>
      </c>
      <c r="M261" s="168">
        <v>0.72083333333333299</v>
      </c>
      <c r="N261" s="67"/>
    </row>
    <row r="262" spans="1:14" x14ac:dyDescent="0.25">
      <c r="A262" s="66">
        <v>44491</v>
      </c>
      <c r="B262" s="67" t="s">
        <v>28</v>
      </c>
      <c r="C262" s="129" t="str">
        <f t="shared" si="8"/>
        <v>22.10.2021_BOYohBr</v>
      </c>
      <c r="D262" s="143">
        <f t="shared" si="9"/>
        <v>0</v>
      </c>
      <c r="E262" s="157">
        <v>7.73</v>
      </c>
      <c r="F262" s="165"/>
      <c r="G262" s="166">
        <v>532</v>
      </c>
      <c r="H262" s="167">
        <v>7.7</v>
      </c>
      <c r="I262" s="165"/>
      <c r="J262" s="167"/>
      <c r="K262" s="167">
        <v>10.9</v>
      </c>
      <c r="L262" s="167">
        <v>13.5</v>
      </c>
      <c r="M262" s="168">
        <v>0.56944444444444398</v>
      </c>
      <c r="N262" s="67" t="s">
        <v>99</v>
      </c>
    </row>
    <row r="263" spans="1:14" x14ac:dyDescent="0.25">
      <c r="A263" s="66">
        <v>44491</v>
      </c>
      <c r="B263" s="67" t="s">
        <v>30</v>
      </c>
      <c r="C263" s="129" t="str">
        <f t="shared" si="8"/>
        <v>22.10.2021_BOYohKi</v>
      </c>
      <c r="D263" s="143">
        <f t="shared" si="9"/>
        <v>0</v>
      </c>
      <c r="E263" s="157">
        <v>7.82</v>
      </c>
      <c r="F263" s="165"/>
      <c r="G263" s="166">
        <v>670</v>
      </c>
      <c r="H263" s="167">
        <v>10</v>
      </c>
      <c r="I263" s="165"/>
      <c r="J263" s="167"/>
      <c r="K263" s="167">
        <v>9.6999999999999993</v>
      </c>
      <c r="L263" s="167">
        <v>41.5</v>
      </c>
      <c r="M263" s="168">
        <v>0.38055555555555598</v>
      </c>
      <c r="N263" s="67"/>
    </row>
    <row r="264" spans="1:14" x14ac:dyDescent="0.25">
      <c r="A264" s="66">
        <v>44491</v>
      </c>
      <c r="B264" s="67" t="s">
        <v>32</v>
      </c>
      <c r="C264" s="129" t="str">
        <f t="shared" si="8"/>
        <v>22.10.2021_BOYohSp</v>
      </c>
      <c r="D264" s="143">
        <f t="shared" si="9"/>
        <v>0</v>
      </c>
      <c r="E264" s="157">
        <v>8.01</v>
      </c>
      <c r="F264" s="165"/>
      <c r="G264" s="166">
        <v>635</v>
      </c>
      <c r="H264" s="167">
        <v>8.9</v>
      </c>
      <c r="I264" s="165"/>
      <c r="J264" s="167"/>
      <c r="K264" s="167">
        <v>10.6</v>
      </c>
      <c r="L264" s="167">
        <v>25</v>
      </c>
      <c r="M264" s="168">
        <v>0.62013888888888902</v>
      </c>
      <c r="N264" s="67"/>
    </row>
    <row r="265" spans="1:14" x14ac:dyDescent="0.25">
      <c r="A265" s="66">
        <v>44491</v>
      </c>
      <c r="B265" s="67" t="s">
        <v>36</v>
      </c>
      <c r="C265" s="129" t="str">
        <f t="shared" si="8"/>
        <v>22.10.2021_BOYuhSp</v>
      </c>
      <c r="D265" s="143">
        <f t="shared" si="9"/>
        <v>0</v>
      </c>
      <c r="E265" s="157">
        <v>7.95</v>
      </c>
      <c r="F265" s="165"/>
      <c r="G265" s="166">
        <v>636</v>
      </c>
      <c r="H265" s="167">
        <v>10.199999999999999</v>
      </c>
      <c r="I265" s="165"/>
      <c r="J265" s="167"/>
      <c r="K265" s="167">
        <v>10.3</v>
      </c>
      <c r="L265" s="167">
        <v>30.8</v>
      </c>
      <c r="M265" s="168">
        <v>0.60416666666666696</v>
      </c>
      <c r="N265" s="67"/>
    </row>
    <row r="266" spans="1:14" x14ac:dyDescent="0.25">
      <c r="A266" s="66">
        <v>44491</v>
      </c>
      <c r="B266" s="67" t="s">
        <v>38</v>
      </c>
      <c r="C266" s="129" t="str">
        <f t="shared" si="8"/>
        <v>22.10.2021_BRAob</v>
      </c>
      <c r="D266" s="143">
        <f t="shared" si="9"/>
        <v>0</v>
      </c>
      <c r="E266" s="157">
        <v>7.87</v>
      </c>
      <c r="F266" s="165"/>
      <c r="G266" s="166">
        <v>788</v>
      </c>
      <c r="H266" s="167">
        <v>9.4</v>
      </c>
      <c r="I266" s="165"/>
      <c r="J266" s="167"/>
      <c r="K266" s="167">
        <v>9.9</v>
      </c>
      <c r="L266" s="167">
        <v>6.5</v>
      </c>
      <c r="M266" s="168">
        <v>0.50347222222222199</v>
      </c>
      <c r="N266" s="67"/>
    </row>
    <row r="267" spans="1:14" x14ac:dyDescent="0.25">
      <c r="A267" s="66">
        <v>44491</v>
      </c>
      <c r="B267" s="67" t="s">
        <v>41</v>
      </c>
      <c r="C267" s="129" t="str">
        <f t="shared" si="8"/>
        <v>22.10.2021_BRAohBo</v>
      </c>
      <c r="D267" s="143">
        <f t="shared" si="9"/>
        <v>0</v>
      </c>
      <c r="E267" s="157">
        <v>8.01</v>
      </c>
      <c r="F267" s="165"/>
      <c r="G267" s="166">
        <v>703</v>
      </c>
      <c r="H267" s="167">
        <v>11.2</v>
      </c>
      <c r="I267" s="165"/>
      <c r="J267" s="167"/>
      <c r="K267" s="167">
        <v>9.6999999999999993</v>
      </c>
      <c r="L267" s="167">
        <v>16.399999999999999</v>
      </c>
      <c r="M267" s="168">
        <v>0.52569444444444502</v>
      </c>
      <c r="N267" s="67" t="s">
        <v>100</v>
      </c>
    </row>
    <row r="268" spans="1:14" x14ac:dyDescent="0.25">
      <c r="A268" s="66">
        <v>44491</v>
      </c>
      <c r="B268" s="67" t="s">
        <v>43</v>
      </c>
      <c r="C268" s="129" t="str">
        <f t="shared" si="8"/>
        <v>22.10.2021_HAAob</v>
      </c>
      <c r="D268" s="143">
        <f t="shared" si="9"/>
        <v>0</v>
      </c>
      <c r="E268" s="157">
        <v>8.0500000000000007</v>
      </c>
      <c r="F268" s="165"/>
      <c r="G268" s="166">
        <v>720</v>
      </c>
      <c r="H268" s="167">
        <v>9.4</v>
      </c>
      <c r="I268" s="165"/>
      <c r="J268" s="167"/>
      <c r="K268" s="167">
        <v>11.7</v>
      </c>
      <c r="L268" s="167">
        <v>17.5</v>
      </c>
      <c r="M268" s="168">
        <v>0.67847222222222203</v>
      </c>
      <c r="N268" s="67" t="s">
        <v>101</v>
      </c>
    </row>
    <row r="269" spans="1:14" x14ac:dyDescent="0.25">
      <c r="A269" s="66">
        <v>44491</v>
      </c>
      <c r="B269" s="67" t="s">
        <v>45</v>
      </c>
      <c r="C269" s="129" t="str">
        <f t="shared" si="8"/>
        <v>22.10.2021_HAAun</v>
      </c>
      <c r="D269" s="143">
        <f t="shared" si="9"/>
        <v>0</v>
      </c>
      <c r="E269" s="157">
        <v>7.74</v>
      </c>
      <c r="F269" s="165"/>
      <c r="G269" s="166">
        <v>938</v>
      </c>
      <c r="H269" s="167">
        <v>9.5</v>
      </c>
      <c r="I269" s="165"/>
      <c r="J269" s="167"/>
      <c r="K269" s="167">
        <v>11.7</v>
      </c>
      <c r="L269" s="167">
        <v>6.8</v>
      </c>
      <c r="M269" s="168">
        <v>0.65763888888888899</v>
      </c>
      <c r="N269" s="67" t="s">
        <v>102</v>
      </c>
    </row>
    <row r="270" spans="1:14" x14ac:dyDescent="0.25">
      <c r="A270" s="66">
        <v>44491</v>
      </c>
      <c r="B270" s="67" t="s">
        <v>47</v>
      </c>
      <c r="C270" s="129" t="str">
        <f t="shared" si="8"/>
        <v>22.10.2021_KIRob</v>
      </c>
      <c r="D270" s="143">
        <f t="shared" si="9"/>
        <v>0</v>
      </c>
      <c r="E270" s="157">
        <v>7.95</v>
      </c>
      <c r="F270" s="165"/>
      <c r="G270" s="166">
        <v>1052</v>
      </c>
      <c r="H270" s="167">
        <v>7.8</v>
      </c>
      <c r="I270" s="165"/>
      <c r="J270" s="167"/>
      <c r="K270" s="167">
        <v>10.1</v>
      </c>
      <c r="L270" s="167">
        <v>7.5</v>
      </c>
      <c r="M270" s="168">
        <v>0.41319444444444398</v>
      </c>
      <c r="N270" s="67" t="s">
        <v>103</v>
      </c>
    </row>
    <row r="271" spans="1:14" x14ac:dyDescent="0.25">
      <c r="A271" s="66">
        <v>44491</v>
      </c>
      <c r="B271" s="67" t="s">
        <v>49</v>
      </c>
      <c r="C271" s="129" t="str">
        <f t="shared" si="8"/>
        <v>22.10.2021_KIRun</v>
      </c>
      <c r="D271" s="143">
        <f t="shared" si="9"/>
        <v>0</v>
      </c>
      <c r="E271" s="157">
        <v>7.84</v>
      </c>
      <c r="F271" s="165"/>
      <c r="G271" s="166">
        <v>955</v>
      </c>
      <c r="H271" s="167">
        <v>10.3</v>
      </c>
      <c r="I271" s="165"/>
      <c r="J271" s="167"/>
      <c r="K271" s="167">
        <v>10.199999999999999</v>
      </c>
      <c r="L271" s="167">
        <v>9.8000000000000007</v>
      </c>
      <c r="M271" s="168">
        <v>0.4</v>
      </c>
      <c r="N271" s="67" t="s">
        <v>104</v>
      </c>
    </row>
    <row r="272" spans="1:14" x14ac:dyDescent="0.25">
      <c r="A272" s="66">
        <v>44491</v>
      </c>
      <c r="B272" s="67" t="s">
        <v>50</v>
      </c>
      <c r="C272" s="129" t="str">
        <f t="shared" si="8"/>
        <v>22.10.2021_LIEohBo</v>
      </c>
      <c r="D272" s="143">
        <f t="shared" si="9"/>
        <v>0</v>
      </c>
      <c r="E272" s="157">
        <v>8.44</v>
      </c>
      <c r="F272" s="165"/>
      <c r="G272" s="166">
        <v>641</v>
      </c>
      <c r="H272" s="167">
        <v>11.5</v>
      </c>
      <c r="I272" s="165"/>
      <c r="J272" s="167"/>
      <c r="K272" s="167">
        <v>7.1</v>
      </c>
      <c r="L272" s="167">
        <v>9</v>
      </c>
      <c r="M272" s="168">
        <v>0.36527777777777798</v>
      </c>
      <c r="N272" s="67" t="s">
        <v>105</v>
      </c>
    </row>
    <row r="273" spans="1:14" x14ac:dyDescent="0.25">
      <c r="A273" s="66">
        <v>44491</v>
      </c>
      <c r="B273" s="67" t="s">
        <v>53</v>
      </c>
      <c r="C273" s="129" t="str">
        <f t="shared" si="8"/>
        <v>22.10.2021_NATohBo</v>
      </c>
      <c r="D273" s="143">
        <f t="shared" si="9"/>
        <v>0</v>
      </c>
      <c r="E273" s="157">
        <v>7.7</v>
      </c>
      <c r="F273" s="165"/>
      <c r="G273" s="166">
        <v>1150</v>
      </c>
      <c r="H273" s="167">
        <v>9.6</v>
      </c>
      <c r="I273" s="165"/>
      <c r="J273" s="167"/>
      <c r="K273" s="167">
        <v>10.9</v>
      </c>
      <c r="L273" s="167">
        <v>9.5</v>
      </c>
      <c r="M273" s="168">
        <v>0.70347222222222205</v>
      </c>
      <c r="N273" s="67"/>
    </row>
    <row r="274" spans="1:14" x14ac:dyDescent="0.25">
      <c r="A274" s="66">
        <v>44491</v>
      </c>
      <c r="B274" s="67" t="s">
        <v>55</v>
      </c>
      <c r="C274" s="129" t="str">
        <f t="shared" si="8"/>
        <v>22.10.2021_QUAohBo</v>
      </c>
      <c r="D274" s="143">
        <f t="shared" si="9"/>
        <v>0</v>
      </c>
      <c r="E274" s="157">
        <v>7.87</v>
      </c>
      <c r="F274" s="165"/>
      <c r="G274" s="166">
        <v>780</v>
      </c>
      <c r="H274" s="167">
        <v>8</v>
      </c>
      <c r="I274" s="165"/>
      <c r="J274" s="167"/>
      <c r="K274" s="167">
        <v>10.1</v>
      </c>
      <c r="L274" s="167">
        <v>21.7</v>
      </c>
      <c r="M274" s="168">
        <v>0.58819444444444502</v>
      </c>
      <c r="N274" s="67" t="s">
        <v>106</v>
      </c>
    </row>
    <row r="275" spans="1:14" x14ac:dyDescent="0.25">
      <c r="A275" s="66">
        <v>44491</v>
      </c>
      <c r="B275" s="67" t="s">
        <v>57</v>
      </c>
      <c r="C275" s="129" t="str">
        <f t="shared" si="8"/>
        <v>22.10.2021_SCHohVo</v>
      </c>
      <c r="D275" s="143">
        <f t="shared" si="9"/>
        <v>0</v>
      </c>
      <c r="E275" s="157">
        <v>8.11</v>
      </c>
      <c r="F275" s="165"/>
      <c r="G275" s="166">
        <v>524</v>
      </c>
      <c r="H275" s="167">
        <v>11.8</v>
      </c>
      <c r="I275" s="165"/>
      <c r="J275" s="167"/>
      <c r="K275" s="167">
        <v>9.3000000000000007</v>
      </c>
      <c r="L275" s="167">
        <v>3.8</v>
      </c>
      <c r="M275" s="168">
        <v>0.42986111111111103</v>
      </c>
      <c r="N275" s="67" t="s">
        <v>107</v>
      </c>
    </row>
    <row r="276" spans="1:14" x14ac:dyDescent="0.25">
      <c r="A276" s="66">
        <v>44491</v>
      </c>
      <c r="B276" s="67" t="s">
        <v>60</v>
      </c>
      <c r="C276" s="129" t="str">
        <f t="shared" si="8"/>
        <v>22.10.2021_VORohBo</v>
      </c>
      <c r="D276" s="143">
        <f t="shared" si="9"/>
        <v>0</v>
      </c>
      <c r="E276" s="157">
        <v>7.56</v>
      </c>
      <c r="F276" s="165"/>
      <c r="G276" s="166">
        <v>959</v>
      </c>
      <c r="H276" s="167">
        <v>7.7</v>
      </c>
      <c r="I276" s="165"/>
      <c r="J276" s="167"/>
      <c r="K276" s="167">
        <v>9.9</v>
      </c>
      <c r="L276" s="167">
        <v>14.3</v>
      </c>
      <c r="M276" s="168">
        <v>0.46180555555555602</v>
      </c>
      <c r="N276" s="67" t="s">
        <v>108</v>
      </c>
    </row>
    <row r="277" spans="1:14" x14ac:dyDescent="0.25">
      <c r="A277" s="66">
        <v>44491</v>
      </c>
      <c r="B277" s="67" t="s">
        <v>62</v>
      </c>
      <c r="C277" s="129" t="str">
        <f t="shared" si="8"/>
        <v>22.10.2021_VORuhSc</v>
      </c>
      <c r="D277" s="143">
        <f t="shared" si="9"/>
        <v>0</v>
      </c>
      <c r="E277" s="157">
        <v>7.42</v>
      </c>
      <c r="F277" s="165"/>
      <c r="G277" s="166">
        <v>918</v>
      </c>
      <c r="H277" s="167">
        <v>6.6</v>
      </c>
      <c r="I277" s="165"/>
      <c r="J277" s="167"/>
      <c r="K277" s="167">
        <v>10.4</v>
      </c>
      <c r="L277" s="167">
        <v>7</v>
      </c>
      <c r="M277" s="168">
        <v>0.44583333333333303</v>
      </c>
      <c r="N277" s="67" t="s">
        <v>109</v>
      </c>
    </row>
    <row r="278" spans="1:14" x14ac:dyDescent="0.25">
      <c r="A278" s="66">
        <v>44491</v>
      </c>
      <c r="B278" s="67" t="s">
        <v>64</v>
      </c>
      <c r="C278" s="129" t="str">
        <f t="shared" si="8"/>
        <v>22.10.2021_WITob</v>
      </c>
      <c r="D278" s="143">
        <f t="shared" si="9"/>
        <v>0</v>
      </c>
      <c r="E278" s="157">
        <v>8.41</v>
      </c>
      <c r="F278" s="165"/>
      <c r="G278" s="166">
        <v>1125</v>
      </c>
      <c r="H278" s="167">
        <v>10.1</v>
      </c>
      <c r="I278" s="165"/>
      <c r="J278" s="167"/>
      <c r="K278" s="167">
        <v>11.1</v>
      </c>
      <c r="L278" s="167">
        <v>4</v>
      </c>
      <c r="M278" s="168">
        <v>0.69027777777777799</v>
      </c>
      <c r="N278" s="67" t="s">
        <v>110</v>
      </c>
    </row>
    <row r="279" spans="1:14" x14ac:dyDescent="0.25">
      <c r="A279" s="66">
        <v>44505</v>
      </c>
      <c r="B279" s="67" t="s">
        <v>22</v>
      </c>
      <c r="C279" s="129" t="str">
        <f t="shared" si="8"/>
        <v>05.11.2021_BOYkl</v>
      </c>
      <c r="D279" s="143">
        <f t="shared" si="9"/>
        <v>0</v>
      </c>
      <c r="E279" s="157">
        <v>7.75</v>
      </c>
      <c r="F279" s="165"/>
      <c r="G279" s="166">
        <v>498</v>
      </c>
      <c r="H279" s="167">
        <v>10.4</v>
      </c>
      <c r="I279" s="165"/>
      <c r="J279" s="167"/>
      <c r="K279" s="167">
        <v>10</v>
      </c>
      <c r="L279" s="167">
        <v>10.3</v>
      </c>
      <c r="M279" s="168">
        <v>0.48263888888888901</v>
      </c>
      <c r="N279" s="67"/>
    </row>
    <row r="280" spans="1:14" x14ac:dyDescent="0.25">
      <c r="A280" s="66">
        <v>44505</v>
      </c>
      <c r="B280" s="67" t="s">
        <v>25</v>
      </c>
      <c r="C280" s="129" t="str">
        <f t="shared" si="8"/>
        <v>05.11.2021_BOYohB224</v>
      </c>
      <c r="D280" s="143">
        <f t="shared" si="9"/>
        <v>0</v>
      </c>
      <c r="E280" s="157">
        <v>8.2200000000000006</v>
      </c>
      <c r="F280" s="165"/>
      <c r="G280" s="166">
        <v>906</v>
      </c>
      <c r="H280" s="167">
        <v>10.199999999999999</v>
      </c>
      <c r="I280" s="165"/>
      <c r="J280" s="167"/>
      <c r="K280" s="167">
        <v>10.8</v>
      </c>
      <c r="L280" s="167">
        <v>19.8</v>
      </c>
      <c r="M280" s="168">
        <v>0.68055555555555602</v>
      </c>
      <c r="N280" s="174"/>
    </row>
    <row r="281" spans="1:14" x14ac:dyDescent="0.25">
      <c r="A281" s="66">
        <v>44505</v>
      </c>
      <c r="B281" s="67" t="s">
        <v>28</v>
      </c>
      <c r="C281" s="129" t="str">
        <f t="shared" si="8"/>
        <v>05.11.2021_BOYohBr</v>
      </c>
      <c r="D281" s="143">
        <f t="shared" si="9"/>
        <v>0</v>
      </c>
      <c r="E281" s="157">
        <v>7.91</v>
      </c>
      <c r="F281" s="165"/>
      <c r="G281" s="166">
        <v>576</v>
      </c>
      <c r="H281" s="167">
        <v>7.8</v>
      </c>
      <c r="I281" s="165"/>
      <c r="J281" s="167"/>
      <c r="K281" s="167">
        <v>10.4</v>
      </c>
      <c r="L281" s="167">
        <v>30</v>
      </c>
      <c r="M281" s="168">
        <v>0.53125</v>
      </c>
      <c r="N281" s="67" t="s">
        <v>111</v>
      </c>
    </row>
    <row r="282" spans="1:14" x14ac:dyDescent="0.25">
      <c r="A282" s="66">
        <v>44505</v>
      </c>
      <c r="B282" s="67" t="s">
        <v>30</v>
      </c>
      <c r="C282" s="129" t="str">
        <f t="shared" si="8"/>
        <v>05.11.2021_BOYohKi</v>
      </c>
      <c r="D282" s="143">
        <f t="shared" si="9"/>
        <v>0</v>
      </c>
      <c r="E282" s="157">
        <v>7.94</v>
      </c>
      <c r="F282" s="165"/>
      <c r="G282" s="166">
        <v>787</v>
      </c>
      <c r="H282" s="167">
        <v>8.4</v>
      </c>
      <c r="I282" s="165"/>
      <c r="J282" s="167"/>
      <c r="K282" s="167">
        <v>9.4</v>
      </c>
      <c r="L282" s="167">
        <v>31.8</v>
      </c>
      <c r="M282" s="168">
        <v>0.39652777777777798</v>
      </c>
      <c r="N282" s="67"/>
    </row>
    <row r="283" spans="1:14" x14ac:dyDescent="0.25">
      <c r="A283" s="66">
        <v>44505</v>
      </c>
      <c r="B283" s="67" t="s">
        <v>32</v>
      </c>
      <c r="C283" s="129" t="str">
        <f t="shared" si="8"/>
        <v>05.11.2021_BOYohSp</v>
      </c>
      <c r="D283" s="143">
        <f t="shared" si="9"/>
        <v>0</v>
      </c>
      <c r="E283" s="157">
        <v>7.92</v>
      </c>
      <c r="F283" s="165"/>
      <c r="G283" s="166">
        <v>669</v>
      </c>
      <c r="H283" s="167">
        <v>7.7</v>
      </c>
      <c r="I283" s="165"/>
      <c r="J283" s="167"/>
      <c r="K283" s="167">
        <v>10</v>
      </c>
      <c r="L283" s="167">
        <v>21.8</v>
      </c>
      <c r="M283" s="168">
        <v>0.55902777777777801</v>
      </c>
      <c r="N283" s="67"/>
    </row>
    <row r="284" spans="1:14" x14ac:dyDescent="0.25">
      <c r="A284" s="66">
        <v>44505</v>
      </c>
      <c r="B284" s="67" t="s">
        <v>36</v>
      </c>
      <c r="C284" s="129" t="str">
        <f t="shared" si="8"/>
        <v>05.11.2021_BOYuhSp</v>
      </c>
      <c r="D284" s="143">
        <f t="shared" si="9"/>
        <v>0</v>
      </c>
      <c r="E284" s="157">
        <v>7.93</v>
      </c>
      <c r="F284" s="165"/>
      <c r="G284" s="166">
        <v>588</v>
      </c>
      <c r="H284" s="167">
        <v>7.7</v>
      </c>
      <c r="I284" s="165"/>
      <c r="J284" s="167"/>
      <c r="K284" s="167">
        <v>10</v>
      </c>
      <c r="L284" s="167">
        <v>25.2</v>
      </c>
      <c r="M284" s="168">
        <v>0.54791666666666705</v>
      </c>
      <c r="N284" s="67"/>
    </row>
    <row r="285" spans="1:14" x14ac:dyDescent="0.25">
      <c r="A285" s="66">
        <v>44505</v>
      </c>
      <c r="B285" s="67" t="s">
        <v>38</v>
      </c>
      <c r="C285" s="129" t="str">
        <f t="shared" si="8"/>
        <v>05.11.2021_BRAob</v>
      </c>
      <c r="D285" s="143">
        <f t="shared" si="9"/>
        <v>0</v>
      </c>
      <c r="E285" s="157">
        <v>7.77</v>
      </c>
      <c r="F285" s="165"/>
      <c r="G285" s="166">
        <v>820</v>
      </c>
      <c r="H285" s="167">
        <v>8.3000000000000007</v>
      </c>
      <c r="I285" s="165"/>
      <c r="J285" s="167"/>
      <c r="K285" s="167">
        <v>9.6999999999999993</v>
      </c>
      <c r="L285" s="167">
        <v>11.7</v>
      </c>
      <c r="M285" s="168">
        <v>0.49861111111111101</v>
      </c>
      <c r="N285" s="67"/>
    </row>
    <row r="286" spans="1:14" x14ac:dyDescent="0.25">
      <c r="A286" s="66">
        <v>44505</v>
      </c>
      <c r="B286" s="67" t="s">
        <v>41</v>
      </c>
      <c r="C286" s="129" t="str">
        <f t="shared" si="8"/>
        <v>05.11.2021_BRAohBo</v>
      </c>
      <c r="D286" s="143">
        <f t="shared" si="9"/>
        <v>0</v>
      </c>
      <c r="E286" s="157">
        <v>7.99</v>
      </c>
      <c r="F286" s="165"/>
      <c r="G286" s="166">
        <v>753</v>
      </c>
      <c r="H286" s="167">
        <v>9</v>
      </c>
      <c r="I286" s="165"/>
      <c r="J286" s="167"/>
      <c r="K286" s="167">
        <v>9.8000000000000007</v>
      </c>
      <c r="L286" s="167">
        <v>17.399999999999999</v>
      </c>
      <c r="M286" s="168">
        <v>0.51249999999999996</v>
      </c>
      <c r="N286" s="67" t="s">
        <v>112</v>
      </c>
    </row>
    <row r="287" spans="1:14" x14ac:dyDescent="0.25">
      <c r="A287" s="66">
        <v>44505</v>
      </c>
      <c r="B287" s="67" t="s">
        <v>43</v>
      </c>
      <c r="C287" s="129" t="str">
        <f t="shared" si="8"/>
        <v>05.11.2021_HAAob</v>
      </c>
      <c r="D287" s="143">
        <f t="shared" si="9"/>
        <v>0</v>
      </c>
      <c r="E287" s="157">
        <v>8.16</v>
      </c>
      <c r="F287" s="165"/>
      <c r="G287" s="166">
        <v>827</v>
      </c>
      <c r="H287" s="167">
        <v>9.1999999999999993</v>
      </c>
      <c r="I287" s="165"/>
      <c r="J287" s="167"/>
      <c r="K287" s="167">
        <v>11.5</v>
      </c>
      <c r="L287" s="167">
        <v>14.5</v>
      </c>
      <c r="M287" s="168">
        <v>0.63055555555555598</v>
      </c>
      <c r="N287" s="67" t="s">
        <v>249</v>
      </c>
    </row>
    <row r="288" spans="1:14" x14ac:dyDescent="0.25">
      <c r="A288" s="66">
        <v>44505</v>
      </c>
      <c r="B288" s="67" t="s">
        <v>45</v>
      </c>
      <c r="C288" s="129" t="str">
        <f t="shared" si="8"/>
        <v>05.11.2021_HAAun</v>
      </c>
      <c r="D288" s="143">
        <f t="shared" si="9"/>
        <v>0</v>
      </c>
      <c r="E288" s="157">
        <v>7.88</v>
      </c>
      <c r="F288" s="165"/>
      <c r="G288" s="166">
        <v>1058</v>
      </c>
      <c r="H288" s="167">
        <v>7.9</v>
      </c>
      <c r="I288" s="165"/>
      <c r="J288" s="167"/>
      <c r="K288" s="167">
        <v>11.3</v>
      </c>
      <c r="L288" s="167">
        <v>7.4</v>
      </c>
      <c r="M288" s="168">
        <v>0.58750000000000002</v>
      </c>
      <c r="N288" s="67"/>
    </row>
    <row r="289" spans="1:14" x14ac:dyDescent="0.25">
      <c r="A289" s="66">
        <v>44505</v>
      </c>
      <c r="B289" s="67" t="s">
        <v>47</v>
      </c>
      <c r="C289" s="129" t="str">
        <f t="shared" si="8"/>
        <v>05.11.2021_KIRob</v>
      </c>
      <c r="D289" s="143">
        <f t="shared" si="9"/>
        <v>0</v>
      </c>
      <c r="E289" s="157">
        <v>7.86</v>
      </c>
      <c r="F289" s="165"/>
      <c r="G289" s="166">
        <v>1089</v>
      </c>
      <c r="H289" s="167">
        <v>5.7</v>
      </c>
      <c r="I289" s="165"/>
      <c r="J289" s="167"/>
      <c r="K289" s="167">
        <v>10.4</v>
      </c>
      <c r="L289" s="167">
        <v>13.6</v>
      </c>
      <c r="M289" s="168">
        <v>0.420833333333333</v>
      </c>
      <c r="N289" s="67"/>
    </row>
    <row r="290" spans="1:14" x14ac:dyDescent="0.25">
      <c r="A290" s="66">
        <v>44505</v>
      </c>
      <c r="B290" s="67" t="s">
        <v>49</v>
      </c>
      <c r="C290" s="129" t="str">
        <f t="shared" si="8"/>
        <v>05.11.2021_KIRun</v>
      </c>
      <c r="D290" s="143">
        <f t="shared" si="9"/>
        <v>0</v>
      </c>
      <c r="E290" s="157">
        <v>8.02</v>
      </c>
      <c r="F290" s="165"/>
      <c r="G290" s="166">
        <v>998</v>
      </c>
      <c r="H290" s="167">
        <v>8.3000000000000007</v>
      </c>
      <c r="I290" s="165"/>
      <c r="J290" s="167"/>
      <c r="K290" s="167">
        <v>10.5</v>
      </c>
      <c r="L290" s="167">
        <v>17.100000000000001</v>
      </c>
      <c r="M290" s="168">
        <v>0.40833333333333299</v>
      </c>
      <c r="N290" s="67"/>
    </row>
    <row r="291" spans="1:14" x14ac:dyDescent="0.25">
      <c r="A291" s="66">
        <v>44505</v>
      </c>
      <c r="B291" s="67" t="s">
        <v>50</v>
      </c>
      <c r="C291" s="129" t="str">
        <f t="shared" si="8"/>
        <v>05.11.2021_LIEohBo</v>
      </c>
      <c r="D291" s="143">
        <f t="shared" si="9"/>
        <v>0</v>
      </c>
      <c r="E291" s="157">
        <v>8.18</v>
      </c>
      <c r="F291" s="165"/>
      <c r="G291" s="166">
        <v>686</v>
      </c>
      <c r="H291" s="167">
        <v>8.8000000000000007</v>
      </c>
      <c r="I291" s="165"/>
      <c r="J291" s="167"/>
      <c r="K291" s="167">
        <v>8.6</v>
      </c>
      <c r="L291" s="167">
        <v>11.9</v>
      </c>
      <c r="M291" s="168">
        <v>0.38263888888888897</v>
      </c>
      <c r="N291" s="67" t="s">
        <v>113</v>
      </c>
    </row>
    <row r="292" spans="1:14" x14ac:dyDescent="0.25">
      <c r="A292" s="66">
        <v>44505</v>
      </c>
      <c r="B292" s="67" t="s">
        <v>53</v>
      </c>
      <c r="C292" s="129" t="str">
        <f t="shared" si="8"/>
        <v>05.11.2021_NATohBo</v>
      </c>
      <c r="D292" s="143">
        <f t="shared" si="9"/>
        <v>0</v>
      </c>
      <c r="E292" s="157">
        <v>7.64</v>
      </c>
      <c r="F292" s="165"/>
      <c r="G292" s="166">
        <v>1463</v>
      </c>
      <c r="H292" s="167">
        <v>8.1</v>
      </c>
      <c r="I292" s="165"/>
      <c r="J292" s="167"/>
      <c r="K292" s="167">
        <v>10.8</v>
      </c>
      <c r="L292" s="167">
        <v>10.9</v>
      </c>
      <c r="M292" s="168">
        <v>0.66319444444444398</v>
      </c>
      <c r="N292" s="67"/>
    </row>
    <row r="293" spans="1:14" x14ac:dyDescent="0.25">
      <c r="A293" s="66">
        <v>44505</v>
      </c>
      <c r="B293" s="67" t="s">
        <v>55</v>
      </c>
      <c r="C293" s="129" t="str">
        <f t="shared" si="8"/>
        <v>05.11.2021_QUAohBo</v>
      </c>
      <c r="D293" s="143">
        <f t="shared" si="9"/>
        <v>0</v>
      </c>
      <c r="E293" s="157">
        <v>7.78</v>
      </c>
      <c r="F293" s="165"/>
      <c r="G293" s="166">
        <v>817</v>
      </c>
      <c r="H293" s="167">
        <v>4</v>
      </c>
      <c r="I293" s="165"/>
      <c r="J293" s="167"/>
      <c r="K293" s="167">
        <v>9.8000000000000007</v>
      </c>
      <c r="L293" s="167">
        <v>23.9</v>
      </c>
      <c r="M293" s="168">
        <v>0.57569444444444395</v>
      </c>
      <c r="N293" s="67"/>
    </row>
    <row r="294" spans="1:14" x14ac:dyDescent="0.25">
      <c r="A294" s="66">
        <v>44505</v>
      </c>
      <c r="B294" s="67" t="s">
        <v>57</v>
      </c>
      <c r="C294" s="129" t="str">
        <f t="shared" si="8"/>
        <v>05.11.2021_SCHohVo</v>
      </c>
      <c r="D294" s="143">
        <f t="shared" si="9"/>
        <v>0</v>
      </c>
      <c r="E294" s="157">
        <v>8.01</v>
      </c>
      <c r="F294" s="165"/>
      <c r="G294" s="166">
        <v>631</v>
      </c>
      <c r="H294" s="167">
        <v>8.3000000000000007</v>
      </c>
      <c r="I294" s="165"/>
      <c r="J294" s="167"/>
      <c r="K294" s="167">
        <v>8.8000000000000007</v>
      </c>
      <c r="L294" s="167">
        <v>4.4000000000000004</v>
      </c>
      <c r="M294" s="168">
        <v>0.43194444444444402</v>
      </c>
      <c r="N294" s="67" t="s">
        <v>114</v>
      </c>
    </row>
    <row r="295" spans="1:14" x14ac:dyDescent="0.25">
      <c r="A295" s="66">
        <v>44505</v>
      </c>
      <c r="B295" s="67" t="s">
        <v>60</v>
      </c>
      <c r="C295" s="129" t="str">
        <f t="shared" si="8"/>
        <v>05.11.2021_VORohBo</v>
      </c>
      <c r="D295" s="143">
        <f t="shared" si="9"/>
        <v>0</v>
      </c>
      <c r="E295" s="157">
        <v>7.53</v>
      </c>
      <c r="F295" s="165"/>
      <c r="G295" s="166">
        <v>1051</v>
      </c>
      <c r="H295" s="167">
        <v>4.9000000000000004</v>
      </c>
      <c r="I295" s="165"/>
      <c r="J295" s="167"/>
      <c r="K295" s="167">
        <v>9.5</v>
      </c>
      <c r="L295" s="167">
        <v>25.6</v>
      </c>
      <c r="M295" s="168">
        <v>0.46180555555555602</v>
      </c>
      <c r="N295" s="67"/>
    </row>
    <row r="296" spans="1:14" x14ac:dyDescent="0.25">
      <c r="A296" s="66">
        <v>44505</v>
      </c>
      <c r="B296" s="67" t="s">
        <v>62</v>
      </c>
      <c r="C296" s="129" t="str">
        <f t="shared" si="8"/>
        <v>05.11.2021_VORuhSc</v>
      </c>
      <c r="D296" s="143">
        <f t="shared" si="9"/>
        <v>0</v>
      </c>
      <c r="E296" s="157">
        <v>7.38</v>
      </c>
      <c r="F296" s="165"/>
      <c r="G296" s="166">
        <v>1026</v>
      </c>
      <c r="H296" s="167">
        <v>5.7</v>
      </c>
      <c r="I296" s="165"/>
      <c r="J296" s="167"/>
      <c r="K296" s="167">
        <v>9.8000000000000007</v>
      </c>
      <c r="L296" s="167">
        <v>4.9000000000000004</v>
      </c>
      <c r="M296" s="168">
        <v>0.44236111111111098</v>
      </c>
      <c r="N296" s="67"/>
    </row>
    <row r="297" spans="1:14" x14ac:dyDescent="0.25">
      <c r="A297" s="66">
        <v>44505</v>
      </c>
      <c r="B297" s="67" t="s">
        <v>64</v>
      </c>
      <c r="C297" s="129" t="str">
        <f t="shared" si="8"/>
        <v>05.11.2021_WITob</v>
      </c>
      <c r="D297" s="143">
        <f t="shared" si="9"/>
        <v>0</v>
      </c>
      <c r="E297" s="157">
        <v>8.25</v>
      </c>
      <c r="F297" s="165"/>
      <c r="G297" s="166">
        <v>1224</v>
      </c>
      <c r="H297" s="167">
        <v>8.6999999999999993</v>
      </c>
      <c r="I297" s="165"/>
      <c r="J297" s="167"/>
      <c r="K297" s="167">
        <v>11.3</v>
      </c>
      <c r="L297" s="167">
        <v>4.5999999999999996</v>
      </c>
      <c r="M297" s="168">
        <v>0.64513888888888904</v>
      </c>
      <c r="N297" s="67"/>
    </row>
    <row r="298" spans="1:14" x14ac:dyDescent="0.25">
      <c r="A298" s="66">
        <v>44519</v>
      </c>
      <c r="B298" s="67" t="s">
        <v>22</v>
      </c>
      <c r="C298" s="129" t="str">
        <f t="shared" si="8"/>
        <v>19.11.2021_BOYkl</v>
      </c>
      <c r="D298" s="143">
        <f t="shared" si="9"/>
        <v>0</v>
      </c>
      <c r="E298" s="157">
        <v>7.86</v>
      </c>
      <c r="F298" s="165"/>
      <c r="G298" s="166">
        <v>482</v>
      </c>
      <c r="H298" s="167">
        <v>9.1999999999999993</v>
      </c>
      <c r="I298" s="165"/>
      <c r="J298" s="167"/>
      <c r="K298" s="167">
        <v>10.3</v>
      </c>
      <c r="L298" s="167">
        <v>11</v>
      </c>
      <c r="M298" s="168">
        <v>0.47916666666666702</v>
      </c>
      <c r="N298" s="67" t="s">
        <v>115</v>
      </c>
    </row>
    <row r="299" spans="1:14" x14ac:dyDescent="0.25">
      <c r="A299" s="66">
        <v>44519</v>
      </c>
      <c r="B299" s="67" t="s">
        <v>25</v>
      </c>
      <c r="C299" s="129" t="str">
        <f t="shared" si="8"/>
        <v>19.11.2021_BOYohB224</v>
      </c>
      <c r="D299" s="143">
        <f t="shared" si="9"/>
        <v>0</v>
      </c>
      <c r="E299" s="157">
        <v>7.94</v>
      </c>
      <c r="F299" s="165"/>
      <c r="G299" s="166">
        <v>926</v>
      </c>
      <c r="H299" s="167">
        <v>7.8</v>
      </c>
      <c r="I299" s="165"/>
      <c r="J299" s="167"/>
      <c r="K299" s="167">
        <v>10.8</v>
      </c>
      <c r="L299" s="167">
        <v>38.6</v>
      </c>
      <c r="M299" s="168">
        <v>0.65277777777777801</v>
      </c>
      <c r="N299" s="67"/>
    </row>
    <row r="300" spans="1:14" x14ac:dyDescent="0.25">
      <c r="A300" s="66">
        <v>44519</v>
      </c>
      <c r="B300" s="67" t="s">
        <v>28</v>
      </c>
      <c r="C300" s="129" t="str">
        <f t="shared" si="8"/>
        <v>19.11.2021_BOYohBr</v>
      </c>
      <c r="D300" s="143">
        <f t="shared" si="9"/>
        <v>0</v>
      </c>
      <c r="E300" s="157">
        <v>8.7100000000000009</v>
      </c>
      <c r="F300" s="165"/>
      <c r="G300" s="166">
        <v>580</v>
      </c>
      <c r="H300" s="167">
        <v>7</v>
      </c>
      <c r="I300" s="165"/>
      <c r="J300" s="167"/>
      <c r="K300" s="167">
        <v>10.8</v>
      </c>
      <c r="L300" s="167">
        <v>19.399999999999999</v>
      </c>
      <c r="M300" s="168">
        <v>0.55902777777777801</v>
      </c>
      <c r="N300" s="67"/>
    </row>
    <row r="301" spans="1:14" x14ac:dyDescent="0.25">
      <c r="A301" s="66">
        <v>44519</v>
      </c>
      <c r="B301" s="67" t="s">
        <v>30</v>
      </c>
      <c r="C301" s="129" t="str">
        <f t="shared" si="8"/>
        <v>19.11.2021_BOYohKi</v>
      </c>
      <c r="D301" s="143">
        <f t="shared" si="9"/>
        <v>0</v>
      </c>
      <c r="E301" s="157">
        <v>7.89</v>
      </c>
      <c r="F301" s="165"/>
      <c r="G301" s="166">
        <v>791</v>
      </c>
      <c r="H301" s="167">
        <v>9.6</v>
      </c>
      <c r="I301" s="165"/>
      <c r="J301" s="167"/>
      <c r="K301" s="167">
        <v>9.8000000000000007</v>
      </c>
      <c r="L301" s="167">
        <v>33</v>
      </c>
      <c r="M301" s="168">
        <v>0.37152777777777801</v>
      </c>
      <c r="N301" s="67"/>
    </row>
    <row r="302" spans="1:14" x14ac:dyDescent="0.25">
      <c r="A302" s="66">
        <v>44519</v>
      </c>
      <c r="B302" s="67" t="s">
        <v>32</v>
      </c>
      <c r="C302" s="129" t="str">
        <f t="shared" si="8"/>
        <v>19.11.2021_BOYohSp</v>
      </c>
      <c r="D302" s="143">
        <f t="shared" si="9"/>
        <v>0</v>
      </c>
      <c r="E302" s="157">
        <v>9.15</v>
      </c>
      <c r="F302" s="165"/>
      <c r="G302" s="166">
        <v>665</v>
      </c>
      <c r="H302" s="167">
        <v>7.1</v>
      </c>
      <c r="I302" s="165"/>
      <c r="J302" s="167"/>
      <c r="K302" s="167">
        <v>10.6</v>
      </c>
      <c r="L302" s="167">
        <v>24.4</v>
      </c>
      <c r="M302" s="168">
        <v>0.58402777777777803</v>
      </c>
      <c r="N302" s="67"/>
    </row>
    <row r="303" spans="1:14" x14ac:dyDescent="0.25">
      <c r="A303" s="66">
        <v>44519</v>
      </c>
      <c r="B303" s="67" t="s">
        <v>36</v>
      </c>
      <c r="C303" s="129" t="str">
        <f t="shared" si="8"/>
        <v>19.11.2021_BOYuhSp</v>
      </c>
      <c r="D303" s="143">
        <f t="shared" si="9"/>
        <v>0</v>
      </c>
      <c r="E303" s="157">
        <v>8.81</v>
      </c>
      <c r="F303" s="165"/>
      <c r="G303" s="166">
        <v>674</v>
      </c>
      <c r="H303" s="167">
        <v>7.2</v>
      </c>
      <c r="I303" s="165"/>
      <c r="J303" s="167"/>
      <c r="K303" s="167">
        <v>10.5</v>
      </c>
      <c r="L303" s="167">
        <v>32.299999999999997</v>
      </c>
      <c r="M303" s="168">
        <v>0.57569444444444395</v>
      </c>
      <c r="N303" s="67"/>
    </row>
    <row r="304" spans="1:14" x14ac:dyDescent="0.25">
      <c r="A304" s="66">
        <v>44519</v>
      </c>
      <c r="B304" s="67" t="s">
        <v>38</v>
      </c>
      <c r="C304" s="129" t="str">
        <f t="shared" si="8"/>
        <v>19.11.2021_BRAob</v>
      </c>
      <c r="D304" s="143">
        <f t="shared" si="9"/>
        <v>0</v>
      </c>
      <c r="E304" s="157">
        <v>7.69</v>
      </c>
      <c r="F304" s="165"/>
      <c r="G304" s="166">
        <v>803</v>
      </c>
      <c r="H304" s="167">
        <v>6.3</v>
      </c>
      <c r="I304" s="165"/>
      <c r="J304" s="167"/>
      <c r="K304" s="167">
        <v>10.3</v>
      </c>
      <c r="L304" s="167">
        <v>9.1999999999999993</v>
      </c>
      <c r="M304" s="168">
        <v>0.49513888888888902</v>
      </c>
      <c r="N304" s="67"/>
    </row>
    <row r="305" spans="1:14" x14ac:dyDescent="0.25">
      <c r="A305" s="66">
        <v>44519</v>
      </c>
      <c r="B305" s="67" t="s">
        <v>41</v>
      </c>
      <c r="C305" s="129" t="str">
        <f t="shared" si="8"/>
        <v>19.11.2021_BRAohBo</v>
      </c>
      <c r="D305" s="143">
        <f t="shared" si="9"/>
        <v>0</v>
      </c>
      <c r="E305" s="157">
        <v>7.93</v>
      </c>
      <c r="F305" s="165"/>
      <c r="G305" s="166">
        <v>745</v>
      </c>
      <c r="H305" s="167">
        <v>7.7</v>
      </c>
      <c r="I305" s="165"/>
      <c r="J305" s="167"/>
      <c r="K305" s="167">
        <v>10.199999999999999</v>
      </c>
      <c r="L305" s="167">
        <v>16.399999999999999</v>
      </c>
      <c r="M305" s="168">
        <v>0.50694444444444398</v>
      </c>
      <c r="N305" s="67"/>
    </row>
    <row r="306" spans="1:14" x14ac:dyDescent="0.25">
      <c r="A306" s="66">
        <v>44519</v>
      </c>
      <c r="B306" s="67" t="s">
        <v>43</v>
      </c>
      <c r="C306" s="129" t="str">
        <f t="shared" si="8"/>
        <v>19.11.2021_HAAob</v>
      </c>
      <c r="D306" s="143">
        <f t="shared" si="9"/>
        <v>0</v>
      </c>
      <c r="E306" s="157">
        <v>7.88</v>
      </c>
      <c r="F306" s="165"/>
      <c r="G306" s="166">
        <v>884</v>
      </c>
      <c r="H306" s="167">
        <v>7.1</v>
      </c>
      <c r="I306" s="165"/>
      <c r="J306" s="167"/>
      <c r="K306" s="167">
        <v>11.3</v>
      </c>
      <c r="L306" s="167">
        <v>18</v>
      </c>
      <c r="M306" s="168">
        <v>0.61944444444444502</v>
      </c>
      <c r="N306" s="67"/>
    </row>
    <row r="307" spans="1:14" x14ac:dyDescent="0.25">
      <c r="A307" s="66">
        <v>44519</v>
      </c>
      <c r="B307" s="67" t="s">
        <v>45</v>
      </c>
      <c r="C307" s="129" t="str">
        <f t="shared" si="8"/>
        <v>19.11.2021_HAAun</v>
      </c>
      <c r="D307" s="143">
        <f t="shared" si="9"/>
        <v>0</v>
      </c>
      <c r="E307" s="157">
        <v>7.74</v>
      </c>
      <c r="F307" s="165"/>
      <c r="G307" s="166">
        <v>1087</v>
      </c>
      <c r="H307" s="167">
        <v>5.9</v>
      </c>
      <c r="I307" s="165"/>
      <c r="J307" s="167"/>
      <c r="K307" s="167">
        <v>11.4</v>
      </c>
      <c r="L307" s="167">
        <v>7.5</v>
      </c>
      <c r="M307" s="168">
        <v>0.60902777777777795</v>
      </c>
      <c r="N307" s="67"/>
    </row>
    <row r="308" spans="1:14" x14ac:dyDescent="0.25">
      <c r="A308" s="66">
        <v>44519</v>
      </c>
      <c r="B308" s="67" t="s">
        <v>47</v>
      </c>
      <c r="C308" s="129" t="str">
        <f t="shared" si="8"/>
        <v>19.11.2021_KIRob</v>
      </c>
      <c r="D308" s="143">
        <f t="shared" si="9"/>
        <v>0</v>
      </c>
      <c r="E308" s="157">
        <v>7.84</v>
      </c>
      <c r="F308" s="165"/>
      <c r="G308" s="166">
        <v>1065</v>
      </c>
      <c r="H308" s="167">
        <v>4.5</v>
      </c>
      <c r="I308" s="165"/>
      <c r="J308" s="167"/>
      <c r="K308" s="167">
        <v>11.3</v>
      </c>
      <c r="L308" s="167">
        <v>10.5</v>
      </c>
      <c r="M308" s="168">
        <v>0.39652777777777798</v>
      </c>
      <c r="N308" s="67"/>
    </row>
    <row r="309" spans="1:14" x14ac:dyDescent="0.25">
      <c r="A309" s="66">
        <v>44519</v>
      </c>
      <c r="B309" s="67" t="s">
        <v>49</v>
      </c>
      <c r="C309" s="129" t="str">
        <f t="shared" si="8"/>
        <v>19.11.2021_KIRun</v>
      </c>
      <c r="D309" s="143">
        <f t="shared" si="9"/>
        <v>0</v>
      </c>
      <c r="E309" s="157">
        <v>7.96</v>
      </c>
      <c r="F309" s="165"/>
      <c r="G309" s="166">
        <v>964</v>
      </c>
      <c r="H309" s="167">
        <v>8.1999999999999993</v>
      </c>
      <c r="I309" s="165"/>
      <c r="J309" s="167"/>
      <c r="K309" s="167">
        <v>11.1</v>
      </c>
      <c r="L309" s="167">
        <v>9.6999999999999993</v>
      </c>
      <c r="M309" s="168">
        <v>0.38750000000000001</v>
      </c>
      <c r="N309" s="67"/>
    </row>
    <row r="310" spans="1:14" x14ac:dyDescent="0.25">
      <c r="A310" s="66">
        <v>44519</v>
      </c>
      <c r="B310" s="67" t="s">
        <v>50</v>
      </c>
      <c r="C310" s="129" t="str">
        <f t="shared" si="8"/>
        <v>19.11.2021_LIEohBo</v>
      </c>
      <c r="D310" s="143">
        <f t="shared" si="9"/>
        <v>0</v>
      </c>
      <c r="E310" s="157">
        <v>8.0500000000000007</v>
      </c>
      <c r="F310" s="165"/>
      <c r="G310" s="166">
        <v>703</v>
      </c>
      <c r="H310" s="167">
        <v>8.1999999999999993</v>
      </c>
      <c r="I310" s="165"/>
      <c r="J310" s="167"/>
      <c r="K310" s="167">
        <v>9.5</v>
      </c>
      <c r="L310" s="167">
        <v>10.7</v>
      </c>
      <c r="M310" s="168">
        <v>0.35763888888888901</v>
      </c>
      <c r="N310" s="67"/>
    </row>
    <row r="311" spans="1:14" x14ac:dyDescent="0.25">
      <c r="A311" s="66">
        <v>44519</v>
      </c>
      <c r="B311" s="67" t="s">
        <v>53</v>
      </c>
      <c r="C311" s="129" t="str">
        <f t="shared" si="8"/>
        <v>19.11.2021_NATohBo</v>
      </c>
      <c r="D311" s="143">
        <f t="shared" si="9"/>
        <v>0</v>
      </c>
      <c r="E311" s="157">
        <v>7.59</v>
      </c>
      <c r="F311" s="165"/>
      <c r="G311" s="166">
        <v>1403</v>
      </c>
      <c r="H311" s="167">
        <v>6.6</v>
      </c>
      <c r="I311" s="165"/>
      <c r="J311" s="167"/>
      <c r="K311" s="167">
        <v>11</v>
      </c>
      <c r="L311" s="167">
        <v>9</v>
      </c>
      <c r="M311" s="168">
        <v>0.64166666666666705</v>
      </c>
      <c r="N311" s="67"/>
    </row>
    <row r="312" spans="1:14" x14ac:dyDescent="0.25">
      <c r="A312" s="66">
        <v>44519</v>
      </c>
      <c r="B312" s="67" t="s">
        <v>55</v>
      </c>
      <c r="C312" s="129" t="str">
        <f t="shared" si="8"/>
        <v>19.11.2021_QUAohBo</v>
      </c>
      <c r="D312" s="143">
        <f t="shared" si="9"/>
        <v>0</v>
      </c>
      <c r="E312" s="157">
        <v>7.64</v>
      </c>
      <c r="F312" s="165"/>
      <c r="G312" s="166">
        <v>806</v>
      </c>
      <c r="H312" s="167">
        <v>6</v>
      </c>
      <c r="I312" s="165"/>
      <c r="J312" s="167"/>
      <c r="K312" s="167">
        <v>10.6</v>
      </c>
      <c r="L312" s="167">
        <v>27.5</v>
      </c>
      <c r="M312" s="168">
        <v>0.59375</v>
      </c>
      <c r="N312" s="67"/>
    </row>
    <row r="313" spans="1:14" x14ac:dyDescent="0.25">
      <c r="A313" s="66">
        <v>44519</v>
      </c>
      <c r="B313" s="67" t="s">
        <v>57</v>
      </c>
      <c r="C313" s="129" t="str">
        <f t="shared" si="8"/>
        <v>19.11.2021_SCHohVo</v>
      </c>
      <c r="D313" s="143">
        <f t="shared" si="9"/>
        <v>0</v>
      </c>
      <c r="E313" s="157">
        <v>7.79</v>
      </c>
      <c r="F313" s="165"/>
      <c r="G313" s="166">
        <v>617</v>
      </c>
      <c r="H313" s="167">
        <v>6.8</v>
      </c>
      <c r="I313" s="165"/>
      <c r="J313" s="167"/>
      <c r="K313" s="167">
        <v>9.4</v>
      </c>
      <c r="L313" s="167">
        <v>8.6999999999999993</v>
      </c>
      <c r="M313" s="168">
        <v>0.41388888888888897</v>
      </c>
      <c r="N313" s="67"/>
    </row>
    <row r="314" spans="1:14" x14ac:dyDescent="0.25">
      <c r="A314" s="66">
        <v>44519</v>
      </c>
      <c r="B314" s="67" t="s">
        <v>60</v>
      </c>
      <c r="C314" s="129" t="str">
        <f t="shared" si="8"/>
        <v>19.11.2021_VORohBo</v>
      </c>
      <c r="D314" s="143">
        <f t="shared" si="9"/>
        <v>0</v>
      </c>
      <c r="E314" s="157">
        <v>7.44</v>
      </c>
      <c r="F314" s="165"/>
      <c r="G314" s="166">
        <v>1043</v>
      </c>
      <c r="H314" s="167">
        <v>5.2</v>
      </c>
      <c r="I314" s="165"/>
      <c r="J314" s="167"/>
      <c r="K314" s="167">
        <v>10.199999999999999</v>
      </c>
      <c r="L314" s="167">
        <v>29.3</v>
      </c>
      <c r="M314" s="168">
        <v>0.438194444444445</v>
      </c>
      <c r="N314" s="67" t="s">
        <v>116</v>
      </c>
    </row>
    <row r="315" spans="1:14" x14ac:dyDescent="0.25">
      <c r="A315" s="66">
        <v>44519</v>
      </c>
      <c r="B315" s="67" t="s">
        <v>62</v>
      </c>
      <c r="C315" s="129" t="str">
        <f t="shared" si="8"/>
        <v>19.11.2021_VORuhSc</v>
      </c>
      <c r="D315" s="143">
        <f t="shared" si="9"/>
        <v>0</v>
      </c>
      <c r="E315" s="157">
        <v>9.6</v>
      </c>
      <c r="F315" s="165"/>
      <c r="G315" s="166">
        <v>1017</v>
      </c>
      <c r="H315" s="167">
        <v>5.8</v>
      </c>
      <c r="I315" s="165"/>
      <c r="J315" s="167"/>
      <c r="K315" s="167">
        <v>11.4</v>
      </c>
      <c r="L315" s="167">
        <v>13.8</v>
      </c>
      <c r="M315" s="168">
        <v>0.42499999999999999</v>
      </c>
      <c r="N315" s="67"/>
    </row>
    <row r="316" spans="1:14" x14ac:dyDescent="0.25">
      <c r="A316" s="66">
        <v>44519</v>
      </c>
      <c r="B316" s="67" t="s">
        <v>64</v>
      </c>
      <c r="C316" s="129" t="str">
        <f t="shared" si="8"/>
        <v>19.11.2021_WITob</v>
      </c>
      <c r="D316" s="143">
        <f t="shared" si="9"/>
        <v>0</v>
      </c>
      <c r="E316" s="157">
        <v>8.02</v>
      </c>
      <c r="F316" s="165"/>
      <c r="G316" s="166">
        <v>1225</v>
      </c>
      <c r="H316" s="167">
        <v>7.8</v>
      </c>
      <c r="I316" s="165"/>
      <c r="J316" s="167"/>
      <c r="K316" s="167">
        <v>11.3</v>
      </c>
      <c r="L316" s="167">
        <v>4</v>
      </c>
      <c r="M316" s="168">
        <v>0.63124999999999998</v>
      </c>
      <c r="N316" s="67"/>
    </row>
    <row r="317" spans="1:14" x14ac:dyDescent="0.25">
      <c r="A317" s="66">
        <v>44536</v>
      </c>
      <c r="B317" s="67" t="s">
        <v>22</v>
      </c>
      <c r="C317" s="129" t="str">
        <f t="shared" si="8"/>
        <v>06.12.2021_BOYkl</v>
      </c>
      <c r="D317" s="143">
        <f t="shared" si="9"/>
        <v>0</v>
      </c>
      <c r="E317" s="157">
        <v>8.0399999999999991</v>
      </c>
      <c r="F317" s="165"/>
      <c r="G317" s="166">
        <v>473</v>
      </c>
      <c r="H317" s="167">
        <v>8.9</v>
      </c>
      <c r="I317" s="165"/>
      <c r="J317" s="167"/>
      <c r="K317" s="167">
        <v>7.5</v>
      </c>
      <c r="L317" s="167">
        <v>25.4</v>
      </c>
      <c r="M317" s="168">
        <v>0.47777777777777802</v>
      </c>
      <c r="N317" s="67" t="s">
        <v>117</v>
      </c>
    </row>
    <row r="318" spans="1:14" x14ac:dyDescent="0.25">
      <c r="A318" s="66">
        <v>44536</v>
      </c>
      <c r="B318" s="67" t="s">
        <v>25</v>
      </c>
      <c r="C318" s="129" t="str">
        <f t="shared" si="8"/>
        <v>06.12.2021_BOYohB224</v>
      </c>
      <c r="D318" s="143">
        <f t="shared" si="9"/>
        <v>0</v>
      </c>
      <c r="E318" s="157">
        <v>8.1</v>
      </c>
      <c r="F318" s="165"/>
      <c r="G318" s="166">
        <v>769</v>
      </c>
      <c r="H318" s="167">
        <v>9.3000000000000007</v>
      </c>
      <c r="I318" s="165"/>
      <c r="J318" s="167"/>
      <c r="K318" s="167">
        <v>6.2</v>
      </c>
      <c r="L318" s="167">
        <v>45.3</v>
      </c>
      <c r="M318" s="168">
        <v>0.63194444444444398</v>
      </c>
      <c r="N318" s="67"/>
    </row>
    <row r="319" spans="1:14" x14ac:dyDescent="0.25">
      <c r="A319" s="66">
        <v>44536</v>
      </c>
      <c r="B319" s="67" t="s">
        <v>28</v>
      </c>
      <c r="C319" s="129" t="str">
        <f t="shared" si="8"/>
        <v>06.12.2021_BOYohBr</v>
      </c>
      <c r="D319" s="143">
        <f t="shared" si="9"/>
        <v>0</v>
      </c>
      <c r="E319" s="157">
        <v>8.0399999999999991</v>
      </c>
      <c r="F319" s="165"/>
      <c r="G319" s="166">
        <v>530</v>
      </c>
      <c r="H319" s="167">
        <v>8.5</v>
      </c>
      <c r="I319" s="165"/>
      <c r="J319" s="167"/>
      <c r="K319" s="167">
        <v>7.2</v>
      </c>
      <c r="L319" s="167">
        <v>28.8</v>
      </c>
      <c r="M319" s="168">
        <v>0.52430555555555602</v>
      </c>
      <c r="N319" s="67"/>
    </row>
    <row r="320" spans="1:14" x14ac:dyDescent="0.25">
      <c r="A320" s="66">
        <v>44536</v>
      </c>
      <c r="B320" s="67" t="s">
        <v>30</v>
      </c>
      <c r="C320" s="129" t="str">
        <f t="shared" si="8"/>
        <v>06.12.2021_BOYohKi</v>
      </c>
      <c r="D320" s="143">
        <f t="shared" si="9"/>
        <v>0</v>
      </c>
      <c r="E320" s="157">
        <v>8.09</v>
      </c>
      <c r="F320" s="165"/>
      <c r="G320" s="166">
        <v>713</v>
      </c>
      <c r="H320" s="167">
        <v>10.199999999999999</v>
      </c>
      <c r="I320" s="165"/>
      <c r="J320" s="167"/>
      <c r="K320" s="167">
        <v>6</v>
      </c>
      <c r="L320" s="167">
        <v>41</v>
      </c>
      <c r="M320" s="168">
        <v>0.390972222222222</v>
      </c>
      <c r="N320" s="67"/>
    </row>
    <row r="321" spans="1:14" x14ac:dyDescent="0.25">
      <c r="A321" s="66">
        <v>44536</v>
      </c>
      <c r="B321" s="67" t="s">
        <v>32</v>
      </c>
      <c r="C321" s="129" t="str">
        <f t="shared" si="8"/>
        <v>06.12.2021_BOYohSp</v>
      </c>
      <c r="D321" s="143">
        <f t="shared" si="9"/>
        <v>0</v>
      </c>
      <c r="E321" s="157">
        <v>7.94</v>
      </c>
      <c r="F321" s="165"/>
      <c r="G321" s="166">
        <v>630</v>
      </c>
      <c r="H321" s="167">
        <v>8.4</v>
      </c>
      <c r="I321" s="165"/>
      <c r="J321" s="167"/>
      <c r="K321" s="167">
        <v>6.8</v>
      </c>
      <c r="L321" s="167">
        <v>34</v>
      </c>
      <c r="M321" s="168">
        <v>0.54861111111111105</v>
      </c>
      <c r="N321" s="67"/>
    </row>
    <row r="322" spans="1:14" x14ac:dyDescent="0.25">
      <c r="A322" s="66">
        <v>44536</v>
      </c>
      <c r="B322" s="67" t="s">
        <v>36</v>
      </c>
      <c r="C322" s="129" t="str">
        <f t="shared" si="8"/>
        <v>06.12.2021_BOYuhSp</v>
      </c>
      <c r="D322" s="143">
        <f t="shared" si="9"/>
        <v>0</v>
      </c>
      <c r="E322" s="157">
        <v>7.94</v>
      </c>
      <c r="F322" s="165"/>
      <c r="G322" s="166">
        <v>643</v>
      </c>
      <c r="H322" s="167">
        <v>8.8000000000000007</v>
      </c>
      <c r="I322" s="165"/>
      <c r="J322" s="167"/>
      <c r="K322" s="167">
        <v>6.6</v>
      </c>
      <c r="L322" s="167">
        <v>42.4</v>
      </c>
      <c r="M322" s="168">
        <v>0.53958333333333297</v>
      </c>
      <c r="N322" s="67"/>
    </row>
    <row r="323" spans="1:14" x14ac:dyDescent="0.25">
      <c r="A323" s="66">
        <v>44536</v>
      </c>
      <c r="B323" s="67" t="s">
        <v>38</v>
      </c>
      <c r="C323" s="129" t="str">
        <f t="shared" si="8"/>
        <v>06.12.2021_BRAob</v>
      </c>
      <c r="D323" s="143">
        <f t="shared" si="9"/>
        <v>0</v>
      </c>
      <c r="E323" s="157">
        <v>7.88</v>
      </c>
      <c r="F323" s="165"/>
      <c r="G323" s="166">
        <v>844</v>
      </c>
      <c r="H323" s="167">
        <v>8.4</v>
      </c>
      <c r="I323" s="165"/>
      <c r="J323" s="167"/>
      <c r="K323" s="167">
        <v>6.3</v>
      </c>
      <c r="L323" s="167">
        <v>9.6999999999999993</v>
      </c>
      <c r="M323" s="168">
        <v>0.49375000000000002</v>
      </c>
      <c r="N323" s="67"/>
    </row>
    <row r="324" spans="1:14" x14ac:dyDescent="0.25">
      <c r="A324" s="66">
        <v>44536</v>
      </c>
      <c r="B324" s="67" t="s">
        <v>41</v>
      </c>
      <c r="C324" s="129" t="str">
        <f t="shared" ref="C324:C387" si="10">CONCATENATE(TEXT(A324,"TT.MM.JJJJ"),"_",B324)</f>
        <v>06.12.2021_BRAohBo</v>
      </c>
      <c r="D324" s="143">
        <f t="shared" si="9"/>
        <v>0</v>
      </c>
      <c r="E324" s="157">
        <v>7.95</v>
      </c>
      <c r="F324" s="165"/>
      <c r="G324" s="166">
        <v>718</v>
      </c>
      <c r="H324" s="167">
        <v>8.1</v>
      </c>
      <c r="I324" s="165"/>
      <c r="J324" s="167"/>
      <c r="K324" s="167">
        <v>6</v>
      </c>
      <c r="L324" s="167">
        <v>27</v>
      </c>
      <c r="M324" s="168">
        <v>0.50694444444444398</v>
      </c>
      <c r="N324" s="67"/>
    </row>
    <row r="325" spans="1:14" x14ac:dyDescent="0.25">
      <c r="A325" s="66">
        <v>44536</v>
      </c>
      <c r="B325" s="67" t="s">
        <v>43</v>
      </c>
      <c r="C325" s="129" t="str">
        <f t="shared" si="10"/>
        <v>06.12.2021_HAAob</v>
      </c>
      <c r="D325" s="143">
        <f t="shared" ref="D325:D388" si="11">COUNTBLANK(E325)+COUNTBLANK(G325:H325)+COUNTBLANK(K325:L325)</f>
        <v>0</v>
      </c>
      <c r="E325" s="157">
        <v>8.31</v>
      </c>
      <c r="F325" s="165"/>
      <c r="G325" s="166">
        <v>757</v>
      </c>
      <c r="H325" s="167">
        <v>9.1999999999999993</v>
      </c>
      <c r="I325" s="165"/>
      <c r="J325" s="167"/>
      <c r="K325" s="167">
        <v>6.6</v>
      </c>
      <c r="L325" s="167">
        <v>15.4</v>
      </c>
      <c r="M325" s="168">
        <v>0.59097222222222201</v>
      </c>
      <c r="N325" s="67"/>
    </row>
    <row r="326" spans="1:14" x14ac:dyDescent="0.25">
      <c r="A326" s="66">
        <v>44536</v>
      </c>
      <c r="B326" s="67" t="s">
        <v>45</v>
      </c>
      <c r="C326" s="129" t="str">
        <f t="shared" si="10"/>
        <v>06.12.2021_HAAun</v>
      </c>
      <c r="D326" s="143">
        <f t="shared" si="11"/>
        <v>0</v>
      </c>
      <c r="E326" s="157">
        <v>7.8</v>
      </c>
      <c r="F326" s="165"/>
      <c r="G326" s="166">
        <v>948</v>
      </c>
      <c r="H326" s="167">
        <v>6.7</v>
      </c>
      <c r="I326" s="165"/>
      <c r="J326" s="167"/>
      <c r="K326" s="167">
        <v>7.1</v>
      </c>
      <c r="L326" s="167">
        <v>11.4</v>
      </c>
      <c r="M326" s="168">
        <v>0.57708333333333295</v>
      </c>
      <c r="N326" s="67"/>
    </row>
    <row r="327" spans="1:14" x14ac:dyDescent="0.25">
      <c r="A327" s="66">
        <v>44536</v>
      </c>
      <c r="B327" s="67" t="s">
        <v>47</v>
      </c>
      <c r="C327" s="129" t="str">
        <f t="shared" si="10"/>
        <v>06.12.2021_KIRob</v>
      </c>
      <c r="D327" s="143">
        <f t="shared" si="11"/>
        <v>0</v>
      </c>
      <c r="E327" s="157">
        <v>7.8</v>
      </c>
      <c r="F327" s="165"/>
      <c r="G327" s="166">
        <v>1013</v>
      </c>
      <c r="H327" s="167">
        <v>6.8</v>
      </c>
      <c r="I327" s="165"/>
      <c r="J327" s="167"/>
      <c r="K327" s="167">
        <v>6.9</v>
      </c>
      <c r="L327" s="167">
        <v>10.199999999999999</v>
      </c>
      <c r="M327" s="168">
        <v>0.41527777777777802</v>
      </c>
      <c r="N327" s="67"/>
    </row>
    <row r="328" spans="1:14" x14ac:dyDescent="0.25">
      <c r="A328" s="66">
        <v>44536</v>
      </c>
      <c r="B328" s="67" t="s">
        <v>49</v>
      </c>
      <c r="C328" s="129" t="str">
        <f t="shared" si="10"/>
        <v>06.12.2021_KIRun</v>
      </c>
      <c r="D328" s="143">
        <f t="shared" si="11"/>
        <v>0</v>
      </c>
      <c r="E328" s="157">
        <v>7.92</v>
      </c>
      <c r="F328" s="165"/>
      <c r="G328" s="166">
        <v>993</v>
      </c>
      <c r="H328" s="167">
        <v>9</v>
      </c>
      <c r="I328" s="165"/>
      <c r="J328" s="167"/>
      <c r="K328" s="167">
        <v>7.2</v>
      </c>
      <c r="L328" s="167">
        <v>12</v>
      </c>
      <c r="M328" s="168">
        <v>0.40277777777777801</v>
      </c>
      <c r="N328" s="67"/>
    </row>
    <row r="329" spans="1:14" x14ac:dyDescent="0.25">
      <c r="A329" s="66">
        <v>44536</v>
      </c>
      <c r="B329" s="67" t="s">
        <v>50</v>
      </c>
      <c r="C329" s="129" t="str">
        <f t="shared" si="10"/>
        <v>06.12.2021_LIEohBo</v>
      </c>
      <c r="D329" s="143">
        <f t="shared" si="11"/>
        <v>0</v>
      </c>
      <c r="E329" s="157">
        <v>8.1999999999999993</v>
      </c>
      <c r="F329" s="165"/>
      <c r="G329" s="166">
        <v>685</v>
      </c>
      <c r="H329" s="167">
        <v>11.5</v>
      </c>
      <c r="I329" s="165"/>
      <c r="J329" s="167"/>
      <c r="K329" s="167">
        <v>3.1</v>
      </c>
      <c r="L329" s="167">
        <v>11.5</v>
      </c>
      <c r="M329" s="168">
        <v>0.37777777777777799</v>
      </c>
      <c r="N329" s="67"/>
    </row>
    <row r="330" spans="1:14" x14ac:dyDescent="0.25">
      <c r="A330" s="66">
        <v>44536</v>
      </c>
      <c r="B330" s="67" t="s">
        <v>53</v>
      </c>
      <c r="C330" s="129" t="str">
        <f t="shared" si="10"/>
        <v>06.12.2021_NATohBo</v>
      </c>
      <c r="D330" s="143">
        <f t="shared" si="11"/>
        <v>0</v>
      </c>
      <c r="E330" s="157">
        <v>7.92</v>
      </c>
      <c r="F330" s="165"/>
      <c r="G330" s="166">
        <v>994</v>
      </c>
      <c r="H330" s="167">
        <v>9.1</v>
      </c>
      <c r="I330" s="165"/>
      <c r="J330" s="167"/>
      <c r="K330" s="167">
        <v>6.2</v>
      </c>
      <c r="L330" s="167">
        <v>12.8</v>
      </c>
      <c r="M330" s="168">
        <v>0.61875000000000002</v>
      </c>
      <c r="N330" s="67"/>
    </row>
    <row r="331" spans="1:14" x14ac:dyDescent="0.25">
      <c r="A331" s="66">
        <v>44536</v>
      </c>
      <c r="B331" s="67" t="s">
        <v>55</v>
      </c>
      <c r="C331" s="129" t="str">
        <f t="shared" si="10"/>
        <v>06.12.2021_QUAohBo</v>
      </c>
      <c r="D331" s="143">
        <f t="shared" si="11"/>
        <v>0</v>
      </c>
      <c r="E331" s="157">
        <v>7.98</v>
      </c>
      <c r="F331" s="165"/>
      <c r="G331" s="166">
        <v>808</v>
      </c>
      <c r="H331" s="167">
        <v>7.5</v>
      </c>
      <c r="I331" s="165"/>
      <c r="J331" s="167"/>
      <c r="K331" s="167">
        <v>6.7</v>
      </c>
      <c r="L331" s="167">
        <v>31</v>
      </c>
      <c r="M331" s="168">
        <v>0.56458333333333299</v>
      </c>
      <c r="N331" s="67"/>
    </row>
    <row r="332" spans="1:14" x14ac:dyDescent="0.25">
      <c r="A332" s="66">
        <v>44536</v>
      </c>
      <c r="B332" s="67" t="s">
        <v>57</v>
      </c>
      <c r="C332" s="129" t="str">
        <f t="shared" si="10"/>
        <v>06.12.2021_SCHohVo</v>
      </c>
      <c r="D332" s="143">
        <f t="shared" si="11"/>
        <v>0</v>
      </c>
      <c r="E332" s="157">
        <v>7.95</v>
      </c>
      <c r="F332" s="165"/>
      <c r="G332" s="166">
        <v>473</v>
      </c>
      <c r="H332" s="167">
        <v>9.8000000000000007</v>
      </c>
      <c r="I332" s="165"/>
      <c r="J332" s="167"/>
      <c r="K332" s="167">
        <v>4.7</v>
      </c>
      <c r="L332" s="167">
        <v>16.8</v>
      </c>
      <c r="M332" s="168">
        <v>0.42916666666666697</v>
      </c>
      <c r="N332" s="67"/>
    </row>
    <row r="333" spans="1:14" x14ac:dyDescent="0.25">
      <c r="A333" s="66">
        <v>44536</v>
      </c>
      <c r="B333" s="67" t="s">
        <v>60</v>
      </c>
      <c r="C333" s="129" t="str">
        <f t="shared" si="10"/>
        <v>06.12.2021_VORohBo</v>
      </c>
      <c r="D333" s="143">
        <f t="shared" si="11"/>
        <v>0</v>
      </c>
      <c r="E333" s="157">
        <v>7.64</v>
      </c>
      <c r="F333" s="165"/>
      <c r="G333" s="166">
        <v>910</v>
      </c>
      <c r="H333" s="167">
        <v>6.5</v>
      </c>
      <c r="I333" s="165"/>
      <c r="J333" s="167"/>
      <c r="K333" s="167">
        <v>6.1</v>
      </c>
      <c r="L333" s="167">
        <v>23.3</v>
      </c>
      <c r="M333" s="168">
        <v>0.45694444444444399</v>
      </c>
      <c r="N333" s="67" t="s">
        <v>118</v>
      </c>
    </row>
    <row r="334" spans="1:14" x14ac:dyDescent="0.25">
      <c r="A334" s="66">
        <v>44536</v>
      </c>
      <c r="B334" s="67" t="s">
        <v>62</v>
      </c>
      <c r="C334" s="129" t="str">
        <f t="shared" si="10"/>
        <v>06.12.2021_VORuhSc</v>
      </c>
      <c r="D334" s="143">
        <f t="shared" si="11"/>
        <v>0</v>
      </c>
      <c r="E334" s="157">
        <v>7.57</v>
      </c>
      <c r="F334" s="165"/>
      <c r="G334" s="166">
        <v>865</v>
      </c>
      <c r="H334" s="167">
        <v>7.2</v>
      </c>
      <c r="I334" s="165"/>
      <c r="J334" s="167"/>
      <c r="K334" s="167">
        <v>6.3</v>
      </c>
      <c r="L334" s="167">
        <v>16.100000000000001</v>
      </c>
      <c r="M334" s="168">
        <v>0.44097222222222199</v>
      </c>
      <c r="N334" s="67"/>
    </row>
    <row r="335" spans="1:14" x14ac:dyDescent="0.25">
      <c r="A335" s="66">
        <v>44536</v>
      </c>
      <c r="B335" s="67" t="s">
        <v>64</v>
      </c>
      <c r="C335" s="129" t="str">
        <f t="shared" si="10"/>
        <v>06.12.2021_WITob</v>
      </c>
      <c r="D335" s="143">
        <f t="shared" si="11"/>
        <v>0</v>
      </c>
      <c r="E335" s="157">
        <v>8.3800000000000008</v>
      </c>
      <c r="F335" s="165"/>
      <c r="G335" s="166">
        <v>1204</v>
      </c>
      <c r="H335" s="167">
        <v>9.3000000000000007</v>
      </c>
      <c r="I335" s="165"/>
      <c r="J335" s="167"/>
      <c r="K335" s="167">
        <v>6.5</v>
      </c>
      <c r="L335" s="167">
        <v>3.5</v>
      </c>
      <c r="M335" s="168">
        <v>0.60486111111111096</v>
      </c>
      <c r="N335" s="67"/>
    </row>
    <row r="336" spans="1:14" x14ac:dyDescent="0.25">
      <c r="A336" s="66">
        <v>44547</v>
      </c>
      <c r="B336" s="67" t="s">
        <v>22</v>
      </c>
      <c r="C336" s="129" t="str">
        <f t="shared" si="10"/>
        <v>17.12.2021_BOYkl</v>
      </c>
      <c r="D336" s="143">
        <f t="shared" si="11"/>
        <v>0</v>
      </c>
      <c r="E336" s="157">
        <v>7.68</v>
      </c>
      <c r="F336" s="165"/>
      <c r="G336" s="166">
        <v>489</v>
      </c>
      <c r="H336" s="167">
        <v>10.5</v>
      </c>
      <c r="I336" s="165"/>
      <c r="J336" s="167"/>
      <c r="K336" s="167">
        <v>8.8000000000000007</v>
      </c>
      <c r="L336" s="167">
        <v>22</v>
      </c>
      <c r="M336" s="168">
        <v>0.44791666666666702</v>
      </c>
      <c r="N336" s="67"/>
    </row>
    <row r="337" spans="1:14" x14ac:dyDescent="0.25">
      <c r="A337" s="66">
        <v>44547</v>
      </c>
      <c r="B337" s="67" t="s">
        <v>25</v>
      </c>
      <c r="C337" s="129" t="str">
        <f t="shared" si="10"/>
        <v>17.12.2021_BOYohB224</v>
      </c>
      <c r="D337" s="143">
        <f t="shared" si="11"/>
        <v>0</v>
      </c>
      <c r="E337" s="157">
        <v>8.17</v>
      </c>
      <c r="F337" s="165"/>
      <c r="G337" s="166">
        <v>858</v>
      </c>
      <c r="H337" s="167">
        <v>8.8000000000000007</v>
      </c>
      <c r="I337" s="165"/>
      <c r="J337" s="167"/>
      <c r="K337" s="167">
        <v>9.5</v>
      </c>
      <c r="L337" s="167">
        <v>31.5</v>
      </c>
      <c r="M337" s="168">
        <v>0.624305555555556</v>
      </c>
      <c r="N337" s="67"/>
    </row>
    <row r="338" spans="1:14" x14ac:dyDescent="0.25">
      <c r="A338" s="66">
        <v>44547</v>
      </c>
      <c r="B338" s="67" t="s">
        <v>28</v>
      </c>
      <c r="C338" s="129" t="str">
        <f t="shared" si="10"/>
        <v>17.12.2021_BOYohBr</v>
      </c>
      <c r="D338" s="143">
        <f t="shared" si="11"/>
        <v>0</v>
      </c>
      <c r="E338" s="157">
        <v>7.77</v>
      </c>
      <c r="F338" s="165"/>
      <c r="G338" s="166">
        <v>578</v>
      </c>
      <c r="H338" s="167">
        <v>9.6</v>
      </c>
      <c r="I338" s="165"/>
      <c r="J338" s="167"/>
      <c r="K338" s="167">
        <v>9.6</v>
      </c>
      <c r="L338" s="167">
        <v>34</v>
      </c>
      <c r="M338" s="168">
        <v>0.50902777777777797</v>
      </c>
      <c r="N338" s="67"/>
    </row>
    <row r="339" spans="1:14" x14ac:dyDescent="0.25">
      <c r="A339" s="66">
        <v>44547</v>
      </c>
      <c r="B339" s="67" t="s">
        <v>30</v>
      </c>
      <c r="C339" s="129" t="str">
        <f t="shared" si="10"/>
        <v>17.12.2021_BOYohKi</v>
      </c>
      <c r="D339" s="143">
        <f t="shared" si="11"/>
        <v>0</v>
      </c>
      <c r="E339" s="157">
        <v>8.15</v>
      </c>
      <c r="F339" s="165"/>
      <c r="G339" s="166">
        <v>747</v>
      </c>
      <c r="H339" s="167">
        <v>10.199999999999999</v>
      </c>
      <c r="I339" s="165"/>
      <c r="J339" s="167"/>
      <c r="K339" s="167">
        <v>9.1999999999999993</v>
      </c>
      <c r="L339" s="167">
        <v>33.1</v>
      </c>
      <c r="M339" s="168">
        <v>0.36111111111111099</v>
      </c>
      <c r="N339" s="67"/>
    </row>
    <row r="340" spans="1:14" x14ac:dyDescent="0.25">
      <c r="A340" s="66">
        <v>44547</v>
      </c>
      <c r="B340" s="67" t="s">
        <v>32</v>
      </c>
      <c r="C340" s="129" t="str">
        <f t="shared" si="10"/>
        <v>17.12.2021_BOYohSp</v>
      </c>
      <c r="D340" s="143">
        <f t="shared" si="11"/>
        <v>0</v>
      </c>
      <c r="E340" s="157">
        <v>7.95</v>
      </c>
      <c r="F340" s="165"/>
      <c r="G340" s="166">
        <v>671</v>
      </c>
      <c r="H340" s="167">
        <v>9.1</v>
      </c>
      <c r="I340" s="165"/>
      <c r="J340" s="167"/>
      <c r="K340" s="167">
        <v>9.4</v>
      </c>
      <c r="L340" s="167">
        <v>28.4</v>
      </c>
      <c r="M340" s="168">
        <v>0.53541666666666698</v>
      </c>
      <c r="N340" s="67"/>
    </row>
    <row r="341" spans="1:14" x14ac:dyDescent="0.25">
      <c r="A341" s="66">
        <v>44547</v>
      </c>
      <c r="B341" s="67" t="s">
        <v>36</v>
      </c>
      <c r="C341" s="129" t="str">
        <f t="shared" si="10"/>
        <v>17.12.2021_BOYuhSp</v>
      </c>
      <c r="D341" s="143">
        <f t="shared" si="11"/>
        <v>0</v>
      </c>
      <c r="E341" s="157">
        <v>7.96</v>
      </c>
      <c r="F341" s="165"/>
      <c r="G341" s="166">
        <v>681</v>
      </c>
      <c r="H341" s="167">
        <v>9.1</v>
      </c>
      <c r="I341" s="165"/>
      <c r="J341" s="167"/>
      <c r="K341" s="167">
        <v>9.1</v>
      </c>
      <c r="L341" s="167">
        <v>31.2</v>
      </c>
      <c r="M341" s="168">
        <v>0.52638888888888902</v>
      </c>
      <c r="N341" s="67"/>
    </row>
    <row r="342" spans="1:14" x14ac:dyDescent="0.25">
      <c r="A342" s="66">
        <v>44547</v>
      </c>
      <c r="B342" s="67" t="s">
        <v>38</v>
      </c>
      <c r="C342" s="129" t="str">
        <f t="shared" si="10"/>
        <v>17.12.2021_BRAob</v>
      </c>
      <c r="D342" s="143">
        <f t="shared" si="11"/>
        <v>0</v>
      </c>
      <c r="E342" s="157">
        <v>7.99</v>
      </c>
      <c r="F342" s="165"/>
      <c r="G342" s="166">
        <v>865</v>
      </c>
      <c r="H342" s="167">
        <v>9.6</v>
      </c>
      <c r="I342" s="165"/>
      <c r="J342" s="167"/>
      <c r="K342" s="167">
        <v>9.1</v>
      </c>
      <c r="L342" s="167">
        <v>8.1999999999999993</v>
      </c>
      <c r="M342" s="168">
        <v>0.47152777777777799</v>
      </c>
      <c r="N342" s="67"/>
    </row>
    <row r="343" spans="1:14" x14ac:dyDescent="0.25">
      <c r="A343" s="66">
        <v>44547</v>
      </c>
      <c r="B343" s="67" t="s">
        <v>41</v>
      </c>
      <c r="C343" s="129" t="str">
        <f t="shared" si="10"/>
        <v>17.12.2021_BRAohBo</v>
      </c>
      <c r="D343" s="143">
        <f t="shared" si="11"/>
        <v>0</v>
      </c>
      <c r="E343" s="157">
        <v>7.81</v>
      </c>
      <c r="F343" s="165"/>
      <c r="G343" s="166">
        <v>748</v>
      </c>
      <c r="H343" s="167">
        <v>9</v>
      </c>
      <c r="I343" s="165"/>
      <c r="J343" s="167"/>
      <c r="K343" s="167">
        <v>9</v>
      </c>
      <c r="L343" s="167">
        <v>19.5</v>
      </c>
      <c r="M343" s="168">
        <v>0.49236111111111103</v>
      </c>
      <c r="N343" s="67"/>
    </row>
    <row r="344" spans="1:14" x14ac:dyDescent="0.25">
      <c r="A344" s="66">
        <v>44547</v>
      </c>
      <c r="B344" s="67" t="s">
        <v>43</v>
      </c>
      <c r="C344" s="129" t="str">
        <f t="shared" si="10"/>
        <v>17.12.2021_HAAob</v>
      </c>
      <c r="D344" s="143">
        <f t="shared" si="11"/>
        <v>0</v>
      </c>
      <c r="E344" s="157">
        <v>8.2100000000000009</v>
      </c>
      <c r="F344" s="165"/>
      <c r="G344" s="166">
        <v>854</v>
      </c>
      <c r="H344" s="167">
        <v>9.1999999999999993</v>
      </c>
      <c r="I344" s="165"/>
      <c r="J344" s="167"/>
      <c r="K344" s="167">
        <v>9.9</v>
      </c>
      <c r="L344" s="167">
        <v>12.8</v>
      </c>
      <c r="M344" s="168">
        <v>0.57708333333333295</v>
      </c>
      <c r="N344" s="67"/>
    </row>
    <row r="345" spans="1:14" x14ac:dyDescent="0.25">
      <c r="A345" s="66">
        <v>44547</v>
      </c>
      <c r="B345" s="67" t="s">
        <v>45</v>
      </c>
      <c r="C345" s="129" t="str">
        <f t="shared" si="10"/>
        <v>17.12.2021_HAAun</v>
      </c>
      <c r="D345" s="143">
        <f t="shared" si="11"/>
        <v>0</v>
      </c>
      <c r="E345" s="157">
        <v>7.8</v>
      </c>
      <c r="F345" s="165"/>
      <c r="G345" s="166">
        <v>1004</v>
      </c>
      <c r="H345" s="167">
        <v>8.6</v>
      </c>
      <c r="I345" s="165"/>
      <c r="J345" s="167"/>
      <c r="K345" s="167">
        <v>9.9</v>
      </c>
      <c r="L345" s="167">
        <v>6</v>
      </c>
      <c r="M345" s="168">
        <v>0.563194444444444</v>
      </c>
      <c r="N345" s="67"/>
    </row>
    <row r="346" spans="1:14" x14ac:dyDescent="0.25">
      <c r="A346" s="66">
        <v>44547</v>
      </c>
      <c r="B346" s="67" t="s">
        <v>47</v>
      </c>
      <c r="C346" s="129" t="str">
        <f t="shared" si="10"/>
        <v>17.12.2021_KIRob</v>
      </c>
      <c r="D346" s="143">
        <f t="shared" si="11"/>
        <v>0</v>
      </c>
      <c r="E346" s="157">
        <v>7.88</v>
      </c>
      <c r="F346" s="165"/>
      <c r="G346" s="166">
        <v>1067</v>
      </c>
      <c r="H346" s="167">
        <v>7.7</v>
      </c>
      <c r="I346" s="165"/>
      <c r="J346" s="167"/>
      <c r="K346" s="167">
        <v>10.7</v>
      </c>
      <c r="L346" s="167">
        <v>9.1999999999999993</v>
      </c>
      <c r="M346" s="168">
        <v>0.38541666666666702</v>
      </c>
      <c r="N346" s="67"/>
    </row>
    <row r="347" spans="1:14" x14ac:dyDescent="0.25">
      <c r="A347" s="66">
        <v>44547</v>
      </c>
      <c r="B347" s="67" t="s">
        <v>49</v>
      </c>
      <c r="C347" s="129" t="str">
        <f t="shared" si="10"/>
        <v>17.12.2021_KIRun</v>
      </c>
      <c r="D347" s="143">
        <f t="shared" si="11"/>
        <v>0</v>
      </c>
      <c r="E347" s="157">
        <v>8.17</v>
      </c>
      <c r="F347" s="165"/>
      <c r="G347" s="166">
        <v>962</v>
      </c>
      <c r="H347" s="167">
        <v>9.9</v>
      </c>
      <c r="I347" s="165"/>
      <c r="J347" s="167"/>
      <c r="K347" s="167">
        <v>10.5</v>
      </c>
      <c r="L347" s="167">
        <v>13.7</v>
      </c>
      <c r="M347" s="168">
        <v>0.375694444444445</v>
      </c>
      <c r="N347" s="67"/>
    </row>
    <row r="348" spans="1:14" x14ac:dyDescent="0.25">
      <c r="A348" s="66">
        <v>44547</v>
      </c>
      <c r="B348" s="67" t="s">
        <v>50</v>
      </c>
      <c r="C348" s="129" t="str">
        <f t="shared" si="10"/>
        <v>17.12.2021_LIEohBo</v>
      </c>
      <c r="D348" s="143">
        <f t="shared" si="11"/>
        <v>0</v>
      </c>
      <c r="E348" s="157">
        <v>8.49</v>
      </c>
      <c r="F348" s="165"/>
      <c r="G348" s="166">
        <v>730</v>
      </c>
      <c r="H348" s="167">
        <v>9.6</v>
      </c>
      <c r="I348" s="165"/>
      <c r="J348" s="167"/>
      <c r="K348" s="167">
        <v>8.6999999999999993</v>
      </c>
      <c r="L348" s="167">
        <v>9.5</v>
      </c>
      <c r="M348" s="168">
        <v>0.35</v>
      </c>
      <c r="N348" s="67"/>
    </row>
    <row r="349" spans="1:14" x14ac:dyDescent="0.25">
      <c r="A349" s="66">
        <v>44547</v>
      </c>
      <c r="B349" s="67" t="s">
        <v>53</v>
      </c>
      <c r="C349" s="129" t="str">
        <f t="shared" si="10"/>
        <v>17.12.2021_NATohBo</v>
      </c>
      <c r="D349" s="143">
        <f t="shared" si="11"/>
        <v>0</v>
      </c>
      <c r="E349" s="157">
        <v>7.79</v>
      </c>
      <c r="F349" s="165"/>
      <c r="G349" s="166">
        <v>1288</v>
      </c>
      <c r="H349" s="167">
        <v>9.6999999999999993</v>
      </c>
      <c r="I349" s="165"/>
      <c r="J349" s="167"/>
      <c r="K349" s="167">
        <v>9.5</v>
      </c>
      <c r="L349" s="167">
        <v>11.7</v>
      </c>
      <c r="M349" s="168">
        <v>0.60902777777777795</v>
      </c>
      <c r="N349" s="67"/>
    </row>
    <row r="350" spans="1:14" x14ac:dyDescent="0.25">
      <c r="A350" s="66">
        <v>44547</v>
      </c>
      <c r="B350" s="67" t="s">
        <v>55</v>
      </c>
      <c r="C350" s="129" t="str">
        <f t="shared" si="10"/>
        <v>17.12.2021_QUAohBo</v>
      </c>
      <c r="D350" s="143">
        <f t="shared" si="11"/>
        <v>0</v>
      </c>
      <c r="E350" s="157">
        <v>8.02</v>
      </c>
      <c r="F350" s="165"/>
      <c r="G350" s="166">
        <v>819</v>
      </c>
      <c r="H350" s="167">
        <v>7.2</v>
      </c>
      <c r="I350" s="165"/>
      <c r="J350" s="167"/>
      <c r="K350" s="167">
        <v>9.4</v>
      </c>
      <c r="L350" s="167">
        <v>22</v>
      </c>
      <c r="M350" s="168">
        <v>0.54513888888888895</v>
      </c>
      <c r="N350" s="67"/>
    </row>
    <row r="351" spans="1:14" x14ac:dyDescent="0.25">
      <c r="A351" s="66">
        <v>44547</v>
      </c>
      <c r="B351" s="67" t="s">
        <v>57</v>
      </c>
      <c r="C351" s="129" t="str">
        <f t="shared" si="10"/>
        <v>17.12.2021_SCHohVo</v>
      </c>
      <c r="D351" s="143">
        <f t="shared" si="11"/>
        <v>0</v>
      </c>
      <c r="E351" s="157">
        <v>7.96</v>
      </c>
      <c r="F351" s="165"/>
      <c r="G351" s="166">
        <v>544</v>
      </c>
      <c r="H351" s="167">
        <v>11.4</v>
      </c>
      <c r="I351" s="165"/>
      <c r="J351" s="167"/>
      <c r="K351" s="167">
        <v>8.6</v>
      </c>
      <c r="L351" s="167">
        <v>9.5</v>
      </c>
      <c r="M351" s="168">
        <v>0.40138888888888902</v>
      </c>
      <c r="N351" s="67"/>
    </row>
    <row r="352" spans="1:14" x14ac:dyDescent="0.25">
      <c r="A352" s="66">
        <v>44547</v>
      </c>
      <c r="B352" s="67" t="s">
        <v>60</v>
      </c>
      <c r="C352" s="129" t="str">
        <f t="shared" si="10"/>
        <v>17.12.2021_VORohBo</v>
      </c>
      <c r="D352" s="143">
        <f t="shared" si="11"/>
        <v>0</v>
      </c>
      <c r="E352" s="157">
        <v>7.54</v>
      </c>
      <c r="F352" s="165"/>
      <c r="G352" s="166">
        <v>1007</v>
      </c>
      <c r="H352" s="167">
        <v>7</v>
      </c>
      <c r="I352" s="165"/>
      <c r="J352" s="167"/>
      <c r="K352" s="167">
        <v>9.6</v>
      </c>
      <c r="L352" s="167">
        <v>23.6</v>
      </c>
      <c r="M352" s="168">
        <v>0.42777777777777798</v>
      </c>
      <c r="N352" s="67"/>
    </row>
    <row r="353" spans="1:14" x14ac:dyDescent="0.25">
      <c r="A353" s="66">
        <v>44547</v>
      </c>
      <c r="B353" s="67" t="s">
        <v>62</v>
      </c>
      <c r="C353" s="129" t="str">
        <f t="shared" si="10"/>
        <v>17.12.2021_VORuhSc</v>
      </c>
      <c r="D353" s="143">
        <f t="shared" si="11"/>
        <v>0</v>
      </c>
      <c r="E353" s="157">
        <v>7.44</v>
      </c>
      <c r="F353" s="165"/>
      <c r="G353" s="166">
        <v>951</v>
      </c>
      <c r="H353" s="167">
        <v>8.3000000000000007</v>
      </c>
      <c r="I353" s="165"/>
      <c r="J353" s="167"/>
      <c r="K353" s="167">
        <v>9.6</v>
      </c>
      <c r="L353" s="167">
        <v>10</v>
      </c>
      <c r="M353" s="168">
        <v>0.41180555555555598</v>
      </c>
      <c r="N353" s="67"/>
    </row>
    <row r="354" spans="1:14" x14ac:dyDescent="0.25">
      <c r="A354" s="66">
        <v>44547</v>
      </c>
      <c r="B354" s="67" t="s">
        <v>64</v>
      </c>
      <c r="C354" s="129" t="str">
        <f t="shared" si="10"/>
        <v>17.12.2021_WITob</v>
      </c>
      <c r="D354" s="143">
        <f t="shared" si="11"/>
        <v>0</v>
      </c>
      <c r="E354" s="157">
        <v>8.27</v>
      </c>
      <c r="F354" s="165"/>
      <c r="G354" s="166">
        <v>1242</v>
      </c>
      <c r="H354" s="167">
        <v>9.4</v>
      </c>
      <c r="I354" s="165"/>
      <c r="J354" s="167"/>
      <c r="K354" s="167">
        <v>9.6999999999999993</v>
      </c>
      <c r="L354" s="167">
        <v>2.5</v>
      </c>
      <c r="M354" s="168">
        <v>0.593055555555556</v>
      </c>
      <c r="N354" s="67"/>
    </row>
    <row r="355" spans="1:14" x14ac:dyDescent="0.25">
      <c r="A355" s="66">
        <v>44560</v>
      </c>
      <c r="B355" s="67" t="s">
        <v>22</v>
      </c>
      <c r="C355" s="129" t="str">
        <f t="shared" si="10"/>
        <v>30.12.2021_BOYkl</v>
      </c>
      <c r="D355" s="143">
        <f t="shared" si="11"/>
        <v>0</v>
      </c>
      <c r="E355" s="157">
        <v>7.36</v>
      </c>
      <c r="F355" s="165"/>
      <c r="G355" s="166">
        <v>433</v>
      </c>
      <c r="H355" s="167">
        <v>9.4</v>
      </c>
      <c r="I355" s="165"/>
      <c r="J355" s="167"/>
      <c r="K355" s="167">
        <v>9.1</v>
      </c>
      <c r="L355" s="167">
        <v>30.8</v>
      </c>
      <c r="M355" s="168">
        <v>0.44791666666666702</v>
      </c>
      <c r="N355" s="67"/>
    </row>
    <row r="356" spans="1:14" x14ac:dyDescent="0.25">
      <c r="A356" s="66">
        <v>44560</v>
      </c>
      <c r="B356" s="67" t="s">
        <v>25</v>
      </c>
      <c r="C356" s="129" t="str">
        <f t="shared" si="10"/>
        <v>30.12.2021_BOYohB224</v>
      </c>
      <c r="D356" s="143">
        <f t="shared" si="11"/>
        <v>0</v>
      </c>
      <c r="E356" s="157">
        <v>8.08</v>
      </c>
      <c r="F356" s="165"/>
      <c r="G356" s="166">
        <v>690</v>
      </c>
      <c r="H356" s="167">
        <v>8.1</v>
      </c>
      <c r="I356" s="165"/>
      <c r="J356" s="167"/>
      <c r="K356" s="167">
        <v>11</v>
      </c>
      <c r="L356" s="167">
        <v>42.6</v>
      </c>
      <c r="M356" s="168">
        <v>0.58194444444444504</v>
      </c>
      <c r="N356" s="67"/>
    </row>
    <row r="357" spans="1:14" x14ac:dyDescent="0.25">
      <c r="A357" s="66">
        <v>44560</v>
      </c>
      <c r="B357" s="67" t="s">
        <v>28</v>
      </c>
      <c r="C357" s="129" t="str">
        <f t="shared" si="10"/>
        <v>30.12.2021_BOYohBr</v>
      </c>
      <c r="D357" s="143">
        <f t="shared" si="11"/>
        <v>0</v>
      </c>
      <c r="E357" s="157">
        <v>7.74</v>
      </c>
      <c r="F357" s="165"/>
      <c r="G357" s="166">
        <v>492</v>
      </c>
      <c r="H357" s="167">
        <v>9.4</v>
      </c>
      <c r="I357" s="165"/>
      <c r="J357" s="167"/>
      <c r="K357" s="167">
        <v>9.5</v>
      </c>
      <c r="L357" s="167">
        <v>33</v>
      </c>
      <c r="M357" s="168">
        <v>0.48680555555555599</v>
      </c>
      <c r="N357" s="67"/>
    </row>
    <row r="358" spans="1:14" x14ac:dyDescent="0.25">
      <c r="A358" s="66">
        <v>44560</v>
      </c>
      <c r="B358" s="67" t="s">
        <v>30</v>
      </c>
      <c r="C358" s="129" t="str">
        <f t="shared" si="10"/>
        <v>30.12.2021_BOYohKi</v>
      </c>
      <c r="D358" s="143">
        <f t="shared" si="11"/>
        <v>0</v>
      </c>
      <c r="E358" s="157">
        <v>7.96</v>
      </c>
      <c r="F358" s="165"/>
      <c r="G358" s="166">
        <v>623</v>
      </c>
      <c r="H358" s="167">
        <v>8.5</v>
      </c>
      <c r="I358" s="165"/>
      <c r="J358" s="167"/>
      <c r="K358" s="167">
        <v>9.6999999999999993</v>
      </c>
      <c r="L358" s="167">
        <v>47</v>
      </c>
      <c r="M358" s="168">
        <v>0.38124999999999998</v>
      </c>
      <c r="N358" s="67"/>
    </row>
    <row r="359" spans="1:14" x14ac:dyDescent="0.25">
      <c r="A359" s="66">
        <v>44560</v>
      </c>
      <c r="B359" s="67" t="s">
        <v>32</v>
      </c>
      <c r="C359" s="129" t="str">
        <f t="shared" si="10"/>
        <v>30.12.2021_BOYohSp</v>
      </c>
      <c r="D359" s="143">
        <f t="shared" si="11"/>
        <v>0</v>
      </c>
      <c r="E359" s="157">
        <v>7.65</v>
      </c>
      <c r="F359" s="165"/>
      <c r="G359" s="166">
        <v>570</v>
      </c>
      <c r="H359" s="167">
        <v>8.4</v>
      </c>
      <c r="I359" s="165"/>
      <c r="J359" s="167"/>
      <c r="K359" s="167">
        <v>9.8000000000000007</v>
      </c>
      <c r="L359" s="167">
        <v>41</v>
      </c>
      <c r="M359" s="168">
        <v>0.51249999999999996</v>
      </c>
      <c r="N359" s="67"/>
    </row>
    <row r="360" spans="1:14" x14ac:dyDescent="0.25">
      <c r="A360" s="66">
        <v>44560</v>
      </c>
      <c r="B360" s="67" t="s">
        <v>36</v>
      </c>
      <c r="C360" s="129" t="str">
        <f t="shared" si="10"/>
        <v>30.12.2021_BOYuhSp</v>
      </c>
      <c r="D360" s="143">
        <f t="shared" si="11"/>
        <v>0</v>
      </c>
      <c r="E360" s="157">
        <v>7.7</v>
      </c>
      <c r="F360" s="165"/>
      <c r="G360" s="166">
        <v>567</v>
      </c>
      <c r="H360" s="167">
        <v>8.4</v>
      </c>
      <c r="I360" s="165"/>
      <c r="J360" s="167"/>
      <c r="K360" s="167">
        <v>9.9</v>
      </c>
      <c r="L360" s="167">
        <v>50</v>
      </c>
      <c r="M360" s="168">
        <v>0.50347222222222199</v>
      </c>
      <c r="N360" s="67"/>
    </row>
    <row r="361" spans="1:14" x14ac:dyDescent="0.25">
      <c r="A361" s="66">
        <v>44560</v>
      </c>
      <c r="B361" s="67" t="s">
        <v>38</v>
      </c>
      <c r="C361" s="129" t="str">
        <f t="shared" si="10"/>
        <v>30.12.2021_BRAob</v>
      </c>
      <c r="D361" s="143">
        <f t="shared" si="11"/>
        <v>0</v>
      </c>
      <c r="E361" s="157">
        <v>7.82</v>
      </c>
      <c r="F361" s="165"/>
      <c r="G361" s="166">
        <v>753</v>
      </c>
      <c r="H361" s="167">
        <v>8.1999999999999993</v>
      </c>
      <c r="I361" s="165"/>
      <c r="J361" s="167"/>
      <c r="K361" s="167">
        <v>10.1</v>
      </c>
      <c r="L361" s="167">
        <v>10</v>
      </c>
      <c r="M361" s="168">
        <v>0.46111111111111103</v>
      </c>
      <c r="N361" s="67"/>
    </row>
    <row r="362" spans="1:14" x14ac:dyDescent="0.25">
      <c r="A362" s="66">
        <v>44560</v>
      </c>
      <c r="B362" s="67" t="s">
        <v>41</v>
      </c>
      <c r="C362" s="129" t="str">
        <f t="shared" si="10"/>
        <v>30.12.2021_BRAohBo</v>
      </c>
      <c r="D362" s="143">
        <f t="shared" si="11"/>
        <v>0</v>
      </c>
      <c r="E362" s="157">
        <v>7.54</v>
      </c>
      <c r="F362" s="165"/>
      <c r="G362" s="166">
        <v>604</v>
      </c>
      <c r="H362" s="167">
        <v>7.2</v>
      </c>
      <c r="I362" s="165"/>
      <c r="J362" s="167"/>
      <c r="K362" s="167">
        <v>9.9</v>
      </c>
      <c r="L362" s="167">
        <v>32.299999999999997</v>
      </c>
      <c r="M362" s="168">
        <v>0.47083333333333299</v>
      </c>
      <c r="N362" s="67"/>
    </row>
    <row r="363" spans="1:14" x14ac:dyDescent="0.25">
      <c r="A363" s="66">
        <v>44560</v>
      </c>
      <c r="B363" s="67" t="s">
        <v>43</v>
      </c>
      <c r="C363" s="129" t="str">
        <f t="shared" si="10"/>
        <v>30.12.2021_HAAob</v>
      </c>
      <c r="D363" s="143">
        <f t="shared" si="11"/>
        <v>0</v>
      </c>
      <c r="E363" s="157">
        <v>8.23</v>
      </c>
      <c r="F363" s="165"/>
      <c r="G363" s="166">
        <v>832</v>
      </c>
      <c r="H363" s="167">
        <v>8.8000000000000007</v>
      </c>
      <c r="I363" s="165"/>
      <c r="J363" s="167"/>
      <c r="K363" s="167">
        <v>11.4</v>
      </c>
      <c r="L363" s="167">
        <v>10</v>
      </c>
      <c r="M363" s="168">
        <v>0.54583333333333295</v>
      </c>
      <c r="N363" s="67"/>
    </row>
    <row r="364" spans="1:14" x14ac:dyDescent="0.25">
      <c r="A364" s="66">
        <v>44560</v>
      </c>
      <c r="B364" s="67" t="s">
        <v>45</v>
      </c>
      <c r="C364" s="129" t="str">
        <f t="shared" si="10"/>
        <v>30.12.2021_HAAun</v>
      </c>
      <c r="D364" s="143">
        <f t="shared" si="11"/>
        <v>0</v>
      </c>
      <c r="E364" s="157">
        <v>7.56</v>
      </c>
      <c r="F364" s="165"/>
      <c r="G364" s="166">
        <v>942</v>
      </c>
      <c r="H364" s="167">
        <v>6.5</v>
      </c>
      <c r="I364" s="165"/>
      <c r="J364" s="167"/>
      <c r="K364" s="167">
        <v>10.3</v>
      </c>
      <c r="L364" s="167">
        <v>11.3</v>
      </c>
      <c r="M364" s="168">
        <v>0.53541666666666698</v>
      </c>
      <c r="N364" s="67"/>
    </row>
    <row r="365" spans="1:14" x14ac:dyDescent="0.25">
      <c r="A365" s="66">
        <v>44560</v>
      </c>
      <c r="B365" s="67" t="s">
        <v>47</v>
      </c>
      <c r="C365" s="129" t="str">
        <f t="shared" si="10"/>
        <v>30.12.2021_KIRob</v>
      </c>
      <c r="D365" s="143">
        <f t="shared" si="11"/>
        <v>0</v>
      </c>
      <c r="E365" s="157">
        <v>7.84</v>
      </c>
      <c r="F365" s="165"/>
      <c r="G365" s="166">
        <v>823</v>
      </c>
      <c r="H365" s="167">
        <v>6.4</v>
      </c>
      <c r="I365" s="165"/>
      <c r="J365" s="167"/>
      <c r="K365" s="167">
        <v>12</v>
      </c>
      <c r="L365" s="167">
        <v>11.4</v>
      </c>
      <c r="M365" s="168">
        <v>0.40069444444444402</v>
      </c>
      <c r="N365" s="67"/>
    </row>
    <row r="366" spans="1:14" x14ac:dyDescent="0.25">
      <c r="A366" s="66">
        <v>44560</v>
      </c>
      <c r="B366" s="67" t="s">
        <v>49</v>
      </c>
      <c r="C366" s="129" t="str">
        <f t="shared" si="10"/>
        <v>30.12.2021_KIRun</v>
      </c>
      <c r="D366" s="143">
        <f t="shared" si="11"/>
        <v>0</v>
      </c>
      <c r="E366" s="157">
        <v>8.11</v>
      </c>
      <c r="F366" s="165"/>
      <c r="G366" s="166">
        <v>905</v>
      </c>
      <c r="H366" s="167">
        <v>8</v>
      </c>
      <c r="I366" s="165"/>
      <c r="J366" s="167"/>
      <c r="K366" s="167">
        <v>11.4</v>
      </c>
      <c r="L366" s="167">
        <v>14.9</v>
      </c>
      <c r="M366" s="168">
        <v>0.391666666666667</v>
      </c>
      <c r="N366" s="67"/>
    </row>
    <row r="367" spans="1:14" x14ac:dyDescent="0.25">
      <c r="A367" s="66">
        <v>44560</v>
      </c>
      <c r="B367" s="67" t="s">
        <v>50</v>
      </c>
      <c r="C367" s="129" t="str">
        <f t="shared" si="10"/>
        <v>30.12.2021_LIEohBo</v>
      </c>
      <c r="D367" s="143">
        <f t="shared" si="11"/>
        <v>0</v>
      </c>
      <c r="E367" s="157">
        <v>8.43</v>
      </c>
      <c r="F367" s="165"/>
      <c r="G367" s="166">
        <v>610</v>
      </c>
      <c r="H367" s="167">
        <v>7.8</v>
      </c>
      <c r="I367" s="165"/>
      <c r="J367" s="167"/>
      <c r="K367" s="167">
        <v>11.1</v>
      </c>
      <c r="L367" s="167">
        <v>11.2</v>
      </c>
      <c r="M367" s="168">
        <v>0.36875000000000002</v>
      </c>
      <c r="N367" s="67"/>
    </row>
    <row r="368" spans="1:14" x14ac:dyDescent="0.25">
      <c r="A368" s="66">
        <v>44560</v>
      </c>
      <c r="B368" s="67" t="s">
        <v>53</v>
      </c>
      <c r="C368" s="129" t="str">
        <f t="shared" si="10"/>
        <v>30.12.2021_NATohBo</v>
      </c>
      <c r="D368" s="143">
        <f t="shared" si="11"/>
        <v>0</v>
      </c>
      <c r="E368" s="157">
        <v>7.9</v>
      </c>
      <c r="F368" s="165"/>
      <c r="G368" s="166">
        <v>932</v>
      </c>
      <c r="H368" s="167">
        <v>8.1</v>
      </c>
      <c r="I368" s="165"/>
      <c r="J368" s="167"/>
      <c r="K368" s="167">
        <v>10.4</v>
      </c>
      <c r="L368" s="167">
        <v>15</v>
      </c>
      <c r="M368" s="168">
        <v>0.56944444444444398</v>
      </c>
      <c r="N368" s="67"/>
    </row>
    <row r="369" spans="1:14" x14ac:dyDescent="0.25">
      <c r="A369" s="66">
        <v>44560</v>
      </c>
      <c r="B369" s="67" t="s">
        <v>55</v>
      </c>
      <c r="C369" s="129" t="str">
        <f t="shared" si="10"/>
        <v>30.12.2021_QUAohBo</v>
      </c>
      <c r="D369" s="143">
        <f t="shared" si="11"/>
        <v>0</v>
      </c>
      <c r="E369" s="157">
        <v>7.67</v>
      </c>
      <c r="F369" s="165"/>
      <c r="G369" s="166">
        <v>655</v>
      </c>
      <c r="H369" s="167">
        <v>7.4</v>
      </c>
      <c r="I369" s="165"/>
      <c r="J369" s="167"/>
      <c r="K369" s="167">
        <v>10.4</v>
      </c>
      <c r="L369" s="167">
        <v>22</v>
      </c>
      <c r="M369" s="168">
        <v>0.52430555555555602</v>
      </c>
      <c r="N369" s="67"/>
    </row>
    <row r="370" spans="1:14" x14ac:dyDescent="0.25">
      <c r="A370" s="66">
        <v>44560</v>
      </c>
      <c r="B370" s="67" t="s">
        <v>57</v>
      </c>
      <c r="C370" s="129" t="str">
        <f t="shared" si="10"/>
        <v>30.12.2021_SCHohVo</v>
      </c>
      <c r="D370" s="143">
        <f t="shared" si="11"/>
        <v>0</v>
      </c>
      <c r="E370" s="157">
        <v>7.77</v>
      </c>
      <c r="F370" s="165"/>
      <c r="G370" s="166">
        <v>427</v>
      </c>
      <c r="H370" s="167">
        <v>8.9</v>
      </c>
      <c r="I370" s="165"/>
      <c r="J370" s="167"/>
      <c r="K370" s="167">
        <v>9.9</v>
      </c>
      <c r="L370" s="167">
        <v>13.6</v>
      </c>
      <c r="M370" s="168">
        <v>0.41249999999999998</v>
      </c>
      <c r="N370" s="67"/>
    </row>
    <row r="371" spans="1:14" x14ac:dyDescent="0.25">
      <c r="A371" s="66">
        <v>44560</v>
      </c>
      <c r="B371" s="67" t="s">
        <v>60</v>
      </c>
      <c r="C371" s="129" t="str">
        <f t="shared" si="10"/>
        <v>30.12.2021_VORohBo</v>
      </c>
      <c r="D371" s="143">
        <f t="shared" si="11"/>
        <v>0</v>
      </c>
      <c r="E371" s="157">
        <v>7.53</v>
      </c>
      <c r="F371" s="165"/>
      <c r="G371" s="166">
        <v>842</v>
      </c>
      <c r="H371" s="167">
        <v>6.7</v>
      </c>
      <c r="I371" s="165"/>
      <c r="J371" s="167"/>
      <c r="K371" s="167">
        <v>10.5</v>
      </c>
      <c r="L371" s="167">
        <v>26.6</v>
      </c>
      <c r="M371" s="168">
        <v>0.43194444444444402</v>
      </c>
      <c r="N371" s="67"/>
    </row>
    <row r="372" spans="1:14" x14ac:dyDescent="0.25">
      <c r="A372" s="66">
        <v>44560</v>
      </c>
      <c r="B372" s="67" t="s">
        <v>62</v>
      </c>
      <c r="C372" s="129" t="str">
        <f t="shared" si="10"/>
        <v>30.12.2021_VORuhSc</v>
      </c>
      <c r="D372" s="143">
        <f t="shared" si="11"/>
        <v>0</v>
      </c>
      <c r="E372" s="157">
        <v>7.43</v>
      </c>
      <c r="F372" s="165"/>
      <c r="G372" s="166">
        <v>793</v>
      </c>
      <c r="H372" s="167">
        <v>6.9</v>
      </c>
      <c r="I372" s="165"/>
      <c r="J372" s="167"/>
      <c r="K372" s="167">
        <v>10.3</v>
      </c>
      <c r="L372" s="167">
        <v>14.8</v>
      </c>
      <c r="M372" s="168">
        <v>0.420833333333333</v>
      </c>
      <c r="N372" s="67"/>
    </row>
    <row r="373" spans="1:14" x14ac:dyDescent="0.25">
      <c r="A373" s="66">
        <v>44560</v>
      </c>
      <c r="B373" s="67" t="s">
        <v>64</v>
      </c>
      <c r="C373" s="129" t="str">
        <f t="shared" si="10"/>
        <v>30.12.2021_WITob</v>
      </c>
      <c r="D373" s="143">
        <f t="shared" si="11"/>
        <v>0</v>
      </c>
      <c r="E373" s="157">
        <v>8.42</v>
      </c>
      <c r="F373" s="165"/>
      <c r="G373" s="166">
        <v>1030</v>
      </c>
      <c r="H373" s="167">
        <v>8.6999999999999993</v>
      </c>
      <c r="I373" s="165"/>
      <c r="J373" s="167"/>
      <c r="K373" s="167">
        <v>11.8</v>
      </c>
      <c r="L373" s="167">
        <v>4.2</v>
      </c>
      <c r="M373" s="168">
        <v>0.55694444444444502</v>
      </c>
      <c r="N373" s="67"/>
    </row>
    <row r="374" spans="1:14" x14ac:dyDescent="0.25">
      <c r="A374" s="66">
        <v>44575</v>
      </c>
      <c r="B374" s="67" t="s">
        <v>22</v>
      </c>
      <c r="C374" s="129" t="str">
        <f t="shared" si="10"/>
        <v>14.01.2022_BOYkl</v>
      </c>
      <c r="D374" s="143">
        <f t="shared" si="11"/>
        <v>0</v>
      </c>
      <c r="E374" s="157">
        <v>7.38</v>
      </c>
      <c r="F374" s="165"/>
      <c r="G374" s="166">
        <v>502</v>
      </c>
      <c r="H374" s="167">
        <v>11</v>
      </c>
      <c r="I374" s="165"/>
      <c r="J374" s="167"/>
      <c r="K374" s="167">
        <v>6.3</v>
      </c>
      <c r="L374" s="167">
        <v>14</v>
      </c>
      <c r="M374" s="168">
        <v>0.44930555555555601</v>
      </c>
      <c r="N374" s="67"/>
    </row>
    <row r="375" spans="1:14" x14ac:dyDescent="0.25">
      <c r="A375" s="66">
        <v>44575</v>
      </c>
      <c r="B375" s="67" t="s">
        <v>25</v>
      </c>
      <c r="C375" s="129" t="str">
        <f t="shared" si="10"/>
        <v>14.01.2022_BOYohB224</v>
      </c>
      <c r="D375" s="143">
        <f t="shared" si="11"/>
        <v>0</v>
      </c>
      <c r="E375" s="157">
        <v>7.95</v>
      </c>
      <c r="F375" s="165"/>
      <c r="G375" s="166">
        <v>848</v>
      </c>
      <c r="H375" s="167">
        <v>10.4</v>
      </c>
      <c r="I375" s="165"/>
      <c r="J375" s="167"/>
      <c r="K375" s="167">
        <v>5.9</v>
      </c>
      <c r="L375" s="167">
        <v>34.4</v>
      </c>
      <c r="M375" s="168">
        <v>0.60624999999999996</v>
      </c>
      <c r="N375" s="67"/>
    </row>
    <row r="376" spans="1:14" x14ac:dyDescent="0.25">
      <c r="A376" s="66">
        <v>44575</v>
      </c>
      <c r="B376" s="67" t="s">
        <v>28</v>
      </c>
      <c r="C376" s="129" t="str">
        <f t="shared" si="10"/>
        <v>14.01.2022_BOYohBr</v>
      </c>
      <c r="D376" s="143">
        <f t="shared" si="11"/>
        <v>0</v>
      </c>
      <c r="E376" s="157">
        <v>7.46</v>
      </c>
      <c r="F376" s="165"/>
      <c r="G376" s="166">
        <v>601</v>
      </c>
      <c r="H376" s="167">
        <v>10.3</v>
      </c>
      <c r="I376" s="165"/>
      <c r="J376" s="167"/>
      <c r="K376" s="167">
        <v>7</v>
      </c>
      <c r="L376" s="167">
        <v>17.8</v>
      </c>
      <c r="M376" s="168">
        <v>0.48958333333333298</v>
      </c>
      <c r="N376" s="67"/>
    </row>
    <row r="377" spans="1:14" x14ac:dyDescent="0.25">
      <c r="A377" s="66">
        <v>44575</v>
      </c>
      <c r="B377" s="67" t="s">
        <v>30</v>
      </c>
      <c r="C377" s="129" t="str">
        <f t="shared" si="10"/>
        <v>14.01.2022_BOYohKi</v>
      </c>
      <c r="D377" s="143">
        <f t="shared" si="11"/>
        <v>0</v>
      </c>
      <c r="E377" s="157">
        <v>7.79</v>
      </c>
      <c r="F377" s="165"/>
      <c r="G377" s="166">
        <v>769</v>
      </c>
      <c r="H377" s="167">
        <v>10.6</v>
      </c>
      <c r="I377" s="165"/>
      <c r="J377" s="167"/>
      <c r="K377" s="167">
        <v>5.3</v>
      </c>
      <c r="L377" s="167">
        <v>35.799999999999997</v>
      </c>
      <c r="M377" s="168">
        <v>0.38124999999999998</v>
      </c>
      <c r="N377" s="67"/>
    </row>
    <row r="378" spans="1:14" x14ac:dyDescent="0.25">
      <c r="A378" s="66">
        <v>44575</v>
      </c>
      <c r="B378" s="67" t="s">
        <v>32</v>
      </c>
      <c r="C378" s="129" t="str">
        <f t="shared" si="10"/>
        <v>14.01.2022_BOYohSp</v>
      </c>
      <c r="D378" s="143">
        <f t="shared" si="11"/>
        <v>0</v>
      </c>
      <c r="E378" s="157">
        <v>7.75</v>
      </c>
      <c r="F378" s="165"/>
      <c r="G378" s="166">
        <v>693</v>
      </c>
      <c r="H378" s="167">
        <v>10.3</v>
      </c>
      <c r="I378" s="165"/>
      <c r="J378" s="167"/>
      <c r="K378" s="167">
        <v>6.2</v>
      </c>
      <c r="L378" s="167">
        <v>30.5</v>
      </c>
      <c r="M378" s="168">
        <v>0.51944444444444504</v>
      </c>
      <c r="N378" s="67"/>
    </row>
    <row r="379" spans="1:14" x14ac:dyDescent="0.25">
      <c r="A379" s="66">
        <v>44575</v>
      </c>
      <c r="B379" s="67" t="s">
        <v>36</v>
      </c>
      <c r="C379" s="129" t="str">
        <f t="shared" si="10"/>
        <v>14.01.2022_BOYuhSp</v>
      </c>
      <c r="D379" s="143">
        <f t="shared" si="11"/>
        <v>0</v>
      </c>
      <c r="E379" s="157">
        <v>7.81</v>
      </c>
      <c r="F379" s="165"/>
      <c r="G379" s="166">
        <v>698</v>
      </c>
      <c r="H379" s="167">
        <v>10.9</v>
      </c>
      <c r="I379" s="165"/>
      <c r="J379" s="167"/>
      <c r="K379" s="167">
        <v>6</v>
      </c>
      <c r="L379" s="167">
        <v>28.7</v>
      </c>
      <c r="M379" s="168">
        <v>0.51249999999999996</v>
      </c>
      <c r="N379" s="67"/>
    </row>
    <row r="380" spans="1:14" x14ac:dyDescent="0.25">
      <c r="A380" s="66">
        <v>44575</v>
      </c>
      <c r="B380" s="67" t="s">
        <v>38</v>
      </c>
      <c r="C380" s="129" t="str">
        <f t="shared" si="10"/>
        <v>14.01.2022_BRAob</v>
      </c>
      <c r="D380" s="143">
        <f t="shared" si="11"/>
        <v>0</v>
      </c>
      <c r="E380" s="157">
        <v>7.71</v>
      </c>
      <c r="F380" s="165"/>
      <c r="G380" s="166">
        <v>882</v>
      </c>
      <c r="H380" s="167">
        <v>10.3</v>
      </c>
      <c r="I380" s="165"/>
      <c r="J380" s="167"/>
      <c r="K380" s="167">
        <v>5.7</v>
      </c>
      <c r="L380" s="167">
        <v>6</v>
      </c>
      <c r="M380" s="168">
        <v>0.46319444444444402</v>
      </c>
      <c r="N380" s="67"/>
    </row>
    <row r="381" spans="1:14" x14ac:dyDescent="0.25">
      <c r="A381" s="66">
        <v>44575</v>
      </c>
      <c r="B381" s="67" t="s">
        <v>41</v>
      </c>
      <c r="C381" s="129" t="str">
        <f t="shared" si="10"/>
        <v>14.01.2022_BRAohBo</v>
      </c>
      <c r="D381" s="143">
        <f t="shared" si="11"/>
        <v>0</v>
      </c>
      <c r="E381" s="157">
        <v>7.65</v>
      </c>
      <c r="F381" s="165"/>
      <c r="G381" s="166">
        <v>771</v>
      </c>
      <c r="H381" s="167">
        <v>10.4</v>
      </c>
      <c r="I381" s="165"/>
      <c r="J381" s="167"/>
      <c r="K381" s="167">
        <v>5.4</v>
      </c>
      <c r="L381" s="167">
        <v>19.2</v>
      </c>
      <c r="M381" s="168">
        <v>0.47361111111111098</v>
      </c>
      <c r="N381" s="67"/>
    </row>
    <row r="382" spans="1:14" x14ac:dyDescent="0.25">
      <c r="A382" s="66">
        <v>44575</v>
      </c>
      <c r="B382" s="67" t="s">
        <v>43</v>
      </c>
      <c r="C382" s="129" t="str">
        <f t="shared" si="10"/>
        <v>14.01.2022_HAAob</v>
      </c>
      <c r="D382" s="143">
        <f t="shared" si="11"/>
        <v>0</v>
      </c>
      <c r="E382" s="157">
        <v>8.1</v>
      </c>
      <c r="F382" s="165"/>
      <c r="G382" s="166">
        <v>806</v>
      </c>
      <c r="H382" s="167">
        <v>11</v>
      </c>
      <c r="I382" s="165"/>
      <c r="J382" s="167"/>
      <c r="K382" s="167">
        <v>6.1</v>
      </c>
      <c r="L382" s="167">
        <v>9.9</v>
      </c>
      <c r="M382" s="168">
        <v>0.55208333333333304</v>
      </c>
      <c r="N382" s="67"/>
    </row>
    <row r="383" spans="1:14" x14ac:dyDescent="0.25">
      <c r="A383" s="66">
        <v>44575</v>
      </c>
      <c r="B383" s="67" t="s">
        <v>45</v>
      </c>
      <c r="C383" s="129" t="str">
        <f t="shared" si="10"/>
        <v>14.01.2022_HAAun</v>
      </c>
      <c r="D383" s="143">
        <f t="shared" si="11"/>
        <v>0</v>
      </c>
      <c r="E383" s="157">
        <v>7.61</v>
      </c>
      <c r="F383" s="165"/>
      <c r="G383" s="166">
        <v>1005</v>
      </c>
      <c r="H383" s="167">
        <v>9.5</v>
      </c>
      <c r="I383" s="165"/>
      <c r="J383" s="167"/>
      <c r="K383" s="167">
        <v>6.5</v>
      </c>
      <c r="L383" s="167">
        <v>14</v>
      </c>
      <c r="M383" s="168">
        <v>0.54236111111111096</v>
      </c>
      <c r="N383" s="67"/>
    </row>
    <row r="384" spans="1:14" x14ac:dyDescent="0.25">
      <c r="A384" s="66">
        <v>44575</v>
      </c>
      <c r="B384" s="67" t="s">
        <v>47</v>
      </c>
      <c r="C384" s="129" t="str">
        <f t="shared" si="10"/>
        <v>14.01.2022_KIRob</v>
      </c>
      <c r="D384" s="143">
        <f t="shared" si="11"/>
        <v>0</v>
      </c>
      <c r="E384" s="157">
        <v>7.88</v>
      </c>
      <c r="F384" s="165"/>
      <c r="G384" s="166">
        <v>1082</v>
      </c>
      <c r="H384" s="167">
        <v>8.8000000000000007</v>
      </c>
      <c r="I384" s="165"/>
      <c r="J384" s="167"/>
      <c r="K384" s="167">
        <v>7.4</v>
      </c>
      <c r="L384" s="167">
        <v>10.4</v>
      </c>
      <c r="M384" s="168">
        <v>0.40069444444444402</v>
      </c>
      <c r="N384" s="67"/>
    </row>
    <row r="385" spans="1:14" x14ac:dyDescent="0.25">
      <c r="A385" s="66">
        <v>44575</v>
      </c>
      <c r="B385" s="67" t="s">
        <v>49</v>
      </c>
      <c r="C385" s="129" t="str">
        <f t="shared" si="10"/>
        <v>14.01.2022_KIRun</v>
      </c>
      <c r="D385" s="143">
        <f t="shared" si="11"/>
        <v>0</v>
      </c>
      <c r="E385" s="157">
        <v>7.9</v>
      </c>
      <c r="F385" s="165"/>
      <c r="G385" s="166">
        <v>1001</v>
      </c>
      <c r="H385" s="167">
        <v>9.8000000000000007</v>
      </c>
      <c r="I385" s="165"/>
      <c r="J385" s="167"/>
      <c r="K385" s="167">
        <v>7.3</v>
      </c>
      <c r="L385" s="167">
        <v>12.5</v>
      </c>
      <c r="M385" s="168">
        <v>0.39236111111111099</v>
      </c>
      <c r="N385" s="67"/>
    </row>
    <row r="386" spans="1:14" x14ac:dyDescent="0.25">
      <c r="A386" s="66">
        <v>44575</v>
      </c>
      <c r="B386" s="67" t="s">
        <v>50</v>
      </c>
      <c r="C386" s="129" t="str">
        <f t="shared" si="10"/>
        <v>14.01.2022_LIEohBo</v>
      </c>
      <c r="D386" s="143">
        <f t="shared" si="11"/>
        <v>0</v>
      </c>
      <c r="E386" s="157">
        <v>8.67</v>
      </c>
      <c r="F386" s="165"/>
      <c r="G386" s="166">
        <v>756</v>
      </c>
      <c r="H386" s="167">
        <v>11</v>
      </c>
      <c r="I386" s="165"/>
      <c r="J386" s="167"/>
      <c r="K386" s="167">
        <v>4.4000000000000004</v>
      </c>
      <c r="L386" s="167">
        <v>12.8</v>
      </c>
      <c r="M386" s="168">
        <v>0.36666666666666697</v>
      </c>
      <c r="N386" s="67"/>
    </row>
    <row r="387" spans="1:14" x14ac:dyDescent="0.25">
      <c r="A387" s="66">
        <v>44575</v>
      </c>
      <c r="B387" s="67" t="s">
        <v>53</v>
      </c>
      <c r="C387" s="129" t="str">
        <f t="shared" si="10"/>
        <v>14.01.2022_NATohBo</v>
      </c>
      <c r="D387" s="143">
        <f t="shared" si="11"/>
        <v>0</v>
      </c>
      <c r="E387" s="157">
        <v>7.83</v>
      </c>
      <c r="F387" s="165"/>
      <c r="G387" s="166">
        <v>1269</v>
      </c>
      <c r="H387" s="167">
        <v>10.9</v>
      </c>
      <c r="I387" s="165"/>
      <c r="J387" s="167"/>
      <c r="K387" s="167">
        <v>5.9</v>
      </c>
      <c r="L387" s="167">
        <v>12.9</v>
      </c>
      <c r="M387" s="168">
        <v>0.57569444444444395</v>
      </c>
      <c r="N387" s="67"/>
    </row>
    <row r="388" spans="1:14" x14ac:dyDescent="0.25">
      <c r="A388" s="66">
        <v>44575</v>
      </c>
      <c r="B388" s="67" t="s">
        <v>55</v>
      </c>
      <c r="C388" s="129" t="str">
        <f t="shared" ref="C388:C451" si="12">CONCATENATE(TEXT(A388,"TT.MM.JJJJ"),"_",B388)</f>
        <v>14.01.2022_QUAohBo</v>
      </c>
      <c r="D388" s="143">
        <f t="shared" si="11"/>
        <v>0</v>
      </c>
      <c r="E388" s="157">
        <v>7.72</v>
      </c>
      <c r="F388" s="165"/>
      <c r="G388" s="166">
        <v>841</v>
      </c>
      <c r="H388" s="167">
        <v>9.3000000000000007</v>
      </c>
      <c r="I388" s="165"/>
      <c r="J388" s="167"/>
      <c r="K388" s="167">
        <v>6.3</v>
      </c>
      <c r="L388" s="167">
        <v>18</v>
      </c>
      <c r="M388" s="168">
        <v>0.53125</v>
      </c>
      <c r="N388" s="67"/>
    </row>
    <row r="389" spans="1:14" x14ac:dyDescent="0.25">
      <c r="A389" s="66">
        <v>44575</v>
      </c>
      <c r="B389" s="67" t="s">
        <v>57</v>
      </c>
      <c r="C389" s="129" t="str">
        <f t="shared" si="12"/>
        <v>14.01.2022_SCHohVo</v>
      </c>
      <c r="D389" s="143">
        <f t="shared" ref="D389:D452" si="13">COUNTBLANK(E389)+COUNTBLANK(G389:H389)+COUNTBLANK(K389:L389)</f>
        <v>0</v>
      </c>
      <c r="E389" s="157">
        <v>7.76</v>
      </c>
      <c r="F389" s="165"/>
      <c r="G389" s="166">
        <v>577</v>
      </c>
      <c r="H389" s="167">
        <v>11.7</v>
      </c>
      <c r="I389" s="165"/>
      <c r="J389" s="167"/>
      <c r="K389" s="167">
        <v>4.5999999999999996</v>
      </c>
      <c r="L389" s="167">
        <v>8</v>
      </c>
      <c r="M389" s="168">
        <v>0.41319444444444398</v>
      </c>
      <c r="N389" s="67"/>
    </row>
    <row r="390" spans="1:14" x14ac:dyDescent="0.25">
      <c r="A390" s="66">
        <v>44575</v>
      </c>
      <c r="B390" s="67" t="s">
        <v>60</v>
      </c>
      <c r="C390" s="129" t="str">
        <f t="shared" si="12"/>
        <v>14.01.2022_VORohBo</v>
      </c>
      <c r="D390" s="143">
        <f t="shared" si="13"/>
        <v>0</v>
      </c>
      <c r="E390" s="157">
        <v>7.33</v>
      </c>
      <c r="F390" s="165"/>
      <c r="G390" s="166">
        <v>971</v>
      </c>
      <c r="H390" s="167">
        <v>7.1</v>
      </c>
      <c r="I390" s="165"/>
      <c r="J390" s="167"/>
      <c r="K390" s="167">
        <v>6.1</v>
      </c>
      <c r="L390" s="167">
        <v>24.2</v>
      </c>
      <c r="M390" s="168">
        <v>0.43263888888888902</v>
      </c>
      <c r="N390" s="67"/>
    </row>
    <row r="391" spans="1:14" x14ac:dyDescent="0.25">
      <c r="A391" s="66">
        <v>44575</v>
      </c>
      <c r="B391" s="67" t="s">
        <v>62</v>
      </c>
      <c r="C391" s="129" t="str">
        <f t="shared" si="12"/>
        <v>14.01.2022_VORuhSc</v>
      </c>
      <c r="D391" s="143">
        <f t="shared" si="13"/>
        <v>0</v>
      </c>
      <c r="E391" s="157">
        <v>7.2</v>
      </c>
      <c r="F391" s="165"/>
      <c r="G391" s="166">
        <v>918</v>
      </c>
      <c r="H391" s="167">
        <v>9.4</v>
      </c>
      <c r="I391" s="165"/>
      <c r="J391" s="167"/>
      <c r="K391" s="167">
        <v>6.1</v>
      </c>
      <c r="L391" s="167">
        <v>13.6</v>
      </c>
      <c r="M391" s="168">
        <v>0.421527777777778</v>
      </c>
      <c r="N391" s="67"/>
    </row>
    <row r="392" spans="1:14" x14ac:dyDescent="0.25">
      <c r="A392" s="66">
        <v>44575</v>
      </c>
      <c r="B392" s="67" t="s">
        <v>64</v>
      </c>
      <c r="C392" s="129" t="str">
        <f t="shared" si="12"/>
        <v>14.01.2022_WITob</v>
      </c>
      <c r="D392" s="143">
        <f t="shared" si="13"/>
        <v>0</v>
      </c>
      <c r="E392" s="157">
        <v>8.26</v>
      </c>
      <c r="F392" s="165"/>
      <c r="G392" s="166">
        <v>1290</v>
      </c>
      <c r="H392" s="167">
        <v>10.8</v>
      </c>
      <c r="I392" s="165"/>
      <c r="J392" s="167"/>
      <c r="K392" s="167">
        <v>6.3</v>
      </c>
      <c r="L392" s="167">
        <v>2.1</v>
      </c>
      <c r="M392" s="168">
        <v>0.56458333333333299</v>
      </c>
      <c r="N392" s="67"/>
    </row>
    <row r="393" spans="1:14" x14ac:dyDescent="0.25">
      <c r="A393" s="66">
        <v>44589</v>
      </c>
      <c r="B393" s="67" t="s">
        <v>22</v>
      </c>
      <c r="C393" s="129" t="str">
        <f t="shared" si="12"/>
        <v>28.01.2022_BOYkl</v>
      </c>
      <c r="D393" s="143">
        <f t="shared" si="13"/>
        <v>0</v>
      </c>
      <c r="E393" s="157">
        <v>8.3000000000000007</v>
      </c>
      <c r="F393" s="165"/>
      <c r="G393" s="166">
        <v>490</v>
      </c>
      <c r="H393" s="167">
        <v>10.9</v>
      </c>
      <c r="I393" s="165"/>
      <c r="J393" s="167"/>
      <c r="K393" s="167">
        <v>5.9</v>
      </c>
      <c r="L393" s="167">
        <v>12</v>
      </c>
      <c r="M393" s="168">
        <v>0.452083333333333</v>
      </c>
      <c r="N393" s="67"/>
    </row>
    <row r="394" spans="1:14" x14ac:dyDescent="0.25">
      <c r="A394" s="66">
        <v>44589</v>
      </c>
      <c r="B394" s="67" t="s">
        <v>25</v>
      </c>
      <c r="C394" s="129" t="str">
        <f t="shared" si="12"/>
        <v>28.01.2022_BOYohB224</v>
      </c>
      <c r="D394" s="143">
        <f t="shared" si="13"/>
        <v>0</v>
      </c>
      <c r="E394" s="157">
        <v>8.26</v>
      </c>
      <c r="F394" s="165"/>
      <c r="G394" s="166">
        <v>820</v>
      </c>
      <c r="H394" s="167">
        <v>10.6</v>
      </c>
      <c r="I394" s="165"/>
      <c r="J394" s="167"/>
      <c r="K394" s="167">
        <v>7.2</v>
      </c>
      <c r="L394" s="167">
        <v>42.2</v>
      </c>
      <c r="M394" s="168">
        <v>0.61111111111111105</v>
      </c>
      <c r="N394" s="67"/>
    </row>
    <row r="395" spans="1:14" x14ac:dyDescent="0.25">
      <c r="A395" s="66">
        <v>44589</v>
      </c>
      <c r="B395" s="67" t="s">
        <v>28</v>
      </c>
      <c r="C395" s="129" t="str">
        <f t="shared" si="12"/>
        <v>28.01.2022_BOYohBr</v>
      </c>
      <c r="D395" s="143">
        <f t="shared" si="13"/>
        <v>0</v>
      </c>
      <c r="E395" s="157">
        <v>8.3000000000000007</v>
      </c>
      <c r="F395" s="165"/>
      <c r="G395" s="166">
        <v>575</v>
      </c>
      <c r="H395" s="167">
        <v>9.1</v>
      </c>
      <c r="I395" s="165"/>
      <c r="J395" s="167"/>
      <c r="K395" s="167">
        <v>7.1</v>
      </c>
      <c r="L395" s="167">
        <v>24.3</v>
      </c>
      <c r="M395" s="168">
        <v>0.49652777777777801</v>
      </c>
      <c r="N395" s="67"/>
    </row>
    <row r="396" spans="1:14" x14ac:dyDescent="0.25">
      <c r="A396" s="66">
        <v>44589</v>
      </c>
      <c r="B396" s="67" t="s">
        <v>30</v>
      </c>
      <c r="C396" s="129" t="str">
        <f t="shared" si="12"/>
        <v>28.01.2022_BOYohKi</v>
      </c>
      <c r="D396" s="143">
        <f t="shared" si="13"/>
        <v>0</v>
      </c>
      <c r="E396" s="157">
        <v>8.23</v>
      </c>
      <c r="F396" s="165"/>
      <c r="G396" s="166">
        <v>715</v>
      </c>
      <c r="H396" s="167">
        <v>10.5</v>
      </c>
      <c r="I396" s="165"/>
      <c r="J396" s="167"/>
      <c r="K396" s="167">
        <v>5.6</v>
      </c>
      <c r="L396" s="167">
        <v>34.5</v>
      </c>
      <c r="M396" s="168">
        <v>0.375</v>
      </c>
      <c r="N396" s="67"/>
    </row>
    <row r="397" spans="1:14" x14ac:dyDescent="0.25">
      <c r="A397" s="66">
        <v>44589</v>
      </c>
      <c r="B397" s="67" t="s">
        <v>32</v>
      </c>
      <c r="C397" s="129" t="str">
        <f t="shared" si="12"/>
        <v>28.01.2022_BOYohSp</v>
      </c>
      <c r="D397" s="143">
        <f t="shared" si="13"/>
        <v>0</v>
      </c>
      <c r="E397" s="157">
        <v>8.34</v>
      </c>
      <c r="F397" s="165"/>
      <c r="G397" s="166">
        <v>659</v>
      </c>
      <c r="H397" s="167">
        <v>10.199999999999999</v>
      </c>
      <c r="I397" s="165"/>
      <c r="J397" s="167"/>
      <c r="K397" s="167">
        <v>6.3</v>
      </c>
      <c r="L397" s="167">
        <v>29.3</v>
      </c>
      <c r="M397" s="168">
        <v>0.53125</v>
      </c>
      <c r="N397" s="67"/>
    </row>
    <row r="398" spans="1:14" x14ac:dyDescent="0.25">
      <c r="A398" s="66">
        <v>44589</v>
      </c>
      <c r="B398" s="67" t="s">
        <v>36</v>
      </c>
      <c r="C398" s="129" t="str">
        <f t="shared" si="12"/>
        <v>28.01.2022_BOYuhSp</v>
      </c>
      <c r="D398" s="143">
        <f t="shared" si="13"/>
        <v>0</v>
      </c>
      <c r="E398" s="157">
        <v>8.26</v>
      </c>
      <c r="F398" s="165"/>
      <c r="G398" s="166">
        <v>666</v>
      </c>
      <c r="H398" s="167">
        <v>10.5</v>
      </c>
      <c r="I398" s="165"/>
      <c r="J398" s="167"/>
      <c r="K398" s="167">
        <v>6.2</v>
      </c>
      <c r="L398" s="167">
        <v>29</v>
      </c>
      <c r="M398" s="168">
        <v>0.52291666666666703</v>
      </c>
      <c r="N398" s="67"/>
    </row>
    <row r="399" spans="1:14" x14ac:dyDescent="0.25">
      <c r="A399" s="66">
        <v>44589</v>
      </c>
      <c r="B399" s="67" t="s">
        <v>38</v>
      </c>
      <c r="C399" s="129" t="str">
        <f t="shared" si="12"/>
        <v>28.01.2022_BRAob</v>
      </c>
      <c r="D399" s="143">
        <f t="shared" si="13"/>
        <v>0</v>
      </c>
      <c r="E399" s="157">
        <v>8.18</v>
      </c>
      <c r="F399" s="165"/>
      <c r="G399" s="166">
        <v>832</v>
      </c>
      <c r="H399" s="167">
        <v>10.8</v>
      </c>
      <c r="I399" s="165"/>
      <c r="J399" s="167"/>
      <c r="K399" s="167">
        <v>5.8</v>
      </c>
      <c r="L399" s="167">
        <v>7.4</v>
      </c>
      <c r="M399" s="168">
        <v>0.46666666666666701</v>
      </c>
      <c r="N399" s="67"/>
    </row>
    <row r="400" spans="1:14" x14ac:dyDescent="0.25">
      <c r="A400" s="66">
        <v>44589</v>
      </c>
      <c r="B400" s="67" t="s">
        <v>41</v>
      </c>
      <c r="C400" s="129" t="str">
        <f t="shared" si="12"/>
        <v>28.01.2022_BRAohBo</v>
      </c>
      <c r="D400" s="143">
        <f t="shared" si="13"/>
        <v>0</v>
      </c>
      <c r="E400" s="157">
        <v>8.1999999999999993</v>
      </c>
      <c r="F400" s="165"/>
      <c r="G400" s="166">
        <v>737</v>
      </c>
      <c r="H400" s="167">
        <v>10.7</v>
      </c>
      <c r="I400" s="165"/>
      <c r="J400" s="167"/>
      <c r="K400" s="167">
        <v>5.4</v>
      </c>
      <c r="L400" s="167">
        <v>17.899999999999999</v>
      </c>
      <c r="M400" s="168">
        <v>0.47986111111111102</v>
      </c>
      <c r="N400" s="67"/>
    </row>
    <row r="401" spans="1:14" x14ac:dyDescent="0.25">
      <c r="A401" s="66">
        <v>44589</v>
      </c>
      <c r="B401" s="67" t="s">
        <v>43</v>
      </c>
      <c r="C401" s="129" t="str">
        <f t="shared" si="12"/>
        <v>28.01.2022_HAAob</v>
      </c>
      <c r="D401" s="143">
        <f t="shared" si="13"/>
        <v>0</v>
      </c>
      <c r="E401" s="157">
        <v>8.39</v>
      </c>
      <c r="F401" s="165"/>
      <c r="G401" s="166">
        <v>805</v>
      </c>
      <c r="H401" s="167">
        <v>10.8</v>
      </c>
      <c r="I401" s="165"/>
      <c r="J401" s="167"/>
      <c r="K401" s="167">
        <v>7</v>
      </c>
      <c r="L401" s="167">
        <v>9.5</v>
      </c>
      <c r="M401" s="168">
        <v>0.56874999999999998</v>
      </c>
      <c r="N401" s="67"/>
    </row>
    <row r="402" spans="1:14" x14ac:dyDescent="0.25">
      <c r="A402" s="66">
        <v>44589</v>
      </c>
      <c r="B402" s="67" t="s">
        <v>45</v>
      </c>
      <c r="C402" s="129" t="str">
        <f t="shared" si="12"/>
        <v>28.01.2022_HAAun</v>
      </c>
      <c r="D402" s="143">
        <f t="shared" si="13"/>
        <v>0</v>
      </c>
      <c r="E402" s="157">
        <v>7.96</v>
      </c>
      <c r="F402" s="165"/>
      <c r="G402" s="166">
        <v>1003</v>
      </c>
      <c r="H402" s="167">
        <v>9.6</v>
      </c>
      <c r="I402" s="165"/>
      <c r="J402" s="167"/>
      <c r="K402" s="167">
        <v>7.3</v>
      </c>
      <c r="L402" s="167">
        <v>9.8000000000000007</v>
      </c>
      <c r="M402" s="168">
        <v>0.55625000000000002</v>
      </c>
      <c r="N402" s="67"/>
    </row>
    <row r="403" spans="1:14" x14ac:dyDescent="0.25">
      <c r="A403" s="66">
        <v>44589</v>
      </c>
      <c r="B403" s="67" t="s">
        <v>47</v>
      </c>
      <c r="C403" s="129" t="str">
        <f t="shared" si="12"/>
        <v>28.01.2022_KIRob</v>
      </c>
      <c r="D403" s="143">
        <f t="shared" si="13"/>
        <v>0</v>
      </c>
      <c r="E403" s="157">
        <v>8.08</v>
      </c>
      <c r="F403" s="165"/>
      <c r="G403" s="166">
        <v>1037</v>
      </c>
      <c r="H403" s="167">
        <v>8.6999999999999993</v>
      </c>
      <c r="I403" s="165"/>
      <c r="J403" s="167"/>
      <c r="K403" s="167">
        <v>7.4</v>
      </c>
      <c r="L403" s="167">
        <v>8.6999999999999993</v>
      </c>
      <c r="M403" s="168">
        <v>0.39722222222222198</v>
      </c>
      <c r="N403" s="67"/>
    </row>
    <row r="404" spans="1:14" x14ac:dyDescent="0.25">
      <c r="A404" s="66">
        <v>44589</v>
      </c>
      <c r="B404" s="67" t="s">
        <v>49</v>
      </c>
      <c r="C404" s="129" t="str">
        <f t="shared" si="12"/>
        <v>28.01.2022_KIRun</v>
      </c>
      <c r="D404" s="143">
        <f t="shared" si="13"/>
        <v>0</v>
      </c>
      <c r="E404" s="157">
        <v>8.1</v>
      </c>
      <c r="F404" s="165"/>
      <c r="G404" s="166">
        <v>938</v>
      </c>
      <c r="H404" s="167">
        <v>9.3000000000000007</v>
      </c>
      <c r="I404" s="165"/>
      <c r="J404" s="167"/>
      <c r="K404" s="167">
        <v>7.5</v>
      </c>
      <c r="L404" s="167">
        <v>11.6</v>
      </c>
      <c r="M404" s="168">
        <v>0.38750000000000001</v>
      </c>
      <c r="N404" s="67"/>
    </row>
    <row r="405" spans="1:14" x14ac:dyDescent="0.25">
      <c r="A405" s="66">
        <v>44589</v>
      </c>
      <c r="B405" s="67" t="s">
        <v>50</v>
      </c>
      <c r="C405" s="129" t="str">
        <f t="shared" si="12"/>
        <v>28.01.2022_LIEohBo</v>
      </c>
      <c r="D405" s="143">
        <f t="shared" si="13"/>
        <v>0</v>
      </c>
      <c r="E405" s="157">
        <v>8.33</v>
      </c>
      <c r="F405" s="165"/>
      <c r="G405" s="166">
        <v>756</v>
      </c>
      <c r="H405" s="167">
        <v>9.8000000000000007</v>
      </c>
      <c r="I405" s="165"/>
      <c r="J405" s="167"/>
      <c r="K405" s="167">
        <v>4.2</v>
      </c>
      <c r="L405" s="167">
        <v>11</v>
      </c>
      <c r="M405" s="168">
        <v>0.36249999999999999</v>
      </c>
      <c r="N405" s="67"/>
    </row>
    <row r="406" spans="1:14" x14ac:dyDescent="0.25">
      <c r="A406" s="66">
        <v>44589</v>
      </c>
      <c r="B406" s="67" t="s">
        <v>53</v>
      </c>
      <c r="C406" s="129" t="str">
        <f t="shared" si="12"/>
        <v>28.01.2022_NATohBo</v>
      </c>
      <c r="D406" s="143">
        <f t="shared" si="13"/>
        <v>0</v>
      </c>
      <c r="E406" s="157">
        <v>7.98</v>
      </c>
      <c r="F406" s="165"/>
      <c r="G406" s="166">
        <v>1385</v>
      </c>
      <c r="H406" s="167">
        <v>10.8</v>
      </c>
      <c r="I406" s="165"/>
      <c r="J406" s="167"/>
      <c r="K406" s="167">
        <v>6.6</v>
      </c>
      <c r="L406" s="167">
        <v>12.2</v>
      </c>
      <c r="M406" s="168">
        <v>0.59791666666666698</v>
      </c>
      <c r="N406" s="67"/>
    </row>
    <row r="407" spans="1:14" x14ac:dyDescent="0.25">
      <c r="A407" s="66">
        <v>44589</v>
      </c>
      <c r="B407" s="67" t="s">
        <v>55</v>
      </c>
      <c r="C407" s="129" t="str">
        <f t="shared" si="12"/>
        <v>28.01.2022_QUAohBo</v>
      </c>
      <c r="D407" s="143">
        <f t="shared" si="13"/>
        <v>0</v>
      </c>
      <c r="E407" s="157">
        <v>8.08</v>
      </c>
      <c r="F407" s="165"/>
      <c r="G407" s="166">
        <v>838</v>
      </c>
      <c r="H407" s="167">
        <v>9.4</v>
      </c>
      <c r="I407" s="165"/>
      <c r="J407" s="167"/>
      <c r="K407" s="167">
        <v>6.3</v>
      </c>
      <c r="L407" s="167">
        <v>16.2</v>
      </c>
      <c r="M407" s="168">
        <v>0.54236111111111096</v>
      </c>
      <c r="N407" s="67"/>
    </row>
    <row r="408" spans="1:14" x14ac:dyDescent="0.25">
      <c r="A408" s="66">
        <v>44589</v>
      </c>
      <c r="B408" s="67" t="s">
        <v>57</v>
      </c>
      <c r="C408" s="129" t="str">
        <f t="shared" si="12"/>
        <v>28.01.2022_SCHohVo</v>
      </c>
      <c r="D408" s="143">
        <f t="shared" si="13"/>
        <v>0</v>
      </c>
      <c r="E408" s="157">
        <v>8.23</v>
      </c>
      <c r="F408" s="165"/>
      <c r="G408" s="166">
        <v>523</v>
      </c>
      <c r="H408" s="167">
        <v>10.5</v>
      </c>
      <c r="I408" s="165"/>
      <c r="J408" s="167"/>
      <c r="K408" s="167">
        <v>4.7</v>
      </c>
      <c r="L408" s="167">
        <v>7.6</v>
      </c>
      <c r="M408" s="168">
        <v>0.41041666666666698</v>
      </c>
      <c r="N408" s="67"/>
    </row>
    <row r="409" spans="1:14" x14ac:dyDescent="0.25">
      <c r="A409" s="66">
        <v>44589</v>
      </c>
      <c r="B409" s="67" t="s">
        <v>60</v>
      </c>
      <c r="C409" s="129" t="str">
        <f t="shared" si="12"/>
        <v>28.01.2022_VORohBo</v>
      </c>
      <c r="D409" s="143">
        <f t="shared" si="13"/>
        <v>0</v>
      </c>
      <c r="E409" s="157">
        <v>8.8000000000000007</v>
      </c>
      <c r="F409" s="165"/>
      <c r="G409" s="166">
        <v>908</v>
      </c>
      <c r="H409" s="167">
        <v>6.6</v>
      </c>
      <c r="I409" s="165"/>
      <c r="J409" s="167"/>
      <c r="K409" s="167">
        <v>7.3</v>
      </c>
      <c r="L409" s="167">
        <v>23</v>
      </c>
      <c r="M409" s="168">
        <v>0.43472222222222201</v>
      </c>
      <c r="N409" s="67"/>
    </row>
    <row r="410" spans="1:14" x14ac:dyDescent="0.25">
      <c r="A410" s="66">
        <v>44589</v>
      </c>
      <c r="B410" s="67" t="s">
        <v>62</v>
      </c>
      <c r="C410" s="129" t="str">
        <f t="shared" si="12"/>
        <v>28.01.2022_VORuhSc</v>
      </c>
      <c r="D410" s="143">
        <f t="shared" si="13"/>
        <v>0</v>
      </c>
      <c r="E410" s="157">
        <v>7.7</v>
      </c>
      <c r="F410" s="165"/>
      <c r="G410" s="166">
        <v>896</v>
      </c>
      <c r="H410" s="167">
        <v>8.5</v>
      </c>
      <c r="I410" s="165"/>
      <c r="J410" s="167"/>
      <c r="K410" s="167">
        <v>6.4</v>
      </c>
      <c r="L410" s="167">
        <v>13.5</v>
      </c>
      <c r="M410" s="168">
        <v>0.420833333333333</v>
      </c>
      <c r="N410" s="67"/>
    </row>
    <row r="411" spans="1:14" x14ac:dyDescent="0.25">
      <c r="A411" s="66">
        <v>44589</v>
      </c>
      <c r="B411" s="67" t="s">
        <v>64</v>
      </c>
      <c r="C411" s="129" t="str">
        <f t="shared" si="12"/>
        <v>28.01.2022_WITob</v>
      </c>
      <c r="D411" s="143">
        <f t="shared" si="13"/>
        <v>0</v>
      </c>
      <c r="E411" s="157">
        <v>8.34</v>
      </c>
      <c r="F411" s="165"/>
      <c r="G411" s="166">
        <v>1213</v>
      </c>
      <c r="H411" s="167">
        <v>10.4</v>
      </c>
      <c r="I411" s="165"/>
      <c r="J411" s="167"/>
      <c r="K411" s="167">
        <v>7.7</v>
      </c>
      <c r="L411" s="167">
        <v>1.8</v>
      </c>
      <c r="M411" s="168">
        <v>0.58194444444444504</v>
      </c>
      <c r="N411" s="67"/>
    </row>
    <row r="412" spans="1:14" x14ac:dyDescent="0.25">
      <c r="A412" s="66">
        <v>44603</v>
      </c>
      <c r="B412" s="67" t="s">
        <v>22</v>
      </c>
      <c r="C412" s="129" t="str">
        <f t="shared" si="12"/>
        <v>11.02.2022_BOYkl</v>
      </c>
      <c r="D412" s="143">
        <f t="shared" si="13"/>
        <v>0</v>
      </c>
      <c r="E412" s="157">
        <v>7.76</v>
      </c>
      <c r="F412" s="165"/>
      <c r="G412" s="166">
        <v>476</v>
      </c>
      <c r="H412" s="167">
        <v>7.5</v>
      </c>
      <c r="I412" s="165"/>
      <c r="J412" s="167"/>
      <c r="K412" s="167">
        <v>6.8</v>
      </c>
      <c r="L412" s="167">
        <v>13</v>
      </c>
      <c r="M412" s="168">
        <v>0.47569444444444398</v>
      </c>
      <c r="N412" s="67" t="s">
        <v>119</v>
      </c>
    </row>
    <row r="413" spans="1:14" x14ac:dyDescent="0.25">
      <c r="A413" s="66">
        <v>44603</v>
      </c>
      <c r="B413" s="67" t="s">
        <v>25</v>
      </c>
      <c r="C413" s="129" t="str">
        <f t="shared" si="12"/>
        <v>11.02.2022_BOYohB224</v>
      </c>
      <c r="D413" s="143">
        <f t="shared" si="13"/>
        <v>0</v>
      </c>
      <c r="E413" s="157">
        <v>8.26</v>
      </c>
      <c r="F413" s="165"/>
      <c r="G413" s="166">
        <v>759</v>
      </c>
      <c r="H413" s="167">
        <v>7.2</v>
      </c>
      <c r="I413" s="165"/>
      <c r="J413" s="167"/>
      <c r="K413" s="167">
        <v>7.5</v>
      </c>
      <c r="L413" s="167">
        <v>31.6</v>
      </c>
      <c r="M413" s="168">
        <v>0.67361111111111105</v>
      </c>
      <c r="N413" s="67" t="s">
        <v>120</v>
      </c>
    </row>
    <row r="414" spans="1:14" x14ac:dyDescent="0.25">
      <c r="A414" s="66">
        <v>44603</v>
      </c>
      <c r="B414" s="67" t="s">
        <v>28</v>
      </c>
      <c r="C414" s="129" t="str">
        <f t="shared" si="12"/>
        <v>11.02.2022_BOYohBr</v>
      </c>
      <c r="D414" s="143">
        <f t="shared" si="13"/>
        <v>0</v>
      </c>
      <c r="E414" s="157">
        <v>7.72</v>
      </c>
      <c r="F414" s="165"/>
      <c r="G414" s="166">
        <v>550</v>
      </c>
      <c r="H414" s="167">
        <v>6.7</v>
      </c>
      <c r="I414" s="165"/>
      <c r="J414" s="167"/>
      <c r="K414" s="167">
        <v>7.3</v>
      </c>
      <c r="L414" s="167">
        <v>29</v>
      </c>
      <c r="M414" s="168">
        <v>0.53125</v>
      </c>
      <c r="N414" s="67"/>
    </row>
    <row r="415" spans="1:14" x14ac:dyDescent="0.25">
      <c r="A415" s="66">
        <v>44603</v>
      </c>
      <c r="B415" s="67" t="s">
        <v>30</v>
      </c>
      <c r="C415" s="129" t="str">
        <f t="shared" si="12"/>
        <v>11.02.2022_BOYohKi</v>
      </c>
      <c r="D415" s="143">
        <f t="shared" si="13"/>
        <v>0</v>
      </c>
      <c r="E415" s="157">
        <v>8.08</v>
      </c>
      <c r="F415" s="165"/>
      <c r="G415" s="166">
        <v>693</v>
      </c>
      <c r="H415" s="167">
        <v>7.3</v>
      </c>
      <c r="I415" s="165"/>
      <c r="J415" s="167"/>
      <c r="K415" s="167">
        <v>6.3</v>
      </c>
      <c r="L415" s="167">
        <v>46.5</v>
      </c>
      <c r="M415" s="168">
        <v>0.39305555555555599</v>
      </c>
      <c r="N415" s="67"/>
    </row>
    <row r="416" spans="1:14" x14ac:dyDescent="0.25">
      <c r="A416" s="66">
        <v>44603</v>
      </c>
      <c r="B416" s="67" t="s">
        <v>32</v>
      </c>
      <c r="C416" s="129" t="str">
        <f t="shared" si="12"/>
        <v>11.02.2022_BOYohSp</v>
      </c>
      <c r="D416" s="143">
        <f t="shared" si="13"/>
        <v>0</v>
      </c>
      <c r="E416" s="157">
        <v>7.92</v>
      </c>
      <c r="F416" s="165"/>
      <c r="G416" s="166">
        <v>664</v>
      </c>
      <c r="H416" s="167">
        <v>6.7</v>
      </c>
      <c r="I416" s="165"/>
      <c r="J416" s="167"/>
      <c r="K416" s="167">
        <v>7.1</v>
      </c>
      <c r="L416" s="167">
        <v>31</v>
      </c>
      <c r="M416" s="168">
        <v>0.58333333333333304</v>
      </c>
      <c r="N416" s="67"/>
    </row>
    <row r="417" spans="1:14" x14ac:dyDescent="0.25">
      <c r="A417" s="66">
        <v>44603</v>
      </c>
      <c r="B417" s="67" t="s">
        <v>36</v>
      </c>
      <c r="C417" s="129" t="str">
        <f t="shared" si="12"/>
        <v>11.02.2022_BOYuhSp</v>
      </c>
      <c r="D417" s="143">
        <f t="shared" si="13"/>
        <v>0</v>
      </c>
      <c r="E417" s="157">
        <v>7.88</v>
      </c>
      <c r="F417" s="165"/>
      <c r="G417" s="166">
        <v>641</v>
      </c>
      <c r="H417" s="167">
        <v>7.1</v>
      </c>
      <c r="I417" s="165"/>
      <c r="J417" s="167"/>
      <c r="K417" s="167">
        <v>7</v>
      </c>
      <c r="L417" s="167">
        <v>31</v>
      </c>
      <c r="M417" s="168">
        <v>0.57291666666666696</v>
      </c>
      <c r="N417" s="67"/>
    </row>
    <row r="418" spans="1:14" x14ac:dyDescent="0.25">
      <c r="A418" s="66">
        <v>44603</v>
      </c>
      <c r="B418" s="67" t="s">
        <v>38</v>
      </c>
      <c r="C418" s="129" t="str">
        <f t="shared" si="12"/>
        <v>11.02.2022_BRAob</v>
      </c>
      <c r="D418" s="143">
        <f t="shared" si="13"/>
        <v>0</v>
      </c>
      <c r="E418" s="157">
        <v>7.94</v>
      </c>
      <c r="F418" s="165"/>
      <c r="G418" s="166">
        <v>823</v>
      </c>
      <c r="H418" s="167">
        <v>7.1</v>
      </c>
      <c r="I418" s="165"/>
      <c r="J418" s="167"/>
      <c r="K418" s="167">
        <v>6.7</v>
      </c>
      <c r="L418" s="167">
        <v>6</v>
      </c>
      <c r="M418" s="168">
        <v>0.49305555555555602</v>
      </c>
      <c r="N418" s="67"/>
    </row>
    <row r="419" spans="1:14" x14ac:dyDescent="0.25">
      <c r="A419" s="66">
        <v>44603</v>
      </c>
      <c r="B419" s="67" t="s">
        <v>41</v>
      </c>
      <c r="C419" s="129" t="str">
        <f t="shared" si="12"/>
        <v>11.02.2022_BRAohBo</v>
      </c>
      <c r="D419" s="143">
        <f t="shared" si="13"/>
        <v>0</v>
      </c>
      <c r="E419" s="157">
        <v>7.98</v>
      </c>
      <c r="F419" s="165"/>
      <c r="G419" s="166">
        <v>704</v>
      </c>
      <c r="H419" s="167">
        <v>6.9</v>
      </c>
      <c r="I419" s="165"/>
      <c r="J419" s="167"/>
      <c r="K419" s="167">
        <v>6.6</v>
      </c>
      <c r="L419" s="167">
        <v>25</v>
      </c>
      <c r="M419" s="168">
        <v>0.5</v>
      </c>
      <c r="N419" s="67"/>
    </row>
    <row r="420" spans="1:14" x14ac:dyDescent="0.25">
      <c r="A420" s="66">
        <v>44603</v>
      </c>
      <c r="B420" s="67" t="s">
        <v>43</v>
      </c>
      <c r="C420" s="129" t="str">
        <f t="shared" si="12"/>
        <v>11.02.2022_HAAob</v>
      </c>
      <c r="D420" s="143">
        <f t="shared" si="13"/>
        <v>0</v>
      </c>
      <c r="E420" s="157">
        <v>8.4499999999999993</v>
      </c>
      <c r="F420" s="165"/>
      <c r="G420" s="166">
        <v>750</v>
      </c>
      <c r="H420" s="167">
        <v>7.4</v>
      </c>
      <c r="I420" s="165"/>
      <c r="J420" s="167"/>
      <c r="K420" s="167">
        <v>7.7</v>
      </c>
      <c r="L420" s="167">
        <v>15</v>
      </c>
      <c r="M420" s="168">
        <v>0.61111111111111105</v>
      </c>
      <c r="N420" s="67"/>
    </row>
    <row r="421" spans="1:14" x14ac:dyDescent="0.25">
      <c r="A421" s="66">
        <v>44603</v>
      </c>
      <c r="B421" s="67" t="s">
        <v>45</v>
      </c>
      <c r="C421" s="129" t="str">
        <f t="shared" si="12"/>
        <v>11.02.2022_HAAun</v>
      </c>
      <c r="D421" s="143">
        <f t="shared" si="13"/>
        <v>0</v>
      </c>
      <c r="E421" s="157">
        <v>7.87</v>
      </c>
      <c r="F421" s="165"/>
      <c r="G421" s="166">
        <v>934</v>
      </c>
      <c r="H421" s="167">
        <v>6.5</v>
      </c>
      <c r="I421" s="165"/>
      <c r="J421" s="167"/>
      <c r="K421" s="167">
        <v>8.1</v>
      </c>
      <c r="L421" s="167">
        <v>11.5</v>
      </c>
      <c r="M421" s="168">
        <v>0.59722222222222199</v>
      </c>
      <c r="N421" s="67"/>
    </row>
    <row r="422" spans="1:14" x14ac:dyDescent="0.25">
      <c r="A422" s="66">
        <v>44603</v>
      </c>
      <c r="B422" s="67" t="s">
        <v>47</v>
      </c>
      <c r="C422" s="129" t="str">
        <f t="shared" si="12"/>
        <v>11.02.2022_KIRob</v>
      </c>
      <c r="D422" s="143">
        <f t="shared" si="13"/>
        <v>0</v>
      </c>
      <c r="E422" s="157">
        <v>8.02</v>
      </c>
      <c r="F422" s="165"/>
      <c r="G422" s="166">
        <v>983</v>
      </c>
      <c r="H422" s="167">
        <v>7.2</v>
      </c>
      <c r="I422" s="165"/>
      <c r="J422" s="167"/>
      <c r="K422" s="167">
        <v>8.1999999999999993</v>
      </c>
      <c r="L422" s="167">
        <v>10.5</v>
      </c>
      <c r="M422" s="168">
        <v>0.41666666666666702</v>
      </c>
      <c r="N422" s="67"/>
    </row>
    <row r="423" spans="1:14" x14ac:dyDescent="0.25">
      <c r="A423" s="66">
        <v>44603</v>
      </c>
      <c r="B423" s="67" t="s">
        <v>49</v>
      </c>
      <c r="C423" s="129" t="str">
        <f t="shared" si="12"/>
        <v>11.02.2022_KIRun</v>
      </c>
      <c r="D423" s="143">
        <f t="shared" si="13"/>
        <v>0</v>
      </c>
      <c r="E423" s="157">
        <v>8.39</v>
      </c>
      <c r="F423" s="165"/>
      <c r="G423" s="166">
        <v>952</v>
      </c>
      <c r="H423" s="167">
        <v>6.9</v>
      </c>
      <c r="I423" s="165"/>
      <c r="J423" s="167"/>
      <c r="K423" s="167">
        <v>8.1</v>
      </c>
      <c r="L423" s="167">
        <v>13.9</v>
      </c>
      <c r="M423" s="168">
        <v>0.40625</v>
      </c>
      <c r="N423" s="67"/>
    </row>
    <row r="424" spans="1:14" x14ac:dyDescent="0.25">
      <c r="A424" s="66">
        <v>44603</v>
      </c>
      <c r="B424" s="67" t="s">
        <v>50</v>
      </c>
      <c r="C424" s="129" t="str">
        <f t="shared" si="12"/>
        <v>11.02.2022_LIEohBo</v>
      </c>
      <c r="D424" s="143">
        <f t="shared" si="13"/>
        <v>0</v>
      </c>
      <c r="E424" s="157">
        <v>8.89</v>
      </c>
      <c r="F424" s="165"/>
      <c r="G424" s="166">
        <v>744</v>
      </c>
      <c r="H424" s="167">
        <v>8</v>
      </c>
      <c r="I424" s="165"/>
      <c r="J424" s="167"/>
      <c r="K424" s="167">
        <v>5.3</v>
      </c>
      <c r="L424" s="167">
        <v>14.2</v>
      </c>
      <c r="M424" s="168">
        <v>0.375</v>
      </c>
      <c r="N424" s="67"/>
    </row>
    <row r="425" spans="1:14" x14ac:dyDescent="0.25">
      <c r="A425" s="66">
        <v>44603</v>
      </c>
      <c r="B425" s="67" t="s">
        <v>53</v>
      </c>
      <c r="C425" s="129" t="str">
        <f t="shared" si="12"/>
        <v>11.02.2022_NATohBo</v>
      </c>
      <c r="D425" s="143">
        <f t="shared" si="13"/>
        <v>0</v>
      </c>
      <c r="E425" s="157">
        <v>8.0399999999999991</v>
      </c>
      <c r="F425" s="165"/>
      <c r="G425" s="166">
        <v>1263</v>
      </c>
      <c r="H425" s="167">
        <v>7.2</v>
      </c>
      <c r="I425" s="165"/>
      <c r="J425" s="167"/>
      <c r="K425" s="167">
        <v>7.2</v>
      </c>
      <c r="L425" s="167">
        <v>14.5</v>
      </c>
      <c r="M425" s="168">
        <v>0.64236111111111105</v>
      </c>
      <c r="N425" s="67"/>
    </row>
    <row r="426" spans="1:14" x14ac:dyDescent="0.25">
      <c r="A426" s="66">
        <v>44603</v>
      </c>
      <c r="B426" s="67" t="s">
        <v>55</v>
      </c>
      <c r="C426" s="129" t="str">
        <f t="shared" si="12"/>
        <v>11.02.2022_QUAohBo</v>
      </c>
      <c r="D426" s="143">
        <f t="shared" si="13"/>
        <v>0</v>
      </c>
      <c r="E426" s="157">
        <v>8.11</v>
      </c>
      <c r="F426" s="165"/>
      <c r="G426" s="166">
        <v>820</v>
      </c>
      <c r="H426" s="167">
        <v>6.3</v>
      </c>
      <c r="I426" s="165"/>
      <c r="J426" s="167"/>
      <c r="K426" s="167">
        <v>7.5</v>
      </c>
      <c r="L426" s="167">
        <v>65</v>
      </c>
      <c r="M426" s="168">
        <v>0.55902777777777801</v>
      </c>
      <c r="N426" s="67" t="s">
        <v>121</v>
      </c>
    </row>
    <row r="427" spans="1:14" x14ac:dyDescent="0.25">
      <c r="A427" s="66">
        <v>44603</v>
      </c>
      <c r="B427" s="67" t="s">
        <v>57</v>
      </c>
      <c r="C427" s="129" t="str">
        <f t="shared" si="12"/>
        <v>11.02.2022_SCHohVo</v>
      </c>
      <c r="D427" s="143">
        <f t="shared" si="13"/>
        <v>0</v>
      </c>
      <c r="E427" s="157">
        <v>7.95</v>
      </c>
      <c r="F427" s="165"/>
      <c r="G427" s="166">
        <v>491</v>
      </c>
      <c r="H427" s="167">
        <v>7.4</v>
      </c>
      <c r="I427" s="165"/>
      <c r="J427" s="167"/>
      <c r="K427" s="167">
        <v>6</v>
      </c>
      <c r="L427" s="167">
        <v>19</v>
      </c>
      <c r="M427" s="168">
        <v>0.43055555555555602</v>
      </c>
      <c r="N427" s="67"/>
    </row>
    <row r="428" spans="1:14" x14ac:dyDescent="0.25">
      <c r="A428" s="66">
        <v>44603</v>
      </c>
      <c r="B428" s="67" t="s">
        <v>60</v>
      </c>
      <c r="C428" s="129" t="str">
        <f t="shared" si="12"/>
        <v>11.02.2022_VORohBo</v>
      </c>
      <c r="D428" s="143">
        <f t="shared" si="13"/>
        <v>0</v>
      </c>
      <c r="E428" s="157">
        <v>7.61</v>
      </c>
      <c r="F428" s="165"/>
      <c r="G428" s="166">
        <v>831</v>
      </c>
      <c r="H428" s="167">
        <v>6.1</v>
      </c>
      <c r="I428" s="165"/>
      <c r="J428" s="167"/>
      <c r="K428" s="167">
        <v>6.8</v>
      </c>
      <c r="L428" s="167">
        <v>22</v>
      </c>
      <c r="M428" s="168">
        <v>0.45833333333333298</v>
      </c>
      <c r="N428" s="67"/>
    </row>
    <row r="429" spans="1:14" x14ac:dyDescent="0.25">
      <c r="A429" s="66">
        <v>44603</v>
      </c>
      <c r="B429" s="67" t="s">
        <v>62</v>
      </c>
      <c r="C429" s="129" t="str">
        <f t="shared" si="12"/>
        <v>11.02.2022_VORuhSc</v>
      </c>
      <c r="D429" s="143">
        <f t="shared" si="13"/>
        <v>0</v>
      </c>
      <c r="E429" s="157">
        <v>7.61</v>
      </c>
      <c r="F429" s="165"/>
      <c r="G429" s="166">
        <v>783</v>
      </c>
      <c r="H429" s="167">
        <v>6.3</v>
      </c>
      <c r="I429" s="165"/>
      <c r="J429" s="167"/>
      <c r="K429" s="167">
        <v>6.7</v>
      </c>
      <c r="L429" s="167">
        <v>18</v>
      </c>
      <c r="M429" s="168">
        <v>0.44444444444444398</v>
      </c>
      <c r="N429" s="67"/>
    </row>
    <row r="430" spans="1:14" x14ac:dyDescent="0.25">
      <c r="A430" s="66">
        <v>44603</v>
      </c>
      <c r="B430" s="67" t="s">
        <v>64</v>
      </c>
      <c r="C430" s="129" t="str">
        <f t="shared" si="12"/>
        <v>11.02.2022_WITob</v>
      </c>
      <c r="D430" s="143">
        <f t="shared" si="13"/>
        <v>0</v>
      </c>
      <c r="E430" s="157">
        <v>8.41</v>
      </c>
      <c r="F430" s="165"/>
      <c r="G430" s="166">
        <v>1281</v>
      </c>
      <c r="H430" s="167">
        <v>7.1</v>
      </c>
      <c r="I430" s="165"/>
      <c r="J430" s="167"/>
      <c r="K430" s="167">
        <v>8.4</v>
      </c>
      <c r="L430" s="167">
        <v>4.5</v>
      </c>
      <c r="M430" s="168">
        <v>0.625</v>
      </c>
      <c r="N430" s="67"/>
    </row>
    <row r="431" spans="1:14" x14ac:dyDescent="0.25">
      <c r="A431" s="66">
        <v>44617</v>
      </c>
      <c r="B431" s="67" t="s">
        <v>22</v>
      </c>
      <c r="C431" s="129" t="str">
        <f t="shared" si="12"/>
        <v>25.02.2022_BOYkl</v>
      </c>
      <c r="D431" s="143">
        <f t="shared" si="13"/>
        <v>0</v>
      </c>
      <c r="E431" s="157">
        <v>7.89</v>
      </c>
      <c r="F431" s="165"/>
      <c r="G431" s="166">
        <v>423</v>
      </c>
      <c r="H431" s="167">
        <v>7.9</v>
      </c>
      <c r="I431" s="165"/>
      <c r="J431" s="167"/>
      <c r="K431" s="167">
        <v>5.9</v>
      </c>
      <c r="L431" s="167">
        <v>16</v>
      </c>
      <c r="M431" s="168">
        <v>0.44861111111111102</v>
      </c>
      <c r="N431" s="67"/>
    </row>
    <row r="432" spans="1:14" x14ac:dyDescent="0.25">
      <c r="A432" s="66">
        <v>44617</v>
      </c>
      <c r="B432" s="67" t="s">
        <v>25</v>
      </c>
      <c r="C432" s="129" t="str">
        <f t="shared" si="12"/>
        <v>25.02.2022_BOYohB224</v>
      </c>
      <c r="D432" s="143">
        <f t="shared" si="13"/>
        <v>0</v>
      </c>
      <c r="E432" s="157">
        <v>8.39</v>
      </c>
      <c r="F432" s="165"/>
      <c r="G432" s="166">
        <v>671</v>
      </c>
      <c r="H432" s="167">
        <v>7.7</v>
      </c>
      <c r="I432" s="165"/>
      <c r="J432" s="167"/>
      <c r="K432" s="167">
        <v>6.39</v>
      </c>
      <c r="L432" s="167">
        <v>69</v>
      </c>
      <c r="M432" s="168">
        <v>0.61041666666666705</v>
      </c>
      <c r="N432" s="67"/>
    </row>
    <row r="433" spans="1:14" x14ac:dyDescent="0.25">
      <c r="A433" s="66">
        <v>44617</v>
      </c>
      <c r="B433" s="67" t="s">
        <v>28</v>
      </c>
      <c r="C433" s="129" t="str">
        <f t="shared" si="12"/>
        <v>25.02.2022_BOYohBr</v>
      </c>
      <c r="D433" s="143">
        <f t="shared" si="13"/>
        <v>0</v>
      </c>
      <c r="E433" s="157">
        <v>8.15</v>
      </c>
      <c r="F433" s="165"/>
      <c r="G433" s="166">
        <v>487</v>
      </c>
      <c r="H433" s="167">
        <v>9.8000000000000007</v>
      </c>
      <c r="I433" s="165"/>
      <c r="J433" s="167"/>
      <c r="K433" s="167">
        <v>6.5</v>
      </c>
      <c r="L433" s="167">
        <v>41.5</v>
      </c>
      <c r="M433" s="168">
        <v>0.49236111111111103</v>
      </c>
      <c r="N433" s="67"/>
    </row>
    <row r="434" spans="1:14" x14ac:dyDescent="0.25">
      <c r="A434" s="66">
        <v>44617</v>
      </c>
      <c r="B434" s="67" t="s">
        <v>30</v>
      </c>
      <c r="C434" s="129" t="str">
        <f t="shared" si="12"/>
        <v>25.02.2022_BOYohKi</v>
      </c>
      <c r="D434" s="143">
        <f t="shared" si="13"/>
        <v>0</v>
      </c>
      <c r="E434" s="157">
        <v>8.18</v>
      </c>
      <c r="F434" s="165"/>
      <c r="G434" s="166">
        <v>594</v>
      </c>
      <c r="H434" s="167">
        <v>7.3</v>
      </c>
      <c r="I434" s="165"/>
      <c r="J434" s="167"/>
      <c r="K434" s="167">
        <v>5.6</v>
      </c>
      <c r="L434" s="167">
        <v>56</v>
      </c>
      <c r="M434" s="168">
        <v>0.375</v>
      </c>
      <c r="N434" s="67"/>
    </row>
    <row r="435" spans="1:14" x14ac:dyDescent="0.25">
      <c r="A435" s="66">
        <v>44617</v>
      </c>
      <c r="B435" s="67" t="s">
        <v>32</v>
      </c>
      <c r="C435" s="129" t="str">
        <f t="shared" si="12"/>
        <v>25.02.2022_BOYohSp</v>
      </c>
      <c r="D435" s="143">
        <f t="shared" si="13"/>
        <v>0</v>
      </c>
      <c r="E435" s="157">
        <v>7.94</v>
      </c>
      <c r="F435" s="165"/>
      <c r="G435" s="166">
        <v>579</v>
      </c>
      <c r="H435" s="167">
        <v>8.1</v>
      </c>
      <c r="I435" s="165"/>
      <c r="J435" s="167"/>
      <c r="K435" s="167">
        <v>6.4</v>
      </c>
      <c r="L435" s="167">
        <v>44.5</v>
      </c>
      <c r="M435" s="168">
        <v>0.52777777777777801</v>
      </c>
      <c r="N435" s="67"/>
    </row>
    <row r="436" spans="1:14" x14ac:dyDescent="0.25">
      <c r="A436" s="66">
        <v>44617</v>
      </c>
      <c r="B436" s="67" t="s">
        <v>36</v>
      </c>
      <c r="C436" s="129" t="str">
        <f t="shared" si="12"/>
        <v>25.02.2022_BOYuhSp</v>
      </c>
      <c r="D436" s="143">
        <f t="shared" si="13"/>
        <v>0</v>
      </c>
      <c r="E436" s="157">
        <v>8.2799999999999994</v>
      </c>
      <c r="F436" s="165"/>
      <c r="G436" s="166">
        <v>551</v>
      </c>
      <c r="H436" s="167">
        <v>7.9</v>
      </c>
      <c r="I436" s="165"/>
      <c r="J436" s="167"/>
      <c r="K436" s="167">
        <v>6.1</v>
      </c>
      <c r="L436" s="167">
        <v>54</v>
      </c>
      <c r="M436" s="168">
        <v>0.51944444444444504</v>
      </c>
      <c r="N436" s="67"/>
    </row>
    <row r="437" spans="1:14" x14ac:dyDescent="0.25">
      <c r="A437" s="66">
        <v>44617</v>
      </c>
      <c r="B437" s="67" t="s">
        <v>38</v>
      </c>
      <c r="C437" s="129" t="str">
        <f t="shared" si="12"/>
        <v>25.02.2022_BRAob</v>
      </c>
      <c r="D437" s="143">
        <f t="shared" si="13"/>
        <v>0</v>
      </c>
      <c r="E437" s="157">
        <v>8.0399999999999991</v>
      </c>
      <c r="F437" s="165"/>
      <c r="G437" s="166">
        <v>732</v>
      </c>
      <c r="H437" s="167">
        <v>7.9</v>
      </c>
      <c r="I437" s="165"/>
      <c r="J437" s="167"/>
      <c r="K437" s="167">
        <v>6</v>
      </c>
      <c r="L437" s="167">
        <v>15.5</v>
      </c>
      <c r="M437" s="168">
        <v>0.46319444444444402</v>
      </c>
      <c r="N437" s="67"/>
    </row>
    <row r="438" spans="1:14" x14ac:dyDescent="0.25">
      <c r="A438" s="66">
        <v>44617</v>
      </c>
      <c r="B438" s="67" t="s">
        <v>41</v>
      </c>
      <c r="C438" s="129" t="str">
        <f t="shared" si="12"/>
        <v>25.02.2022_BRAohBo</v>
      </c>
      <c r="D438" s="143">
        <f t="shared" si="13"/>
        <v>0</v>
      </c>
      <c r="E438" s="157">
        <v>7.92</v>
      </c>
      <c r="F438" s="165"/>
      <c r="G438" s="166">
        <v>627</v>
      </c>
      <c r="H438" s="167">
        <v>7.2</v>
      </c>
      <c r="I438" s="165"/>
      <c r="J438" s="167"/>
      <c r="K438" s="167">
        <v>5.7</v>
      </c>
      <c r="L438" s="167">
        <v>34.299999999999997</v>
      </c>
      <c r="M438" s="168">
        <v>0.47430555555555598</v>
      </c>
      <c r="N438" s="67"/>
    </row>
    <row r="439" spans="1:14" x14ac:dyDescent="0.25">
      <c r="A439" s="66">
        <v>44617</v>
      </c>
      <c r="B439" s="67" t="s">
        <v>43</v>
      </c>
      <c r="C439" s="129" t="str">
        <f t="shared" si="12"/>
        <v>25.02.2022_HAAob</v>
      </c>
      <c r="D439" s="143">
        <f t="shared" si="13"/>
        <v>0</v>
      </c>
      <c r="E439" s="157">
        <v>8.49</v>
      </c>
      <c r="F439" s="165"/>
      <c r="G439" s="166">
        <v>671</v>
      </c>
      <c r="H439" s="167">
        <v>9.6999999999999993</v>
      </c>
      <c r="I439" s="165"/>
      <c r="J439" s="167"/>
      <c r="K439" s="167">
        <v>7.4</v>
      </c>
      <c r="L439" s="167">
        <v>18</v>
      </c>
      <c r="M439" s="168">
        <v>0.56944444444444398</v>
      </c>
      <c r="N439" s="67"/>
    </row>
    <row r="440" spans="1:14" x14ac:dyDescent="0.25">
      <c r="A440" s="66">
        <v>44617</v>
      </c>
      <c r="B440" s="67" t="s">
        <v>45</v>
      </c>
      <c r="C440" s="129" t="str">
        <f t="shared" si="12"/>
        <v>25.02.2022_HAAun</v>
      </c>
      <c r="D440" s="143">
        <f t="shared" si="13"/>
        <v>0</v>
      </c>
      <c r="E440" s="157">
        <v>8.02</v>
      </c>
      <c r="F440" s="165"/>
      <c r="G440" s="166">
        <v>835</v>
      </c>
      <c r="H440" s="167">
        <v>7.6</v>
      </c>
      <c r="I440" s="165"/>
      <c r="J440" s="167"/>
      <c r="K440" s="167">
        <v>7.7</v>
      </c>
      <c r="L440" s="167">
        <v>23.8</v>
      </c>
      <c r="M440" s="168">
        <v>0.55833333333333302</v>
      </c>
      <c r="N440" s="67"/>
    </row>
    <row r="441" spans="1:14" x14ac:dyDescent="0.25">
      <c r="A441" s="66">
        <v>44617</v>
      </c>
      <c r="B441" s="67" t="s">
        <v>47</v>
      </c>
      <c r="C441" s="129" t="str">
        <f t="shared" si="12"/>
        <v>25.02.2022_KIRob</v>
      </c>
      <c r="D441" s="143">
        <f t="shared" si="13"/>
        <v>0</v>
      </c>
      <c r="E441" s="157">
        <v>8.49</v>
      </c>
      <c r="F441" s="165"/>
      <c r="G441" s="166">
        <v>962</v>
      </c>
      <c r="H441" s="167">
        <v>6.8</v>
      </c>
      <c r="I441" s="165"/>
      <c r="J441" s="167"/>
      <c r="K441" s="167">
        <v>6.8</v>
      </c>
      <c r="L441" s="167">
        <v>11.7</v>
      </c>
      <c r="M441" s="168">
        <v>0.39583333333333298</v>
      </c>
      <c r="N441" s="67"/>
    </row>
    <row r="442" spans="1:14" x14ac:dyDescent="0.25">
      <c r="A442" s="66">
        <v>44617</v>
      </c>
      <c r="B442" s="67" t="s">
        <v>49</v>
      </c>
      <c r="C442" s="129" t="str">
        <f t="shared" si="12"/>
        <v>25.02.2022_KIRun</v>
      </c>
      <c r="D442" s="143">
        <f t="shared" si="13"/>
        <v>0</v>
      </c>
      <c r="E442" s="157">
        <v>8.25</v>
      </c>
      <c r="F442" s="165"/>
      <c r="G442" s="166">
        <v>901</v>
      </c>
      <c r="H442" s="167">
        <v>7.1</v>
      </c>
      <c r="I442" s="165"/>
      <c r="J442" s="167"/>
      <c r="K442" s="167">
        <v>7.2</v>
      </c>
      <c r="L442" s="167">
        <v>14.8</v>
      </c>
      <c r="M442" s="168">
        <v>0.38680555555555601</v>
      </c>
      <c r="N442" s="67"/>
    </row>
    <row r="443" spans="1:14" x14ac:dyDescent="0.25">
      <c r="A443" s="66">
        <v>44617</v>
      </c>
      <c r="B443" s="67" t="s">
        <v>50</v>
      </c>
      <c r="C443" s="129" t="str">
        <f t="shared" si="12"/>
        <v>25.02.2022_LIEohBo</v>
      </c>
      <c r="D443" s="143">
        <f t="shared" si="13"/>
        <v>0</v>
      </c>
      <c r="E443" s="157">
        <v>8.44</v>
      </c>
      <c r="F443" s="165"/>
      <c r="G443" s="166">
        <v>754</v>
      </c>
      <c r="H443" s="167">
        <v>9</v>
      </c>
      <c r="I443" s="165"/>
      <c r="J443" s="167"/>
      <c r="K443" s="167">
        <v>4.3</v>
      </c>
      <c r="L443" s="167">
        <v>15</v>
      </c>
      <c r="M443" s="168">
        <v>0.36111111111111099</v>
      </c>
      <c r="N443" s="67"/>
    </row>
    <row r="444" spans="1:14" x14ac:dyDescent="0.25">
      <c r="A444" s="66">
        <v>44617</v>
      </c>
      <c r="B444" s="67" t="s">
        <v>53</v>
      </c>
      <c r="C444" s="129" t="str">
        <f t="shared" si="12"/>
        <v>25.02.2022_NATohBo</v>
      </c>
      <c r="D444" s="143">
        <f t="shared" si="13"/>
        <v>0</v>
      </c>
      <c r="E444" s="157">
        <v>8.1300000000000008</v>
      </c>
      <c r="F444" s="165"/>
      <c r="G444" s="166">
        <v>955</v>
      </c>
      <c r="H444" s="167">
        <v>8.1</v>
      </c>
      <c r="I444" s="165"/>
      <c r="J444" s="167"/>
      <c r="K444" s="167">
        <v>4.7</v>
      </c>
      <c r="L444" s="167">
        <v>20</v>
      </c>
      <c r="M444" s="168">
        <v>0.59583333333333299</v>
      </c>
      <c r="N444" s="67"/>
    </row>
    <row r="445" spans="1:14" x14ac:dyDescent="0.25">
      <c r="A445" s="66">
        <v>44617</v>
      </c>
      <c r="B445" s="67" t="s">
        <v>55</v>
      </c>
      <c r="C445" s="129" t="str">
        <f t="shared" si="12"/>
        <v>25.02.2022_QUAohBo</v>
      </c>
      <c r="D445" s="143">
        <f t="shared" si="13"/>
        <v>0</v>
      </c>
      <c r="E445" s="157">
        <v>7.96</v>
      </c>
      <c r="F445" s="165"/>
      <c r="G445" s="166">
        <v>765</v>
      </c>
      <c r="H445" s="167">
        <v>6.7</v>
      </c>
      <c r="I445" s="165"/>
      <c r="J445" s="167"/>
      <c r="K445" s="167">
        <v>7.3</v>
      </c>
      <c r="L445" s="167">
        <v>36.4</v>
      </c>
      <c r="M445" s="168">
        <v>0.54097222222222197</v>
      </c>
      <c r="N445" s="67" t="s">
        <v>122</v>
      </c>
    </row>
    <row r="446" spans="1:14" x14ac:dyDescent="0.25">
      <c r="A446" s="66">
        <v>44617</v>
      </c>
      <c r="B446" s="67" t="s">
        <v>57</v>
      </c>
      <c r="C446" s="129" t="str">
        <f t="shared" si="12"/>
        <v>25.02.2022_SCHohVo</v>
      </c>
      <c r="D446" s="143">
        <f t="shared" si="13"/>
        <v>0</v>
      </c>
      <c r="E446" s="157">
        <v>8.15</v>
      </c>
      <c r="F446" s="165"/>
      <c r="G446" s="166">
        <v>456</v>
      </c>
      <c r="H446" s="167">
        <v>10.4</v>
      </c>
      <c r="I446" s="165"/>
      <c r="J446" s="167"/>
      <c r="K446" s="167">
        <v>5.0999999999999996</v>
      </c>
      <c r="L446" s="167">
        <v>15.5</v>
      </c>
      <c r="M446" s="168">
        <v>0.41041666666666698</v>
      </c>
      <c r="N446" s="67"/>
    </row>
    <row r="447" spans="1:14" x14ac:dyDescent="0.25">
      <c r="A447" s="66">
        <v>44617</v>
      </c>
      <c r="B447" s="67" t="s">
        <v>60</v>
      </c>
      <c r="C447" s="129" t="str">
        <f t="shared" si="12"/>
        <v>25.02.2022_VORohBo</v>
      </c>
      <c r="D447" s="143">
        <f t="shared" si="13"/>
        <v>0</v>
      </c>
      <c r="E447" s="157">
        <v>7.92</v>
      </c>
      <c r="F447" s="165"/>
      <c r="G447" s="166">
        <v>785</v>
      </c>
      <c r="H447" s="167">
        <v>7.9</v>
      </c>
      <c r="I447" s="165"/>
      <c r="J447" s="167"/>
      <c r="K447" s="167">
        <v>5.8</v>
      </c>
      <c r="L447" s="167">
        <v>23.5</v>
      </c>
      <c r="M447" s="168">
        <v>0.43194444444444402</v>
      </c>
      <c r="N447" s="67"/>
    </row>
    <row r="448" spans="1:14" x14ac:dyDescent="0.25">
      <c r="A448" s="66">
        <v>44617</v>
      </c>
      <c r="B448" s="67" t="s">
        <v>62</v>
      </c>
      <c r="C448" s="129" t="str">
        <f t="shared" si="12"/>
        <v>25.02.2022_VORuhSc</v>
      </c>
      <c r="D448" s="143">
        <f t="shared" si="13"/>
        <v>0</v>
      </c>
      <c r="E448" s="157">
        <v>7.78</v>
      </c>
      <c r="F448" s="165"/>
      <c r="G448" s="166">
        <v>715</v>
      </c>
      <c r="H448" s="167">
        <v>6.8</v>
      </c>
      <c r="I448" s="165"/>
      <c r="J448" s="167"/>
      <c r="K448" s="167">
        <v>5.7</v>
      </c>
      <c r="L448" s="167">
        <v>23.9</v>
      </c>
      <c r="M448" s="168">
        <v>0.42013888888888901</v>
      </c>
      <c r="N448" s="67"/>
    </row>
    <row r="449" spans="1:14" x14ac:dyDescent="0.25">
      <c r="A449" s="66">
        <v>44617</v>
      </c>
      <c r="B449" s="67" t="s">
        <v>64</v>
      </c>
      <c r="C449" s="129" t="str">
        <f t="shared" si="12"/>
        <v>25.02.2022_WITob</v>
      </c>
      <c r="D449" s="143">
        <f t="shared" si="13"/>
        <v>0</v>
      </c>
      <c r="E449" s="157">
        <v>8.44</v>
      </c>
      <c r="F449" s="165"/>
      <c r="G449" s="166">
        <v>1271</v>
      </c>
      <c r="H449" s="167">
        <v>7</v>
      </c>
      <c r="I449" s="165"/>
      <c r="J449" s="167"/>
      <c r="K449" s="167">
        <v>8.4</v>
      </c>
      <c r="L449" s="167">
        <v>5</v>
      </c>
      <c r="M449" s="168">
        <v>0.58194444444444504</v>
      </c>
      <c r="N449" s="67"/>
    </row>
    <row r="450" spans="1:14" x14ac:dyDescent="0.25">
      <c r="A450" s="66">
        <v>44631</v>
      </c>
      <c r="B450" s="67" t="s">
        <v>22</v>
      </c>
      <c r="C450" s="129" t="str">
        <f t="shared" si="12"/>
        <v>11.03.2022_BOYkl</v>
      </c>
      <c r="D450" s="143">
        <f t="shared" si="13"/>
        <v>0</v>
      </c>
      <c r="E450" s="157">
        <v>8.4700000000000006</v>
      </c>
      <c r="F450" s="165"/>
      <c r="G450" s="166">
        <v>483</v>
      </c>
      <c r="H450" s="167">
        <v>11.3</v>
      </c>
      <c r="I450" s="165"/>
      <c r="J450" s="167"/>
      <c r="K450" s="167">
        <v>6</v>
      </c>
      <c r="L450" s="167">
        <v>9</v>
      </c>
      <c r="M450" s="168">
        <v>0.46180555555555602</v>
      </c>
      <c r="N450" s="67"/>
    </row>
    <row r="451" spans="1:14" x14ac:dyDescent="0.25">
      <c r="A451" s="66">
        <v>44631</v>
      </c>
      <c r="B451" s="67" t="s">
        <v>25</v>
      </c>
      <c r="C451" s="129" t="str">
        <f t="shared" si="12"/>
        <v>11.03.2022_BOYohB224</v>
      </c>
      <c r="D451" s="143">
        <f t="shared" si="13"/>
        <v>0</v>
      </c>
      <c r="E451" s="157">
        <v>8.41</v>
      </c>
      <c r="F451" s="165"/>
      <c r="G451" s="166">
        <v>903</v>
      </c>
      <c r="H451" s="167">
        <v>10.5</v>
      </c>
      <c r="I451" s="165"/>
      <c r="J451" s="167"/>
      <c r="K451" s="167">
        <v>11.3</v>
      </c>
      <c r="L451" s="167">
        <v>41</v>
      </c>
      <c r="M451" s="168">
        <v>0.62847222222222199</v>
      </c>
      <c r="N451" s="67"/>
    </row>
    <row r="452" spans="1:14" x14ac:dyDescent="0.25">
      <c r="A452" s="66">
        <v>44631</v>
      </c>
      <c r="B452" s="67" t="s">
        <v>28</v>
      </c>
      <c r="C452" s="129" t="str">
        <f t="shared" ref="C452:C515" si="14">CONCATENATE(TEXT(A452,"TT.MM.JJJJ"),"_",B452)</f>
        <v>11.03.2022_BOYohBr</v>
      </c>
      <c r="D452" s="143">
        <f t="shared" si="13"/>
        <v>0</v>
      </c>
      <c r="E452" s="157">
        <v>8.09</v>
      </c>
      <c r="F452" s="165"/>
      <c r="G452" s="166">
        <v>583</v>
      </c>
      <c r="H452" s="167">
        <v>10.1</v>
      </c>
      <c r="I452" s="165"/>
      <c r="J452" s="167"/>
      <c r="K452" s="167">
        <v>7</v>
      </c>
      <c r="L452" s="167">
        <v>22</v>
      </c>
      <c r="M452" s="168">
        <v>0.50416666666666698</v>
      </c>
      <c r="N452" s="67"/>
    </row>
    <row r="453" spans="1:14" x14ac:dyDescent="0.25">
      <c r="A453" s="66">
        <v>44631</v>
      </c>
      <c r="B453" s="67" t="s">
        <v>30</v>
      </c>
      <c r="C453" s="129" t="str">
        <f t="shared" si="14"/>
        <v>11.03.2022_BOYohKi</v>
      </c>
      <c r="D453" s="143">
        <f t="shared" ref="D453:D516" si="15">COUNTBLANK(E453)+COUNTBLANK(G453:H453)+COUNTBLANK(K453:L453)</f>
        <v>0</v>
      </c>
      <c r="E453" s="157">
        <v>8.1300000000000008</v>
      </c>
      <c r="F453" s="165"/>
      <c r="G453" s="166">
        <v>793</v>
      </c>
      <c r="H453" s="167">
        <v>10.7</v>
      </c>
      <c r="I453" s="165"/>
      <c r="J453" s="167"/>
      <c r="K453" s="167">
        <v>5.0999999999999996</v>
      </c>
      <c r="L453" s="167">
        <v>36.700000000000003</v>
      </c>
      <c r="M453" s="168">
        <v>0.38055555555555598</v>
      </c>
      <c r="N453" s="67"/>
    </row>
    <row r="454" spans="1:14" x14ac:dyDescent="0.25">
      <c r="A454" s="66">
        <v>44631</v>
      </c>
      <c r="B454" s="67" t="s">
        <v>32</v>
      </c>
      <c r="C454" s="129" t="str">
        <f t="shared" si="14"/>
        <v>11.03.2022_BOYohSp</v>
      </c>
      <c r="D454" s="143">
        <f t="shared" si="15"/>
        <v>0</v>
      </c>
      <c r="E454" s="157">
        <v>8.11</v>
      </c>
      <c r="F454" s="165"/>
      <c r="G454" s="166">
        <v>702</v>
      </c>
      <c r="H454" s="167">
        <v>10.5</v>
      </c>
      <c r="I454" s="165"/>
      <c r="J454" s="167"/>
      <c r="K454" s="167">
        <v>7</v>
      </c>
      <c r="L454" s="167">
        <v>26.5</v>
      </c>
      <c r="M454" s="168">
        <v>0.53819444444444398</v>
      </c>
      <c r="N454" s="67"/>
    </row>
    <row r="455" spans="1:14" x14ac:dyDescent="0.25">
      <c r="A455" s="66">
        <v>44631</v>
      </c>
      <c r="B455" s="67" t="s">
        <v>36</v>
      </c>
      <c r="C455" s="129" t="str">
        <f t="shared" si="14"/>
        <v>11.03.2022_BOYuhSp</v>
      </c>
      <c r="D455" s="143">
        <f t="shared" si="15"/>
        <v>0</v>
      </c>
      <c r="E455" s="157">
        <v>8.2100000000000009</v>
      </c>
      <c r="F455" s="165"/>
      <c r="G455" s="166">
        <v>729</v>
      </c>
      <c r="H455" s="167">
        <v>11</v>
      </c>
      <c r="I455" s="165"/>
      <c r="J455" s="167"/>
      <c r="K455" s="167">
        <v>6.4</v>
      </c>
      <c r="L455" s="167">
        <v>18.5</v>
      </c>
      <c r="M455" s="168">
        <v>0.52916666666666701</v>
      </c>
      <c r="N455" s="67"/>
    </row>
    <row r="456" spans="1:14" x14ac:dyDescent="0.25">
      <c r="A456" s="66">
        <v>44631</v>
      </c>
      <c r="B456" s="67" t="s">
        <v>38</v>
      </c>
      <c r="C456" s="129" t="str">
        <f t="shared" si="14"/>
        <v>11.03.2022_BRAob</v>
      </c>
      <c r="D456" s="143">
        <f t="shared" si="15"/>
        <v>0</v>
      </c>
      <c r="E456" s="157">
        <v>8.3000000000000007</v>
      </c>
      <c r="F456" s="165"/>
      <c r="G456" s="166">
        <v>851</v>
      </c>
      <c r="H456" s="167">
        <v>10.199999999999999</v>
      </c>
      <c r="I456" s="165"/>
      <c r="J456" s="167"/>
      <c r="K456" s="167">
        <v>7</v>
      </c>
      <c r="L456" s="167">
        <v>8.6999999999999993</v>
      </c>
      <c r="M456" s="168">
        <v>0.47569444444444398</v>
      </c>
      <c r="N456" s="67"/>
    </row>
    <row r="457" spans="1:14" x14ac:dyDescent="0.25">
      <c r="A457" s="66">
        <v>44631</v>
      </c>
      <c r="B457" s="67" t="s">
        <v>41</v>
      </c>
      <c r="C457" s="129" t="str">
        <f t="shared" si="14"/>
        <v>11.03.2022_BRAohBo</v>
      </c>
      <c r="D457" s="143">
        <f t="shared" si="15"/>
        <v>0</v>
      </c>
      <c r="E457" s="157">
        <v>8.31</v>
      </c>
      <c r="F457" s="165"/>
      <c r="G457" s="166">
        <v>752</v>
      </c>
      <c r="H457" s="167">
        <v>10.8</v>
      </c>
      <c r="I457" s="165"/>
      <c r="J457" s="167"/>
      <c r="K457" s="167">
        <v>6.2</v>
      </c>
      <c r="L457" s="167">
        <v>18.8</v>
      </c>
      <c r="M457" s="168">
        <v>0.48888888888888898</v>
      </c>
      <c r="N457" s="67"/>
    </row>
    <row r="458" spans="1:14" x14ac:dyDescent="0.25">
      <c r="A458" s="66">
        <v>44631</v>
      </c>
      <c r="B458" s="67" t="s">
        <v>43</v>
      </c>
      <c r="C458" s="129" t="str">
        <f t="shared" si="14"/>
        <v>11.03.2022_HAAob</v>
      </c>
      <c r="D458" s="143">
        <f t="shared" si="15"/>
        <v>0</v>
      </c>
      <c r="E458" s="157">
        <v>8.4700000000000006</v>
      </c>
      <c r="F458" s="165"/>
      <c r="G458" s="166">
        <v>821</v>
      </c>
      <c r="H458" s="167">
        <v>10.1</v>
      </c>
      <c r="I458" s="165"/>
      <c r="J458" s="167"/>
      <c r="K458" s="167">
        <v>10.5</v>
      </c>
      <c r="L458" s="167">
        <v>10.8</v>
      </c>
      <c r="M458" s="168">
        <v>0.58819444444444502</v>
      </c>
      <c r="N458" s="67"/>
    </row>
    <row r="459" spans="1:14" x14ac:dyDescent="0.25">
      <c r="A459" s="66">
        <v>44631</v>
      </c>
      <c r="B459" s="67" t="s">
        <v>45</v>
      </c>
      <c r="C459" s="129" t="str">
        <f t="shared" si="14"/>
        <v>11.03.2022_HAAun</v>
      </c>
      <c r="D459" s="143">
        <f t="shared" si="15"/>
        <v>0</v>
      </c>
      <c r="E459" s="157">
        <v>8.16</v>
      </c>
      <c r="F459" s="165"/>
      <c r="G459" s="166">
        <v>1080</v>
      </c>
      <c r="H459" s="167">
        <v>10.4</v>
      </c>
      <c r="I459" s="165"/>
      <c r="J459" s="167"/>
      <c r="K459" s="167">
        <v>10.199999999999999</v>
      </c>
      <c r="L459" s="167">
        <v>15.6</v>
      </c>
      <c r="M459" s="168">
        <v>0.57708333333333295</v>
      </c>
      <c r="N459" s="67"/>
    </row>
    <row r="460" spans="1:14" x14ac:dyDescent="0.25">
      <c r="A460" s="66">
        <v>44631</v>
      </c>
      <c r="B460" s="67" t="s">
        <v>47</v>
      </c>
      <c r="C460" s="129" t="str">
        <f t="shared" si="14"/>
        <v>11.03.2022_KIRob</v>
      </c>
      <c r="D460" s="143">
        <f t="shared" si="15"/>
        <v>0</v>
      </c>
      <c r="E460" s="157">
        <v>8.2200000000000006</v>
      </c>
      <c r="F460" s="165"/>
      <c r="G460" s="166">
        <v>1072</v>
      </c>
      <c r="H460" s="167">
        <v>9.9</v>
      </c>
      <c r="I460" s="165"/>
      <c r="J460" s="167"/>
      <c r="K460" s="167">
        <v>7</v>
      </c>
      <c r="L460" s="167">
        <v>10</v>
      </c>
      <c r="M460" s="168">
        <v>0.40347222222222201</v>
      </c>
      <c r="N460" s="67"/>
    </row>
    <row r="461" spans="1:14" x14ac:dyDescent="0.25">
      <c r="A461" s="66">
        <v>44631</v>
      </c>
      <c r="B461" s="67" t="s">
        <v>49</v>
      </c>
      <c r="C461" s="129" t="str">
        <f t="shared" si="14"/>
        <v>11.03.2022_KIRun</v>
      </c>
      <c r="D461" s="143">
        <f t="shared" si="15"/>
        <v>0</v>
      </c>
      <c r="E461" s="157">
        <v>8.35</v>
      </c>
      <c r="F461" s="165"/>
      <c r="G461" s="166">
        <v>983</v>
      </c>
      <c r="H461" s="167">
        <v>10.5</v>
      </c>
      <c r="I461" s="165"/>
      <c r="J461" s="167"/>
      <c r="K461" s="167">
        <v>7</v>
      </c>
      <c r="L461" s="167">
        <v>14.8</v>
      </c>
      <c r="M461" s="168">
        <v>0.39444444444444399</v>
      </c>
      <c r="N461" s="67"/>
    </row>
    <row r="462" spans="1:14" x14ac:dyDescent="0.25">
      <c r="A462" s="66">
        <v>44631</v>
      </c>
      <c r="B462" s="67" t="s">
        <v>50</v>
      </c>
      <c r="C462" s="129" t="str">
        <f t="shared" si="14"/>
        <v>11.03.2022_LIEohBo</v>
      </c>
      <c r="D462" s="143">
        <f t="shared" si="15"/>
        <v>0</v>
      </c>
      <c r="E462" s="157">
        <v>8.73</v>
      </c>
      <c r="F462" s="165"/>
      <c r="G462" s="166">
        <v>816</v>
      </c>
      <c r="H462" s="167">
        <v>12.7</v>
      </c>
      <c r="I462" s="165"/>
      <c r="J462" s="167"/>
      <c r="K462" s="167">
        <v>3.3</v>
      </c>
      <c r="L462" s="167">
        <v>13.4</v>
      </c>
      <c r="M462" s="168">
        <v>0.36944444444444402</v>
      </c>
      <c r="N462" s="67"/>
    </row>
    <row r="463" spans="1:14" x14ac:dyDescent="0.25">
      <c r="A463" s="66">
        <v>44631</v>
      </c>
      <c r="B463" s="67" t="s">
        <v>53</v>
      </c>
      <c r="C463" s="129" t="str">
        <f t="shared" si="14"/>
        <v>11.03.2022_NATohBo</v>
      </c>
      <c r="D463" s="143">
        <f t="shared" si="15"/>
        <v>0</v>
      </c>
      <c r="E463" s="157">
        <v>7.98</v>
      </c>
      <c r="F463" s="165"/>
      <c r="G463" s="166">
        <v>1425</v>
      </c>
      <c r="H463" s="167">
        <v>10.4</v>
      </c>
      <c r="I463" s="165"/>
      <c r="J463" s="167"/>
      <c r="K463" s="167">
        <v>8.1999999999999993</v>
      </c>
      <c r="L463" s="167">
        <v>13.5</v>
      </c>
      <c r="M463" s="168">
        <v>0.61597222222222203</v>
      </c>
      <c r="N463" s="67"/>
    </row>
    <row r="464" spans="1:14" x14ac:dyDescent="0.25">
      <c r="A464" s="66">
        <v>44631</v>
      </c>
      <c r="B464" s="67" t="s">
        <v>55</v>
      </c>
      <c r="C464" s="129" t="str">
        <f t="shared" si="14"/>
        <v>11.03.2022_QUAohBo</v>
      </c>
      <c r="D464" s="143">
        <f t="shared" si="15"/>
        <v>0</v>
      </c>
      <c r="E464" s="157">
        <v>8.18</v>
      </c>
      <c r="F464" s="165"/>
      <c r="G464" s="166">
        <v>873</v>
      </c>
      <c r="H464" s="167">
        <v>9.5</v>
      </c>
      <c r="I464" s="165"/>
      <c r="J464" s="167"/>
      <c r="K464" s="167">
        <v>8.3000000000000007</v>
      </c>
      <c r="L464" s="167">
        <v>20</v>
      </c>
      <c r="M464" s="168">
        <v>0.55694444444444502</v>
      </c>
      <c r="N464" s="67" t="s">
        <v>123</v>
      </c>
    </row>
    <row r="465" spans="1:14" x14ac:dyDescent="0.25">
      <c r="A465" s="66">
        <v>44631</v>
      </c>
      <c r="B465" s="67" t="s">
        <v>57</v>
      </c>
      <c r="C465" s="129" t="str">
        <f t="shared" si="14"/>
        <v>11.03.2022_SCHohVo</v>
      </c>
      <c r="D465" s="143">
        <f t="shared" si="15"/>
        <v>0</v>
      </c>
      <c r="E465" s="157">
        <v>8.57</v>
      </c>
      <c r="F465" s="165"/>
      <c r="G465" s="166">
        <v>589</v>
      </c>
      <c r="H465" s="167">
        <v>11.3</v>
      </c>
      <c r="I465" s="165"/>
      <c r="J465" s="167"/>
      <c r="K465" s="167">
        <v>4.4000000000000004</v>
      </c>
      <c r="L465" s="167">
        <v>14</v>
      </c>
      <c r="M465" s="168">
        <v>0.41666666666666702</v>
      </c>
      <c r="N465" s="67"/>
    </row>
    <row r="466" spans="1:14" x14ac:dyDescent="0.25">
      <c r="A466" s="66">
        <v>44631</v>
      </c>
      <c r="B466" s="67" t="s">
        <v>60</v>
      </c>
      <c r="C466" s="129" t="str">
        <f t="shared" si="14"/>
        <v>11.03.2022_VORohBo</v>
      </c>
      <c r="D466" s="143">
        <f t="shared" si="15"/>
        <v>0</v>
      </c>
      <c r="E466" s="157">
        <v>7.87</v>
      </c>
      <c r="F466" s="165"/>
      <c r="G466" s="166">
        <v>984</v>
      </c>
      <c r="H466" s="167">
        <v>9.1</v>
      </c>
      <c r="I466" s="165"/>
      <c r="J466" s="167"/>
      <c r="K466" s="167">
        <v>6</v>
      </c>
      <c r="L466" s="167">
        <v>18.600000000000001</v>
      </c>
      <c r="M466" s="168">
        <v>0.44374999999999998</v>
      </c>
      <c r="N466" s="67"/>
    </row>
    <row r="467" spans="1:14" x14ac:dyDescent="0.25">
      <c r="A467" s="66">
        <v>44631</v>
      </c>
      <c r="B467" s="67" t="s">
        <v>62</v>
      </c>
      <c r="C467" s="129" t="str">
        <f t="shared" si="14"/>
        <v>11.03.2022_VORuhSc</v>
      </c>
      <c r="D467" s="143">
        <f t="shared" si="15"/>
        <v>0</v>
      </c>
      <c r="E467" s="157">
        <v>7.78</v>
      </c>
      <c r="F467" s="165"/>
      <c r="G467" s="166">
        <v>921</v>
      </c>
      <c r="H467" s="167">
        <v>8.9</v>
      </c>
      <c r="I467" s="165"/>
      <c r="J467" s="167"/>
      <c r="K467" s="167">
        <v>5.9</v>
      </c>
      <c r="L467" s="167">
        <v>16.5</v>
      </c>
      <c r="M467" s="168">
        <v>0.42777777777777798</v>
      </c>
      <c r="N467" s="67"/>
    </row>
    <row r="468" spans="1:14" x14ac:dyDescent="0.25">
      <c r="A468" s="66">
        <v>44631</v>
      </c>
      <c r="B468" s="67" t="s">
        <v>64</v>
      </c>
      <c r="C468" s="129" t="str">
        <f t="shared" si="14"/>
        <v>11.03.2022_WITob</v>
      </c>
      <c r="D468" s="143">
        <f t="shared" si="15"/>
        <v>0</v>
      </c>
      <c r="E468" s="157">
        <v>8.39</v>
      </c>
      <c r="F468" s="165"/>
      <c r="G468" s="166">
        <v>1301</v>
      </c>
      <c r="H468" s="167">
        <v>9.8000000000000007</v>
      </c>
      <c r="I468" s="165"/>
      <c r="J468" s="167"/>
      <c r="K468" s="167">
        <v>12.8</v>
      </c>
      <c r="L468" s="167">
        <v>4.2</v>
      </c>
      <c r="M468" s="168">
        <v>0.60208333333333297</v>
      </c>
      <c r="N468" s="67"/>
    </row>
    <row r="469" spans="1:14" x14ac:dyDescent="0.25">
      <c r="A469" s="66">
        <v>44659</v>
      </c>
      <c r="B469" s="67" t="s">
        <v>22</v>
      </c>
      <c r="C469" s="129" t="str">
        <f t="shared" si="14"/>
        <v>08.04.2022_BOYkl</v>
      </c>
      <c r="D469" s="143">
        <f t="shared" si="15"/>
        <v>0</v>
      </c>
      <c r="E469" s="157">
        <v>7.64</v>
      </c>
      <c r="F469" s="165"/>
      <c r="G469" s="166">
        <v>441</v>
      </c>
      <c r="H469" s="167">
        <v>13.3</v>
      </c>
      <c r="I469" s="165"/>
      <c r="J469" s="167"/>
      <c r="K469" s="167">
        <v>8.8000000000000007</v>
      </c>
      <c r="L469" s="167">
        <v>11.5</v>
      </c>
      <c r="M469" s="168">
        <v>0.51666666666666705</v>
      </c>
      <c r="N469" s="67"/>
    </row>
    <row r="470" spans="1:14" x14ac:dyDescent="0.25">
      <c r="A470" s="66">
        <v>44659</v>
      </c>
      <c r="B470" s="67" t="s">
        <v>25</v>
      </c>
      <c r="C470" s="129" t="str">
        <f t="shared" si="14"/>
        <v>08.04.2022_BOYohB224</v>
      </c>
      <c r="D470" s="143">
        <f t="shared" si="15"/>
        <v>0</v>
      </c>
      <c r="E470" s="157">
        <v>8.26</v>
      </c>
      <c r="F470" s="165"/>
      <c r="G470" s="166">
        <v>696</v>
      </c>
      <c r="H470" s="167">
        <v>13.7</v>
      </c>
      <c r="I470" s="165"/>
      <c r="J470" s="167"/>
      <c r="K470" s="167">
        <v>10.6</v>
      </c>
      <c r="L470" s="167">
        <v>54</v>
      </c>
      <c r="M470" s="168">
        <v>0.72569444444444497</v>
      </c>
      <c r="N470" s="67"/>
    </row>
    <row r="471" spans="1:14" x14ac:dyDescent="0.25">
      <c r="A471" s="66">
        <v>44659</v>
      </c>
      <c r="B471" s="67" t="s">
        <v>28</v>
      </c>
      <c r="C471" s="129" t="str">
        <f t="shared" si="14"/>
        <v>08.04.2022_BOYohBr</v>
      </c>
      <c r="D471" s="143">
        <f t="shared" si="15"/>
        <v>0</v>
      </c>
      <c r="E471" s="157">
        <v>7.88</v>
      </c>
      <c r="F471" s="165"/>
      <c r="G471" s="166">
        <v>478</v>
      </c>
      <c r="H471" s="167">
        <v>13.1</v>
      </c>
      <c r="I471" s="165"/>
      <c r="J471" s="167"/>
      <c r="K471" s="167">
        <v>8.9</v>
      </c>
      <c r="L471" s="167">
        <v>20</v>
      </c>
      <c r="M471" s="168">
        <v>0.63055555555555598</v>
      </c>
      <c r="N471" s="175"/>
    </row>
    <row r="472" spans="1:14" x14ac:dyDescent="0.25">
      <c r="A472" s="66">
        <v>44659</v>
      </c>
      <c r="B472" s="67" t="s">
        <v>30</v>
      </c>
      <c r="C472" s="129" t="str">
        <f t="shared" si="14"/>
        <v>08.04.2022_BOYohKi</v>
      </c>
      <c r="D472" s="143">
        <f t="shared" si="15"/>
        <v>0</v>
      </c>
      <c r="E472" s="157">
        <v>8.01</v>
      </c>
      <c r="F472" s="165"/>
      <c r="G472" s="166">
        <v>600</v>
      </c>
      <c r="H472" s="167">
        <v>14.4</v>
      </c>
      <c r="I472" s="165"/>
      <c r="J472" s="167"/>
      <c r="K472" s="167">
        <v>7.8</v>
      </c>
      <c r="L472" s="167">
        <v>50</v>
      </c>
      <c r="M472" s="168">
        <v>0.41041666666666698</v>
      </c>
      <c r="N472" s="67"/>
    </row>
    <row r="473" spans="1:14" x14ac:dyDescent="0.25">
      <c r="A473" s="66">
        <v>44659</v>
      </c>
      <c r="B473" s="67" t="s">
        <v>32</v>
      </c>
      <c r="C473" s="129" t="str">
        <f t="shared" si="14"/>
        <v>08.04.2022_BOYohSp</v>
      </c>
      <c r="D473" s="143">
        <f t="shared" si="15"/>
        <v>0</v>
      </c>
      <c r="E473" s="157">
        <v>7.91</v>
      </c>
      <c r="F473" s="165"/>
      <c r="G473" s="166">
        <v>580</v>
      </c>
      <c r="H473" s="167">
        <v>13</v>
      </c>
      <c r="I473" s="165"/>
      <c r="J473" s="167"/>
      <c r="K473" s="167">
        <v>8.9</v>
      </c>
      <c r="L473" s="167">
        <v>40</v>
      </c>
      <c r="M473" s="168">
        <v>0.59375</v>
      </c>
      <c r="N473" s="67"/>
    </row>
    <row r="474" spans="1:14" x14ac:dyDescent="0.25">
      <c r="A474" s="66">
        <v>44659</v>
      </c>
      <c r="B474" s="67" t="s">
        <v>36</v>
      </c>
      <c r="C474" s="129" t="str">
        <f t="shared" si="14"/>
        <v>08.04.2022_BOYuhSp</v>
      </c>
      <c r="D474" s="143">
        <f t="shared" si="15"/>
        <v>0</v>
      </c>
      <c r="E474" s="157">
        <v>7.89</v>
      </c>
      <c r="F474" s="165"/>
      <c r="G474" s="166">
        <v>574</v>
      </c>
      <c r="H474" s="167">
        <v>13.5</v>
      </c>
      <c r="I474" s="165"/>
      <c r="J474" s="167"/>
      <c r="K474" s="167">
        <v>8.6</v>
      </c>
      <c r="L474" s="167">
        <v>28.5</v>
      </c>
      <c r="M474" s="168">
        <v>0.57986111111111105</v>
      </c>
      <c r="N474" s="175"/>
    </row>
    <row r="475" spans="1:14" x14ac:dyDescent="0.25">
      <c r="A475" s="66">
        <v>44659</v>
      </c>
      <c r="B475" s="67" t="s">
        <v>38</v>
      </c>
      <c r="C475" s="129" t="str">
        <f t="shared" si="14"/>
        <v>08.04.2022_BRAob</v>
      </c>
      <c r="D475" s="143">
        <f t="shared" si="15"/>
        <v>0</v>
      </c>
      <c r="E475" s="157">
        <v>7.89</v>
      </c>
      <c r="F475" s="165"/>
      <c r="G475" s="166">
        <v>574</v>
      </c>
      <c r="H475" s="167">
        <v>13.5</v>
      </c>
      <c r="I475" s="165"/>
      <c r="J475" s="167"/>
      <c r="K475" s="167">
        <v>8.6</v>
      </c>
      <c r="L475" s="167">
        <v>28.5</v>
      </c>
      <c r="M475" s="168">
        <v>0.57986111111111105</v>
      </c>
      <c r="N475" s="175"/>
    </row>
    <row r="476" spans="1:14" x14ac:dyDescent="0.25">
      <c r="A476" s="66">
        <v>44659</v>
      </c>
      <c r="B476" s="67" t="s">
        <v>41</v>
      </c>
      <c r="C476" s="129" t="str">
        <f t="shared" si="14"/>
        <v>08.04.2022_BRAohBo</v>
      </c>
      <c r="D476" s="143">
        <f t="shared" si="15"/>
        <v>0</v>
      </c>
      <c r="E476" s="157">
        <v>7.75</v>
      </c>
      <c r="F476" s="165"/>
      <c r="G476" s="166">
        <v>629</v>
      </c>
      <c r="H476" s="167">
        <v>13.1</v>
      </c>
      <c r="I476" s="165"/>
      <c r="J476" s="167"/>
      <c r="K476" s="167">
        <v>8.6999999999999993</v>
      </c>
      <c r="L476" s="167">
        <v>28</v>
      </c>
      <c r="M476" s="168">
        <v>0.55138888888888904</v>
      </c>
      <c r="N476" s="67"/>
    </row>
    <row r="477" spans="1:14" x14ac:dyDescent="0.25">
      <c r="A477" s="66">
        <v>44659</v>
      </c>
      <c r="B477" s="67" t="s">
        <v>43</v>
      </c>
      <c r="C477" s="129" t="str">
        <f t="shared" si="14"/>
        <v>08.04.2022_HAAob</v>
      </c>
      <c r="D477" s="143">
        <f t="shared" si="15"/>
        <v>0</v>
      </c>
      <c r="E477" s="157">
        <v>8.42</v>
      </c>
      <c r="F477" s="165"/>
      <c r="G477" s="166">
        <v>665</v>
      </c>
      <c r="H477" s="167">
        <v>13.5</v>
      </c>
      <c r="I477" s="165"/>
      <c r="J477" s="167"/>
      <c r="K477" s="167">
        <v>10</v>
      </c>
      <c r="L477" s="167">
        <v>17</v>
      </c>
      <c r="M477" s="168">
        <v>0.66319444444444398</v>
      </c>
      <c r="N477" s="67"/>
    </row>
    <row r="478" spans="1:14" x14ac:dyDescent="0.25">
      <c r="A478" s="66">
        <v>44659</v>
      </c>
      <c r="B478" s="67" t="s">
        <v>45</v>
      </c>
      <c r="C478" s="129" t="str">
        <f t="shared" si="14"/>
        <v>08.04.2022_HAAun</v>
      </c>
      <c r="D478" s="143">
        <f t="shared" si="15"/>
        <v>0</v>
      </c>
      <c r="E478" s="157">
        <v>7.95</v>
      </c>
      <c r="F478" s="165"/>
      <c r="G478" s="166">
        <v>801</v>
      </c>
      <c r="H478" s="167">
        <v>14.2</v>
      </c>
      <c r="I478" s="165"/>
      <c r="J478" s="167"/>
      <c r="K478" s="167">
        <v>9.9</v>
      </c>
      <c r="L478" s="167">
        <v>15</v>
      </c>
      <c r="M478" s="168">
        <v>0.64930555555555602</v>
      </c>
      <c r="N478" s="175"/>
    </row>
    <row r="479" spans="1:14" x14ac:dyDescent="0.25">
      <c r="A479" s="66">
        <v>44659</v>
      </c>
      <c r="B479" s="67" t="s">
        <v>47</v>
      </c>
      <c r="C479" s="129" t="str">
        <f t="shared" si="14"/>
        <v>08.04.2022_KIRob</v>
      </c>
      <c r="D479" s="143">
        <f t="shared" si="15"/>
        <v>0</v>
      </c>
      <c r="E479" s="157">
        <v>8.1300000000000008</v>
      </c>
      <c r="F479" s="165"/>
      <c r="G479" s="166">
        <v>1005</v>
      </c>
      <c r="H479" s="167">
        <v>13.9</v>
      </c>
      <c r="I479" s="165"/>
      <c r="J479" s="167"/>
      <c r="K479" s="167">
        <v>9.3000000000000007</v>
      </c>
      <c r="L479" s="167">
        <v>10</v>
      </c>
      <c r="M479" s="168">
        <v>0.43888888888888899</v>
      </c>
      <c r="N479" s="67"/>
    </row>
    <row r="480" spans="1:14" x14ac:dyDescent="0.25">
      <c r="A480" s="66">
        <v>44659</v>
      </c>
      <c r="B480" s="67" t="s">
        <v>49</v>
      </c>
      <c r="C480" s="129" t="str">
        <f t="shared" si="14"/>
        <v>08.04.2022_KIRun</v>
      </c>
      <c r="D480" s="143">
        <f t="shared" si="15"/>
        <v>0</v>
      </c>
      <c r="E480" s="157">
        <v>8.1300000000000008</v>
      </c>
      <c r="F480" s="165"/>
      <c r="G480" s="166">
        <v>925</v>
      </c>
      <c r="H480" s="167">
        <v>14.5</v>
      </c>
      <c r="I480" s="165"/>
      <c r="J480" s="167"/>
      <c r="K480" s="167">
        <v>9.3000000000000007</v>
      </c>
      <c r="L480" s="167">
        <v>11</v>
      </c>
      <c r="M480" s="168">
        <v>0.42499999999999999</v>
      </c>
      <c r="N480" s="67"/>
    </row>
    <row r="481" spans="1:14" x14ac:dyDescent="0.25">
      <c r="A481" s="66">
        <v>44659</v>
      </c>
      <c r="B481" s="67" t="s">
        <v>50</v>
      </c>
      <c r="C481" s="129" t="str">
        <f t="shared" si="14"/>
        <v>08.04.2022_LIEohBo</v>
      </c>
      <c r="D481" s="143">
        <f t="shared" si="15"/>
        <v>0</v>
      </c>
      <c r="E481" s="157">
        <v>8.31</v>
      </c>
      <c r="F481" s="165"/>
      <c r="G481" s="166">
        <v>657</v>
      </c>
      <c r="H481" s="167">
        <v>15.7</v>
      </c>
      <c r="I481" s="165"/>
      <c r="J481" s="167"/>
      <c r="K481" s="167">
        <v>6.5</v>
      </c>
      <c r="L481" s="167">
        <v>10</v>
      </c>
      <c r="M481" s="168">
        <v>0.39305555555555599</v>
      </c>
      <c r="N481" s="175"/>
    </row>
    <row r="482" spans="1:14" x14ac:dyDescent="0.25">
      <c r="A482" s="66">
        <v>44659</v>
      </c>
      <c r="B482" s="67" t="s">
        <v>53</v>
      </c>
      <c r="C482" s="129" t="str">
        <f t="shared" si="14"/>
        <v>08.04.2022_NATohBo</v>
      </c>
      <c r="D482" s="143">
        <f t="shared" si="15"/>
        <v>0</v>
      </c>
      <c r="E482" s="157">
        <v>8.06</v>
      </c>
      <c r="F482" s="165"/>
      <c r="G482" s="166">
        <v>1092</v>
      </c>
      <c r="H482" s="167">
        <v>13.6</v>
      </c>
      <c r="I482" s="165"/>
      <c r="J482" s="167"/>
      <c r="K482" s="167">
        <v>10.6</v>
      </c>
      <c r="L482" s="167">
        <v>15.5</v>
      </c>
      <c r="M482" s="168">
        <v>0.70833333333333304</v>
      </c>
      <c r="N482" s="67"/>
    </row>
    <row r="483" spans="1:14" x14ac:dyDescent="0.25">
      <c r="A483" s="66">
        <v>44659</v>
      </c>
      <c r="B483" s="67" t="s">
        <v>55</v>
      </c>
      <c r="C483" s="129" t="str">
        <f t="shared" si="14"/>
        <v>08.04.2022_QUAohBo</v>
      </c>
      <c r="D483" s="143">
        <f t="shared" si="15"/>
        <v>0</v>
      </c>
      <c r="E483" s="157">
        <v>7.99</v>
      </c>
      <c r="F483" s="165"/>
      <c r="G483" s="166">
        <v>804</v>
      </c>
      <c r="H483" s="167">
        <v>12.4</v>
      </c>
      <c r="I483" s="165"/>
      <c r="J483" s="167"/>
      <c r="K483" s="167">
        <v>9.8000000000000007</v>
      </c>
      <c r="L483" s="167">
        <v>28</v>
      </c>
      <c r="M483" s="168">
        <v>0.60833333333333295</v>
      </c>
      <c r="N483" s="67"/>
    </row>
    <row r="484" spans="1:14" x14ac:dyDescent="0.25">
      <c r="A484" s="66">
        <v>44659</v>
      </c>
      <c r="B484" s="67" t="s">
        <v>57</v>
      </c>
      <c r="C484" s="129" t="str">
        <f t="shared" si="14"/>
        <v>08.04.2022_SCHohVo</v>
      </c>
      <c r="D484" s="143">
        <f t="shared" si="15"/>
        <v>0</v>
      </c>
      <c r="E484" s="157">
        <v>7.93</v>
      </c>
      <c r="F484" s="165"/>
      <c r="G484" s="166">
        <v>421</v>
      </c>
      <c r="H484" s="167">
        <v>14.3</v>
      </c>
      <c r="I484" s="165"/>
      <c r="J484" s="167"/>
      <c r="K484" s="167">
        <v>8</v>
      </c>
      <c r="L484" s="167">
        <v>17.5</v>
      </c>
      <c r="M484" s="168">
        <v>0.45624999999999999</v>
      </c>
      <c r="N484" s="67"/>
    </row>
    <row r="485" spans="1:14" x14ac:dyDescent="0.25">
      <c r="A485" s="66">
        <v>44659</v>
      </c>
      <c r="B485" s="67" t="s">
        <v>60</v>
      </c>
      <c r="C485" s="129" t="str">
        <f t="shared" si="14"/>
        <v>08.04.2022_VORohBo</v>
      </c>
      <c r="D485" s="143">
        <f t="shared" si="15"/>
        <v>0</v>
      </c>
      <c r="E485" s="157">
        <v>7.73</v>
      </c>
      <c r="F485" s="165"/>
      <c r="G485" s="166">
        <v>782</v>
      </c>
      <c r="H485" s="167">
        <v>13.8</v>
      </c>
      <c r="I485" s="165"/>
      <c r="J485" s="167"/>
      <c r="K485" s="167">
        <v>8.5</v>
      </c>
      <c r="L485" s="167">
        <v>18</v>
      </c>
      <c r="M485" s="168">
        <v>0.49375000000000002</v>
      </c>
      <c r="N485" s="67"/>
    </row>
    <row r="486" spans="1:14" x14ac:dyDescent="0.25">
      <c r="A486" s="66">
        <v>44659</v>
      </c>
      <c r="B486" s="67" t="s">
        <v>62</v>
      </c>
      <c r="C486" s="129" t="str">
        <f t="shared" si="14"/>
        <v>08.04.2022_VORuhSc</v>
      </c>
      <c r="D486" s="143">
        <f t="shared" si="15"/>
        <v>0</v>
      </c>
      <c r="E486" s="157">
        <v>7.63</v>
      </c>
      <c r="F486" s="165"/>
      <c r="G486" s="166">
        <v>714</v>
      </c>
      <c r="H486" s="167">
        <v>12.8</v>
      </c>
      <c r="I486" s="165"/>
      <c r="J486" s="167"/>
      <c r="K486" s="167">
        <v>8.3000000000000007</v>
      </c>
      <c r="L486" s="167">
        <v>18</v>
      </c>
      <c r="M486" s="168">
        <v>0.47430555555555598</v>
      </c>
      <c r="N486" s="67"/>
    </row>
    <row r="487" spans="1:14" x14ac:dyDescent="0.25">
      <c r="A487" s="66">
        <v>44659</v>
      </c>
      <c r="B487" s="67" t="s">
        <v>64</v>
      </c>
      <c r="C487" s="129" t="str">
        <f t="shared" si="14"/>
        <v>08.04.2022_WITob</v>
      </c>
      <c r="D487" s="143">
        <f t="shared" si="15"/>
        <v>0</v>
      </c>
      <c r="E487" s="157">
        <v>8.41</v>
      </c>
      <c r="F487" s="165"/>
      <c r="G487" s="166">
        <v>1169</v>
      </c>
      <c r="H487" s="167">
        <v>12.2</v>
      </c>
      <c r="I487" s="165"/>
      <c r="J487" s="167"/>
      <c r="K487" s="167">
        <v>11.1</v>
      </c>
      <c r="L487" s="167">
        <v>2</v>
      </c>
      <c r="M487" s="168">
        <v>0.6875</v>
      </c>
      <c r="N487" s="67"/>
    </row>
    <row r="488" spans="1:14" x14ac:dyDescent="0.25">
      <c r="A488" s="66">
        <v>44673</v>
      </c>
      <c r="B488" s="67" t="s">
        <v>22</v>
      </c>
      <c r="C488" s="129" t="str">
        <f t="shared" si="14"/>
        <v>22.04.2022_BOYkl</v>
      </c>
      <c r="D488" s="143">
        <f t="shared" si="15"/>
        <v>0</v>
      </c>
      <c r="E488" s="157">
        <v>8.01</v>
      </c>
      <c r="F488" s="165"/>
      <c r="G488" s="166">
        <v>491</v>
      </c>
      <c r="H488" s="167">
        <v>14.8</v>
      </c>
      <c r="I488" s="165"/>
      <c r="J488" s="167"/>
      <c r="K488" s="167">
        <v>11.5</v>
      </c>
      <c r="L488" s="167">
        <v>6</v>
      </c>
      <c r="M488" s="168">
        <v>0.47847222222222202</v>
      </c>
      <c r="N488" s="67"/>
    </row>
    <row r="489" spans="1:14" x14ac:dyDescent="0.25">
      <c r="A489" s="66">
        <v>44673</v>
      </c>
      <c r="B489" s="67" t="s">
        <v>25</v>
      </c>
      <c r="C489" s="129" t="str">
        <f t="shared" si="14"/>
        <v>22.04.2022_BOYohB224</v>
      </c>
      <c r="D489" s="143">
        <f t="shared" si="15"/>
        <v>0</v>
      </c>
      <c r="E489" s="157">
        <v>8.51</v>
      </c>
      <c r="F489" s="165"/>
      <c r="G489" s="166">
        <v>923</v>
      </c>
      <c r="H489" s="167">
        <v>15.7</v>
      </c>
      <c r="I489" s="165"/>
      <c r="J489" s="167"/>
      <c r="K489" s="167">
        <v>15.8</v>
      </c>
      <c r="L489" s="167">
        <v>34</v>
      </c>
      <c r="M489" s="168">
        <v>0.64930555555555602</v>
      </c>
      <c r="N489" s="67"/>
    </row>
    <row r="490" spans="1:14" x14ac:dyDescent="0.25">
      <c r="A490" s="66">
        <v>44673</v>
      </c>
      <c r="B490" s="67" t="s">
        <v>28</v>
      </c>
      <c r="C490" s="129" t="str">
        <f t="shared" si="14"/>
        <v>22.04.2022_BOYohBr</v>
      </c>
      <c r="D490" s="143">
        <f t="shared" si="15"/>
        <v>0</v>
      </c>
      <c r="E490" s="157">
        <v>8.0500000000000007</v>
      </c>
      <c r="F490" s="165"/>
      <c r="G490" s="166">
        <v>577</v>
      </c>
      <c r="H490" s="167">
        <v>14</v>
      </c>
      <c r="I490" s="165"/>
      <c r="J490" s="167"/>
      <c r="K490" s="167">
        <v>11.5</v>
      </c>
      <c r="L490" s="167">
        <v>16</v>
      </c>
      <c r="M490" s="168">
        <v>0.52986111111111101</v>
      </c>
      <c r="N490" s="67"/>
    </row>
    <row r="491" spans="1:14" x14ac:dyDescent="0.25">
      <c r="A491" s="66">
        <v>44673</v>
      </c>
      <c r="B491" s="67" t="s">
        <v>30</v>
      </c>
      <c r="C491" s="129" t="str">
        <f t="shared" si="14"/>
        <v>22.04.2022_BOYohKi</v>
      </c>
      <c r="D491" s="143">
        <f t="shared" si="15"/>
        <v>0</v>
      </c>
      <c r="E491" s="157">
        <v>8.2100000000000009</v>
      </c>
      <c r="F491" s="165"/>
      <c r="G491" s="166">
        <v>796</v>
      </c>
      <c r="H491" s="167">
        <v>14.2</v>
      </c>
      <c r="I491" s="165"/>
      <c r="J491" s="167"/>
      <c r="K491" s="167">
        <v>10.6</v>
      </c>
      <c r="L491" s="167">
        <v>31.5</v>
      </c>
      <c r="M491" s="168">
        <v>0.38333333333333303</v>
      </c>
      <c r="N491" s="67"/>
    </row>
    <row r="492" spans="1:14" x14ac:dyDescent="0.25">
      <c r="A492" s="66">
        <v>44673</v>
      </c>
      <c r="B492" s="67" t="s">
        <v>32</v>
      </c>
      <c r="C492" s="129" t="str">
        <f t="shared" si="14"/>
        <v>22.04.2022_BOYohSp</v>
      </c>
      <c r="D492" s="143">
        <f t="shared" si="15"/>
        <v>0</v>
      </c>
      <c r="E492" s="157">
        <v>8.1999999999999993</v>
      </c>
      <c r="F492" s="165"/>
      <c r="G492" s="166">
        <v>685</v>
      </c>
      <c r="H492" s="167">
        <v>14.9</v>
      </c>
      <c r="I492" s="165"/>
      <c r="J492" s="167"/>
      <c r="K492" s="167">
        <v>11.6</v>
      </c>
      <c r="L492" s="167">
        <v>24</v>
      </c>
      <c r="M492" s="168">
        <v>0.55486111111111103</v>
      </c>
      <c r="N492" s="67"/>
    </row>
    <row r="493" spans="1:14" x14ac:dyDescent="0.25">
      <c r="A493" s="66">
        <v>44673</v>
      </c>
      <c r="B493" s="67" t="s">
        <v>36</v>
      </c>
      <c r="C493" s="129" t="str">
        <f t="shared" si="14"/>
        <v>22.04.2022_BOYuhSp</v>
      </c>
      <c r="D493" s="143">
        <f t="shared" si="15"/>
        <v>0</v>
      </c>
      <c r="E493" s="157">
        <v>8.2200000000000006</v>
      </c>
      <c r="F493" s="165"/>
      <c r="G493" s="166">
        <v>694</v>
      </c>
      <c r="H493" s="167">
        <v>14.5</v>
      </c>
      <c r="I493" s="165"/>
      <c r="J493" s="167"/>
      <c r="K493" s="167">
        <v>11.3</v>
      </c>
      <c r="L493" s="167">
        <v>26</v>
      </c>
      <c r="M493" s="168">
        <v>0.54166666666666696</v>
      </c>
      <c r="N493" s="67"/>
    </row>
    <row r="494" spans="1:14" x14ac:dyDescent="0.25">
      <c r="A494" s="66">
        <v>44673</v>
      </c>
      <c r="B494" s="67" t="s">
        <v>38</v>
      </c>
      <c r="C494" s="129" t="str">
        <f t="shared" si="14"/>
        <v>22.04.2022_BRAob</v>
      </c>
      <c r="D494" s="143">
        <f t="shared" si="15"/>
        <v>0</v>
      </c>
      <c r="E494" s="157">
        <v>8.26</v>
      </c>
      <c r="F494" s="165"/>
      <c r="G494" s="166">
        <v>802</v>
      </c>
      <c r="H494" s="167">
        <v>14.1</v>
      </c>
      <c r="I494" s="165"/>
      <c r="J494" s="167"/>
      <c r="K494" s="167">
        <v>11.7</v>
      </c>
      <c r="L494" s="167">
        <v>5.5</v>
      </c>
      <c r="M494" s="168">
        <v>0.49305555555555602</v>
      </c>
      <c r="N494" s="67"/>
    </row>
    <row r="495" spans="1:14" x14ac:dyDescent="0.25">
      <c r="A495" s="66">
        <v>44673</v>
      </c>
      <c r="B495" s="67" t="s">
        <v>41</v>
      </c>
      <c r="C495" s="129" t="str">
        <f t="shared" si="14"/>
        <v>22.04.2022_BRAohBo</v>
      </c>
      <c r="D495" s="143">
        <f t="shared" si="15"/>
        <v>0</v>
      </c>
      <c r="E495" s="157">
        <v>8.59</v>
      </c>
      <c r="F495" s="165"/>
      <c r="G495" s="166">
        <v>740</v>
      </c>
      <c r="H495" s="167">
        <v>17.600000000000001</v>
      </c>
      <c r="I495" s="165"/>
      <c r="J495" s="167"/>
      <c r="K495" s="167">
        <v>12.3</v>
      </c>
      <c r="L495" s="167">
        <v>15.5</v>
      </c>
      <c r="M495" s="168">
        <v>0.51041666666666696</v>
      </c>
      <c r="N495" s="67"/>
    </row>
    <row r="496" spans="1:14" x14ac:dyDescent="0.25">
      <c r="A496" s="66">
        <v>44673</v>
      </c>
      <c r="B496" s="67" t="s">
        <v>43</v>
      </c>
      <c r="C496" s="129" t="str">
        <f t="shared" si="14"/>
        <v>22.04.2022_HAAob</v>
      </c>
      <c r="D496" s="143">
        <f t="shared" si="15"/>
        <v>0</v>
      </c>
      <c r="E496" s="157">
        <v>8.39</v>
      </c>
      <c r="F496" s="165"/>
      <c r="G496" s="166">
        <v>904</v>
      </c>
      <c r="H496" s="167">
        <v>12.9</v>
      </c>
      <c r="I496" s="165"/>
      <c r="J496" s="167"/>
      <c r="K496" s="167">
        <v>14.2</v>
      </c>
      <c r="L496" s="167">
        <v>5.5</v>
      </c>
      <c r="M496" s="168">
        <v>0.60069444444444398</v>
      </c>
      <c r="N496" s="67"/>
    </row>
    <row r="497" spans="1:14" x14ac:dyDescent="0.25">
      <c r="A497" s="66">
        <v>44673</v>
      </c>
      <c r="B497" s="67" t="s">
        <v>45</v>
      </c>
      <c r="C497" s="129" t="str">
        <f t="shared" si="14"/>
        <v>22.04.2022_HAAun</v>
      </c>
      <c r="D497" s="143">
        <f t="shared" si="15"/>
        <v>0</v>
      </c>
      <c r="E497" s="157">
        <v>8.1</v>
      </c>
      <c r="F497" s="165"/>
      <c r="G497" s="166">
        <v>1162</v>
      </c>
      <c r="H497" s="167">
        <v>12.2</v>
      </c>
      <c r="I497" s="165"/>
      <c r="J497" s="167"/>
      <c r="K497" s="167">
        <v>12.7</v>
      </c>
      <c r="L497" s="167">
        <v>10</v>
      </c>
      <c r="M497" s="168">
        <v>0.58680555555555602</v>
      </c>
      <c r="N497" s="67"/>
    </row>
    <row r="498" spans="1:14" x14ac:dyDescent="0.25">
      <c r="A498" s="66">
        <v>44673</v>
      </c>
      <c r="B498" s="67" t="s">
        <v>47</v>
      </c>
      <c r="C498" s="129" t="str">
        <f t="shared" si="14"/>
        <v>22.04.2022_KIRob</v>
      </c>
      <c r="D498" s="143">
        <f t="shared" si="15"/>
        <v>0</v>
      </c>
      <c r="E498" s="157">
        <v>8.18</v>
      </c>
      <c r="F498" s="165"/>
      <c r="G498" s="166">
        <v>1073</v>
      </c>
      <c r="H498" s="167">
        <v>13.2</v>
      </c>
      <c r="I498" s="165"/>
      <c r="J498" s="167"/>
      <c r="K498" s="167">
        <v>11.4</v>
      </c>
      <c r="L498" s="167">
        <v>5</v>
      </c>
      <c r="M498" s="168">
        <v>0.41319444444444398</v>
      </c>
      <c r="N498" s="67"/>
    </row>
    <row r="499" spans="1:14" x14ac:dyDescent="0.25">
      <c r="A499" s="66">
        <v>44673</v>
      </c>
      <c r="B499" s="67" t="s">
        <v>49</v>
      </c>
      <c r="C499" s="129" t="str">
        <f t="shared" si="14"/>
        <v>22.04.2022_KIRun</v>
      </c>
      <c r="D499" s="143">
        <f t="shared" si="15"/>
        <v>0</v>
      </c>
      <c r="E499" s="157">
        <v>8.25</v>
      </c>
      <c r="F499" s="165"/>
      <c r="G499" s="166">
        <v>972</v>
      </c>
      <c r="H499" s="167">
        <v>12.4</v>
      </c>
      <c r="I499" s="165"/>
      <c r="J499" s="167"/>
      <c r="K499" s="167">
        <v>11.6</v>
      </c>
      <c r="L499" s="167">
        <v>6</v>
      </c>
      <c r="M499" s="168">
        <v>0.39791666666666697</v>
      </c>
      <c r="N499" s="67"/>
    </row>
    <row r="500" spans="1:14" x14ac:dyDescent="0.25">
      <c r="A500" s="66">
        <v>44673</v>
      </c>
      <c r="B500" s="67" t="s">
        <v>50</v>
      </c>
      <c r="C500" s="129" t="str">
        <f t="shared" si="14"/>
        <v>22.04.2022_LIEohBo</v>
      </c>
      <c r="D500" s="143">
        <f t="shared" si="15"/>
        <v>0</v>
      </c>
      <c r="E500" s="157">
        <v>8.06</v>
      </c>
      <c r="F500" s="165"/>
      <c r="G500" s="166">
        <v>762</v>
      </c>
      <c r="H500" s="167">
        <v>11.5</v>
      </c>
      <c r="I500" s="165"/>
      <c r="J500" s="167"/>
      <c r="K500" s="167">
        <v>9.6</v>
      </c>
      <c r="L500" s="167">
        <v>12</v>
      </c>
      <c r="M500" s="168">
        <v>0.36944444444444402</v>
      </c>
      <c r="N500" s="67"/>
    </row>
    <row r="501" spans="1:14" x14ac:dyDescent="0.25">
      <c r="A501" s="66">
        <v>44673</v>
      </c>
      <c r="B501" s="67" t="s">
        <v>53</v>
      </c>
      <c r="C501" s="129" t="str">
        <f t="shared" si="14"/>
        <v>22.04.2022_NATohBo</v>
      </c>
      <c r="D501" s="143">
        <f t="shared" si="15"/>
        <v>0</v>
      </c>
      <c r="E501" s="157">
        <v>7.78</v>
      </c>
      <c r="F501" s="165"/>
      <c r="G501" s="166">
        <v>1722</v>
      </c>
      <c r="H501" s="167">
        <v>12.7</v>
      </c>
      <c r="I501" s="165"/>
      <c r="J501" s="167"/>
      <c r="K501" s="167">
        <v>13.9</v>
      </c>
      <c r="L501" s="167">
        <v>9.5</v>
      </c>
      <c r="M501" s="168">
        <v>0.63541666666666696</v>
      </c>
      <c r="N501" s="67"/>
    </row>
    <row r="502" spans="1:14" x14ac:dyDescent="0.25">
      <c r="A502" s="66">
        <v>44673</v>
      </c>
      <c r="B502" s="67" t="s">
        <v>55</v>
      </c>
      <c r="C502" s="129" t="str">
        <f t="shared" si="14"/>
        <v>22.04.2022_QUAohBo</v>
      </c>
      <c r="D502" s="143">
        <f t="shared" si="15"/>
        <v>0</v>
      </c>
      <c r="E502" s="157">
        <v>8.07</v>
      </c>
      <c r="F502" s="165"/>
      <c r="G502" s="166">
        <v>863</v>
      </c>
      <c r="H502" s="167">
        <v>10.6</v>
      </c>
      <c r="I502" s="165"/>
      <c r="J502" s="167"/>
      <c r="K502" s="167">
        <v>12.6</v>
      </c>
      <c r="L502" s="167">
        <v>13.5</v>
      </c>
      <c r="M502" s="168">
        <v>0.56944444444444398</v>
      </c>
      <c r="N502" s="175" t="s">
        <v>124</v>
      </c>
    </row>
    <row r="503" spans="1:14" x14ac:dyDescent="0.25">
      <c r="A503" s="66">
        <v>44673</v>
      </c>
      <c r="B503" s="67" t="s">
        <v>57</v>
      </c>
      <c r="C503" s="129" t="str">
        <f t="shared" si="14"/>
        <v>22.04.2022_SCHohVo</v>
      </c>
      <c r="D503" s="143">
        <f t="shared" si="15"/>
        <v>0</v>
      </c>
      <c r="E503" s="157">
        <v>8.24</v>
      </c>
      <c r="F503" s="165"/>
      <c r="G503" s="166">
        <v>623</v>
      </c>
      <c r="H503" s="167">
        <v>15.4</v>
      </c>
      <c r="I503" s="165"/>
      <c r="J503" s="167"/>
      <c r="K503" s="167">
        <v>10.6</v>
      </c>
      <c r="L503" s="167">
        <v>10</v>
      </c>
      <c r="M503" s="168">
        <v>0.42777777777777798</v>
      </c>
      <c r="N503" s="67"/>
    </row>
    <row r="504" spans="1:14" x14ac:dyDescent="0.25">
      <c r="A504" s="66">
        <v>44673</v>
      </c>
      <c r="B504" s="67" t="s">
        <v>60</v>
      </c>
      <c r="C504" s="129" t="str">
        <f t="shared" si="14"/>
        <v>22.04.2022_VORohBo</v>
      </c>
      <c r="D504" s="143">
        <f t="shared" si="15"/>
        <v>0</v>
      </c>
      <c r="E504" s="157">
        <v>7.8</v>
      </c>
      <c r="F504" s="165"/>
      <c r="G504" s="166">
        <v>997</v>
      </c>
      <c r="H504" s="167">
        <v>13.4</v>
      </c>
      <c r="I504" s="165"/>
      <c r="J504" s="167"/>
      <c r="K504" s="167">
        <v>11.1</v>
      </c>
      <c r="L504" s="167">
        <v>13</v>
      </c>
      <c r="M504" s="168">
        <v>0.45624999999999999</v>
      </c>
      <c r="N504" s="67"/>
    </row>
    <row r="505" spans="1:14" x14ac:dyDescent="0.25">
      <c r="A505" s="66">
        <v>44673</v>
      </c>
      <c r="B505" s="67" t="s">
        <v>62</v>
      </c>
      <c r="C505" s="129" t="str">
        <f t="shared" si="14"/>
        <v>22.04.2022_VORuhSc</v>
      </c>
      <c r="D505" s="143">
        <f t="shared" si="15"/>
        <v>0</v>
      </c>
      <c r="E505" s="157">
        <v>7.56</v>
      </c>
      <c r="F505" s="165"/>
      <c r="G505" s="166">
        <v>954</v>
      </c>
      <c r="H505" s="167">
        <v>12</v>
      </c>
      <c r="I505" s="165"/>
      <c r="J505" s="167"/>
      <c r="K505" s="167">
        <v>11.01</v>
      </c>
      <c r="L505" s="167">
        <v>12.5</v>
      </c>
      <c r="M505" s="168">
        <v>0.44097222222222199</v>
      </c>
      <c r="N505" s="67"/>
    </row>
    <row r="506" spans="1:14" x14ac:dyDescent="0.25">
      <c r="A506" s="66">
        <v>44673</v>
      </c>
      <c r="B506" s="67" t="s">
        <v>64</v>
      </c>
      <c r="C506" s="129" t="str">
        <f t="shared" si="14"/>
        <v>22.04.2022_WITob</v>
      </c>
      <c r="D506" s="143">
        <f t="shared" si="15"/>
        <v>0</v>
      </c>
      <c r="E506" s="157">
        <v>8.4</v>
      </c>
      <c r="F506" s="165"/>
      <c r="G506" s="166">
        <v>1257</v>
      </c>
      <c r="H506" s="167">
        <v>13.5</v>
      </c>
      <c r="I506" s="165"/>
      <c r="J506" s="167"/>
      <c r="K506" s="167">
        <v>13.7</v>
      </c>
      <c r="L506" s="167">
        <v>3</v>
      </c>
      <c r="M506" s="168">
        <v>0.61805555555555602</v>
      </c>
      <c r="N506" s="67"/>
    </row>
    <row r="507" spans="1:14" x14ac:dyDescent="0.25">
      <c r="A507" s="66">
        <v>44683</v>
      </c>
      <c r="B507" s="67" t="s">
        <v>22</v>
      </c>
      <c r="C507" s="129" t="str">
        <f t="shared" si="14"/>
        <v>02.05.2022_BOYkl</v>
      </c>
      <c r="D507" s="143">
        <f t="shared" si="15"/>
        <v>0</v>
      </c>
      <c r="E507" s="157">
        <v>8.11</v>
      </c>
      <c r="F507" s="165"/>
      <c r="G507" s="166">
        <v>509</v>
      </c>
      <c r="H507" s="167">
        <v>9.6</v>
      </c>
      <c r="I507" s="165"/>
      <c r="J507" s="167"/>
      <c r="K507" s="167">
        <v>8.4</v>
      </c>
      <c r="L507" s="167">
        <v>7.2</v>
      </c>
      <c r="M507" s="168">
        <v>0.48263888888888901</v>
      </c>
      <c r="N507" s="67"/>
    </row>
    <row r="508" spans="1:14" x14ac:dyDescent="0.25">
      <c r="A508" s="66">
        <v>44683</v>
      </c>
      <c r="B508" s="67" t="s">
        <v>25</v>
      </c>
      <c r="C508" s="129" t="str">
        <f t="shared" si="14"/>
        <v>02.05.2022_BOYohB224</v>
      </c>
      <c r="D508" s="143">
        <f t="shared" si="15"/>
        <v>0</v>
      </c>
      <c r="E508" s="157">
        <v>8.5</v>
      </c>
      <c r="F508" s="165"/>
      <c r="G508" s="166">
        <v>944</v>
      </c>
      <c r="H508" s="167">
        <v>10.7</v>
      </c>
      <c r="I508" s="165"/>
      <c r="J508" s="167"/>
      <c r="K508" s="167">
        <v>21</v>
      </c>
      <c r="L508" s="167">
        <v>32</v>
      </c>
      <c r="M508" s="168">
        <v>0.64722222222222203</v>
      </c>
      <c r="N508" s="67"/>
    </row>
    <row r="509" spans="1:14" x14ac:dyDescent="0.25">
      <c r="A509" s="66">
        <v>44683</v>
      </c>
      <c r="B509" s="67" t="s">
        <v>28</v>
      </c>
      <c r="C509" s="129" t="str">
        <f t="shared" si="14"/>
        <v>02.05.2022_BOYohBr</v>
      </c>
      <c r="D509" s="143">
        <f t="shared" si="15"/>
        <v>0</v>
      </c>
      <c r="E509" s="157">
        <v>8.07</v>
      </c>
      <c r="F509" s="165"/>
      <c r="G509" s="166">
        <v>596</v>
      </c>
      <c r="H509" s="167">
        <v>9.1999999999999993</v>
      </c>
      <c r="I509" s="165"/>
      <c r="J509" s="167"/>
      <c r="K509" s="167">
        <v>11.9</v>
      </c>
      <c r="L509" s="167">
        <v>17.2</v>
      </c>
      <c r="M509" s="168">
        <v>0.53611111111111098</v>
      </c>
      <c r="N509" s="67"/>
    </row>
    <row r="510" spans="1:14" x14ac:dyDescent="0.25">
      <c r="A510" s="66">
        <v>44683</v>
      </c>
      <c r="B510" s="67" t="s">
        <v>30</v>
      </c>
      <c r="C510" s="129" t="str">
        <f t="shared" si="14"/>
        <v>02.05.2022_BOYohKi</v>
      </c>
      <c r="D510" s="143">
        <f t="shared" si="15"/>
        <v>0</v>
      </c>
      <c r="E510" s="157">
        <v>8.27</v>
      </c>
      <c r="F510" s="165"/>
      <c r="G510" s="166">
        <v>803</v>
      </c>
      <c r="H510" s="167">
        <v>10.199999999999999</v>
      </c>
      <c r="I510" s="165"/>
      <c r="J510" s="167"/>
      <c r="K510" s="167">
        <v>11.2</v>
      </c>
      <c r="L510" s="167">
        <v>28.8</v>
      </c>
      <c r="M510" s="168">
        <v>0.39583333333333298</v>
      </c>
      <c r="N510" s="67"/>
    </row>
    <row r="511" spans="1:14" x14ac:dyDescent="0.25">
      <c r="A511" s="66">
        <v>44683</v>
      </c>
      <c r="B511" s="67" t="s">
        <v>32</v>
      </c>
      <c r="C511" s="129" t="str">
        <f t="shared" si="14"/>
        <v>02.05.2022_BOYohSp</v>
      </c>
      <c r="D511" s="143">
        <f t="shared" si="15"/>
        <v>0</v>
      </c>
      <c r="E511" s="157">
        <v>8.16</v>
      </c>
      <c r="F511" s="165"/>
      <c r="G511" s="166">
        <v>667</v>
      </c>
      <c r="H511" s="167">
        <v>9.1</v>
      </c>
      <c r="I511" s="165"/>
      <c r="J511" s="167"/>
      <c r="K511" s="167">
        <v>11.8</v>
      </c>
      <c r="L511" s="167">
        <v>22.1</v>
      </c>
      <c r="M511" s="168">
        <v>0.55972222222222201</v>
      </c>
      <c r="N511" s="67"/>
    </row>
    <row r="512" spans="1:14" x14ac:dyDescent="0.25">
      <c r="A512" s="66">
        <v>44683</v>
      </c>
      <c r="B512" s="67" t="s">
        <v>36</v>
      </c>
      <c r="C512" s="129" t="str">
        <f t="shared" si="14"/>
        <v>02.05.2022_BOYuhSp</v>
      </c>
      <c r="D512" s="143">
        <f t="shared" si="15"/>
        <v>0</v>
      </c>
      <c r="E512" s="157">
        <v>8.2899999999999991</v>
      </c>
      <c r="F512" s="165"/>
      <c r="G512" s="166">
        <v>695</v>
      </c>
      <c r="H512" s="167">
        <v>9.1999999999999993</v>
      </c>
      <c r="I512" s="165"/>
      <c r="J512" s="167"/>
      <c r="K512" s="167">
        <v>11.3</v>
      </c>
      <c r="L512" s="167">
        <v>21</v>
      </c>
      <c r="M512" s="168">
        <v>0.55208333333333304</v>
      </c>
      <c r="N512" s="67"/>
    </row>
    <row r="513" spans="1:14" x14ac:dyDescent="0.25">
      <c r="A513" s="66">
        <v>44683</v>
      </c>
      <c r="B513" s="67" t="s">
        <v>38</v>
      </c>
      <c r="C513" s="129" t="str">
        <f t="shared" si="14"/>
        <v>02.05.2022_BRAob</v>
      </c>
      <c r="D513" s="143">
        <f t="shared" si="15"/>
        <v>0</v>
      </c>
      <c r="E513" s="157">
        <v>8.24</v>
      </c>
      <c r="F513" s="165"/>
      <c r="G513" s="166">
        <v>801</v>
      </c>
      <c r="H513" s="167">
        <v>9</v>
      </c>
      <c r="I513" s="165"/>
      <c r="J513" s="167"/>
      <c r="K513" s="167">
        <v>12.6</v>
      </c>
      <c r="L513" s="167">
        <v>6.9</v>
      </c>
      <c r="M513" s="168">
        <v>0.5</v>
      </c>
      <c r="N513" s="67"/>
    </row>
    <row r="514" spans="1:14" x14ac:dyDescent="0.25">
      <c r="A514" s="66">
        <v>44683</v>
      </c>
      <c r="B514" s="67" t="s">
        <v>41</v>
      </c>
      <c r="C514" s="129" t="str">
        <f t="shared" si="14"/>
        <v>02.05.2022_BRAohBo</v>
      </c>
      <c r="D514" s="143">
        <f t="shared" si="15"/>
        <v>0</v>
      </c>
      <c r="E514" s="157">
        <v>8.5</v>
      </c>
      <c r="F514" s="165"/>
      <c r="G514" s="166">
        <v>738</v>
      </c>
      <c r="H514" s="167">
        <v>11.4</v>
      </c>
      <c r="I514" s="165"/>
      <c r="J514" s="167"/>
      <c r="K514" s="167">
        <v>12.8</v>
      </c>
      <c r="L514" s="167">
        <v>14.7</v>
      </c>
      <c r="M514" s="168">
        <v>0.51597222222222205</v>
      </c>
      <c r="N514" s="67"/>
    </row>
    <row r="515" spans="1:14" x14ac:dyDescent="0.25">
      <c r="A515" s="66">
        <v>44683</v>
      </c>
      <c r="B515" s="67" t="s">
        <v>43</v>
      </c>
      <c r="C515" s="129" t="str">
        <f t="shared" si="14"/>
        <v>02.05.2022_HAAob</v>
      </c>
      <c r="D515" s="143">
        <f t="shared" si="15"/>
        <v>0</v>
      </c>
      <c r="E515" s="157">
        <v>8.3699999999999992</v>
      </c>
      <c r="F515" s="165"/>
      <c r="G515" s="166">
        <v>766</v>
      </c>
      <c r="H515" s="167">
        <v>8.3000000000000007</v>
      </c>
      <c r="I515" s="165"/>
      <c r="J515" s="167"/>
      <c r="K515" s="167">
        <v>15.4</v>
      </c>
      <c r="L515" s="167">
        <v>7.2</v>
      </c>
      <c r="M515" s="168">
        <v>0.60208333333333297</v>
      </c>
      <c r="N515" s="67"/>
    </row>
    <row r="516" spans="1:14" x14ac:dyDescent="0.25">
      <c r="A516" s="66">
        <v>44683</v>
      </c>
      <c r="B516" s="67" t="s">
        <v>45</v>
      </c>
      <c r="C516" s="129" t="str">
        <f t="shared" ref="C516:C579" si="16">CONCATENATE(TEXT(A516,"TT.MM.JJJJ"),"_",B516)</f>
        <v>02.05.2022_HAAun</v>
      </c>
      <c r="D516" s="143">
        <f t="shared" si="15"/>
        <v>0</v>
      </c>
      <c r="E516" s="157">
        <v>8.07</v>
      </c>
      <c r="F516" s="165"/>
      <c r="G516" s="166">
        <v>1027</v>
      </c>
      <c r="H516" s="167">
        <v>8.3000000000000007</v>
      </c>
      <c r="I516" s="165"/>
      <c r="J516" s="167"/>
      <c r="K516" s="167">
        <v>13.5</v>
      </c>
      <c r="L516" s="167">
        <v>10.199999999999999</v>
      </c>
      <c r="M516" s="168">
        <v>0.58888888888888902</v>
      </c>
      <c r="N516" s="67"/>
    </row>
    <row r="517" spans="1:14" x14ac:dyDescent="0.25">
      <c r="A517" s="66">
        <v>44683</v>
      </c>
      <c r="B517" s="67" t="s">
        <v>47</v>
      </c>
      <c r="C517" s="129" t="str">
        <f t="shared" si="16"/>
        <v>02.05.2022_KIRob</v>
      </c>
      <c r="D517" s="143">
        <f t="shared" ref="D517:D580" si="17">COUNTBLANK(E517)+COUNTBLANK(G517:H517)+COUNTBLANK(K517:L517)</f>
        <v>0</v>
      </c>
      <c r="E517" s="157">
        <v>8.16</v>
      </c>
      <c r="F517" s="165"/>
      <c r="G517" s="166">
        <v>1088</v>
      </c>
      <c r="H517" s="167">
        <v>8.3000000000000007</v>
      </c>
      <c r="I517" s="165"/>
      <c r="J517" s="167"/>
      <c r="K517" s="167">
        <v>11</v>
      </c>
      <c r="L517" s="167">
        <v>5.5</v>
      </c>
      <c r="M517" s="168">
        <v>0.41875000000000001</v>
      </c>
      <c r="N517" s="67"/>
    </row>
    <row r="518" spans="1:14" x14ac:dyDescent="0.25">
      <c r="A518" s="66">
        <v>44683</v>
      </c>
      <c r="B518" s="67" t="s">
        <v>49</v>
      </c>
      <c r="C518" s="129" t="str">
        <f t="shared" si="16"/>
        <v>02.05.2022_KIRun</v>
      </c>
      <c r="D518" s="143">
        <f t="shared" si="17"/>
        <v>0</v>
      </c>
      <c r="E518" s="157">
        <v>8.27</v>
      </c>
      <c r="F518" s="165"/>
      <c r="G518" s="166">
        <v>978</v>
      </c>
      <c r="H518" s="167">
        <v>9.1999999999999993</v>
      </c>
      <c r="I518" s="165"/>
      <c r="J518" s="167"/>
      <c r="K518" s="167">
        <v>11.2</v>
      </c>
      <c r="L518" s="167">
        <v>13</v>
      </c>
      <c r="M518" s="168">
        <v>0.406944444444445</v>
      </c>
      <c r="N518" s="67"/>
    </row>
    <row r="519" spans="1:14" x14ac:dyDescent="0.25">
      <c r="A519" s="66">
        <v>44683</v>
      </c>
      <c r="B519" s="67" t="s">
        <v>50</v>
      </c>
      <c r="C519" s="129" t="str">
        <f t="shared" si="16"/>
        <v>02.05.2022_LIEohBo</v>
      </c>
      <c r="D519" s="143">
        <f t="shared" si="17"/>
        <v>0</v>
      </c>
      <c r="E519" s="157">
        <v>7.94</v>
      </c>
      <c r="F519" s="165"/>
      <c r="G519" s="166">
        <v>722</v>
      </c>
      <c r="H519" s="167">
        <v>8.6</v>
      </c>
      <c r="I519" s="165"/>
      <c r="J519" s="167"/>
      <c r="K519" s="167">
        <v>9.1999999999999993</v>
      </c>
      <c r="L519" s="167">
        <v>12.1</v>
      </c>
      <c r="M519" s="168">
        <v>0.375</v>
      </c>
      <c r="N519" s="67"/>
    </row>
    <row r="520" spans="1:14" x14ac:dyDescent="0.25">
      <c r="A520" s="66">
        <v>44683</v>
      </c>
      <c r="B520" s="67" t="s">
        <v>53</v>
      </c>
      <c r="C520" s="129" t="str">
        <f t="shared" si="16"/>
        <v>02.05.2022_NATohBo</v>
      </c>
      <c r="D520" s="143">
        <f t="shared" si="17"/>
        <v>0</v>
      </c>
      <c r="E520" s="157">
        <v>7.54</v>
      </c>
      <c r="F520" s="165"/>
      <c r="G520" s="166">
        <v>1766</v>
      </c>
      <c r="H520" s="167">
        <v>7.5</v>
      </c>
      <c r="I520" s="165"/>
      <c r="J520" s="167"/>
      <c r="K520" s="167">
        <v>16.100000000000001</v>
      </c>
      <c r="L520" s="167">
        <v>8.8000000000000007</v>
      </c>
      <c r="M520" s="168">
        <v>0.63124999999999998</v>
      </c>
      <c r="N520" s="67"/>
    </row>
    <row r="521" spans="1:14" x14ac:dyDescent="0.25">
      <c r="A521" s="66">
        <v>44683</v>
      </c>
      <c r="B521" s="67" t="s">
        <v>55</v>
      </c>
      <c r="C521" s="129" t="str">
        <f t="shared" si="16"/>
        <v>02.05.2022_QUAohBo</v>
      </c>
      <c r="D521" s="143">
        <f t="shared" si="17"/>
        <v>0</v>
      </c>
      <c r="E521" s="157">
        <v>8.1</v>
      </c>
      <c r="F521" s="165"/>
      <c r="G521" s="166">
        <v>839</v>
      </c>
      <c r="H521" s="167">
        <v>8</v>
      </c>
      <c r="I521" s="165"/>
      <c r="J521" s="167"/>
      <c r="K521" s="167">
        <v>14.2</v>
      </c>
      <c r="L521" s="167">
        <v>7.6</v>
      </c>
      <c r="M521" s="168">
        <v>0.57708333333333295</v>
      </c>
      <c r="N521" s="67"/>
    </row>
    <row r="522" spans="1:14" x14ac:dyDescent="0.25">
      <c r="A522" s="66">
        <v>44683</v>
      </c>
      <c r="B522" s="67" t="s">
        <v>57</v>
      </c>
      <c r="C522" s="129" t="str">
        <f t="shared" si="16"/>
        <v>02.05.2022_SCHohVo</v>
      </c>
      <c r="D522" s="143">
        <f t="shared" si="17"/>
        <v>0</v>
      </c>
      <c r="E522" s="157">
        <v>8.2899999999999991</v>
      </c>
      <c r="F522" s="165"/>
      <c r="G522" s="166">
        <v>688</v>
      </c>
      <c r="H522" s="167">
        <v>9.4</v>
      </c>
      <c r="I522" s="165"/>
      <c r="J522" s="167"/>
      <c r="K522" s="167">
        <v>10</v>
      </c>
      <c r="L522" s="167">
        <v>9.5</v>
      </c>
      <c r="M522" s="168">
        <v>0.43194444444444402</v>
      </c>
      <c r="N522" s="67"/>
    </row>
    <row r="523" spans="1:14" x14ac:dyDescent="0.25">
      <c r="A523" s="66">
        <v>44683</v>
      </c>
      <c r="B523" s="67" t="s">
        <v>60</v>
      </c>
      <c r="C523" s="129" t="str">
        <f t="shared" si="16"/>
        <v>02.05.2022_VORohBo</v>
      </c>
      <c r="D523" s="143">
        <f t="shared" si="17"/>
        <v>0</v>
      </c>
      <c r="E523" s="157">
        <v>7.75</v>
      </c>
      <c r="F523" s="165"/>
      <c r="G523" s="166">
        <v>1027</v>
      </c>
      <c r="H523" s="167">
        <v>7.6</v>
      </c>
      <c r="I523" s="165"/>
      <c r="J523" s="167"/>
      <c r="K523" s="167">
        <v>10.6</v>
      </c>
      <c r="L523" s="167">
        <v>12.4</v>
      </c>
      <c r="M523" s="168">
        <v>0.46250000000000002</v>
      </c>
      <c r="N523" s="67"/>
    </row>
    <row r="524" spans="1:14" x14ac:dyDescent="0.25">
      <c r="A524" s="66">
        <v>44683</v>
      </c>
      <c r="B524" s="67" t="s">
        <v>62</v>
      </c>
      <c r="C524" s="129" t="str">
        <f t="shared" si="16"/>
        <v>02.05.2022_VORuhSc</v>
      </c>
      <c r="D524" s="143">
        <f t="shared" si="17"/>
        <v>0</v>
      </c>
      <c r="E524" s="157">
        <v>7.55</v>
      </c>
      <c r="F524" s="165"/>
      <c r="G524" s="166">
        <v>996</v>
      </c>
      <c r="H524" s="167">
        <v>7.6</v>
      </c>
      <c r="I524" s="165"/>
      <c r="J524" s="167"/>
      <c r="K524" s="167">
        <v>10.6</v>
      </c>
      <c r="L524" s="167">
        <v>9.5</v>
      </c>
      <c r="M524" s="168">
        <v>0.44652777777777802</v>
      </c>
      <c r="N524" s="67"/>
    </row>
    <row r="525" spans="1:14" x14ac:dyDescent="0.25">
      <c r="A525" s="66">
        <v>44683</v>
      </c>
      <c r="B525" s="67" t="s">
        <v>64</v>
      </c>
      <c r="C525" s="129" t="str">
        <f t="shared" si="16"/>
        <v>02.05.2022_WITob</v>
      </c>
      <c r="D525" s="143">
        <f t="shared" si="17"/>
        <v>0</v>
      </c>
      <c r="E525" s="157">
        <v>8.42</v>
      </c>
      <c r="F525" s="165"/>
      <c r="G525" s="166">
        <v>1271</v>
      </c>
      <c r="H525" s="167">
        <v>8.6</v>
      </c>
      <c r="I525" s="165"/>
      <c r="J525" s="167"/>
      <c r="K525" s="167">
        <v>14.4</v>
      </c>
      <c r="L525" s="167">
        <v>4</v>
      </c>
      <c r="M525" s="168">
        <v>0.61527777777777803</v>
      </c>
      <c r="N525" s="67"/>
    </row>
    <row r="526" spans="1:14" x14ac:dyDescent="0.25">
      <c r="A526" s="66">
        <v>44697</v>
      </c>
      <c r="B526" s="67" t="s">
        <v>22</v>
      </c>
      <c r="C526" s="129" t="str">
        <f t="shared" si="16"/>
        <v>16.05.2022_BOYkl</v>
      </c>
      <c r="D526" s="143">
        <f t="shared" si="17"/>
        <v>0</v>
      </c>
      <c r="E526" s="157">
        <v>8.1300000000000008</v>
      </c>
      <c r="F526" s="165"/>
      <c r="G526" s="166">
        <v>513</v>
      </c>
      <c r="H526" s="167">
        <v>6.7</v>
      </c>
      <c r="I526" s="165"/>
      <c r="J526" s="167"/>
      <c r="K526" s="167">
        <v>14</v>
      </c>
      <c r="L526" s="167">
        <v>4</v>
      </c>
      <c r="M526" s="168">
        <v>0.44027777777777799</v>
      </c>
      <c r="N526" s="67" t="s">
        <v>250</v>
      </c>
    </row>
    <row r="527" spans="1:14" x14ac:dyDescent="0.25">
      <c r="A527" s="66">
        <v>44697</v>
      </c>
      <c r="B527" s="67" t="s">
        <v>25</v>
      </c>
      <c r="C527" s="129" t="str">
        <f t="shared" si="16"/>
        <v>16.05.2022_BOYohB224</v>
      </c>
      <c r="D527" s="143">
        <f t="shared" si="17"/>
        <v>0</v>
      </c>
      <c r="E527" s="157">
        <v>8.36</v>
      </c>
      <c r="F527" s="165"/>
      <c r="G527" s="166">
        <v>992</v>
      </c>
      <c r="H527" s="167">
        <v>8</v>
      </c>
      <c r="I527" s="165"/>
      <c r="J527" s="167"/>
      <c r="K527" s="167">
        <v>20.2</v>
      </c>
      <c r="L527" s="167">
        <v>31.4</v>
      </c>
      <c r="M527" s="168">
        <v>0.58611111111111103</v>
      </c>
      <c r="N527" s="67"/>
    </row>
    <row r="528" spans="1:14" x14ac:dyDescent="0.25">
      <c r="A528" s="66">
        <v>44697</v>
      </c>
      <c r="B528" s="67" t="s">
        <v>28</v>
      </c>
      <c r="C528" s="129" t="str">
        <f t="shared" si="16"/>
        <v>16.05.2022_BOYohBr</v>
      </c>
      <c r="D528" s="143">
        <f t="shared" si="17"/>
        <v>0</v>
      </c>
      <c r="E528" s="157">
        <v>7.92</v>
      </c>
      <c r="F528" s="165"/>
      <c r="G528" s="166">
        <v>587</v>
      </c>
      <c r="H528" s="167">
        <v>7.1</v>
      </c>
      <c r="I528" s="165"/>
      <c r="J528" s="167"/>
      <c r="K528" s="167">
        <v>13.3</v>
      </c>
      <c r="L528" s="167">
        <v>22.8</v>
      </c>
      <c r="M528" s="168">
        <v>0.484027777777778</v>
      </c>
      <c r="N528" s="67"/>
    </row>
    <row r="529" spans="1:14" x14ac:dyDescent="0.25">
      <c r="A529" s="66">
        <v>44697</v>
      </c>
      <c r="B529" s="67" t="s">
        <v>30</v>
      </c>
      <c r="C529" s="129" t="str">
        <f t="shared" si="16"/>
        <v>16.05.2022_BOYohKi</v>
      </c>
      <c r="D529" s="143">
        <f t="shared" si="17"/>
        <v>0</v>
      </c>
      <c r="E529" s="157">
        <v>8.1199999999999992</v>
      </c>
      <c r="F529" s="165"/>
      <c r="G529" s="166">
        <v>831</v>
      </c>
      <c r="H529" s="167">
        <v>7.9</v>
      </c>
      <c r="I529" s="165"/>
      <c r="J529" s="167"/>
      <c r="K529" s="167">
        <v>14</v>
      </c>
      <c r="L529" s="167">
        <v>25.8</v>
      </c>
      <c r="M529" s="168">
        <v>0.36388888888888898</v>
      </c>
      <c r="N529" s="67"/>
    </row>
    <row r="530" spans="1:14" x14ac:dyDescent="0.25">
      <c r="A530" s="66">
        <v>44697</v>
      </c>
      <c r="B530" s="67" t="s">
        <v>32</v>
      </c>
      <c r="C530" s="129" t="str">
        <f t="shared" si="16"/>
        <v>16.05.2022_BOYohSp</v>
      </c>
      <c r="D530" s="143">
        <f t="shared" si="17"/>
        <v>0</v>
      </c>
      <c r="E530" s="157">
        <v>8.1199999999999992</v>
      </c>
      <c r="F530" s="165"/>
      <c r="G530" s="166">
        <v>634</v>
      </c>
      <c r="H530" s="167">
        <v>7</v>
      </c>
      <c r="I530" s="165"/>
      <c r="J530" s="167"/>
      <c r="K530" s="167">
        <v>13.7</v>
      </c>
      <c r="L530" s="167">
        <v>23.3</v>
      </c>
      <c r="M530" s="168">
        <v>0.51319444444444395</v>
      </c>
      <c r="N530" s="67"/>
    </row>
    <row r="531" spans="1:14" x14ac:dyDescent="0.25">
      <c r="A531" s="66">
        <v>44697</v>
      </c>
      <c r="B531" s="67" t="s">
        <v>36</v>
      </c>
      <c r="C531" s="129" t="str">
        <f t="shared" si="16"/>
        <v>16.05.2022_BOYuhSp</v>
      </c>
      <c r="D531" s="143">
        <f t="shared" si="17"/>
        <v>0</v>
      </c>
      <c r="E531" s="157">
        <v>8.1199999999999992</v>
      </c>
      <c r="F531" s="165"/>
      <c r="G531" s="166">
        <v>660</v>
      </c>
      <c r="H531" s="167">
        <v>7.3</v>
      </c>
      <c r="I531" s="165"/>
      <c r="J531" s="167"/>
      <c r="K531" s="167">
        <v>13.8</v>
      </c>
      <c r="L531" s="167">
        <v>17.899999999999999</v>
      </c>
      <c r="M531" s="168">
        <v>0.50555555555555598</v>
      </c>
      <c r="N531" s="67"/>
    </row>
    <row r="532" spans="1:14" x14ac:dyDescent="0.25">
      <c r="A532" s="66">
        <v>44697</v>
      </c>
      <c r="B532" s="67" t="s">
        <v>38</v>
      </c>
      <c r="C532" s="129" t="str">
        <f t="shared" si="16"/>
        <v>16.05.2022_BRAob</v>
      </c>
      <c r="D532" s="143">
        <f t="shared" si="17"/>
        <v>0</v>
      </c>
      <c r="E532" s="157">
        <v>8.34</v>
      </c>
      <c r="F532" s="165"/>
      <c r="G532" s="166">
        <v>733</v>
      </c>
      <c r="H532" s="167">
        <v>7.6</v>
      </c>
      <c r="I532" s="165"/>
      <c r="J532" s="167"/>
      <c r="K532" s="167">
        <v>14.3</v>
      </c>
      <c r="L532" s="167">
        <v>5.9</v>
      </c>
      <c r="M532" s="168">
        <v>0.45555555555555599</v>
      </c>
      <c r="N532" s="67"/>
    </row>
    <row r="533" spans="1:14" x14ac:dyDescent="0.25">
      <c r="A533" s="66">
        <v>44697</v>
      </c>
      <c r="B533" s="67" t="s">
        <v>41</v>
      </c>
      <c r="C533" s="129" t="str">
        <f t="shared" si="16"/>
        <v>16.05.2022_BRAohBo</v>
      </c>
      <c r="D533" s="143">
        <f t="shared" si="17"/>
        <v>0</v>
      </c>
      <c r="E533" s="157">
        <v>8.65</v>
      </c>
      <c r="F533" s="165"/>
      <c r="G533" s="166">
        <v>721</v>
      </c>
      <c r="H533" s="167">
        <v>9.8000000000000007</v>
      </c>
      <c r="I533" s="165"/>
      <c r="J533" s="167"/>
      <c r="K533" s="167">
        <v>15.2</v>
      </c>
      <c r="L533" s="167">
        <v>13.3</v>
      </c>
      <c r="M533" s="168">
        <v>0.46736111111111101</v>
      </c>
      <c r="N533" s="67"/>
    </row>
    <row r="534" spans="1:14" x14ac:dyDescent="0.25">
      <c r="A534" s="66">
        <v>44697</v>
      </c>
      <c r="B534" s="67" t="s">
        <v>43</v>
      </c>
      <c r="C534" s="129" t="str">
        <f t="shared" si="16"/>
        <v>16.05.2022_HAAob</v>
      </c>
      <c r="D534" s="143">
        <f t="shared" si="17"/>
        <v>0</v>
      </c>
      <c r="E534" s="157">
        <v>8.3699999999999992</v>
      </c>
      <c r="F534" s="165"/>
      <c r="G534" s="166">
        <v>712</v>
      </c>
      <c r="H534" s="167">
        <v>7.1</v>
      </c>
      <c r="I534" s="165"/>
      <c r="J534" s="167"/>
      <c r="K534" s="167">
        <v>18</v>
      </c>
      <c r="L534" s="167">
        <v>6.8</v>
      </c>
      <c r="M534" s="168">
        <v>0.54722222222222205</v>
      </c>
      <c r="N534" s="67"/>
    </row>
    <row r="535" spans="1:14" x14ac:dyDescent="0.25">
      <c r="A535" s="66">
        <v>44697</v>
      </c>
      <c r="B535" s="67" t="s">
        <v>45</v>
      </c>
      <c r="C535" s="129" t="str">
        <f t="shared" si="16"/>
        <v>16.05.2022_HAAun</v>
      </c>
      <c r="D535" s="143">
        <f t="shared" si="17"/>
        <v>0</v>
      </c>
      <c r="E535" s="157">
        <v>8.08</v>
      </c>
      <c r="F535" s="165"/>
      <c r="G535" s="166">
        <v>997</v>
      </c>
      <c r="H535" s="167">
        <v>6.6</v>
      </c>
      <c r="I535" s="165"/>
      <c r="J535" s="167"/>
      <c r="K535" s="167">
        <v>16</v>
      </c>
      <c r="L535" s="167">
        <v>16.5</v>
      </c>
      <c r="M535" s="168">
        <v>0.53680555555555598</v>
      </c>
      <c r="N535" s="67"/>
    </row>
    <row r="536" spans="1:14" x14ac:dyDescent="0.25">
      <c r="A536" s="66">
        <v>44697</v>
      </c>
      <c r="B536" s="67" t="s">
        <v>47</v>
      </c>
      <c r="C536" s="129" t="str">
        <f t="shared" si="16"/>
        <v>16.05.2022_KIRob</v>
      </c>
      <c r="D536" s="143">
        <f t="shared" si="17"/>
        <v>0</v>
      </c>
      <c r="E536" s="157">
        <v>8.07</v>
      </c>
      <c r="F536" s="165"/>
      <c r="G536" s="166">
        <v>1094</v>
      </c>
      <c r="H536" s="167">
        <v>6.5</v>
      </c>
      <c r="I536" s="165"/>
      <c r="J536" s="167"/>
      <c r="K536" s="167">
        <v>13.4</v>
      </c>
      <c r="L536" s="167">
        <v>6.2</v>
      </c>
      <c r="M536" s="168">
        <v>0.38680555555555601</v>
      </c>
      <c r="N536" s="67"/>
    </row>
    <row r="537" spans="1:14" x14ac:dyDescent="0.25">
      <c r="A537" s="66">
        <v>44697</v>
      </c>
      <c r="B537" s="67" t="s">
        <v>49</v>
      </c>
      <c r="C537" s="129" t="str">
        <f t="shared" si="16"/>
        <v>16.05.2022_KIRun</v>
      </c>
      <c r="D537" s="143">
        <f t="shared" si="17"/>
        <v>0</v>
      </c>
      <c r="E537" s="157">
        <v>8.17</v>
      </c>
      <c r="F537" s="165"/>
      <c r="G537" s="166">
        <v>995</v>
      </c>
      <c r="H537" s="167">
        <v>7.7</v>
      </c>
      <c r="I537" s="165"/>
      <c r="J537" s="167"/>
      <c r="K537" s="167">
        <v>13.8</v>
      </c>
      <c r="L537" s="167">
        <v>10</v>
      </c>
      <c r="M537" s="168">
        <v>0.37638888888888899</v>
      </c>
      <c r="N537" s="67"/>
    </row>
    <row r="538" spans="1:14" x14ac:dyDescent="0.25">
      <c r="A538" s="66">
        <v>44697</v>
      </c>
      <c r="B538" s="67" t="s">
        <v>50</v>
      </c>
      <c r="C538" s="129" t="str">
        <f t="shared" si="16"/>
        <v>16.05.2022_LIEohBo</v>
      </c>
      <c r="D538" s="143">
        <f t="shared" si="17"/>
        <v>0</v>
      </c>
      <c r="E538" s="157">
        <v>7.6</v>
      </c>
      <c r="F538" s="165"/>
      <c r="G538" s="166">
        <v>731</v>
      </c>
      <c r="H538" s="167">
        <v>4.8</v>
      </c>
      <c r="I538" s="165"/>
      <c r="J538" s="167"/>
      <c r="K538" s="167">
        <v>14.1</v>
      </c>
      <c r="L538" s="167">
        <v>17.5</v>
      </c>
      <c r="M538" s="168">
        <v>0.35138888888888897</v>
      </c>
      <c r="N538" s="67" t="s">
        <v>125</v>
      </c>
    </row>
    <row r="539" spans="1:14" x14ac:dyDescent="0.25">
      <c r="A539" s="66">
        <v>44697</v>
      </c>
      <c r="B539" s="67" t="s">
        <v>53</v>
      </c>
      <c r="C539" s="129" t="str">
        <f t="shared" si="16"/>
        <v>16.05.2022_NATohBo</v>
      </c>
      <c r="D539" s="143">
        <f t="shared" si="17"/>
        <v>0</v>
      </c>
      <c r="E539" s="157">
        <v>7.63</v>
      </c>
      <c r="F539" s="165"/>
      <c r="G539" s="166">
        <v>1855</v>
      </c>
      <c r="H539" s="167">
        <v>6.5</v>
      </c>
      <c r="I539" s="165"/>
      <c r="J539" s="167"/>
      <c r="K539" s="167">
        <v>16.600000000000001</v>
      </c>
      <c r="L539" s="167">
        <v>8.1</v>
      </c>
      <c r="M539" s="168">
        <v>0.57430555555555596</v>
      </c>
      <c r="N539" s="67"/>
    </row>
    <row r="540" spans="1:14" x14ac:dyDescent="0.25">
      <c r="A540" s="66">
        <v>44697</v>
      </c>
      <c r="B540" s="67" t="s">
        <v>55</v>
      </c>
      <c r="C540" s="129" t="str">
        <f t="shared" si="16"/>
        <v>16.05.2022_QUAohBo</v>
      </c>
      <c r="D540" s="143">
        <f t="shared" si="17"/>
        <v>0</v>
      </c>
      <c r="E540" s="157">
        <v>8.14</v>
      </c>
      <c r="F540" s="165"/>
      <c r="G540" s="166">
        <v>817</v>
      </c>
      <c r="H540" s="167">
        <v>5.6</v>
      </c>
      <c r="I540" s="165"/>
      <c r="J540" s="167"/>
      <c r="K540" s="167">
        <v>15.5</v>
      </c>
      <c r="L540" s="167">
        <v>4.8</v>
      </c>
      <c r="M540" s="168">
        <v>0.52569444444444502</v>
      </c>
      <c r="N540" s="67"/>
    </row>
    <row r="541" spans="1:14" x14ac:dyDescent="0.25">
      <c r="A541" s="66">
        <v>44697</v>
      </c>
      <c r="B541" s="67" t="s">
        <v>57</v>
      </c>
      <c r="C541" s="129" t="str">
        <f t="shared" si="16"/>
        <v>16.05.2022_SCHohVo</v>
      </c>
      <c r="D541" s="143">
        <f t="shared" si="17"/>
        <v>0</v>
      </c>
      <c r="E541" s="157">
        <v>8.2799999999999994</v>
      </c>
      <c r="F541" s="165"/>
      <c r="G541" s="166">
        <v>746</v>
      </c>
      <c r="H541" s="167">
        <v>6.2</v>
      </c>
      <c r="I541" s="165"/>
      <c r="J541" s="167"/>
      <c r="K541" s="167">
        <v>13.9</v>
      </c>
      <c r="L541" s="167">
        <v>7.8</v>
      </c>
      <c r="M541" s="168">
        <v>0.40138888888888902</v>
      </c>
      <c r="N541" s="67"/>
    </row>
    <row r="542" spans="1:14" x14ac:dyDescent="0.25">
      <c r="A542" s="66">
        <v>44697</v>
      </c>
      <c r="B542" s="67" t="s">
        <v>60</v>
      </c>
      <c r="C542" s="129" t="str">
        <f t="shared" si="16"/>
        <v>16.05.2022_VORohBo</v>
      </c>
      <c r="D542" s="143">
        <f t="shared" si="17"/>
        <v>0</v>
      </c>
      <c r="E542" s="157">
        <v>7.76</v>
      </c>
      <c r="F542" s="165"/>
      <c r="G542" s="166">
        <v>1098</v>
      </c>
      <c r="H542" s="167">
        <v>5.7</v>
      </c>
      <c r="I542" s="165"/>
      <c r="J542" s="167"/>
      <c r="K542" s="167">
        <v>13.4</v>
      </c>
      <c r="L542" s="167">
        <v>10.9</v>
      </c>
      <c r="M542" s="168">
        <v>0.421527777777778</v>
      </c>
      <c r="N542" s="67"/>
    </row>
    <row r="543" spans="1:14" x14ac:dyDescent="0.25">
      <c r="A543" s="66">
        <v>44697</v>
      </c>
      <c r="B543" s="67" t="s">
        <v>62</v>
      </c>
      <c r="C543" s="129" t="str">
        <f t="shared" si="16"/>
        <v>16.05.2022_VORuhSc</v>
      </c>
      <c r="D543" s="143">
        <f t="shared" si="17"/>
        <v>0</v>
      </c>
      <c r="E543" s="157">
        <v>7.45</v>
      </c>
      <c r="F543" s="165"/>
      <c r="G543" s="166">
        <v>1101</v>
      </c>
      <c r="H543" s="167">
        <v>5.9</v>
      </c>
      <c r="I543" s="165"/>
      <c r="J543" s="167"/>
      <c r="K543" s="167">
        <v>13.5</v>
      </c>
      <c r="L543" s="167">
        <v>9</v>
      </c>
      <c r="M543" s="168">
        <v>0.40972222222222199</v>
      </c>
      <c r="N543" s="67"/>
    </row>
    <row r="544" spans="1:14" x14ac:dyDescent="0.25">
      <c r="A544" s="66">
        <v>44697</v>
      </c>
      <c r="B544" s="67" t="s">
        <v>64</v>
      </c>
      <c r="C544" s="129" t="str">
        <f t="shared" si="16"/>
        <v>16.05.2022_WITob</v>
      </c>
      <c r="D544" s="143">
        <f t="shared" si="17"/>
        <v>0</v>
      </c>
      <c r="E544" s="157">
        <v>8.39</v>
      </c>
      <c r="F544" s="165"/>
      <c r="G544" s="166">
        <v>1247</v>
      </c>
      <c r="H544" s="167">
        <v>7.5</v>
      </c>
      <c r="I544" s="165"/>
      <c r="J544" s="167"/>
      <c r="K544" s="167">
        <v>15.9</v>
      </c>
      <c r="L544" s="167">
        <v>4.0999999999999996</v>
      </c>
      <c r="M544" s="168">
        <v>0.561805555555556</v>
      </c>
      <c r="N544" s="67"/>
    </row>
    <row r="545" spans="1:14" x14ac:dyDescent="0.25">
      <c r="A545" s="66">
        <v>44711</v>
      </c>
      <c r="B545" s="67" t="s">
        <v>22</v>
      </c>
      <c r="C545" s="129" t="str">
        <f t="shared" si="16"/>
        <v>30.05.2022_BOYkl</v>
      </c>
      <c r="D545" s="143">
        <f t="shared" si="17"/>
        <v>0</v>
      </c>
      <c r="E545" s="157">
        <v>8.24</v>
      </c>
      <c r="F545" s="165"/>
      <c r="G545" s="166">
        <v>509</v>
      </c>
      <c r="H545" s="167">
        <v>7.6</v>
      </c>
      <c r="I545" s="165"/>
      <c r="J545" s="167"/>
      <c r="K545" s="167">
        <v>11.9</v>
      </c>
      <c r="L545" s="167">
        <v>4.5</v>
      </c>
      <c r="M545" s="168">
        <v>0.44305555555555598</v>
      </c>
      <c r="N545" s="67"/>
    </row>
    <row r="546" spans="1:14" x14ac:dyDescent="0.25">
      <c r="A546" s="66">
        <v>44711</v>
      </c>
      <c r="B546" s="67" t="s">
        <v>25</v>
      </c>
      <c r="C546" s="129" t="str">
        <f t="shared" si="16"/>
        <v>30.05.2022_BOYohB224</v>
      </c>
      <c r="D546" s="143">
        <f t="shared" si="17"/>
        <v>0</v>
      </c>
      <c r="E546" s="157">
        <v>8.26</v>
      </c>
      <c r="F546" s="165"/>
      <c r="G546" s="166">
        <v>977</v>
      </c>
      <c r="H546" s="167">
        <v>7.9</v>
      </c>
      <c r="I546" s="165"/>
      <c r="J546" s="167"/>
      <c r="K546" s="167">
        <v>17.600000000000001</v>
      </c>
      <c r="L546" s="167">
        <v>34.299999999999997</v>
      </c>
      <c r="M546" s="168">
        <v>0.57708333333333295</v>
      </c>
      <c r="N546" s="67" t="s">
        <v>122</v>
      </c>
    </row>
    <row r="547" spans="1:14" x14ac:dyDescent="0.25">
      <c r="A547" s="66">
        <v>44711</v>
      </c>
      <c r="B547" s="67" t="s">
        <v>28</v>
      </c>
      <c r="C547" s="129" t="str">
        <f t="shared" si="16"/>
        <v>30.05.2022_BOYohBr</v>
      </c>
      <c r="D547" s="143">
        <f t="shared" si="17"/>
        <v>0</v>
      </c>
      <c r="E547" s="157">
        <v>7.91</v>
      </c>
      <c r="F547" s="165"/>
      <c r="G547" s="166">
        <v>549</v>
      </c>
      <c r="H547" s="167">
        <v>6.5</v>
      </c>
      <c r="I547" s="165"/>
      <c r="J547" s="167"/>
      <c r="K547" s="167">
        <v>12.2</v>
      </c>
      <c r="L547" s="167">
        <v>11.3</v>
      </c>
      <c r="M547" s="168">
        <v>0.48263888888888901</v>
      </c>
      <c r="N547" s="175" t="s">
        <v>126</v>
      </c>
    </row>
    <row r="548" spans="1:14" x14ac:dyDescent="0.25">
      <c r="A548" s="66">
        <v>44711</v>
      </c>
      <c r="B548" s="67" t="s">
        <v>30</v>
      </c>
      <c r="C548" s="129" t="str">
        <f t="shared" si="16"/>
        <v>30.05.2022_BOYohKi</v>
      </c>
      <c r="D548" s="143">
        <f t="shared" si="17"/>
        <v>0</v>
      </c>
      <c r="E548" s="157">
        <v>7.9</v>
      </c>
      <c r="F548" s="165"/>
      <c r="G548" s="166">
        <v>809</v>
      </c>
      <c r="H548" s="167">
        <v>7.4</v>
      </c>
      <c r="I548" s="165"/>
      <c r="J548" s="167"/>
      <c r="K548" s="167">
        <v>12.3</v>
      </c>
      <c r="L548" s="167">
        <v>24.5</v>
      </c>
      <c r="M548" s="168">
        <v>0.36875000000000002</v>
      </c>
      <c r="N548" s="67"/>
    </row>
    <row r="549" spans="1:14" x14ac:dyDescent="0.25">
      <c r="A549" s="66">
        <v>44711</v>
      </c>
      <c r="B549" s="67" t="s">
        <v>32</v>
      </c>
      <c r="C549" s="129" t="str">
        <f t="shared" si="16"/>
        <v>30.05.2022_BOYohSp</v>
      </c>
      <c r="D549" s="143">
        <f t="shared" si="17"/>
        <v>0</v>
      </c>
      <c r="E549" s="157">
        <v>7.94</v>
      </c>
      <c r="F549" s="165"/>
      <c r="G549" s="166">
        <v>616</v>
      </c>
      <c r="H549" s="167">
        <v>6.9</v>
      </c>
      <c r="I549" s="165"/>
      <c r="J549" s="167"/>
      <c r="K549" s="167">
        <v>12</v>
      </c>
      <c r="L549" s="167">
        <v>25.7</v>
      </c>
      <c r="M549" s="168">
        <v>0.51319444444444395</v>
      </c>
      <c r="N549" s="67"/>
    </row>
    <row r="550" spans="1:14" x14ac:dyDescent="0.25">
      <c r="A550" s="66">
        <v>44711</v>
      </c>
      <c r="B550" s="67" t="s">
        <v>36</v>
      </c>
      <c r="C550" s="129" t="str">
        <f t="shared" si="16"/>
        <v>30.05.2022_BOYuhSp</v>
      </c>
      <c r="D550" s="143">
        <f t="shared" si="17"/>
        <v>0</v>
      </c>
      <c r="E550" s="157">
        <v>7.91</v>
      </c>
      <c r="F550" s="165"/>
      <c r="G550" s="166">
        <v>633</v>
      </c>
      <c r="H550" s="167">
        <v>7.2</v>
      </c>
      <c r="I550" s="165"/>
      <c r="J550" s="167"/>
      <c r="K550" s="167">
        <v>12</v>
      </c>
      <c r="L550" s="167">
        <v>17.100000000000001</v>
      </c>
      <c r="M550" s="168">
        <v>0.50694444444444398</v>
      </c>
      <c r="N550" s="67"/>
    </row>
    <row r="551" spans="1:14" x14ac:dyDescent="0.25">
      <c r="A551" s="66">
        <v>44711</v>
      </c>
      <c r="B551" s="67" t="s">
        <v>38</v>
      </c>
      <c r="C551" s="129" t="str">
        <f t="shared" si="16"/>
        <v>30.05.2022_BRAob</v>
      </c>
      <c r="D551" s="143">
        <f t="shared" si="17"/>
        <v>0</v>
      </c>
      <c r="E551" s="157">
        <v>8.24</v>
      </c>
      <c r="F551" s="165"/>
      <c r="G551" s="166">
        <v>720</v>
      </c>
      <c r="H551" s="167">
        <v>7.7</v>
      </c>
      <c r="I551" s="165"/>
      <c r="J551" s="167"/>
      <c r="K551" s="167">
        <v>12.1</v>
      </c>
      <c r="L551" s="167">
        <v>6.6</v>
      </c>
      <c r="M551" s="168">
        <v>0.45624999999999999</v>
      </c>
      <c r="N551" s="67"/>
    </row>
    <row r="552" spans="1:14" x14ac:dyDescent="0.25">
      <c r="A552" s="66">
        <v>44711</v>
      </c>
      <c r="B552" s="67" t="s">
        <v>41</v>
      </c>
      <c r="C552" s="129" t="str">
        <f t="shared" si="16"/>
        <v>30.05.2022_BRAohBo</v>
      </c>
      <c r="D552" s="143">
        <f t="shared" si="17"/>
        <v>0</v>
      </c>
      <c r="E552" s="157">
        <v>8.3699999999999992</v>
      </c>
      <c r="F552" s="165"/>
      <c r="G552" s="166">
        <v>709</v>
      </c>
      <c r="H552" s="167">
        <v>8.1999999999999993</v>
      </c>
      <c r="I552" s="165"/>
      <c r="J552" s="167"/>
      <c r="K552" s="167">
        <v>12.4</v>
      </c>
      <c r="L552" s="167">
        <v>11.4</v>
      </c>
      <c r="M552" s="168">
        <v>0.46875</v>
      </c>
      <c r="N552" s="67"/>
    </row>
    <row r="553" spans="1:14" x14ac:dyDescent="0.25">
      <c r="A553" s="66">
        <v>44711</v>
      </c>
      <c r="B553" s="67" t="s">
        <v>43</v>
      </c>
      <c r="C553" s="129" t="str">
        <f t="shared" si="16"/>
        <v>30.05.2022_HAAob</v>
      </c>
      <c r="D553" s="143">
        <f t="shared" si="17"/>
        <v>0</v>
      </c>
      <c r="E553" s="157">
        <v>8.2200000000000006</v>
      </c>
      <c r="F553" s="165"/>
      <c r="G553" s="166">
        <v>708</v>
      </c>
      <c r="H553" s="167">
        <v>7.6</v>
      </c>
      <c r="I553" s="165"/>
      <c r="J553" s="167"/>
      <c r="K553" s="167">
        <v>14.3</v>
      </c>
      <c r="L553" s="167">
        <v>7.4</v>
      </c>
      <c r="M553" s="168">
        <v>0.54305555555555596</v>
      </c>
      <c r="N553" s="67"/>
    </row>
    <row r="554" spans="1:14" x14ac:dyDescent="0.25">
      <c r="A554" s="66">
        <v>44711</v>
      </c>
      <c r="B554" s="67" t="s">
        <v>45</v>
      </c>
      <c r="C554" s="129" t="str">
        <f t="shared" si="16"/>
        <v>30.05.2022_HAAun</v>
      </c>
      <c r="D554" s="143">
        <f t="shared" si="17"/>
        <v>0</v>
      </c>
      <c r="E554" s="157">
        <v>8.0500000000000007</v>
      </c>
      <c r="F554" s="165"/>
      <c r="G554" s="166">
        <v>1023</v>
      </c>
      <c r="H554" s="167">
        <v>7.2</v>
      </c>
      <c r="I554" s="165"/>
      <c r="J554" s="167"/>
      <c r="K554" s="167">
        <v>13</v>
      </c>
      <c r="L554" s="167">
        <v>14.8</v>
      </c>
      <c r="M554" s="168">
        <v>0.53263888888888899</v>
      </c>
      <c r="N554" s="67"/>
    </row>
    <row r="555" spans="1:14" x14ac:dyDescent="0.25">
      <c r="A555" s="66">
        <v>44711</v>
      </c>
      <c r="B555" s="67" t="s">
        <v>47</v>
      </c>
      <c r="C555" s="129" t="str">
        <f t="shared" si="16"/>
        <v>30.05.2022_KIRob</v>
      </c>
      <c r="D555" s="143">
        <f t="shared" si="17"/>
        <v>0</v>
      </c>
      <c r="E555" s="157">
        <v>8</v>
      </c>
      <c r="F555" s="165"/>
      <c r="G555" s="166">
        <v>1093</v>
      </c>
      <c r="H555" s="167">
        <v>6.8</v>
      </c>
      <c r="I555" s="165"/>
      <c r="J555" s="167"/>
      <c r="K555" s="167">
        <v>11.7</v>
      </c>
      <c r="L555" s="167">
        <v>7</v>
      </c>
      <c r="M555" s="168">
        <v>0.391666666666667</v>
      </c>
      <c r="N555" s="67"/>
    </row>
    <row r="556" spans="1:14" x14ac:dyDescent="0.25">
      <c r="A556" s="66">
        <v>44711</v>
      </c>
      <c r="B556" s="67" t="s">
        <v>49</v>
      </c>
      <c r="C556" s="129" t="str">
        <f t="shared" si="16"/>
        <v>30.05.2022_KIRun</v>
      </c>
      <c r="D556" s="143">
        <f t="shared" si="17"/>
        <v>0</v>
      </c>
      <c r="E556" s="157">
        <v>8.08</v>
      </c>
      <c r="F556" s="165"/>
      <c r="G556" s="166">
        <v>987</v>
      </c>
      <c r="H556" s="167">
        <v>7.5</v>
      </c>
      <c r="I556" s="165"/>
      <c r="J556" s="167"/>
      <c r="K556" s="167">
        <v>12.1</v>
      </c>
      <c r="L556" s="167">
        <v>13.2</v>
      </c>
      <c r="M556" s="168">
        <v>0.38263888888888897</v>
      </c>
      <c r="N556" s="67"/>
    </row>
    <row r="557" spans="1:14" x14ac:dyDescent="0.25">
      <c r="A557" s="66">
        <v>44711</v>
      </c>
      <c r="B557" s="67" t="s">
        <v>50</v>
      </c>
      <c r="C557" s="129" t="str">
        <f t="shared" si="16"/>
        <v>30.05.2022_LIEohBo</v>
      </c>
      <c r="D557" s="143">
        <f t="shared" si="17"/>
        <v>0</v>
      </c>
      <c r="E557" s="157">
        <v>7.51</v>
      </c>
      <c r="F557" s="165"/>
      <c r="G557" s="166">
        <v>658</v>
      </c>
      <c r="H557" s="167">
        <v>3.8</v>
      </c>
      <c r="I557" s="165"/>
      <c r="J557" s="167"/>
      <c r="K557" s="167">
        <v>12.7</v>
      </c>
      <c r="L557" s="167">
        <v>15</v>
      </c>
      <c r="M557" s="168">
        <v>0.358333333333333</v>
      </c>
      <c r="N557" s="175" t="s">
        <v>127</v>
      </c>
    </row>
    <row r="558" spans="1:14" x14ac:dyDescent="0.25">
      <c r="A558" s="66">
        <v>44711</v>
      </c>
      <c r="B558" s="67" t="s">
        <v>53</v>
      </c>
      <c r="C558" s="129" t="str">
        <f t="shared" si="16"/>
        <v>30.05.2022_NATohBo</v>
      </c>
      <c r="D558" s="143">
        <f t="shared" si="17"/>
        <v>0</v>
      </c>
      <c r="E558" s="157">
        <v>7.44</v>
      </c>
      <c r="F558" s="165"/>
      <c r="G558" s="166">
        <v>1834</v>
      </c>
      <c r="H558" s="167">
        <v>6.5</v>
      </c>
      <c r="I558" s="165"/>
      <c r="J558" s="167"/>
      <c r="K558" s="167">
        <v>14.1</v>
      </c>
      <c r="L558" s="167">
        <v>7.5</v>
      </c>
      <c r="M558" s="168">
        <v>0.56388888888888899</v>
      </c>
      <c r="N558" s="67"/>
    </row>
    <row r="559" spans="1:14" x14ac:dyDescent="0.25">
      <c r="A559" s="66">
        <v>44711</v>
      </c>
      <c r="B559" s="67" t="s">
        <v>55</v>
      </c>
      <c r="C559" s="129" t="str">
        <f t="shared" si="16"/>
        <v>30.05.2022_QUAohBo</v>
      </c>
      <c r="D559" s="143">
        <f t="shared" si="17"/>
        <v>0</v>
      </c>
      <c r="E559" s="157">
        <v>8.0500000000000007</v>
      </c>
      <c r="F559" s="165"/>
      <c r="G559" s="166">
        <v>826</v>
      </c>
      <c r="H559" s="167">
        <v>6.2</v>
      </c>
      <c r="I559" s="165"/>
      <c r="J559" s="167"/>
      <c r="K559" s="167">
        <v>12.5</v>
      </c>
      <c r="L559" s="167">
        <v>3.1</v>
      </c>
      <c r="M559" s="168">
        <v>0.52291666666666703</v>
      </c>
      <c r="N559" s="67"/>
    </row>
    <row r="560" spans="1:14" x14ac:dyDescent="0.25">
      <c r="A560" s="66">
        <v>44711</v>
      </c>
      <c r="B560" s="67" t="s">
        <v>57</v>
      </c>
      <c r="C560" s="129" t="str">
        <f t="shared" si="16"/>
        <v>30.05.2022_SCHohVo</v>
      </c>
      <c r="D560" s="143">
        <f t="shared" si="17"/>
        <v>0</v>
      </c>
      <c r="E560" s="157">
        <v>8.19</v>
      </c>
      <c r="F560" s="165"/>
      <c r="G560" s="166">
        <v>715</v>
      </c>
      <c r="H560" s="167">
        <v>7.2</v>
      </c>
      <c r="I560" s="165"/>
      <c r="J560" s="167"/>
      <c r="K560" s="167">
        <v>11.4</v>
      </c>
      <c r="L560" s="167">
        <v>3.8</v>
      </c>
      <c r="M560" s="168">
        <v>0.40486111111111101</v>
      </c>
      <c r="N560" s="67"/>
    </row>
    <row r="561" spans="1:14" x14ac:dyDescent="0.25">
      <c r="A561" s="66">
        <v>44711</v>
      </c>
      <c r="B561" s="67" t="s">
        <v>60</v>
      </c>
      <c r="C561" s="129" t="str">
        <f t="shared" si="16"/>
        <v>30.05.2022_VORohBo</v>
      </c>
      <c r="D561" s="143">
        <f t="shared" si="17"/>
        <v>0</v>
      </c>
      <c r="E561" s="157">
        <v>7.64</v>
      </c>
      <c r="F561" s="165"/>
      <c r="G561" s="166">
        <v>1005</v>
      </c>
      <c r="H561" s="167">
        <v>6</v>
      </c>
      <c r="I561" s="165"/>
      <c r="J561" s="167"/>
      <c r="K561" s="167">
        <v>11.7</v>
      </c>
      <c r="L561" s="167">
        <v>9.3000000000000007</v>
      </c>
      <c r="M561" s="168">
        <v>0.42499999999999999</v>
      </c>
      <c r="N561" s="67"/>
    </row>
    <row r="562" spans="1:14" x14ac:dyDescent="0.25">
      <c r="A562" s="66">
        <v>44711</v>
      </c>
      <c r="B562" s="67" t="s">
        <v>62</v>
      </c>
      <c r="C562" s="129" t="str">
        <f t="shared" si="16"/>
        <v>30.05.2022_VORuhSc</v>
      </c>
      <c r="D562" s="143">
        <f t="shared" si="17"/>
        <v>0</v>
      </c>
      <c r="E562" s="157">
        <v>7.34</v>
      </c>
      <c r="F562" s="165"/>
      <c r="G562" s="166">
        <v>1076</v>
      </c>
      <c r="H562" s="167">
        <v>5.7</v>
      </c>
      <c r="I562" s="165"/>
      <c r="J562" s="167"/>
      <c r="K562" s="167">
        <v>11.9</v>
      </c>
      <c r="L562" s="167">
        <v>9.1999999999999993</v>
      </c>
      <c r="M562" s="168">
        <v>0.41249999999999998</v>
      </c>
      <c r="N562" s="67"/>
    </row>
    <row r="563" spans="1:14" x14ac:dyDescent="0.25">
      <c r="A563" s="66">
        <v>44711</v>
      </c>
      <c r="B563" s="67" t="s">
        <v>64</v>
      </c>
      <c r="C563" s="129" t="str">
        <f t="shared" si="16"/>
        <v>30.05.2022_WITob</v>
      </c>
      <c r="D563" s="143">
        <f t="shared" si="17"/>
        <v>0</v>
      </c>
      <c r="E563" s="157">
        <v>8.31</v>
      </c>
      <c r="F563" s="165"/>
      <c r="G563" s="166">
        <v>1245</v>
      </c>
      <c r="H563" s="167">
        <v>7.9</v>
      </c>
      <c r="I563" s="165"/>
      <c r="J563" s="167"/>
      <c r="K563" s="167">
        <v>12.7</v>
      </c>
      <c r="L563" s="167">
        <v>4.2</v>
      </c>
      <c r="M563" s="168">
        <v>0.55277777777777803</v>
      </c>
      <c r="N563" s="67"/>
    </row>
    <row r="564" spans="1:14" x14ac:dyDescent="0.25">
      <c r="A564" s="66">
        <v>44732</v>
      </c>
      <c r="B564" s="67" t="s">
        <v>22</v>
      </c>
      <c r="C564" s="129" t="str">
        <f t="shared" si="16"/>
        <v>20.06.2022_BOYkl</v>
      </c>
      <c r="D564" s="143">
        <f t="shared" si="17"/>
        <v>0</v>
      </c>
      <c r="E564" s="157">
        <v>8.33</v>
      </c>
      <c r="F564" s="165"/>
      <c r="G564" s="166">
        <v>505</v>
      </c>
      <c r="H564" s="167">
        <v>8.1</v>
      </c>
      <c r="I564" s="165"/>
      <c r="J564" s="167"/>
      <c r="K564" s="167">
        <v>14.5</v>
      </c>
      <c r="L564" s="167">
        <v>1.5</v>
      </c>
      <c r="M564" s="168">
        <v>0.50486111111111098</v>
      </c>
      <c r="N564" s="175"/>
    </row>
    <row r="565" spans="1:14" x14ac:dyDescent="0.25">
      <c r="A565" s="66">
        <v>44732</v>
      </c>
      <c r="B565" s="67" t="s">
        <v>25</v>
      </c>
      <c r="C565" s="129" t="str">
        <f t="shared" si="16"/>
        <v>20.06.2022_BOYohB224</v>
      </c>
      <c r="D565" s="143">
        <f t="shared" si="17"/>
        <v>0</v>
      </c>
      <c r="E565" s="157">
        <v>8.85</v>
      </c>
      <c r="F565" s="165"/>
      <c r="G565" s="166">
        <v>1045</v>
      </c>
      <c r="H565" s="167">
        <v>10.7</v>
      </c>
      <c r="I565" s="165"/>
      <c r="J565" s="167"/>
      <c r="K565" s="167">
        <v>24.4</v>
      </c>
      <c r="L565" s="167">
        <v>21</v>
      </c>
      <c r="M565" s="168">
        <v>0.69236111111111098</v>
      </c>
      <c r="N565" s="67"/>
    </row>
    <row r="566" spans="1:14" x14ac:dyDescent="0.25">
      <c r="A566" s="66">
        <v>44732</v>
      </c>
      <c r="B566" s="67" t="s">
        <v>28</v>
      </c>
      <c r="C566" s="129" t="str">
        <f t="shared" si="16"/>
        <v>20.06.2022_BOYohBr</v>
      </c>
      <c r="D566" s="143">
        <f t="shared" si="17"/>
        <v>0</v>
      </c>
      <c r="E566" s="157">
        <v>8.27</v>
      </c>
      <c r="F566" s="165"/>
      <c r="G566" s="166">
        <v>551</v>
      </c>
      <c r="H566" s="167">
        <v>8.1</v>
      </c>
      <c r="I566" s="165"/>
      <c r="J566" s="167"/>
      <c r="K566" s="167">
        <v>13.8</v>
      </c>
      <c r="L566" s="167">
        <v>21.5</v>
      </c>
      <c r="M566" s="168">
        <v>0.57430555555555596</v>
      </c>
      <c r="N566" s="175" t="s">
        <v>245</v>
      </c>
    </row>
    <row r="567" spans="1:14" x14ac:dyDescent="0.25">
      <c r="A567" s="66">
        <v>44732</v>
      </c>
      <c r="B567" s="67" t="s">
        <v>30</v>
      </c>
      <c r="C567" s="129" t="str">
        <f t="shared" si="16"/>
        <v>20.06.2022_BOYohKi</v>
      </c>
      <c r="D567" s="143">
        <f t="shared" si="17"/>
        <v>0</v>
      </c>
      <c r="E567" s="157">
        <v>8.34</v>
      </c>
      <c r="F567" s="165"/>
      <c r="G567" s="166">
        <v>828</v>
      </c>
      <c r="H567" s="167">
        <v>8.4</v>
      </c>
      <c r="I567" s="165"/>
      <c r="J567" s="167"/>
      <c r="K567" s="167">
        <v>15.6</v>
      </c>
      <c r="L567" s="167">
        <v>23</v>
      </c>
      <c r="M567" s="168">
        <v>0.41666666666666702</v>
      </c>
      <c r="N567" s="67"/>
    </row>
    <row r="568" spans="1:14" x14ac:dyDescent="0.25">
      <c r="A568" s="66">
        <v>44732</v>
      </c>
      <c r="B568" s="67" t="s">
        <v>32</v>
      </c>
      <c r="C568" s="129" t="str">
        <f t="shared" si="16"/>
        <v>20.06.2022_BOYohSp</v>
      </c>
      <c r="D568" s="143">
        <f t="shared" si="17"/>
        <v>0</v>
      </c>
      <c r="E568" s="157">
        <v>8.34</v>
      </c>
      <c r="F568" s="165"/>
      <c r="G568" s="166">
        <v>6.06</v>
      </c>
      <c r="H568" s="167">
        <v>8.3000000000000007</v>
      </c>
      <c r="I568" s="165"/>
      <c r="J568" s="167"/>
      <c r="K568" s="167">
        <v>14.2</v>
      </c>
      <c r="L568" s="167">
        <v>12</v>
      </c>
      <c r="M568" s="168">
        <v>0.60069444444444398</v>
      </c>
      <c r="N568" s="175" t="s">
        <v>245</v>
      </c>
    </row>
    <row r="569" spans="1:14" x14ac:dyDescent="0.25">
      <c r="A569" s="66">
        <v>44732</v>
      </c>
      <c r="B569" s="67" t="s">
        <v>36</v>
      </c>
      <c r="C569" s="129" t="str">
        <f t="shared" si="16"/>
        <v>20.06.2022_BOYuhSp</v>
      </c>
      <c r="D569" s="143">
        <f t="shared" si="17"/>
        <v>0</v>
      </c>
      <c r="E569" s="157">
        <v>8.43</v>
      </c>
      <c r="F569" s="165"/>
      <c r="G569" s="166">
        <v>627</v>
      </c>
      <c r="H569" s="167">
        <v>8.6</v>
      </c>
      <c r="I569" s="165"/>
      <c r="J569" s="167"/>
      <c r="K569" s="167">
        <v>14.2</v>
      </c>
      <c r="L569" s="167">
        <v>15.5</v>
      </c>
      <c r="M569" s="168">
        <v>0.58680555555555602</v>
      </c>
      <c r="N569" s="175" t="s">
        <v>245</v>
      </c>
    </row>
    <row r="570" spans="1:14" x14ac:dyDescent="0.25">
      <c r="A570" s="66">
        <v>44732</v>
      </c>
      <c r="B570" s="67" t="s">
        <v>38</v>
      </c>
      <c r="C570" s="129" t="str">
        <f t="shared" si="16"/>
        <v>20.06.2022_BRAob</v>
      </c>
      <c r="D570" s="143">
        <f t="shared" si="17"/>
        <v>0</v>
      </c>
      <c r="E570" s="157">
        <v>8.7100000000000009</v>
      </c>
      <c r="F570" s="165"/>
      <c r="G570" s="166">
        <v>683</v>
      </c>
      <c r="H570" s="167">
        <v>8.9</v>
      </c>
      <c r="I570" s="165"/>
      <c r="J570" s="167"/>
      <c r="K570" s="167">
        <v>14.9</v>
      </c>
      <c r="L570" s="167">
        <v>3</v>
      </c>
      <c r="M570" s="168">
        <v>0.53125</v>
      </c>
      <c r="N570" s="175" t="s">
        <v>251</v>
      </c>
    </row>
    <row r="571" spans="1:14" x14ac:dyDescent="0.25">
      <c r="A571" s="66">
        <v>44732</v>
      </c>
      <c r="B571" s="67" t="s">
        <v>41</v>
      </c>
      <c r="C571" s="129" t="str">
        <f t="shared" si="16"/>
        <v>20.06.2022_BRAohBo</v>
      </c>
      <c r="D571" s="143">
        <f t="shared" si="17"/>
        <v>0</v>
      </c>
      <c r="E571" s="157">
        <v>8.7200000000000006</v>
      </c>
      <c r="F571" s="165"/>
      <c r="G571" s="166">
        <v>672</v>
      </c>
      <c r="H571" s="167">
        <v>8.1999999999999993</v>
      </c>
      <c r="I571" s="165"/>
      <c r="J571" s="167"/>
      <c r="K571" s="167">
        <v>16.399999999999999</v>
      </c>
      <c r="L571" s="167">
        <v>11.5</v>
      </c>
      <c r="M571" s="168">
        <v>0.54097222222222197</v>
      </c>
      <c r="N571" s="67"/>
    </row>
    <row r="572" spans="1:14" x14ac:dyDescent="0.25">
      <c r="A572" s="66">
        <v>44732</v>
      </c>
      <c r="B572" s="67" t="s">
        <v>43</v>
      </c>
      <c r="C572" s="129" t="str">
        <f t="shared" si="16"/>
        <v>20.06.2022_HAAob</v>
      </c>
      <c r="D572" s="143">
        <f t="shared" si="17"/>
        <v>0</v>
      </c>
      <c r="E572" s="157">
        <v>8.73</v>
      </c>
      <c r="F572" s="165"/>
      <c r="G572" s="166">
        <v>725</v>
      </c>
      <c r="H572" s="167">
        <v>8.4</v>
      </c>
      <c r="I572" s="165"/>
      <c r="J572" s="167"/>
      <c r="K572" s="167">
        <v>17.899999999999999</v>
      </c>
      <c r="L572" s="167">
        <v>4.5</v>
      </c>
      <c r="M572" s="168">
        <v>0.64930555555555602</v>
      </c>
      <c r="N572" s="175" t="s">
        <v>252</v>
      </c>
    </row>
    <row r="573" spans="1:14" x14ac:dyDescent="0.25">
      <c r="A573" s="66">
        <v>44732</v>
      </c>
      <c r="B573" s="67" t="s">
        <v>45</v>
      </c>
      <c r="C573" s="129" t="str">
        <f t="shared" si="16"/>
        <v>20.06.2022_HAAun</v>
      </c>
      <c r="D573" s="143">
        <f t="shared" si="17"/>
        <v>0</v>
      </c>
      <c r="E573" s="157">
        <v>8.5</v>
      </c>
      <c r="F573" s="165"/>
      <c r="G573" s="166">
        <v>1130</v>
      </c>
      <c r="H573" s="167">
        <v>8.1</v>
      </c>
      <c r="I573" s="165"/>
      <c r="J573" s="167"/>
      <c r="K573" s="167">
        <v>16.8</v>
      </c>
      <c r="L573" s="167">
        <v>8.5</v>
      </c>
      <c r="M573" s="168">
        <v>0.625</v>
      </c>
      <c r="N573" s="175" t="s">
        <v>253</v>
      </c>
    </row>
    <row r="574" spans="1:14" x14ac:dyDescent="0.25">
      <c r="A574" s="66">
        <v>44732</v>
      </c>
      <c r="B574" s="67" t="s">
        <v>47</v>
      </c>
      <c r="C574" s="129" t="str">
        <f t="shared" si="16"/>
        <v>20.06.2022_KIRob</v>
      </c>
      <c r="D574" s="143">
        <f t="shared" si="17"/>
        <v>0</v>
      </c>
      <c r="E574" s="157">
        <v>8.3000000000000007</v>
      </c>
      <c r="F574" s="165"/>
      <c r="G574" s="166">
        <v>1000</v>
      </c>
      <c r="H574" s="167">
        <v>7.6</v>
      </c>
      <c r="I574" s="165"/>
      <c r="J574" s="167"/>
      <c r="K574" s="167">
        <v>14.1</v>
      </c>
      <c r="L574" s="167">
        <v>9</v>
      </c>
      <c r="M574" s="168">
        <v>0.44374999999999998</v>
      </c>
      <c r="N574" s="67"/>
    </row>
    <row r="575" spans="1:14" x14ac:dyDescent="0.25">
      <c r="A575" s="66">
        <v>44732</v>
      </c>
      <c r="B575" s="67" t="s">
        <v>49</v>
      </c>
      <c r="C575" s="129" t="str">
        <f t="shared" si="16"/>
        <v>20.06.2022_KIRun</v>
      </c>
      <c r="D575" s="143">
        <f t="shared" si="17"/>
        <v>0</v>
      </c>
      <c r="E575" s="157">
        <v>8.41</v>
      </c>
      <c r="F575" s="165"/>
      <c r="G575" s="166">
        <v>1006</v>
      </c>
      <c r="H575" s="167">
        <v>9.6</v>
      </c>
      <c r="I575" s="165"/>
      <c r="J575" s="167"/>
      <c r="K575" s="167">
        <v>14.2</v>
      </c>
      <c r="L575" s="167">
        <v>11.5</v>
      </c>
      <c r="M575" s="168">
        <v>0.42708333333333298</v>
      </c>
      <c r="N575" s="175" t="s">
        <v>245</v>
      </c>
    </row>
    <row r="576" spans="1:14" x14ac:dyDescent="0.25">
      <c r="A576" s="66">
        <v>44732</v>
      </c>
      <c r="B576" s="67" t="s">
        <v>50</v>
      </c>
      <c r="C576" s="129" t="str">
        <f t="shared" si="16"/>
        <v>20.06.2022_LIEohBo</v>
      </c>
      <c r="D576" s="143">
        <f t="shared" si="17"/>
        <v>0</v>
      </c>
      <c r="E576" s="157">
        <v>7.62</v>
      </c>
      <c r="F576" s="165"/>
      <c r="G576" s="166">
        <v>761</v>
      </c>
      <c r="H576" s="167">
        <v>1.8</v>
      </c>
      <c r="I576" s="165"/>
      <c r="J576" s="167"/>
      <c r="K576" s="167">
        <v>16.5</v>
      </c>
      <c r="L576" s="167">
        <v>17</v>
      </c>
      <c r="M576" s="168">
        <v>0.40138888888888902</v>
      </c>
      <c r="N576" s="175" t="s">
        <v>257</v>
      </c>
    </row>
    <row r="577" spans="1:14" x14ac:dyDescent="0.25">
      <c r="A577" s="66">
        <v>44732</v>
      </c>
      <c r="B577" s="67" t="s">
        <v>53</v>
      </c>
      <c r="C577" s="129" t="str">
        <f t="shared" si="16"/>
        <v>20.06.2022_NATohBo</v>
      </c>
      <c r="D577" s="143">
        <f t="shared" si="17"/>
        <v>0</v>
      </c>
      <c r="E577" s="157">
        <v>7.57</v>
      </c>
      <c r="F577" s="165"/>
      <c r="G577" s="166">
        <v>2110</v>
      </c>
      <c r="H577" s="167">
        <v>7.4</v>
      </c>
      <c r="I577" s="165"/>
      <c r="J577" s="167"/>
      <c r="K577" s="167">
        <v>21.2</v>
      </c>
      <c r="L577" s="167">
        <v>4</v>
      </c>
      <c r="M577" s="168">
        <v>0.67361111111111105</v>
      </c>
      <c r="N577" s="67"/>
    </row>
    <row r="578" spans="1:14" x14ac:dyDescent="0.25">
      <c r="A578" s="66">
        <v>44732</v>
      </c>
      <c r="B578" s="67" t="s">
        <v>55</v>
      </c>
      <c r="C578" s="129" t="str">
        <f t="shared" si="16"/>
        <v>20.06.2022_QUAohBo</v>
      </c>
      <c r="D578" s="143">
        <f t="shared" si="17"/>
        <v>5</v>
      </c>
      <c r="E578" s="205"/>
      <c r="F578" s="165"/>
      <c r="G578" s="166"/>
      <c r="H578" s="167"/>
      <c r="I578" s="165"/>
      <c r="J578" s="167"/>
      <c r="K578" s="167"/>
      <c r="L578" s="167"/>
      <c r="M578" s="168"/>
      <c r="N578" s="67" t="s">
        <v>341</v>
      </c>
    </row>
    <row r="579" spans="1:14" x14ac:dyDescent="0.25">
      <c r="A579" s="66">
        <v>44732</v>
      </c>
      <c r="B579" s="67" t="s">
        <v>57</v>
      </c>
      <c r="C579" s="129" t="str">
        <f t="shared" si="16"/>
        <v>20.06.2022_SCHohVo</v>
      </c>
      <c r="D579" s="143">
        <f t="shared" si="17"/>
        <v>5</v>
      </c>
      <c r="E579" s="205"/>
      <c r="F579" s="165"/>
      <c r="G579" s="166"/>
      <c r="H579" s="167"/>
      <c r="I579" s="165"/>
      <c r="J579" s="167"/>
      <c r="K579" s="167"/>
      <c r="L579" s="167"/>
      <c r="M579" s="168"/>
      <c r="N579" s="67" t="s">
        <v>341</v>
      </c>
    </row>
    <row r="580" spans="1:14" x14ac:dyDescent="0.25">
      <c r="A580" s="66">
        <v>44732</v>
      </c>
      <c r="B580" s="67" t="s">
        <v>60</v>
      </c>
      <c r="C580" s="129" t="str">
        <f t="shared" ref="C580:C643" si="18">CONCATENATE(TEXT(A580,"TT.MM.JJJJ"),"_",B580)</f>
        <v>20.06.2022_VORohBo</v>
      </c>
      <c r="D580" s="143">
        <f t="shared" si="17"/>
        <v>1</v>
      </c>
      <c r="E580" s="205"/>
      <c r="F580" s="165" t="s">
        <v>299</v>
      </c>
      <c r="G580" s="166">
        <v>1097</v>
      </c>
      <c r="H580" s="167">
        <v>7.8</v>
      </c>
      <c r="I580" s="165" t="s">
        <v>299</v>
      </c>
      <c r="J580" s="167"/>
      <c r="K580" s="167">
        <v>14</v>
      </c>
      <c r="L580" s="167">
        <v>8</v>
      </c>
      <c r="M580" s="168">
        <v>0.48888888888888898</v>
      </c>
      <c r="N580" s="67" t="s">
        <v>337</v>
      </c>
    </row>
    <row r="581" spans="1:14" x14ac:dyDescent="0.25">
      <c r="A581" s="66">
        <v>44732</v>
      </c>
      <c r="B581" s="67" t="s">
        <v>62</v>
      </c>
      <c r="C581" s="129" t="str">
        <f t="shared" si="18"/>
        <v>20.06.2022_VORuhSc</v>
      </c>
      <c r="D581" s="143">
        <f t="shared" ref="D581:D644" si="19">COUNTBLANK(E581)+COUNTBLANK(G581:H581)+COUNTBLANK(K581:L581)</f>
        <v>0</v>
      </c>
      <c r="E581" s="157">
        <v>7.68</v>
      </c>
      <c r="F581" s="165"/>
      <c r="G581" s="166">
        <v>1150</v>
      </c>
      <c r="H581" s="167">
        <v>8.1</v>
      </c>
      <c r="I581" s="165"/>
      <c r="J581" s="167"/>
      <c r="K581" s="167">
        <v>14.1</v>
      </c>
      <c r="L581" s="167">
        <v>4.5</v>
      </c>
      <c r="M581" s="168">
        <v>0.46527777777777801</v>
      </c>
      <c r="N581" s="67"/>
    </row>
    <row r="582" spans="1:14" x14ac:dyDescent="0.25">
      <c r="A582" s="66">
        <v>44732</v>
      </c>
      <c r="B582" s="67" t="s">
        <v>64</v>
      </c>
      <c r="C582" s="129" t="str">
        <f t="shared" si="18"/>
        <v>20.06.2022_WITob</v>
      </c>
      <c r="D582" s="143">
        <f t="shared" si="19"/>
        <v>0</v>
      </c>
      <c r="E582" s="157">
        <v>8.7200000000000006</v>
      </c>
      <c r="F582" s="165"/>
      <c r="G582" s="166">
        <v>1180</v>
      </c>
      <c r="H582" s="167">
        <v>8.3000000000000007</v>
      </c>
      <c r="I582" s="165"/>
      <c r="J582" s="167"/>
      <c r="K582" s="167">
        <v>17.2</v>
      </c>
      <c r="L582" s="167">
        <v>3.5</v>
      </c>
      <c r="M582" s="168">
        <v>0.65625</v>
      </c>
      <c r="N582" s="67"/>
    </row>
    <row r="583" spans="1:14" x14ac:dyDescent="0.25">
      <c r="A583" s="66">
        <v>44739</v>
      </c>
      <c r="B583" s="67" t="s">
        <v>22</v>
      </c>
      <c r="C583" s="129" t="str">
        <f t="shared" si="18"/>
        <v>27.06.2022_BOYkl</v>
      </c>
      <c r="D583" s="143">
        <f t="shared" si="19"/>
        <v>5</v>
      </c>
      <c r="E583" s="205"/>
      <c r="F583" s="165"/>
      <c r="G583" s="166"/>
      <c r="H583" s="167"/>
      <c r="I583" s="165"/>
      <c r="J583" s="167"/>
      <c r="K583" s="167"/>
      <c r="L583" s="167"/>
      <c r="M583" s="168"/>
      <c r="N583" s="67" t="s">
        <v>351</v>
      </c>
    </row>
    <row r="584" spans="1:14" x14ac:dyDescent="0.25">
      <c r="A584" s="66">
        <v>44739</v>
      </c>
      <c r="B584" s="67" t="s">
        <v>25</v>
      </c>
      <c r="C584" s="129" t="str">
        <f t="shared" si="18"/>
        <v>27.06.2022_BOYohB224</v>
      </c>
      <c r="D584" s="143">
        <f t="shared" si="19"/>
        <v>0</v>
      </c>
      <c r="E584" s="157">
        <v>8.73</v>
      </c>
      <c r="F584" s="165"/>
      <c r="G584" s="166">
        <v>1043</v>
      </c>
      <c r="H584" s="167">
        <v>9.1999999999999993</v>
      </c>
      <c r="I584" s="165"/>
      <c r="J584" s="167"/>
      <c r="K584" s="167">
        <v>21.5</v>
      </c>
      <c r="L584" s="167">
        <v>33.9</v>
      </c>
      <c r="M584" s="168">
        <v>0.66666666666666696</v>
      </c>
      <c r="N584" s="67"/>
    </row>
    <row r="585" spans="1:14" x14ac:dyDescent="0.25">
      <c r="A585" s="66">
        <v>44739</v>
      </c>
      <c r="B585" s="67" t="s">
        <v>28</v>
      </c>
      <c r="C585" s="129" t="str">
        <f t="shared" si="18"/>
        <v>27.06.2022_BOYohBr</v>
      </c>
      <c r="D585" s="143">
        <f t="shared" si="19"/>
        <v>0</v>
      </c>
      <c r="E585" s="157">
        <v>8.01</v>
      </c>
      <c r="F585" s="165"/>
      <c r="G585" s="166">
        <v>556</v>
      </c>
      <c r="H585" s="167">
        <v>8.1</v>
      </c>
      <c r="I585" s="165"/>
      <c r="J585" s="167"/>
      <c r="K585" s="167">
        <v>14.1</v>
      </c>
      <c r="L585" s="167">
        <v>14.4</v>
      </c>
      <c r="M585" s="168">
        <v>0.56111111111111101</v>
      </c>
      <c r="N585" s="67"/>
    </row>
    <row r="586" spans="1:14" x14ac:dyDescent="0.25">
      <c r="A586" s="66">
        <v>44739</v>
      </c>
      <c r="B586" s="67" t="s">
        <v>30</v>
      </c>
      <c r="C586" s="129" t="str">
        <f t="shared" si="18"/>
        <v>27.06.2022_BOYohKi</v>
      </c>
      <c r="D586" s="143">
        <f t="shared" si="19"/>
        <v>0</v>
      </c>
      <c r="E586" s="157">
        <v>8.2200000000000006</v>
      </c>
      <c r="F586" s="165"/>
      <c r="G586" s="166">
        <v>856</v>
      </c>
      <c r="H586" s="167">
        <v>7.7</v>
      </c>
      <c r="I586" s="165"/>
      <c r="J586" s="167"/>
      <c r="K586" s="167">
        <v>16.2</v>
      </c>
      <c r="L586" s="167">
        <v>22</v>
      </c>
      <c r="M586" s="168">
        <v>0.38541666666666702</v>
      </c>
      <c r="N586" s="67"/>
    </row>
    <row r="587" spans="1:14" x14ac:dyDescent="0.25">
      <c r="A587" s="66">
        <v>44739</v>
      </c>
      <c r="B587" s="67" t="s">
        <v>32</v>
      </c>
      <c r="C587" s="129" t="str">
        <f t="shared" si="18"/>
        <v>27.06.2022_BOYohSp</v>
      </c>
      <c r="D587" s="143">
        <f t="shared" si="19"/>
        <v>0</v>
      </c>
      <c r="E587" s="157">
        <v>8.18</v>
      </c>
      <c r="F587" s="165"/>
      <c r="G587" s="166">
        <v>597</v>
      </c>
      <c r="H587" s="167">
        <v>7.8</v>
      </c>
      <c r="I587" s="165"/>
      <c r="J587" s="167"/>
      <c r="K587" s="167">
        <v>14.9</v>
      </c>
      <c r="L587" s="167">
        <v>17.5</v>
      </c>
      <c r="M587" s="168">
        <v>0.58263888888888904</v>
      </c>
      <c r="N587" s="67"/>
    </row>
    <row r="588" spans="1:14" x14ac:dyDescent="0.25">
      <c r="A588" s="66">
        <v>44739</v>
      </c>
      <c r="B588" s="67" t="s">
        <v>36</v>
      </c>
      <c r="C588" s="129" t="str">
        <f t="shared" si="18"/>
        <v>27.06.2022_BOYuhSp</v>
      </c>
      <c r="D588" s="143">
        <f t="shared" si="19"/>
        <v>0</v>
      </c>
      <c r="E588" s="157">
        <v>8.2100000000000009</v>
      </c>
      <c r="F588" s="165"/>
      <c r="G588" s="166">
        <v>611</v>
      </c>
      <c r="H588" s="167">
        <v>7.9</v>
      </c>
      <c r="I588" s="165"/>
      <c r="J588" s="167"/>
      <c r="K588" s="167">
        <v>15.1</v>
      </c>
      <c r="L588" s="167">
        <v>17.3</v>
      </c>
      <c r="M588" s="168">
        <v>0.57569444444444395</v>
      </c>
      <c r="N588" s="67"/>
    </row>
    <row r="589" spans="1:14" x14ac:dyDescent="0.25">
      <c r="A589" s="66">
        <v>44739</v>
      </c>
      <c r="B589" s="67" t="s">
        <v>38</v>
      </c>
      <c r="C589" s="129" t="str">
        <f t="shared" si="18"/>
        <v>27.06.2022_BRAob</v>
      </c>
      <c r="D589" s="143">
        <f t="shared" si="19"/>
        <v>0</v>
      </c>
      <c r="E589" s="157">
        <v>8.5500000000000007</v>
      </c>
      <c r="F589" s="165"/>
      <c r="G589" s="166">
        <v>686</v>
      </c>
      <c r="H589" s="167">
        <v>7.9</v>
      </c>
      <c r="I589" s="165"/>
      <c r="J589" s="167"/>
      <c r="K589" s="167">
        <v>16.5</v>
      </c>
      <c r="L589" s="167">
        <v>5.5</v>
      </c>
      <c r="M589" s="168">
        <v>0.52361111111111103</v>
      </c>
      <c r="N589" s="67" t="s">
        <v>255</v>
      </c>
    </row>
    <row r="590" spans="1:14" x14ac:dyDescent="0.25">
      <c r="A590" s="66">
        <v>44739</v>
      </c>
      <c r="B590" s="67" t="s">
        <v>41</v>
      </c>
      <c r="C590" s="129" t="str">
        <f t="shared" si="18"/>
        <v>27.06.2022_BRAohBo</v>
      </c>
      <c r="D590" s="143">
        <f t="shared" si="19"/>
        <v>0</v>
      </c>
      <c r="E590" s="157">
        <v>8.77</v>
      </c>
      <c r="F590" s="165"/>
      <c r="G590" s="166">
        <v>681</v>
      </c>
      <c r="H590" s="167">
        <v>8</v>
      </c>
      <c r="I590" s="165"/>
      <c r="J590" s="167"/>
      <c r="K590" s="167">
        <v>18.8</v>
      </c>
      <c r="L590" s="167">
        <v>10.1</v>
      </c>
      <c r="M590" s="168">
        <v>0.53611111111111098</v>
      </c>
      <c r="N590" s="67" t="s">
        <v>254</v>
      </c>
    </row>
    <row r="591" spans="1:14" x14ac:dyDescent="0.25">
      <c r="A591" s="66">
        <v>44739</v>
      </c>
      <c r="B591" s="67" t="s">
        <v>43</v>
      </c>
      <c r="C591" s="129" t="str">
        <f t="shared" si="18"/>
        <v>27.06.2022_HAAob</v>
      </c>
      <c r="D591" s="143">
        <f t="shared" si="19"/>
        <v>0</v>
      </c>
      <c r="E591" s="157">
        <v>8.48</v>
      </c>
      <c r="F591" s="165"/>
      <c r="G591" s="166">
        <v>773</v>
      </c>
      <c r="H591" s="167">
        <v>8</v>
      </c>
      <c r="I591" s="165"/>
      <c r="J591" s="167"/>
      <c r="K591" s="167">
        <v>18.5</v>
      </c>
      <c r="L591" s="167">
        <v>6.2</v>
      </c>
      <c r="M591" s="168">
        <v>0.62013888888888902</v>
      </c>
      <c r="N591" s="67"/>
    </row>
    <row r="592" spans="1:14" x14ac:dyDescent="0.25">
      <c r="A592" s="66">
        <v>44739</v>
      </c>
      <c r="B592" s="67" t="s">
        <v>45</v>
      </c>
      <c r="C592" s="129" t="str">
        <f t="shared" si="18"/>
        <v>27.06.2022_HAAun</v>
      </c>
      <c r="D592" s="143">
        <f t="shared" si="19"/>
        <v>0</v>
      </c>
      <c r="E592" s="157">
        <v>8.26</v>
      </c>
      <c r="F592" s="165"/>
      <c r="G592" s="166">
        <v>1117</v>
      </c>
      <c r="H592" s="167">
        <v>7.5</v>
      </c>
      <c r="I592" s="165"/>
      <c r="J592" s="167"/>
      <c r="K592" s="167">
        <v>17.2</v>
      </c>
      <c r="L592" s="167">
        <v>10.5</v>
      </c>
      <c r="M592" s="168">
        <v>0.61180555555555605</v>
      </c>
      <c r="N592" s="67"/>
    </row>
    <row r="593" spans="1:14" x14ac:dyDescent="0.25">
      <c r="A593" s="66">
        <v>44739</v>
      </c>
      <c r="B593" s="67" t="s">
        <v>47</v>
      </c>
      <c r="C593" s="129" t="str">
        <f t="shared" si="18"/>
        <v>27.06.2022_KIRob</v>
      </c>
      <c r="D593" s="143">
        <f t="shared" si="19"/>
        <v>0</v>
      </c>
      <c r="E593" s="157">
        <v>8.3699999999999992</v>
      </c>
      <c r="F593" s="165"/>
      <c r="G593" s="166">
        <v>1108</v>
      </c>
      <c r="H593" s="167">
        <v>7.9</v>
      </c>
      <c r="I593" s="165"/>
      <c r="J593" s="167"/>
      <c r="K593" s="167">
        <v>14.9</v>
      </c>
      <c r="L593" s="167">
        <v>7.5</v>
      </c>
      <c r="M593" s="168">
        <v>0.40833333333333299</v>
      </c>
      <c r="N593" s="67"/>
    </row>
    <row r="594" spans="1:14" x14ac:dyDescent="0.25">
      <c r="A594" s="66">
        <v>44739</v>
      </c>
      <c r="B594" s="67" t="s">
        <v>49</v>
      </c>
      <c r="C594" s="129" t="str">
        <f t="shared" si="18"/>
        <v>27.06.2022_KIRun</v>
      </c>
      <c r="D594" s="143">
        <f t="shared" si="19"/>
        <v>0</v>
      </c>
      <c r="E594" s="157">
        <v>8.3800000000000008</v>
      </c>
      <c r="F594" s="165"/>
      <c r="G594" s="166">
        <v>993</v>
      </c>
      <c r="H594" s="167">
        <v>8.1</v>
      </c>
      <c r="I594" s="165"/>
      <c r="J594" s="167"/>
      <c r="K594" s="167">
        <v>15</v>
      </c>
      <c r="L594" s="167">
        <v>10.3</v>
      </c>
      <c r="M594" s="168">
        <v>0.39930555555555602</v>
      </c>
      <c r="N594" s="67"/>
    </row>
    <row r="595" spans="1:14" x14ac:dyDescent="0.25">
      <c r="A595" s="66">
        <v>44739</v>
      </c>
      <c r="B595" s="67" t="s">
        <v>50</v>
      </c>
      <c r="C595" s="129" t="str">
        <f t="shared" si="18"/>
        <v>27.06.2022_LIEohBo</v>
      </c>
      <c r="D595" s="143">
        <f t="shared" si="19"/>
        <v>0</v>
      </c>
      <c r="E595" s="157">
        <v>7.61</v>
      </c>
      <c r="F595" s="165"/>
      <c r="G595" s="166">
        <v>656</v>
      </c>
      <c r="H595" s="167">
        <v>1.4</v>
      </c>
      <c r="I595" s="165"/>
      <c r="J595" s="167"/>
      <c r="K595" s="167">
        <v>18</v>
      </c>
      <c r="L595" s="167">
        <v>17.3</v>
      </c>
      <c r="M595" s="168">
        <v>0.374305555555556</v>
      </c>
      <c r="N595" s="67" t="s">
        <v>256</v>
      </c>
    </row>
    <row r="596" spans="1:14" x14ac:dyDescent="0.25">
      <c r="A596" s="66">
        <v>44739</v>
      </c>
      <c r="B596" s="67" t="s">
        <v>53</v>
      </c>
      <c r="C596" s="129" t="str">
        <f t="shared" si="18"/>
        <v>27.06.2022_NATohBo</v>
      </c>
      <c r="D596" s="143">
        <f t="shared" si="19"/>
        <v>0</v>
      </c>
      <c r="E596" s="157">
        <v>7.52</v>
      </c>
      <c r="F596" s="165"/>
      <c r="G596" s="166">
        <v>1744</v>
      </c>
      <c r="H596" s="167">
        <v>7.3</v>
      </c>
      <c r="I596" s="165"/>
      <c r="J596" s="167"/>
      <c r="K596" s="167">
        <v>18.600000000000001</v>
      </c>
      <c r="L596" s="167">
        <v>4.9000000000000004</v>
      </c>
      <c r="M596" s="168">
        <v>0.64930555555555602</v>
      </c>
      <c r="N596" s="67"/>
    </row>
    <row r="597" spans="1:14" x14ac:dyDescent="0.25">
      <c r="A597" s="66">
        <v>44739</v>
      </c>
      <c r="B597" s="67" t="s">
        <v>55</v>
      </c>
      <c r="C597" s="129" t="str">
        <f t="shared" si="18"/>
        <v>27.06.2022_QUAohBo</v>
      </c>
      <c r="D597" s="143">
        <f t="shared" si="19"/>
        <v>5</v>
      </c>
      <c r="E597" s="205"/>
      <c r="F597" s="165"/>
      <c r="G597" s="166"/>
      <c r="H597" s="167"/>
      <c r="I597" s="165"/>
      <c r="J597" s="167"/>
      <c r="K597" s="167"/>
      <c r="L597" s="167"/>
      <c r="M597" s="168"/>
      <c r="N597" s="67" t="s">
        <v>341</v>
      </c>
    </row>
    <row r="598" spans="1:14" x14ac:dyDescent="0.25">
      <c r="A598" s="66">
        <v>44739</v>
      </c>
      <c r="B598" s="67" t="s">
        <v>57</v>
      </c>
      <c r="C598" s="129" t="str">
        <f t="shared" si="18"/>
        <v>27.06.2022_SCHohVo</v>
      </c>
      <c r="D598" s="143">
        <f t="shared" si="19"/>
        <v>5</v>
      </c>
      <c r="E598" s="205"/>
      <c r="F598" s="165"/>
      <c r="G598" s="166"/>
      <c r="H598" s="167"/>
      <c r="I598" s="165"/>
      <c r="J598" s="167"/>
      <c r="K598" s="167"/>
      <c r="L598" s="167"/>
      <c r="M598" s="168"/>
      <c r="N598" s="67" t="s">
        <v>352</v>
      </c>
    </row>
    <row r="599" spans="1:14" x14ac:dyDescent="0.25">
      <c r="A599" s="66">
        <v>44739</v>
      </c>
      <c r="B599" s="67" t="s">
        <v>60</v>
      </c>
      <c r="C599" s="129" t="str">
        <f t="shared" si="18"/>
        <v>27.06.2022_VORohBo</v>
      </c>
      <c r="D599" s="143">
        <f t="shared" si="19"/>
        <v>0</v>
      </c>
      <c r="E599" s="157">
        <v>7.9</v>
      </c>
      <c r="F599" s="165"/>
      <c r="G599" s="166">
        <v>1099</v>
      </c>
      <c r="H599" s="167">
        <v>6.9</v>
      </c>
      <c r="I599" s="165"/>
      <c r="J599" s="167"/>
      <c r="K599" s="167">
        <v>15.2</v>
      </c>
      <c r="L599" s="167">
        <v>8.6</v>
      </c>
      <c r="M599" s="168">
        <v>0.46666666666666701</v>
      </c>
      <c r="N599" s="67"/>
    </row>
    <row r="600" spans="1:14" x14ac:dyDescent="0.25">
      <c r="A600" s="66">
        <v>44739</v>
      </c>
      <c r="B600" s="67" t="s">
        <v>62</v>
      </c>
      <c r="C600" s="129" t="str">
        <f t="shared" si="18"/>
        <v>27.06.2022_VORuhSc</v>
      </c>
      <c r="D600" s="143">
        <f t="shared" si="19"/>
        <v>0</v>
      </c>
      <c r="E600" s="157">
        <v>7.55</v>
      </c>
      <c r="F600" s="165"/>
      <c r="G600" s="166">
        <v>1096</v>
      </c>
      <c r="H600" s="167">
        <v>6.8</v>
      </c>
      <c r="I600" s="165"/>
      <c r="J600" s="167"/>
      <c r="K600" s="167">
        <v>15.2</v>
      </c>
      <c r="L600" s="167">
        <v>7.5</v>
      </c>
      <c r="M600" s="168">
        <v>0.44652777777777802</v>
      </c>
      <c r="N600" s="67"/>
    </row>
    <row r="601" spans="1:14" x14ac:dyDescent="0.25">
      <c r="A601" s="66">
        <v>44739</v>
      </c>
      <c r="B601" s="67" t="s">
        <v>64</v>
      </c>
      <c r="C601" s="129" t="str">
        <f t="shared" si="18"/>
        <v>27.06.2022_WITob</v>
      </c>
      <c r="D601" s="143">
        <f t="shared" si="19"/>
        <v>0</v>
      </c>
      <c r="E601" s="157">
        <v>8.57</v>
      </c>
      <c r="F601" s="165"/>
      <c r="G601" s="166">
        <v>1193</v>
      </c>
      <c r="H601" s="167">
        <v>8.3000000000000007</v>
      </c>
      <c r="I601" s="165"/>
      <c r="J601" s="167"/>
      <c r="K601" s="167">
        <v>16.899999999999999</v>
      </c>
      <c r="L601" s="167">
        <v>3</v>
      </c>
      <c r="M601" s="168">
        <v>0.63055555555555598</v>
      </c>
      <c r="N601" s="67"/>
    </row>
    <row r="602" spans="1:14" x14ac:dyDescent="0.25">
      <c r="A602" s="66">
        <v>44753</v>
      </c>
      <c r="B602" s="67" t="s">
        <v>22</v>
      </c>
      <c r="C602" s="129" t="str">
        <f t="shared" si="18"/>
        <v>11.07.2022_BOYkl</v>
      </c>
      <c r="D602" s="143">
        <f t="shared" si="19"/>
        <v>5</v>
      </c>
      <c r="E602" s="205"/>
      <c r="F602" s="165"/>
      <c r="G602" s="166"/>
      <c r="H602" s="167"/>
      <c r="I602" s="165"/>
      <c r="J602" s="167"/>
      <c r="K602" s="167"/>
      <c r="L602" s="167"/>
      <c r="M602" s="168"/>
      <c r="N602" s="67" t="s">
        <v>341</v>
      </c>
    </row>
    <row r="603" spans="1:14" x14ac:dyDescent="0.25">
      <c r="A603" s="66">
        <v>44753</v>
      </c>
      <c r="B603" s="67" t="s">
        <v>25</v>
      </c>
      <c r="C603" s="129" t="str">
        <f t="shared" si="18"/>
        <v>11.07.2022_BOYohB224</v>
      </c>
      <c r="D603" s="143">
        <f t="shared" si="19"/>
        <v>0</v>
      </c>
      <c r="E603" s="157">
        <v>8.6</v>
      </c>
      <c r="F603" s="165"/>
      <c r="G603" s="166">
        <v>1047</v>
      </c>
      <c r="H603" s="167">
        <v>9.4</v>
      </c>
      <c r="I603" s="165"/>
      <c r="J603" s="167"/>
      <c r="K603" s="167">
        <v>18.5</v>
      </c>
      <c r="L603" s="167">
        <v>28.8</v>
      </c>
      <c r="M603" s="168">
        <v>0.55763888888888902</v>
      </c>
      <c r="N603" s="67"/>
    </row>
    <row r="604" spans="1:14" x14ac:dyDescent="0.25">
      <c r="A604" s="66">
        <v>44753</v>
      </c>
      <c r="B604" s="67" t="s">
        <v>28</v>
      </c>
      <c r="C604" s="129" t="str">
        <f t="shared" si="18"/>
        <v>11.07.2022_BOYohBr</v>
      </c>
      <c r="D604" s="143">
        <f t="shared" si="19"/>
        <v>0</v>
      </c>
      <c r="E604" s="157">
        <v>8.1199999999999992</v>
      </c>
      <c r="F604" s="165"/>
      <c r="G604" s="166">
        <v>564</v>
      </c>
      <c r="H604" s="167">
        <v>6.4</v>
      </c>
      <c r="I604" s="165"/>
      <c r="J604" s="167"/>
      <c r="K604" s="167">
        <v>13.6</v>
      </c>
      <c r="L604" s="167">
        <v>18</v>
      </c>
      <c r="M604" s="168">
        <v>0.47291666666666698</v>
      </c>
      <c r="N604" s="67"/>
    </row>
    <row r="605" spans="1:14" x14ac:dyDescent="0.25">
      <c r="A605" s="66">
        <v>44753</v>
      </c>
      <c r="B605" s="67" t="s">
        <v>30</v>
      </c>
      <c r="C605" s="129" t="str">
        <f t="shared" si="18"/>
        <v>11.07.2022_BOYohKi</v>
      </c>
      <c r="D605" s="143">
        <f t="shared" si="19"/>
        <v>0</v>
      </c>
      <c r="E605" s="157">
        <v>7.96</v>
      </c>
      <c r="F605" s="165"/>
      <c r="G605" s="166">
        <v>848</v>
      </c>
      <c r="H605" s="167">
        <v>7.1</v>
      </c>
      <c r="I605" s="165"/>
      <c r="J605" s="167"/>
      <c r="K605" s="167">
        <v>15.5</v>
      </c>
      <c r="L605" s="167">
        <v>23</v>
      </c>
      <c r="M605" s="168">
        <v>0.36805555555555602</v>
      </c>
      <c r="N605" s="67"/>
    </row>
    <row r="606" spans="1:14" x14ac:dyDescent="0.25">
      <c r="A606" s="66">
        <v>44753</v>
      </c>
      <c r="B606" s="67" t="s">
        <v>32</v>
      </c>
      <c r="C606" s="129" t="str">
        <f t="shared" si="18"/>
        <v>11.07.2022_BOYohSp</v>
      </c>
      <c r="D606" s="143">
        <f t="shared" si="19"/>
        <v>0</v>
      </c>
      <c r="E606" s="157">
        <v>8.0500000000000007</v>
      </c>
      <c r="F606" s="165"/>
      <c r="G606" s="166">
        <v>599</v>
      </c>
      <c r="H606" s="167">
        <v>6.7</v>
      </c>
      <c r="I606" s="165"/>
      <c r="J606" s="167"/>
      <c r="K606" s="167">
        <v>14.1</v>
      </c>
      <c r="L606" s="167">
        <v>20.3</v>
      </c>
      <c r="M606" s="168">
        <v>0.49305555555555602</v>
      </c>
      <c r="N606" s="67"/>
    </row>
    <row r="607" spans="1:14" x14ac:dyDescent="0.25">
      <c r="A607" s="66">
        <v>44753</v>
      </c>
      <c r="B607" s="67" t="s">
        <v>36</v>
      </c>
      <c r="C607" s="129" t="str">
        <f t="shared" si="18"/>
        <v>11.07.2022_BOYuhSp</v>
      </c>
      <c r="D607" s="143">
        <f t="shared" si="19"/>
        <v>0</v>
      </c>
      <c r="E607" s="157">
        <v>7.98</v>
      </c>
      <c r="F607" s="165"/>
      <c r="G607" s="166">
        <v>623</v>
      </c>
      <c r="H607" s="167">
        <v>6.6</v>
      </c>
      <c r="I607" s="165"/>
      <c r="J607" s="167"/>
      <c r="K607" s="167">
        <v>14.4</v>
      </c>
      <c r="L607" s="167">
        <v>17.5</v>
      </c>
      <c r="M607" s="168">
        <v>0.48611111111111099</v>
      </c>
      <c r="N607" s="67"/>
    </row>
    <row r="608" spans="1:14" x14ac:dyDescent="0.25">
      <c r="A608" s="66">
        <v>44753</v>
      </c>
      <c r="B608" s="67" t="s">
        <v>38</v>
      </c>
      <c r="C608" s="129" t="str">
        <f t="shared" si="18"/>
        <v>11.07.2022_BRAob</v>
      </c>
      <c r="D608" s="143">
        <f t="shared" si="19"/>
        <v>0</v>
      </c>
      <c r="E608" s="157">
        <v>8.2200000000000006</v>
      </c>
      <c r="F608" s="165"/>
      <c r="G608" s="166">
        <v>699</v>
      </c>
      <c r="H608" s="167">
        <v>7.5</v>
      </c>
      <c r="I608" s="165"/>
      <c r="J608" s="167"/>
      <c r="K608" s="167">
        <v>15.4</v>
      </c>
      <c r="L608" s="167">
        <v>4.3</v>
      </c>
      <c r="M608" s="168">
        <v>0.44305555555555598</v>
      </c>
      <c r="N608" s="67"/>
    </row>
    <row r="609" spans="1:14" x14ac:dyDescent="0.25">
      <c r="A609" s="66">
        <v>44753</v>
      </c>
      <c r="B609" s="67" t="s">
        <v>41</v>
      </c>
      <c r="C609" s="129" t="str">
        <f t="shared" si="18"/>
        <v>11.07.2022_BRAohBo</v>
      </c>
      <c r="D609" s="143">
        <f t="shared" si="19"/>
        <v>5</v>
      </c>
      <c r="E609" s="205"/>
      <c r="F609" s="165"/>
      <c r="G609" s="166"/>
      <c r="H609" s="167"/>
      <c r="I609" s="165"/>
      <c r="J609" s="167"/>
      <c r="K609" s="167"/>
      <c r="L609" s="167"/>
      <c r="M609" s="168"/>
      <c r="N609" s="67" t="s">
        <v>350</v>
      </c>
    </row>
    <row r="610" spans="1:14" x14ac:dyDescent="0.25">
      <c r="A610" s="66">
        <v>44753</v>
      </c>
      <c r="B610" s="67" t="s">
        <v>43</v>
      </c>
      <c r="C610" s="129" t="str">
        <f t="shared" si="18"/>
        <v>11.07.2022_HAAob</v>
      </c>
      <c r="D610" s="143">
        <f t="shared" si="19"/>
        <v>0</v>
      </c>
      <c r="E610" s="157">
        <v>8.33</v>
      </c>
      <c r="F610" s="165"/>
      <c r="G610" s="166">
        <v>777</v>
      </c>
      <c r="H610" s="167">
        <v>8.3000000000000007</v>
      </c>
      <c r="I610" s="165"/>
      <c r="J610" s="167"/>
      <c r="K610" s="167">
        <v>17.3</v>
      </c>
      <c r="L610" s="167">
        <v>5.2</v>
      </c>
      <c r="M610" s="168">
        <v>0.52430555555555602</v>
      </c>
      <c r="N610" s="67"/>
    </row>
    <row r="611" spans="1:14" x14ac:dyDescent="0.25">
      <c r="A611" s="66">
        <v>44753</v>
      </c>
      <c r="B611" s="67" t="s">
        <v>45</v>
      </c>
      <c r="C611" s="129" t="str">
        <f t="shared" si="18"/>
        <v>11.07.2022_HAAun</v>
      </c>
      <c r="D611" s="143">
        <f t="shared" si="19"/>
        <v>0</v>
      </c>
      <c r="E611" s="157">
        <v>8.11</v>
      </c>
      <c r="F611" s="165"/>
      <c r="G611" s="166">
        <v>1095</v>
      </c>
      <c r="H611" s="167">
        <v>7.2</v>
      </c>
      <c r="I611" s="165"/>
      <c r="J611" s="167"/>
      <c r="K611" s="167">
        <v>16.100000000000001</v>
      </c>
      <c r="L611" s="167">
        <v>11.8</v>
      </c>
      <c r="M611" s="168">
        <v>0.50833333333333297</v>
      </c>
      <c r="N611" s="67"/>
    </row>
    <row r="612" spans="1:14" x14ac:dyDescent="0.25">
      <c r="A612" s="66">
        <v>44753</v>
      </c>
      <c r="B612" s="67" t="s">
        <v>47</v>
      </c>
      <c r="C612" s="129" t="str">
        <f t="shared" si="18"/>
        <v>11.07.2022_KIRob</v>
      </c>
      <c r="D612" s="143">
        <f t="shared" si="19"/>
        <v>0</v>
      </c>
      <c r="E612" s="157">
        <v>8.2799999999999994</v>
      </c>
      <c r="F612" s="165"/>
      <c r="G612" s="166">
        <v>1131</v>
      </c>
      <c r="H612" s="167">
        <v>7</v>
      </c>
      <c r="I612" s="165"/>
      <c r="J612" s="167"/>
      <c r="K612" s="167">
        <v>14.8</v>
      </c>
      <c r="L612" s="167">
        <v>5.4</v>
      </c>
      <c r="M612" s="168">
        <v>0.38680555555555601</v>
      </c>
      <c r="N612" s="67"/>
    </row>
    <row r="613" spans="1:14" x14ac:dyDescent="0.25">
      <c r="A613" s="66">
        <v>44753</v>
      </c>
      <c r="B613" s="67" t="s">
        <v>49</v>
      </c>
      <c r="C613" s="129" t="str">
        <f t="shared" si="18"/>
        <v>11.07.2022_KIRun</v>
      </c>
      <c r="D613" s="143">
        <f t="shared" si="19"/>
        <v>0</v>
      </c>
      <c r="E613" s="157">
        <v>8.08</v>
      </c>
      <c r="F613" s="165"/>
      <c r="G613" s="166">
        <v>1014</v>
      </c>
      <c r="H613" s="167">
        <v>7.6</v>
      </c>
      <c r="I613" s="165"/>
      <c r="J613" s="167"/>
      <c r="K613" s="167">
        <v>14.7</v>
      </c>
      <c r="L613" s="167">
        <v>9.6999999999999993</v>
      </c>
      <c r="M613" s="168">
        <v>0.37777777777777799</v>
      </c>
      <c r="N613" s="67"/>
    </row>
    <row r="614" spans="1:14" x14ac:dyDescent="0.25">
      <c r="A614" s="66">
        <v>44753</v>
      </c>
      <c r="B614" s="67" t="s">
        <v>50</v>
      </c>
      <c r="C614" s="129" t="str">
        <f t="shared" si="18"/>
        <v>11.07.2022_LIEohBo</v>
      </c>
      <c r="D614" s="143">
        <f t="shared" si="19"/>
        <v>0</v>
      </c>
      <c r="E614" s="157">
        <v>7.53</v>
      </c>
      <c r="F614" s="165"/>
      <c r="G614" s="166">
        <v>690</v>
      </c>
      <c r="H614" s="167">
        <v>2.7</v>
      </c>
      <c r="I614" s="165"/>
      <c r="J614" s="167"/>
      <c r="K614" s="167">
        <v>17</v>
      </c>
      <c r="L614" s="167">
        <v>13.8</v>
      </c>
      <c r="M614" s="168">
        <v>0.35486111111111102</v>
      </c>
      <c r="N614" s="67" t="s">
        <v>128</v>
      </c>
    </row>
    <row r="615" spans="1:14" x14ac:dyDescent="0.25">
      <c r="A615" s="66">
        <v>44753</v>
      </c>
      <c r="B615" s="67" t="s">
        <v>53</v>
      </c>
      <c r="C615" s="129" t="str">
        <f t="shared" si="18"/>
        <v>11.07.2022_NATohBo</v>
      </c>
      <c r="D615" s="143">
        <f t="shared" si="19"/>
        <v>0</v>
      </c>
      <c r="E615" s="157">
        <v>7.37</v>
      </c>
      <c r="F615" s="165"/>
      <c r="G615" s="166">
        <v>2050</v>
      </c>
      <c r="H615" s="167">
        <v>6.2</v>
      </c>
      <c r="I615" s="165"/>
      <c r="J615" s="167"/>
      <c r="K615" s="167">
        <v>16.8</v>
      </c>
      <c r="L615" s="167">
        <v>8.4</v>
      </c>
      <c r="M615" s="168">
        <v>0.54722222222222205</v>
      </c>
      <c r="N615" s="67"/>
    </row>
    <row r="616" spans="1:14" x14ac:dyDescent="0.25">
      <c r="A616" s="66">
        <v>44753</v>
      </c>
      <c r="B616" s="67" t="s">
        <v>55</v>
      </c>
      <c r="C616" s="129" t="str">
        <f t="shared" si="18"/>
        <v>11.07.2022_QUAohBo</v>
      </c>
      <c r="D616" s="143">
        <f t="shared" si="19"/>
        <v>5</v>
      </c>
      <c r="E616" s="205"/>
      <c r="F616" s="165"/>
      <c r="G616" s="166"/>
      <c r="H616" s="167"/>
      <c r="I616" s="165"/>
      <c r="J616" s="167"/>
      <c r="K616" s="167"/>
      <c r="L616" s="167"/>
      <c r="M616" s="168"/>
      <c r="N616" s="67" t="s">
        <v>341</v>
      </c>
    </row>
    <row r="617" spans="1:14" x14ac:dyDescent="0.25">
      <c r="A617" s="66">
        <v>44753</v>
      </c>
      <c r="B617" s="67" t="s">
        <v>57</v>
      </c>
      <c r="C617" s="129" t="str">
        <f t="shared" si="18"/>
        <v>11.07.2022_SCHohVo</v>
      </c>
      <c r="D617" s="143">
        <f t="shared" si="19"/>
        <v>5</v>
      </c>
      <c r="E617" s="205"/>
      <c r="F617" s="165"/>
      <c r="G617" s="166"/>
      <c r="H617" s="167"/>
      <c r="I617" s="165"/>
      <c r="J617" s="167"/>
      <c r="K617" s="167"/>
      <c r="L617" s="167"/>
      <c r="M617" s="168"/>
      <c r="N617" s="67" t="s">
        <v>341</v>
      </c>
    </row>
    <row r="618" spans="1:14" x14ac:dyDescent="0.25">
      <c r="A618" s="66">
        <v>44753</v>
      </c>
      <c r="B618" s="67" t="s">
        <v>60</v>
      </c>
      <c r="C618" s="129" t="str">
        <f t="shared" si="18"/>
        <v>11.07.2022_VORohBo</v>
      </c>
      <c r="D618" s="143">
        <f t="shared" si="19"/>
        <v>0</v>
      </c>
      <c r="E618" s="157">
        <v>7.81</v>
      </c>
      <c r="F618" s="165"/>
      <c r="G618" s="166">
        <v>1135</v>
      </c>
      <c r="H618" s="167">
        <v>6.3</v>
      </c>
      <c r="I618" s="165"/>
      <c r="J618" s="167"/>
      <c r="K618" s="167">
        <v>14.7</v>
      </c>
      <c r="L618" s="167">
        <v>6.8</v>
      </c>
      <c r="M618" s="168">
        <v>0.41388888888888897</v>
      </c>
      <c r="N618" s="67"/>
    </row>
    <row r="619" spans="1:14" x14ac:dyDescent="0.25">
      <c r="A619" s="66">
        <v>44753</v>
      </c>
      <c r="B619" s="67" t="s">
        <v>62</v>
      </c>
      <c r="C619" s="129" t="str">
        <f t="shared" si="18"/>
        <v>11.07.2022_VORuhSc</v>
      </c>
      <c r="D619" s="143">
        <f t="shared" si="19"/>
        <v>0</v>
      </c>
      <c r="E619" s="157">
        <v>7.49</v>
      </c>
      <c r="F619" s="165"/>
      <c r="G619" s="166">
        <v>1163</v>
      </c>
      <c r="H619" s="167">
        <v>6.1</v>
      </c>
      <c r="I619" s="165"/>
      <c r="J619" s="167"/>
      <c r="K619" s="167">
        <v>14.8</v>
      </c>
      <c r="L619" s="167">
        <v>8</v>
      </c>
      <c r="M619" s="168">
        <v>0.40277777777777801</v>
      </c>
      <c r="N619" s="67"/>
    </row>
    <row r="620" spans="1:14" x14ac:dyDescent="0.25">
      <c r="A620" s="66">
        <v>44753</v>
      </c>
      <c r="B620" s="67" t="s">
        <v>64</v>
      </c>
      <c r="C620" s="129" t="str">
        <f t="shared" si="18"/>
        <v>11.07.2022_WITob</v>
      </c>
      <c r="D620" s="143">
        <f t="shared" si="19"/>
        <v>0</v>
      </c>
      <c r="E620" s="157">
        <v>8.51</v>
      </c>
      <c r="F620" s="165"/>
      <c r="G620" s="166">
        <v>1227</v>
      </c>
      <c r="H620" s="167">
        <v>7</v>
      </c>
      <c r="I620" s="165"/>
      <c r="J620" s="167"/>
      <c r="K620" s="167">
        <v>15.9</v>
      </c>
      <c r="L620" s="167">
        <v>3</v>
      </c>
      <c r="M620" s="168">
        <v>0.53472222222222199</v>
      </c>
      <c r="N620" s="67"/>
    </row>
    <row r="621" spans="1:14" x14ac:dyDescent="0.25">
      <c r="A621" s="66">
        <v>44767</v>
      </c>
      <c r="B621" s="67" t="s">
        <v>22</v>
      </c>
      <c r="C621" s="129" t="str">
        <f t="shared" si="18"/>
        <v>25.07.2022_BOYkl</v>
      </c>
      <c r="D621" s="143">
        <f t="shared" si="19"/>
        <v>5</v>
      </c>
      <c r="E621" s="205"/>
      <c r="F621" s="165"/>
      <c r="G621" s="166"/>
      <c r="H621" s="167"/>
      <c r="I621" s="165"/>
      <c r="J621" s="167"/>
      <c r="K621" s="167"/>
      <c r="L621" s="167"/>
      <c r="M621" s="168"/>
      <c r="N621" s="67" t="s">
        <v>341</v>
      </c>
    </row>
    <row r="622" spans="1:14" x14ac:dyDescent="0.25">
      <c r="A622" s="66">
        <v>44767</v>
      </c>
      <c r="B622" s="67" t="s">
        <v>25</v>
      </c>
      <c r="C622" s="129" t="str">
        <f t="shared" si="18"/>
        <v>25.07.2022_BOYohB224</v>
      </c>
      <c r="D622" s="143">
        <f t="shared" si="19"/>
        <v>0</v>
      </c>
      <c r="E622" s="157">
        <v>8.52</v>
      </c>
      <c r="F622" s="165"/>
      <c r="G622" s="166">
        <v>1063</v>
      </c>
      <c r="H622" s="167">
        <v>9.1</v>
      </c>
      <c r="I622" s="165"/>
      <c r="J622" s="167"/>
      <c r="K622" s="167">
        <v>23.7</v>
      </c>
      <c r="L622" s="167">
        <v>30.4</v>
      </c>
      <c r="M622" s="168">
        <v>0.53680555555555598</v>
      </c>
      <c r="N622" s="67"/>
    </row>
    <row r="623" spans="1:14" x14ac:dyDescent="0.25">
      <c r="A623" s="66">
        <v>44767</v>
      </c>
      <c r="B623" s="67" t="s">
        <v>28</v>
      </c>
      <c r="C623" s="129" t="str">
        <f t="shared" si="18"/>
        <v>25.07.2022_BOYohBr</v>
      </c>
      <c r="D623" s="143">
        <f t="shared" si="19"/>
        <v>0</v>
      </c>
      <c r="E623" s="157">
        <v>7.58</v>
      </c>
      <c r="F623" s="165"/>
      <c r="G623" s="166">
        <v>587</v>
      </c>
      <c r="H623" s="167">
        <v>8.5</v>
      </c>
      <c r="I623" s="165"/>
      <c r="J623" s="167"/>
      <c r="K623" s="167">
        <v>15.3</v>
      </c>
      <c r="L623" s="167">
        <v>17</v>
      </c>
      <c r="M623" s="168">
        <v>0.45972222222222198</v>
      </c>
      <c r="N623" s="67"/>
    </row>
    <row r="624" spans="1:14" x14ac:dyDescent="0.25">
      <c r="A624" s="66">
        <v>44767</v>
      </c>
      <c r="B624" s="67" t="s">
        <v>30</v>
      </c>
      <c r="C624" s="129" t="str">
        <f t="shared" si="18"/>
        <v>25.07.2022_BOYohKi</v>
      </c>
      <c r="D624" s="143">
        <f t="shared" si="19"/>
        <v>0</v>
      </c>
      <c r="E624" s="157">
        <v>7.86</v>
      </c>
      <c r="F624" s="165"/>
      <c r="G624" s="166">
        <v>858</v>
      </c>
      <c r="H624" s="167">
        <v>8.4</v>
      </c>
      <c r="I624" s="165"/>
      <c r="J624" s="167"/>
      <c r="K624" s="167">
        <v>17.2</v>
      </c>
      <c r="L624" s="167">
        <v>32.4</v>
      </c>
      <c r="M624" s="168">
        <v>0.37777777777777799</v>
      </c>
      <c r="N624" s="67"/>
    </row>
    <row r="625" spans="1:14" x14ac:dyDescent="0.25">
      <c r="A625" s="66">
        <v>44767</v>
      </c>
      <c r="B625" s="67" t="s">
        <v>32</v>
      </c>
      <c r="C625" s="129" t="str">
        <f t="shared" si="18"/>
        <v>25.07.2022_BOYohSp</v>
      </c>
      <c r="D625" s="143">
        <f t="shared" si="19"/>
        <v>0</v>
      </c>
      <c r="E625" s="157">
        <v>8.0399999999999991</v>
      </c>
      <c r="F625" s="165"/>
      <c r="G625" s="166">
        <v>556</v>
      </c>
      <c r="H625" s="167">
        <v>8.1999999999999993</v>
      </c>
      <c r="I625" s="165"/>
      <c r="J625" s="167"/>
      <c r="K625" s="167">
        <v>15.6</v>
      </c>
      <c r="L625" s="167">
        <v>19.5</v>
      </c>
      <c r="M625" s="168">
        <v>0.48194444444444401</v>
      </c>
      <c r="N625" s="67"/>
    </row>
    <row r="626" spans="1:14" x14ac:dyDescent="0.25">
      <c r="A626" s="66">
        <v>44767</v>
      </c>
      <c r="B626" s="67" t="s">
        <v>36</v>
      </c>
      <c r="C626" s="129" t="str">
        <f t="shared" si="18"/>
        <v>25.07.2022_BOYuhSp</v>
      </c>
      <c r="D626" s="143">
        <f t="shared" si="19"/>
        <v>0</v>
      </c>
      <c r="E626" s="157">
        <v>7.97</v>
      </c>
      <c r="F626" s="165"/>
      <c r="G626" s="166">
        <v>581</v>
      </c>
      <c r="H626" s="167">
        <v>8</v>
      </c>
      <c r="I626" s="165"/>
      <c r="J626" s="167"/>
      <c r="K626" s="167">
        <v>16.399999999999999</v>
      </c>
      <c r="L626" s="167">
        <v>15.4</v>
      </c>
      <c r="M626" s="168">
        <v>0.47222222222222199</v>
      </c>
      <c r="N626" s="67"/>
    </row>
    <row r="627" spans="1:14" x14ac:dyDescent="0.25">
      <c r="A627" s="66">
        <v>44767</v>
      </c>
      <c r="B627" s="67" t="s">
        <v>38</v>
      </c>
      <c r="C627" s="129" t="str">
        <f t="shared" si="18"/>
        <v>25.07.2022_BRAob</v>
      </c>
      <c r="D627" s="143">
        <f t="shared" si="19"/>
        <v>0</v>
      </c>
      <c r="E627" s="157">
        <v>8.1999999999999993</v>
      </c>
      <c r="F627" s="165"/>
      <c r="G627" s="166">
        <v>659</v>
      </c>
      <c r="H627" s="167">
        <v>6.9</v>
      </c>
      <c r="I627" s="165"/>
      <c r="J627" s="167"/>
      <c r="K627" s="167">
        <v>18.3</v>
      </c>
      <c r="L627" s="167">
        <v>4</v>
      </c>
      <c r="M627" s="168">
        <v>0.44236111111111098</v>
      </c>
      <c r="N627" s="67"/>
    </row>
    <row r="628" spans="1:14" x14ac:dyDescent="0.25">
      <c r="A628" s="66">
        <v>44767</v>
      </c>
      <c r="B628" s="67" t="s">
        <v>41</v>
      </c>
      <c r="C628" s="129" t="str">
        <f t="shared" si="18"/>
        <v>25.07.2022_BRAohBo</v>
      </c>
      <c r="D628" s="143">
        <f t="shared" si="19"/>
        <v>5</v>
      </c>
      <c r="E628" s="205"/>
      <c r="F628" s="165"/>
      <c r="G628" s="166"/>
      <c r="H628" s="167"/>
      <c r="I628" s="165"/>
      <c r="J628" s="167"/>
      <c r="K628" s="167"/>
      <c r="L628" s="167"/>
      <c r="M628" s="168"/>
      <c r="N628" s="67" t="s">
        <v>341</v>
      </c>
    </row>
    <row r="629" spans="1:14" x14ac:dyDescent="0.25">
      <c r="A629" s="66">
        <v>44767</v>
      </c>
      <c r="B629" s="67" t="s">
        <v>43</v>
      </c>
      <c r="C629" s="129" t="str">
        <f t="shared" si="18"/>
        <v>25.07.2022_HAAob</v>
      </c>
      <c r="D629" s="143">
        <f t="shared" si="19"/>
        <v>0</v>
      </c>
      <c r="E629" s="157">
        <v>8.4</v>
      </c>
      <c r="F629" s="165"/>
      <c r="G629" s="166">
        <v>556</v>
      </c>
      <c r="H629" s="167">
        <v>8.4</v>
      </c>
      <c r="I629" s="165"/>
      <c r="J629" s="167"/>
      <c r="K629" s="167">
        <v>20.3</v>
      </c>
      <c r="L629" s="167">
        <v>4.5</v>
      </c>
      <c r="M629" s="168">
        <v>0.50347222222222199</v>
      </c>
      <c r="N629" s="67"/>
    </row>
    <row r="630" spans="1:14" x14ac:dyDescent="0.25">
      <c r="A630" s="66">
        <v>44767</v>
      </c>
      <c r="B630" s="67" t="s">
        <v>45</v>
      </c>
      <c r="C630" s="129" t="str">
        <f t="shared" si="18"/>
        <v>25.07.2022_HAAun</v>
      </c>
      <c r="D630" s="143">
        <f t="shared" si="19"/>
        <v>0</v>
      </c>
      <c r="E630" s="157">
        <v>8.09</v>
      </c>
      <c r="F630" s="165"/>
      <c r="G630" s="166">
        <v>1139</v>
      </c>
      <c r="H630" s="167">
        <v>8.5</v>
      </c>
      <c r="I630" s="165"/>
      <c r="J630" s="167"/>
      <c r="K630" s="167">
        <v>18.8</v>
      </c>
      <c r="L630" s="167">
        <v>8.4</v>
      </c>
      <c r="M630" s="168">
        <v>0.49375000000000002</v>
      </c>
      <c r="N630" s="67"/>
    </row>
    <row r="631" spans="1:14" x14ac:dyDescent="0.25">
      <c r="A631" s="66">
        <v>44767</v>
      </c>
      <c r="B631" s="67" t="s">
        <v>47</v>
      </c>
      <c r="C631" s="129" t="str">
        <f t="shared" si="18"/>
        <v>25.07.2022_KIRob</v>
      </c>
      <c r="D631" s="143">
        <f t="shared" si="19"/>
        <v>0</v>
      </c>
      <c r="E631" s="157">
        <v>8.19</v>
      </c>
      <c r="F631" s="165"/>
      <c r="G631" s="166">
        <v>1130</v>
      </c>
      <c r="H631" s="167">
        <v>8.8000000000000007</v>
      </c>
      <c r="I631" s="165"/>
      <c r="J631" s="167"/>
      <c r="K631" s="167">
        <v>16.5</v>
      </c>
      <c r="L631" s="167">
        <v>9.1</v>
      </c>
      <c r="M631" s="168">
        <v>0.39652777777777798</v>
      </c>
      <c r="N631" s="67"/>
    </row>
    <row r="632" spans="1:14" x14ac:dyDescent="0.25">
      <c r="A632" s="66">
        <v>44767</v>
      </c>
      <c r="B632" s="67" t="s">
        <v>49</v>
      </c>
      <c r="C632" s="129" t="str">
        <f t="shared" si="18"/>
        <v>25.07.2022_KIRun</v>
      </c>
      <c r="D632" s="143">
        <f t="shared" si="19"/>
        <v>0</v>
      </c>
      <c r="E632" s="157">
        <v>8.1199999999999992</v>
      </c>
      <c r="F632" s="165"/>
      <c r="G632" s="166">
        <v>1005</v>
      </c>
      <c r="H632" s="167">
        <v>9.3000000000000007</v>
      </c>
      <c r="I632" s="165"/>
      <c r="J632" s="167"/>
      <c r="K632" s="167">
        <v>16.100000000000001</v>
      </c>
      <c r="L632" s="167">
        <v>11.8</v>
      </c>
      <c r="M632" s="168">
        <v>0.38819444444444401</v>
      </c>
      <c r="N632" s="67"/>
    </row>
    <row r="633" spans="1:14" x14ac:dyDescent="0.25">
      <c r="A633" s="66">
        <v>44767</v>
      </c>
      <c r="B633" s="67" t="s">
        <v>50</v>
      </c>
      <c r="C633" s="129" t="str">
        <f t="shared" si="18"/>
        <v>25.07.2022_LIEohBo</v>
      </c>
      <c r="D633" s="143">
        <f t="shared" si="19"/>
        <v>0</v>
      </c>
      <c r="E633" s="157">
        <v>7.8</v>
      </c>
      <c r="F633" s="165"/>
      <c r="G633" s="166">
        <v>683</v>
      </c>
      <c r="H633" s="167">
        <v>6.7</v>
      </c>
      <c r="I633" s="165"/>
      <c r="J633" s="167"/>
      <c r="K633" s="167">
        <v>19.399999999999999</v>
      </c>
      <c r="L633" s="167">
        <v>13.2</v>
      </c>
      <c r="M633" s="168">
        <v>0.36597222222222198</v>
      </c>
      <c r="N633" s="67"/>
    </row>
    <row r="634" spans="1:14" x14ac:dyDescent="0.25">
      <c r="A634" s="66">
        <v>44767</v>
      </c>
      <c r="B634" s="67" t="s">
        <v>53</v>
      </c>
      <c r="C634" s="129" t="str">
        <f t="shared" si="18"/>
        <v>25.07.2022_NATohBo</v>
      </c>
      <c r="D634" s="143">
        <f t="shared" si="19"/>
        <v>0</v>
      </c>
      <c r="E634" s="157">
        <v>7.13</v>
      </c>
      <c r="F634" s="165"/>
      <c r="G634" s="166">
        <v>2330</v>
      </c>
      <c r="H634" s="167">
        <v>6.6</v>
      </c>
      <c r="I634" s="165"/>
      <c r="J634" s="167"/>
      <c r="K634" s="167">
        <v>19.3</v>
      </c>
      <c r="L634" s="167">
        <v>10.199999999999999</v>
      </c>
      <c r="M634" s="168">
        <v>0.52708333333333302</v>
      </c>
      <c r="N634" s="67"/>
    </row>
    <row r="635" spans="1:14" x14ac:dyDescent="0.25">
      <c r="A635" s="66">
        <v>44767</v>
      </c>
      <c r="B635" s="67" t="s">
        <v>55</v>
      </c>
      <c r="C635" s="129" t="str">
        <f t="shared" si="18"/>
        <v>25.07.2022_QUAohBo</v>
      </c>
      <c r="D635" s="143">
        <f t="shared" si="19"/>
        <v>5</v>
      </c>
      <c r="E635" s="205"/>
      <c r="F635" s="165"/>
      <c r="G635" s="166"/>
      <c r="H635" s="167"/>
      <c r="I635" s="165"/>
      <c r="J635" s="167"/>
      <c r="K635" s="167"/>
      <c r="L635" s="167"/>
      <c r="M635" s="168"/>
      <c r="N635" s="67" t="s">
        <v>341</v>
      </c>
    </row>
    <row r="636" spans="1:14" x14ac:dyDescent="0.25">
      <c r="A636" s="66">
        <v>44767</v>
      </c>
      <c r="B636" s="67" t="s">
        <v>57</v>
      </c>
      <c r="C636" s="129" t="str">
        <f t="shared" si="18"/>
        <v>25.07.2022_SCHohVo</v>
      </c>
      <c r="D636" s="143">
        <f t="shared" si="19"/>
        <v>5</v>
      </c>
      <c r="E636" s="205"/>
      <c r="F636" s="165"/>
      <c r="G636" s="166"/>
      <c r="H636" s="167"/>
      <c r="I636" s="165"/>
      <c r="J636" s="167"/>
      <c r="K636" s="167"/>
      <c r="L636" s="167"/>
      <c r="M636" s="168"/>
      <c r="N636" s="67" t="s">
        <v>341</v>
      </c>
    </row>
    <row r="637" spans="1:14" x14ac:dyDescent="0.25">
      <c r="A637" s="66">
        <v>44767</v>
      </c>
      <c r="B637" s="67" t="s">
        <v>60</v>
      </c>
      <c r="C637" s="129" t="str">
        <f t="shared" si="18"/>
        <v>25.07.2022_VORohBo</v>
      </c>
      <c r="D637" s="143">
        <f t="shared" si="19"/>
        <v>0</v>
      </c>
      <c r="E637" s="157">
        <v>7.71</v>
      </c>
      <c r="F637" s="165"/>
      <c r="G637" s="166">
        <v>1124</v>
      </c>
      <c r="H637" s="167">
        <v>8.1999999999999993</v>
      </c>
      <c r="I637" s="165"/>
      <c r="J637" s="167"/>
      <c r="K637" s="167">
        <v>16.2</v>
      </c>
      <c r="L637" s="167">
        <v>7.5</v>
      </c>
      <c r="M637" s="168">
        <v>0.422222222222222</v>
      </c>
      <c r="N637" s="67"/>
    </row>
    <row r="638" spans="1:14" x14ac:dyDescent="0.25">
      <c r="A638" s="66">
        <v>44767</v>
      </c>
      <c r="B638" s="67" t="s">
        <v>62</v>
      </c>
      <c r="C638" s="129" t="str">
        <f t="shared" si="18"/>
        <v>25.07.2022_VORuhSc</v>
      </c>
      <c r="D638" s="143">
        <f t="shared" si="19"/>
        <v>0</v>
      </c>
      <c r="E638" s="157">
        <v>7.3</v>
      </c>
      <c r="F638" s="165"/>
      <c r="G638" s="166">
        <v>1154</v>
      </c>
      <c r="H638" s="167">
        <v>7.2</v>
      </c>
      <c r="I638" s="165"/>
      <c r="J638" s="167"/>
      <c r="K638" s="167">
        <v>16.2</v>
      </c>
      <c r="L638" s="167">
        <v>8.1</v>
      </c>
      <c r="M638" s="168">
        <v>0.41111111111111098</v>
      </c>
      <c r="N638" s="67"/>
    </row>
    <row r="639" spans="1:14" x14ac:dyDescent="0.25">
      <c r="A639" s="66">
        <v>44767</v>
      </c>
      <c r="B639" s="67" t="s">
        <v>64</v>
      </c>
      <c r="C639" s="129" t="str">
        <f t="shared" si="18"/>
        <v>25.07.2022_WITob</v>
      </c>
      <c r="D639" s="143">
        <f t="shared" si="19"/>
        <v>0</v>
      </c>
      <c r="E639" s="157">
        <v>8.2899999999999991</v>
      </c>
      <c r="F639" s="165"/>
      <c r="G639" s="166">
        <v>1157</v>
      </c>
      <c r="H639" s="167">
        <v>7.6</v>
      </c>
      <c r="I639" s="165"/>
      <c r="J639" s="167"/>
      <c r="K639" s="167">
        <v>19.7</v>
      </c>
      <c r="L639" s="167">
        <v>3</v>
      </c>
      <c r="M639" s="168">
        <v>0.51458333333333295</v>
      </c>
      <c r="N639" s="67"/>
    </row>
    <row r="640" spans="1:14" x14ac:dyDescent="0.25">
      <c r="A640" s="66">
        <v>44782</v>
      </c>
      <c r="B640" s="67" t="s">
        <v>22</v>
      </c>
      <c r="C640" s="129" t="str">
        <f t="shared" si="18"/>
        <v>09.08.2022_BOYkl</v>
      </c>
      <c r="D640" s="143">
        <f t="shared" si="19"/>
        <v>5</v>
      </c>
      <c r="E640" s="205"/>
      <c r="F640" s="165"/>
      <c r="G640" s="166"/>
      <c r="H640" s="167"/>
      <c r="I640" s="165"/>
      <c r="J640" s="167"/>
      <c r="K640" s="167"/>
      <c r="L640" s="167"/>
      <c r="M640" s="168"/>
      <c r="N640" s="67" t="s">
        <v>341</v>
      </c>
    </row>
    <row r="641" spans="1:14" x14ac:dyDescent="0.25">
      <c r="A641" s="66">
        <v>44782</v>
      </c>
      <c r="B641" s="67" t="s">
        <v>25</v>
      </c>
      <c r="C641" s="129" t="str">
        <f t="shared" si="18"/>
        <v>09.08.2022_BOYohB224</v>
      </c>
      <c r="D641" s="143">
        <f t="shared" si="19"/>
        <v>0</v>
      </c>
      <c r="E641" s="157">
        <v>8.6300000000000008</v>
      </c>
      <c r="F641" s="165"/>
      <c r="G641" s="166">
        <v>995</v>
      </c>
      <c r="H641" s="167">
        <v>11.7</v>
      </c>
      <c r="I641" s="165"/>
      <c r="J641" s="167"/>
      <c r="K641" s="167">
        <v>25.2</v>
      </c>
      <c r="L641" s="167">
        <v>26.5</v>
      </c>
      <c r="M641" s="168">
        <v>0.57222222222222197</v>
      </c>
      <c r="N641" s="67"/>
    </row>
    <row r="642" spans="1:14" x14ac:dyDescent="0.25">
      <c r="A642" s="66">
        <v>44782</v>
      </c>
      <c r="B642" s="67" t="s">
        <v>28</v>
      </c>
      <c r="C642" s="129" t="str">
        <f t="shared" si="18"/>
        <v>09.08.2022_BOYohBr</v>
      </c>
      <c r="D642" s="143">
        <f t="shared" si="19"/>
        <v>0</v>
      </c>
      <c r="E642" s="157">
        <v>7.87</v>
      </c>
      <c r="F642" s="165"/>
      <c r="G642" s="166">
        <v>587</v>
      </c>
      <c r="H642" s="167">
        <v>8</v>
      </c>
      <c r="I642" s="165"/>
      <c r="J642" s="167"/>
      <c r="K642" s="167">
        <v>14.9</v>
      </c>
      <c r="L642" s="167">
        <v>10.5</v>
      </c>
      <c r="M642" s="168">
        <v>0.48819444444444399</v>
      </c>
      <c r="N642" s="67"/>
    </row>
    <row r="643" spans="1:14" x14ac:dyDescent="0.25">
      <c r="A643" s="66">
        <v>44782</v>
      </c>
      <c r="B643" s="67" t="s">
        <v>30</v>
      </c>
      <c r="C643" s="129" t="str">
        <f t="shared" si="18"/>
        <v>09.08.2022_BOYohKi</v>
      </c>
      <c r="D643" s="143">
        <f t="shared" si="19"/>
        <v>0</v>
      </c>
      <c r="E643" s="157">
        <v>7.9</v>
      </c>
      <c r="F643" s="165"/>
      <c r="G643" s="166">
        <v>837</v>
      </c>
      <c r="H643" s="167">
        <v>8.8000000000000007</v>
      </c>
      <c r="I643" s="165"/>
      <c r="J643" s="167"/>
      <c r="K643" s="167">
        <v>15.6</v>
      </c>
      <c r="L643" s="167">
        <v>21.5</v>
      </c>
      <c r="M643" s="168">
        <v>0.38680555555555601</v>
      </c>
      <c r="N643" s="67"/>
    </row>
    <row r="644" spans="1:14" x14ac:dyDescent="0.25">
      <c r="A644" s="66">
        <v>44782</v>
      </c>
      <c r="B644" s="67" t="s">
        <v>32</v>
      </c>
      <c r="C644" s="129" t="str">
        <f t="shared" ref="C644:C707" si="20">CONCATENATE(TEXT(A644,"TT.MM.JJJJ"),"_",B644)</f>
        <v>09.08.2022_BOYohSp</v>
      </c>
      <c r="D644" s="143">
        <f t="shared" si="19"/>
        <v>0</v>
      </c>
      <c r="E644" s="157">
        <v>8.17</v>
      </c>
      <c r="F644" s="165"/>
      <c r="G644" s="166">
        <v>553</v>
      </c>
      <c r="H644" s="167">
        <v>9.1</v>
      </c>
      <c r="I644" s="165"/>
      <c r="J644" s="167"/>
      <c r="K644" s="167">
        <v>14.6</v>
      </c>
      <c r="L644" s="167">
        <v>15.5</v>
      </c>
      <c r="M644" s="168">
        <v>0.50972222222222197</v>
      </c>
      <c r="N644" s="67"/>
    </row>
    <row r="645" spans="1:14" x14ac:dyDescent="0.25">
      <c r="A645" s="66">
        <v>44782</v>
      </c>
      <c r="B645" s="67" t="s">
        <v>36</v>
      </c>
      <c r="C645" s="129" t="str">
        <f t="shared" si="20"/>
        <v>09.08.2022_BOYuhSp</v>
      </c>
      <c r="D645" s="143">
        <f t="shared" ref="D645:D708" si="21">COUNTBLANK(E645)+COUNTBLANK(G645:H645)+COUNTBLANK(K645:L645)</f>
        <v>0</v>
      </c>
      <c r="E645" s="157">
        <v>8.1</v>
      </c>
      <c r="F645" s="165"/>
      <c r="G645" s="166">
        <v>591</v>
      </c>
      <c r="H645" s="167">
        <v>8.6</v>
      </c>
      <c r="I645" s="165"/>
      <c r="J645" s="167"/>
      <c r="K645" s="167">
        <v>15.3</v>
      </c>
      <c r="L645" s="167">
        <v>14.2</v>
      </c>
      <c r="M645" s="168">
        <v>0.50208333333333299</v>
      </c>
      <c r="N645" s="67"/>
    </row>
    <row r="646" spans="1:14" x14ac:dyDescent="0.25">
      <c r="A646" s="66">
        <v>44782</v>
      </c>
      <c r="B646" s="67" t="s">
        <v>38</v>
      </c>
      <c r="C646" s="129" t="str">
        <f t="shared" si="20"/>
        <v>09.08.2022_BRAob</v>
      </c>
      <c r="D646" s="143">
        <f t="shared" si="21"/>
        <v>0</v>
      </c>
      <c r="E646" s="157">
        <v>8.35</v>
      </c>
      <c r="F646" s="165"/>
      <c r="G646" s="166">
        <v>636</v>
      </c>
      <c r="H646" s="167">
        <v>7.6</v>
      </c>
      <c r="I646" s="165"/>
      <c r="J646" s="167"/>
      <c r="K646" s="167">
        <v>16.2</v>
      </c>
      <c r="L646" s="167">
        <v>2.4</v>
      </c>
      <c r="M646" s="168">
        <v>0.45624999999999999</v>
      </c>
      <c r="N646" s="67" t="s">
        <v>371</v>
      </c>
    </row>
    <row r="647" spans="1:14" x14ac:dyDescent="0.25">
      <c r="A647" s="66">
        <v>44782</v>
      </c>
      <c r="B647" s="67" t="s">
        <v>41</v>
      </c>
      <c r="C647" s="129" t="str">
        <f t="shared" si="20"/>
        <v>09.08.2022_BRAohBo</v>
      </c>
      <c r="D647" s="143">
        <f t="shared" si="21"/>
        <v>5</v>
      </c>
      <c r="E647" s="205"/>
      <c r="F647" s="165"/>
      <c r="G647" s="166"/>
      <c r="H647" s="167"/>
      <c r="I647" s="165"/>
      <c r="J647" s="167"/>
      <c r="K647" s="167"/>
      <c r="L647" s="167"/>
      <c r="M647" s="168"/>
      <c r="N647" s="67" t="s">
        <v>341</v>
      </c>
    </row>
    <row r="648" spans="1:14" x14ac:dyDescent="0.25">
      <c r="A648" s="66">
        <v>44782</v>
      </c>
      <c r="B648" s="67" t="s">
        <v>43</v>
      </c>
      <c r="C648" s="129" t="str">
        <f t="shared" si="20"/>
        <v>09.08.2022_HAAob</v>
      </c>
      <c r="D648" s="143">
        <f t="shared" si="21"/>
        <v>0</v>
      </c>
      <c r="E648" s="157">
        <v>8.49</v>
      </c>
      <c r="F648" s="165"/>
      <c r="G648" s="166">
        <v>772</v>
      </c>
      <c r="H648" s="167">
        <v>8.6</v>
      </c>
      <c r="I648" s="165"/>
      <c r="J648" s="167"/>
      <c r="K648" s="167">
        <v>18.8</v>
      </c>
      <c r="L648" s="167">
        <v>4.9000000000000004</v>
      </c>
      <c r="M648" s="168">
        <v>0.53680555555555598</v>
      </c>
      <c r="N648" s="67"/>
    </row>
    <row r="649" spans="1:14" x14ac:dyDescent="0.25">
      <c r="A649" s="66">
        <v>44782</v>
      </c>
      <c r="B649" s="67" t="s">
        <v>45</v>
      </c>
      <c r="C649" s="129" t="str">
        <f t="shared" si="20"/>
        <v>09.08.2022_HAAun</v>
      </c>
      <c r="D649" s="143">
        <f t="shared" si="21"/>
        <v>0</v>
      </c>
      <c r="E649" s="157">
        <v>8.24</v>
      </c>
      <c r="F649" s="165"/>
      <c r="G649" s="166">
        <v>1159</v>
      </c>
      <c r="H649" s="167">
        <v>8.9</v>
      </c>
      <c r="I649" s="165"/>
      <c r="J649" s="167"/>
      <c r="K649" s="167">
        <v>17.3</v>
      </c>
      <c r="L649" s="167">
        <v>7.7</v>
      </c>
      <c r="M649" s="168">
        <v>0.52569444444444502</v>
      </c>
      <c r="N649" s="67"/>
    </row>
    <row r="650" spans="1:14" x14ac:dyDescent="0.25">
      <c r="A650" s="66">
        <v>44782</v>
      </c>
      <c r="B650" s="67" t="s">
        <v>47</v>
      </c>
      <c r="C650" s="129" t="str">
        <f t="shared" si="20"/>
        <v>09.08.2022_KIRob</v>
      </c>
      <c r="D650" s="143">
        <f t="shared" si="21"/>
        <v>0</v>
      </c>
      <c r="E650" s="157">
        <v>8.1</v>
      </c>
      <c r="F650" s="165"/>
      <c r="G650" s="166">
        <v>1145</v>
      </c>
      <c r="H650" s="167">
        <v>9.6999999999999993</v>
      </c>
      <c r="I650" s="165"/>
      <c r="J650" s="167"/>
      <c r="K650" s="167">
        <v>15.6</v>
      </c>
      <c r="L650" s="167">
        <v>7.5</v>
      </c>
      <c r="M650" s="168">
        <v>0.40833333333333299</v>
      </c>
      <c r="N650" s="67"/>
    </row>
    <row r="651" spans="1:14" x14ac:dyDescent="0.25">
      <c r="A651" s="66">
        <v>44782</v>
      </c>
      <c r="B651" s="67" t="s">
        <v>49</v>
      </c>
      <c r="C651" s="129" t="str">
        <f t="shared" si="20"/>
        <v>09.08.2022_KIRun</v>
      </c>
      <c r="D651" s="143">
        <f t="shared" si="21"/>
        <v>0</v>
      </c>
      <c r="E651" s="157">
        <v>8.24</v>
      </c>
      <c r="F651" s="165"/>
      <c r="G651" s="166">
        <v>983</v>
      </c>
      <c r="H651" s="167">
        <v>9.6999999999999993</v>
      </c>
      <c r="I651" s="165"/>
      <c r="J651" s="167"/>
      <c r="K651" s="167">
        <v>15.2</v>
      </c>
      <c r="L651" s="167">
        <v>10.5</v>
      </c>
      <c r="M651" s="168">
        <v>0.4</v>
      </c>
      <c r="N651" s="67"/>
    </row>
    <row r="652" spans="1:14" x14ac:dyDescent="0.25">
      <c r="A652" s="66">
        <v>44782</v>
      </c>
      <c r="B652" s="67" t="s">
        <v>50</v>
      </c>
      <c r="C652" s="129" t="str">
        <f t="shared" si="20"/>
        <v>09.08.2022_LIEohBo</v>
      </c>
      <c r="D652" s="143">
        <f t="shared" si="21"/>
        <v>5</v>
      </c>
      <c r="E652" s="205"/>
      <c r="F652" s="165"/>
      <c r="G652" s="166"/>
      <c r="H652" s="167"/>
      <c r="I652" s="165"/>
      <c r="J652" s="167"/>
      <c r="K652" s="167"/>
      <c r="L652" s="167"/>
      <c r="M652" s="168"/>
      <c r="N652" s="67" t="s">
        <v>341</v>
      </c>
    </row>
    <row r="653" spans="1:14" x14ac:dyDescent="0.25">
      <c r="A653" s="66">
        <v>44782</v>
      </c>
      <c r="B653" s="67" t="s">
        <v>53</v>
      </c>
      <c r="C653" s="129" t="str">
        <f t="shared" si="20"/>
        <v>09.08.2022_NATohBo</v>
      </c>
      <c r="D653" s="143">
        <f t="shared" si="21"/>
        <v>0</v>
      </c>
      <c r="E653" s="157">
        <v>7.19</v>
      </c>
      <c r="F653" s="165"/>
      <c r="G653" s="166">
        <v>2810</v>
      </c>
      <c r="H653" s="167">
        <v>5.8</v>
      </c>
      <c r="I653" s="165"/>
      <c r="J653" s="167"/>
      <c r="K653" s="167">
        <v>17.600000000000001</v>
      </c>
      <c r="L653" s="167">
        <v>6</v>
      </c>
      <c r="M653" s="168">
        <v>0.56111111111111101</v>
      </c>
      <c r="N653" s="67"/>
    </row>
    <row r="654" spans="1:14" x14ac:dyDescent="0.25">
      <c r="A654" s="66">
        <v>44782</v>
      </c>
      <c r="B654" s="67" t="s">
        <v>55</v>
      </c>
      <c r="C654" s="129" t="str">
        <f t="shared" si="20"/>
        <v>09.08.2022_QUAohBo</v>
      </c>
      <c r="D654" s="143">
        <f t="shared" si="21"/>
        <v>5</v>
      </c>
      <c r="E654" s="205"/>
      <c r="F654" s="165"/>
      <c r="G654" s="166"/>
      <c r="H654" s="167"/>
      <c r="I654" s="165"/>
      <c r="J654" s="167"/>
      <c r="K654" s="167"/>
      <c r="L654" s="167"/>
      <c r="M654" s="168"/>
      <c r="N654" s="67" t="s">
        <v>341</v>
      </c>
    </row>
    <row r="655" spans="1:14" x14ac:dyDescent="0.25">
      <c r="A655" s="66">
        <v>44782</v>
      </c>
      <c r="B655" s="67" t="s">
        <v>57</v>
      </c>
      <c r="C655" s="129" t="str">
        <f t="shared" si="20"/>
        <v>09.08.2022_SCHohVo</v>
      </c>
      <c r="D655" s="143">
        <f t="shared" si="21"/>
        <v>5</v>
      </c>
      <c r="E655" s="205"/>
      <c r="F655" s="165"/>
      <c r="G655" s="166"/>
      <c r="H655" s="167"/>
      <c r="I655" s="165"/>
      <c r="J655" s="167"/>
      <c r="K655" s="167"/>
      <c r="L655" s="167"/>
      <c r="M655" s="168"/>
      <c r="N655" s="67" t="s">
        <v>341</v>
      </c>
    </row>
    <row r="656" spans="1:14" x14ac:dyDescent="0.25">
      <c r="A656" s="66">
        <v>44782</v>
      </c>
      <c r="B656" s="67" t="s">
        <v>60</v>
      </c>
      <c r="C656" s="129" t="str">
        <f t="shared" si="20"/>
        <v>09.08.2022_VORohBo</v>
      </c>
      <c r="D656" s="143">
        <f t="shared" si="21"/>
        <v>0</v>
      </c>
      <c r="E656" s="157">
        <v>7.83</v>
      </c>
      <c r="F656" s="165"/>
      <c r="G656" s="166">
        <v>1115</v>
      </c>
      <c r="H656" s="167">
        <v>8.4</v>
      </c>
      <c r="I656" s="165"/>
      <c r="J656" s="167"/>
      <c r="K656" s="167">
        <v>15</v>
      </c>
      <c r="L656" s="167">
        <v>5.3</v>
      </c>
      <c r="M656" s="168">
        <v>0.43472222222222201</v>
      </c>
      <c r="N656" s="67"/>
    </row>
    <row r="657" spans="1:17" x14ac:dyDescent="0.25">
      <c r="A657" s="66">
        <v>44782</v>
      </c>
      <c r="B657" s="67" t="s">
        <v>62</v>
      </c>
      <c r="C657" s="129" t="str">
        <f t="shared" si="20"/>
        <v>09.08.2022_VORuhSc</v>
      </c>
      <c r="D657" s="143">
        <f t="shared" si="21"/>
        <v>0</v>
      </c>
      <c r="E657" s="157">
        <v>7.46</v>
      </c>
      <c r="F657" s="165"/>
      <c r="G657" s="166">
        <v>1151</v>
      </c>
      <c r="H657" s="167">
        <v>7.7</v>
      </c>
      <c r="I657" s="165"/>
      <c r="J657" s="167"/>
      <c r="K657" s="167">
        <v>15.1</v>
      </c>
      <c r="L657" s="167">
        <v>6.5</v>
      </c>
      <c r="M657" s="168">
        <v>0.42361111111111099</v>
      </c>
      <c r="N657" s="67"/>
    </row>
    <row r="658" spans="1:17" x14ac:dyDescent="0.25">
      <c r="A658" s="66">
        <v>44782</v>
      </c>
      <c r="B658" s="67" t="s">
        <v>64</v>
      </c>
      <c r="C658" s="129" t="str">
        <f t="shared" si="20"/>
        <v>09.08.2022_WITob</v>
      </c>
      <c r="D658" s="143">
        <f t="shared" si="21"/>
        <v>0</v>
      </c>
      <c r="E658" s="157">
        <v>8.4</v>
      </c>
      <c r="F658" s="165"/>
      <c r="G658" s="166">
        <v>1138</v>
      </c>
      <c r="H658" s="167">
        <v>9.1999999999999993</v>
      </c>
      <c r="I658" s="165"/>
      <c r="J658" s="167"/>
      <c r="K658" s="167">
        <v>18.8</v>
      </c>
      <c r="L658" s="167">
        <v>2.2000000000000002</v>
      </c>
      <c r="M658" s="168">
        <v>0.54861111111111105</v>
      </c>
      <c r="N658" s="67"/>
    </row>
    <row r="659" spans="1:17" x14ac:dyDescent="0.25">
      <c r="A659" s="66">
        <v>44795</v>
      </c>
      <c r="B659" s="67" t="s">
        <v>22</v>
      </c>
      <c r="C659" s="129" t="str">
        <f t="shared" si="20"/>
        <v>22.08.2022_BOYkl</v>
      </c>
      <c r="D659" s="143">
        <f t="shared" si="21"/>
        <v>5</v>
      </c>
      <c r="E659" s="205"/>
      <c r="F659" s="165"/>
      <c r="G659" s="166"/>
      <c r="H659" s="167"/>
      <c r="I659" s="165"/>
      <c r="J659" s="167"/>
      <c r="K659" s="167"/>
      <c r="L659" s="167"/>
      <c r="M659" s="168"/>
      <c r="N659" s="67" t="s">
        <v>341</v>
      </c>
    </row>
    <row r="660" spans="1:17" x14ac:dyDescent="0.25">
      <c r="A660" s="66">
        <v>44795</v>
      </c>
      <c r="B660" s="67" t="s">
        <v>25</v>
      </c>
      <c r="C660" s="129" t="str">
        <f t="shared" si="20"/>
        <v>22.08.2022_BOYohB224</v>
      </c>
      <c r="D660" s="143">
        <f t="shared" si="21"/>
        <v>0</v>
      </c>
      <c r="E660" s="157">
        <v>8.73</v>
      </c>
      <c r="F660" s="165"/>
      <c r="G660" s="166">
        <v>1064</v>
      </c>
      <c r="H660" s="167">
        <v>9.5</v>
      </c>
      <c r="I660" s="165"/>
      <c r="J660" s="167"/>
      <c r="K660" s="167">
        <v>24.3</v>
      </c>
      <c r="L660" s="167">
        <v>10</v>
      </c>
      <c r="M660" s="168">
        <v>0.63194444444444398</v>
      </c>
      <c r="N660" s="175"/>
    </row>
    <row r="661" spans="1:17" x14ac:dyDescent="0.25">
      <c r="A661" s="66">
        <v>44795</v>
      </c>
      <c r="B661" s="67" t="s">
        <v>28</v>
      </c>
      <c r="C661" s="129" t="str">
        <f t="shared" si="20"/>
        <v>22.08.2022_BOYohBr</v>
      </c>
      <c r="D661" s="143">
        <f t="shared" si="21"/>
        <v>0</v>
      </c>
      <c r="E661" s="157">
        <v>8.02</v>
      </c>
      <c r="F661" s="165"/>
      <c r="G661" s="166">
        <v>561</v>
      </c>
      <c r="H661" s="167">
        <v>5</v>
      </c>
      <c r="I661" s="165"/>
      <c r="J661" s="167"/>
      <c r="K661" s="167">
        <v>14.8</v>
      </c>
      <c r="L661" s="167">
        <v>9</v>
      </c>
      <c r="M661" s="168">
        <v>0.51388888888888895</v>
      </c>
      <c r="N661" s="175"/>
    </row>
    <row r="662" spans="1:17" x14ac:dyDescent="0.25">
      <c r="A662" s="66">
        <v>44795</v>
      </c>
      <c r="B662" s="67" t="s">
        <v>30</v>
      </c>
      <c r="C662" s="129" t="str">
        <f t="shared" si="20"/>
        <v>22.08.2022_BOYohKi</v>
      </c>
      <c r="D662" s="143">
        <f t="shared" si="21"/>
        <v>0</v>
      </c>
      <c r="E662" s="157">
        <v>8.1</v>
      </c>
      <c r="F662" s="165"/>
      <c r="G662" s="166">
        <v>876</v>
      </c>
      <c r="H662" s="167">
        <v>8</v>
      </c>
      <c r="I662" s="165"/>
      <c r="J662" s="167"/>
      <c r="K662" s="167">
        <v>16.100000000000001</v>
      </c>
      <c r="L662" s="167">
        <v>25.5</v>
      </c>
      <c r="M662" s="168">
        <v>0.40625</v>
      </c>
      <c r="N662" s="67"/>
    </row>
    <row r="663" spans="1:17" x14ac:dyDescent="0.25">
      <c r="A663" s="66">
        <v>44795</v>
      </c>
      <c r="B663" s="67" t="s">
        <v>32</v>
      </c>
      <c r="C663" s="129" t="str">
        <f t="shared" si="20"/>
        <v>22.08.2022_BOYohSp</v>
      </c>
      <c r="D663" s="143">
        <f t="shared" si="21"/>
        <v>0</v>
      </c>
      <c r="E663" s="157">
        <v>8.08</v>
      </c>
      <c r="F663" s="165"/>
      <c r="G663" s="166">
        <v>588</v>
      </c>
      <c r="H663" s="167">
        <v>9.1999999999999993</v>
      </c>
      <c r="I663" s="165"/>
      <c r="J663" s="167"/>
      <c r="K663" s="167">
        <v>15</v>
      </c>
      <c r="L663" s="167">
        <v>9.5</v>
      </c>
      <c r="M663" s="168">
        <v>0.54166666666666696</v>
      </c>
      <c r="N663" s="175"/>
      <c r="P663" s="63"/>
      <c r="Q663" s="63"/>
    </row>
    <row r="664" spans="1:17" x14ac:dyDescent="0.25">
      <c r="A664" s="66">
        <v>44795</v>
      </c>
      <c r="B664" s="67" t="s">
        <v>36</v>
      </c>
      <c r="C664" s="129" t="str">
        <f t="shared" si="20"/>
        <v>22.08.2022_BOYuhSp</v>
      </c>
      <c r="D664" s="143">
        <f t="shared" si="21"/>
        <v>0</v>
      </c>
      <c r="E664" s="157">
        <v>8.11</v>
      </c>
      <c r="F664" s="165"/>
      <c r="G664" s="166">
        <v>607</v>
      </c>
      <c r="H664" s="167">
        <v>7.2</v>
      </c>
      <c r="I664" s="165"/>
      <c r="J664" s="167"/>
      <c r="K664" s="167">
        <v>15.4</v>
      </c>
      <c r="L664" s="167">
        <v>10</v>
      </c>
      <c r="M664" s="168">
        <v>0.53125</v>
      </c>
      <c r="N664" s="172"/>
    </row>
    <row r="665" spans="1:17" x14ac:dyDescent="0.25">
      <c r="A665" s="66">
        <v>44795</v>
      </c>
      <c r="B665" s="67" t="s">
        <v>38</v>
      </c>
      <c r="C665" s="129" t="str">
        <f t="shared" si="20"/>
        <v>22.08.2022_BRAob</v>
      </c>
      <c r="D665" s="143">
        <f t="shared" si="21"/>
        <v>5</v>
      </c>
      <c r="E665" s="205"/>
      <c r="F665" s="165"/>
      <c r="G665" s="166"/>
      <c r="H665" s="167"/>
      <c r="I665" s="165"/>
      <c r="J665" s="167"/>
      <c r="K665" s="167"/>
      <c r="L665" s="167"/>
      <c r="M665" s="168"/>
      <c r="N665" s="67" t="s">
        <v>341</v>
      </c>
    </row>
    <row r="666" spans="1:17" x14ac:dyDescent="0.25">
      <c r="A666" s="66">
        <v>44795</v>
      </c>
      <c r="B666" s="67" t="s">
        <v>41</v>
      </c>
      <c r="C666" s="129" t="str">
        <f t="shared" si="20"/>
        <v>22.08.2022_BRAohBo</v>
      </c>
      <c r="D666" s="143">
        <f t="shared" si="21"/>
        <v>5</v>
      </c>
      <c r="E666" s="205"/>
      <c r="F666" s="165"/>
      <c r="G666" s="166"/>
      <c r="H666" s="167"/>
      <c r="I666" s="165"/>
      <c r="J666" s="167"/>
      <c r="K666" s="167"/>
      <c r="L666" s="167"/>
      <c r="M666" s="168"/>
      <c r="N666" s="67" t="s">
        <v>341</v>
      </c>
    </row>
    <row r="667" spans="1:17" x14ac:dyDescent="0.25">
      <c r="A667" s="66">
        <v>44795</v>
      </c>
      <c r="B667" s="67" t="s">
        <v>43</v>
      </c>
      <c r="C667" s="129" t="str">
        <f t="shared" si="20"/>
        <v>22.08.2022_HAAob</v>
      </c>
      <c r="D667" s="143">
        <f t="shared" si="21"/>
        <v>0</v>
      </c>
      <c r="E667" s="157">
        <v>8.65</v>
      </c>
      <c r="F667" s="165"/>
      <c r="G667" s="166">
        <v>891</v>
      </c>
      <c r="H667" s="167">
        <v>7.5</v>
      </c>
      <c r="I667" s="165"/>
      <c r="J667" s="167"/>
      <c r="K667" s="167">
        <v>19.3</v>
      </c>
      <c r="L667" s="167">
        <v>2</v>
      </c>
      <c r="M667" s="168">
        <v>0.57291666666666696</v>
      </c>
      <c r="N667" s="67"/>
    </row>
    <row r="668" spans="1:17" x14ac:dyDescent="0.25">
      <c r="A668" s="66">
        <v>44795</v>
      </c>
      <c r="B668" s="67" t="s">
        <v>45</v>
      </c>
      <c r="C668" s="129" t="str">
        <f t="shared" si="20"/>
        <v>22.08.2022_HAAun</v>
      </c>
      <c r="D668" s="143">
        <f t="shared" si="21"/>
        <v>0</v>
      </c>
      <c r="E668" s="157">
        <v>8.5</v>
      </c>
      <c r="F668" s="165"/>
      <c r="G668" s="166">
        <v>1263</v>
      </c>
      <c r="H668" s="167">
        <v>7</v>
      </c>
      <c r="I668" s="165"/>
      <c r="J668" s="167"/>
      <c r="K668" s="167">
        <v>17.8</v>
      </c>
      <c r="L668" s="167">
        <v>4</v>
      </c>
      <c r="M668" s="168">
        <v>0.5625</v>
      </c>
      <c r="N668" s="67"/>
    </row>
    <row r="669" spans="1:17" x14ac:dyDescent="0.25">
      <c r="A669" s="66">
        <v>44795</v>
      </c>
      <c r="B669" s="67" t="s">
        <v>47</v>
      </c>
      <c r="C669" s="129" t="str">
        <f t="shared" si="20"/>
        <v>22.08.2022_KIRob</v>
      </c>
      <c r="D669" s="143">
        <f t="shared" si="21"/>
        <v>0</v>
      </c>
      <c r="E669" s="157">
        <v>8.34</v>
      </c>
      <c r="F669" s="165"/>
      <c r="G669" s="166">
        <v>1155</v>
      </c>
      <c r="H669" s="167">
        <v>8.1</v>
      </c>
      <c r="I669" s="165"/>
      <c r="J669" s="167"/>
      <c r="K669" s="167">
        <v>15.7</v>
      </c>
      <c r="L669" s="167">
        <v>3.5</v>
      </c>
      <c r="M669" s="168">
        <v>0.43055555555555602</v>
      </c>
      <c r="N669" s="67"/>
    </row>
    <row r="670" spans="1:17" x14ac:dyDescent="0.25">
      <c r="A670" s="66">
        <v>44795</v>
      </c>
      <c r="B670" s="67" t="s">
        <v>49</v>
      </c>
      <c r="C670" s="129" t="str">
        <f t="shared" si="20"/>
        <v>22.08.2022_KIRun</v>
      </c>
      <c r="D670" s="143">
        <f t="shared" si="21"/>
        <v>0</v>
      </c>
      <c r="E670" s="157">
        <v>8.2100000000000009</v>
      </c>
      <c r="F670" s="165"/>
      <c r="G670" s="166">
        <v>1012</v>
      </c>
      <c r="H670" s="167">
        <v>8.6</v>
      </c>
      <c r="I670" s="165"/>
      <c r="J670" s="167"/>
      <c r="K670" s="167">
        <v>15.7</v>
      </c>
      <c r="L670" s="167">
        <v>10</v>
      </c>
      <c r="M670" s="168">
        <v>0.41666666666666702</v>
      </c>
      <c r="N670" s="67"/>
    </row>
    <row r="671" spans="1:17" x14ac:dyDescent="0.25">
      <c r="A671" s="66">
        <v>44795</v>
      </c>
      <c r="B671" s="67" t="s">
        <v>50</v>
      </c>
      <c r="C671" s="129" t="str">
        <f t="shared" si="20"/>
        <v>22.08.2022_LIEohBo</v>
      </c>
      <c r="D671" s="143">
        <f t="shared" si="21"/>
        <v>5</v>
      </c>
      <c r="E671" s="205"/>
      <c r="F671" s="165"/>
      <c r="G671" s="166"/>
      <c r="H671" s="167"/>
      <c r="I671" s="165"/>
      <c r="J671" s="167"/>
      <c r="K671" s="167"/>
      <c r="L671" s="167"/>
      <c r="M671" s="168"/>
      <c r="N671" s="67" t="s">
        <v>341</v>
      </c>
    </row>
    <row r="672" spans="1:17" x14ac:dyDescent="0.25">
      <c r="A672" s="66">
        <v>44795</v>
      </c>
      <c r="B672" s="67" t="s">
        <v>53</v>
      </c>
      <c r="C672" s="129" t="str">
        <f t="shared" si="20"/>
        <v>22.08.2022_NATohBo</v>
      </c>
      <c r="D672" s="143">
        <f t="shared" si="21"/>
        <v>0</v>
      </c>
      <c r="E672" s="157">
        <v>7.19</v>
      </c>
      <c r="F672" s="165"/>
      <c r="G672" s="166">
        <v>2860</v>
      </c>
      <c r="H672" s="167">
        <v>6.8</v>
      </c>
      <c r="I672" s="165"/>
      <c r="J672" s="167"/>
      <c r="K672" s="167">
        <v>18.5</v>
      </c>
      <c r="L672" s="167">
        <v>3</v>
      </c>
      <c r="M672" s="168">
        <v>0.61805555555555602</v>
      </c>
      <c r="N672" s="67"/>
    </row>
    <row r="673" spans="1:14" x14ac:dyDescent="0.25">
      <c r="A673" s="66">
        <v>44795</v>
      </c>
      <c r="B673" s="67" t="s">
        <v>55</v>
      </c>
      <c r="C673" s="129" t="str">
        <f t="shared" si="20"/>
        <v>22.08.2022_QUAohBo</v>
      </c>
      <c r="D673" s="143">
        <f t="shared" si="21"/>
        <v>5</v>
      </c>
      <c r="E673" s="205"/>
      <c r="F673" s="165"/>
      <c r="G673" s="166"/>
      <c r="H673" s="167"/>
      <c r="I673" s="165"/>
      <c r="J673" s="167"/>
      <c r="K673" s="167"/>
      <c r="L673" s="167"/>
      <c r="M673" s="168"/>
      <c r="N673" s="67" t="s">
        <v>341</v>
      </c>
    </row>
    <row r="674" spans="1:14" x14ac:dyDescent="0.25">
      <c r="A674" s="66">
        <v>44795</v>
      </c>
      <c r="B674" s="67" t="s">
        <v>57</v>
      </c>
      <c r="C674" s="129" t="str">
        <f t="shared" si="20"/>
        <v>22.08.2022_SCHohVo</v>
      </c>
      <c r="D674" s="143">
        <f t="shared" si="21"/>
        <v>5</v>
      </c>
      <c r="E674" s="205"/>
      <c r="F674" s="165"/>
      <c r="G674" s="166"/>
      <c r="H674" s="167"/>
      <c r="I674" s="165"/>
      <c r="J674" s="167"/>
      <c r="K674" s="167"/>
      <c r="L674" s="167"/>
      <c r="M674" s="168"/>
      <c r="N674" s="67" t="s">
        <v>341</v>
      </c>
    </row>
    <row r="675" spans="1:14" x14ac:dyDescent="0.25">
      <c r="A675" s="66">
        <v>44795</v>
      </c>
      <c r="B675" s="67" t="s">
        <v>60</v>
      </c>
      <c r="C675" s="129" t="str">
        <f t="shared" si="20"/>
        <v>22.08.2022_VORohBo</v>
      </c>
      <c r="D675" s="143">
        <f t="shared" si="21"/>
        <v>0</v>
      </c>
      <c r="E675" s="157">
        <v>7.68</v>
      </c>
      <c r="F675" s="165"/>
      <c r="G675" s="166">
        <v>1113</v>
      </c>
      <c r="H675" s="167">
        <v>6.9</v>
      </c>
      <c r="I675" s="165"/>
      <c r="J675" s="167"/>
      <c r="K675" s="167">
        <v>15.7</v>
      </c>
      <c r="L675" s="167">
        <v>4</v>
      </c>
      <c r="M675" s="168">
        <v>0.47222222222222199</v>
      </c>
      <c r="N675" s="67"/>
    </row>
    <row r="676" spans="1:14" x14ac:dyDescent="0.25">
      <c r="A676" s="66">
        <v>44795</v>
      </c>
      <c r="B676" s="67" t="s">
        <v>62</v>
      </c>
      <c r="C676" s="129" t="str">
        <f t="shared" si="20"/>
        <v>22.08.2022_VORuhSc</v>
      </c>
      <c r="D676" s="143">
        <f t="shared" si="21"/>
        <v>0</v>
      </c>
      <c r="E676" s="157">
        <v>7.41</v>
      </c>
      <c r="F676" s="165"/>
      <c r="G676" s="166">
        <v>1154</v>
      </c>
      <c r="H676" s="167">
        <v>5</v>
      </c>
      <c r="I676" s="165"/>
      <c r="J676" s="167"/>
      <c r="K676" s="167">
        <v>15.7</v>
      </c>
      <c r="L676" s="167">
        <v>3</v>
      </c>
      <c r="M676" s="168">
        <v>0.45486111111111099</v>
      </c>
      <c r="N676" s="67"/>
    </row>
    <row r="677" spans="1:14" x14ac:dyDescent="0.25">
      <c r="A677" s="66">
        <v>44795</v>
      </c>
      <c r="B677" s="67" t="s">
        <v>64</v>
      </c>
      <c r="C677" s="129" t="str">
        <f t="shared" si="20"/>
        <v>22.08.2022_WITob</v>
      </c>
      <c r="D677" s="143">
        <f t="shared" si="21"/>
        <v>1</v>
      </c>
      <c r="E677" s="205"/>
      <c r="F677" s="165"/>
      <c r="G677" s="166">
        <v>1080</v>
      </c>
      <c r="H677" s="167">
        <v>5.2</v>
      </c>
      <c r="I677" s="165"/>
      <c r="J677" s="167"/>
      <c r="K677" s="167">
        <v>19.7</v>
      </c>
      <c r="L677" s="167">
        <v>0</v>
      </c>
      <c r="M677" s="168">
        <v>0.59722222222222199</v>
      </c>
      <c r="N677" s="67" t="s">
        <v>258</v>
      </c>
    </row>
    <row r="678" spans="1:14" x14ac:dyDescent="0.25">
      <c r="A678" s="66">
        <v>44809</v>
      </c>
      <c r="B678" s="67" t="s">
        <v>22</v>
      </c>
      <c r="C678" s="129" t="str">
        <f t="shared" si="20"/>
        <v>05.09.2022_BOYkl</v>
      </c>
      <c r="D678" s="143">
        <f t="shared" si="21"/>
        <v>5</v>
      </c>
      <c r="E678" s="205"/>
      <c r="F678" s="165"/>
      <c r="G678" s="166"/>
      <c r="H678" s="167"/>
      <c r="I678" s="165"/>
      <c r="J678" s="167"/>
      <c r="K678" s="167"/>
      <c r="L678" s="167"/>
      <c r="M678" s="168"/>
      <c r="N678" s="67" t="s">
        <v>341</v>
      </c>
    </row>
    <row r="679" spans="1:14" x14ac:dyDescent="0.25">
      <c r="A679" s="66">
        <v>44809</v>
      </c>
      <c r="B679" s="67" t="s">
        <v>25</v>
      </c>
      <c r="C679" s="129" t="str">
        <f t="shared" si="20"/>
        <v>05.09.2022_BOYohB224</v>
      </c>
      <c r="D679" s="143">
        <f t="shared" si="21"/>
        <v>0</v>
      </c>
      <c r="E679" s="157">
        <v>8.36</v>
      </c>
      <c r="F679" s="165"/>
      <c r="G679" s="166">
        <v>1069</v>
      </c>
      <c r="H679" s="167">
        <v>10.6</v>
      </c>
      <c r="I679" s="165"/>
      <c r="J679" s="167"/>
      <c r="K679" s="167">
        <v>24.6</v>
      </c>
      <c r="L679" s="167">
        <v>33.299999999999997</v>
      </c>
      <c r="M679" s="168">
        <v>0.61527777777777803</v>
      </c>
      <c r="N679" s="67"/>
    </row>
    <row r="680" spans="1:14" x14ac:dyDescent="0.25">
      <c r="A680" s="66">
        <v>44809</v>
      </c>
      <c r="B680" s="67" t="s">
        <v>28</v>
      </c>
      <c r="C680" s="129" t="str">
        <f t="shared" si="20"/>
        <v>05.09.2022_BOYohBr</v>
      </c>
      <c r="D680" s="143">
        <f t="shared" si="21"/>
        <v>0</v>
      </c>
      <c r="E680" s="157">
        <v>7.79</v>
      </c>
      <c r="F680" s="165"/>
      <c r="G680" s="166">
        <v>512</v>
      </c>
      <c r="H680" s="167">
        <v>8.1</v>
      </c>
      <c r="I680" s="165"/>
      <c r="J680" s="167"/>
      <c r="K680" s="167">
        <v>13.7</v>
      </c>
      <c r="L680" s="167">
        <v>18.8</v>
      </c>
      <c r="M680" s="168">
        <v>0.53611111111111098</v>
      </c>
      <c r="N680" s="67"/>
    </row>
    <row r="681" spans="1:14" x14ac:dyDescent="0.25">
      <c r="A681" s="66">
        <v>44809</v>
      </c>
      <c r="B681" s="67" t="s">
        <v>30</v>
      </c>
      <c r="C681" s="129" t="str">
        <f t="shared" si="20"/>
        <v>05.09.2022_BOYohKi</v>
      </c>
      <c r="D681" s="143">
        <f t="shared" si="21"/>
        <v>0</v>
      </c>
      <c r="E681" s="157">
        <v>7.77</v>
      </c>
      <c r="F681" s="165"/>
      <c r="G681" s="166">
        <v>836</v>
      </c>
      <c r="H681" s="167">
        <v>9.1999999999999993</v>
      </c>
      <c r="I681" s="165"/>
      <c r="J681" s="167"/>
      <c r="K681" s="167">
        <v>16.3</v>
      </c>
      <c r="L681" s="167">
        <v>25.3</v>
      </c>
      <c r="M681" s="168">
        <v>0.42430555555555599</v>
      </c>
      <c r="N681" s="67"/>
    </row>
    <row r="682" spans="1:14" x14ac:dyDescent="0.25">
      <c r="A682" s="66">
        <v>44809</v>
      </c>
      <c r="B682" s="67" t="s">
        <v>32</v>
      </c>
      <c r="C682" s="129" t="str">
        <f t="shared" si="20"/>
        <v>05.09.2022_BOYohSp</v>
      </c>
      <c r="D682" s="143">
        <f t="shared" si="21"/>
        <v>0</v>
      </c>
      <c r="E682" s="157">
        <v>8.0399999999999991</v>
      </c>
      <c r="F682" s="165"/>
      <c r="G682" s="166">
        <v>573</v>
      </c>
      <c r="H682" s="167">
        <v>8.6999999999999993</v>
      </c>
      <c r="I682" s="165"/>
      <c r="J682" s="167"/>
      <c r="K682" s="167">
        <v>15.1</v>
      </c>
      <c r="L682" s="167">
        <v>18.3</v>
      </c>
      <c r="M682" s="168">
        <v>0.55625000000000002</v>
      </c>
      <c r="N682" s="67"/>
    </row>
    <row r="683" spans="1:14" x14ac:dyDescent="0.25">
      <c r="A683" s="66">
        <v>44809</v>
      </c>
      <c r="B683" s="67" t="s">
        <v>36</v>
      </c>
      <c r="C683" s="129" t="str">
        <f t="shared" si="20"/>
        <v>05.09.2022_BOYuhSp</v>
      </c>
      <c r="D683" s="143">
        <f t="shared" si="21"/>
        <v>0</v>
      </c>
      <c r="E683" s="157">
        <v>8.09</v>
      </c>
      <c r="F683" s="165"/>
      <c r="G683" s="166">
        <v>585</v>
      </c>
      <c r="H683" s="167">
        <v>9</v>
      </c>
      <c r="I683" s="165"/>
      <c r="J683" s="167"/>
      <c r="K683" s="167">
        <v>15.4</v>
      </c>
      <c r="L683" s="167">
        <v>18</v>
      </c>
      <c r="M683" s="168">
        <v>0.54930555555555605</v>
      </c>
      <c r="N683" s="67"/>
    </row>
    <row r="684" spans="1:14" x14ac:dyDescent="0.25">
      <c r="A684" s="66">
        <v>44809</v>
      </c>
      <c r="B684" s="67" t="s">
        <v>38</v>
      </c>
      <c r="C684" s="129" t="str">
        <f t="shared" si="20"/>
        <v>05.09.2022_BRAob</v>
      </c>
      <c r="D684" s="143">
        <f t="shared" si="21"/>
        <v>5</v>
      </c>
      <c r="E684" s="205"/>
      <c r="F684" s="165"/>
      <c r="G684" s="166"/>
      <c r="H684" s="167"/>
      <c r="I684" s="165"/>
      <c r="J684" s="167"/>
      <c r="K684" s="167"/>
      <c r="L684" s="167"/>
      <c r="M684" s="168"/>
      <c r="N684" s="67" t="s">
        <v>341</v>
      </c>
    </row>
    <row r="685" spans="1:14" x14ac:dyDescent="0.25">
      <c r="A685" s="66">
        <v>44809</v>
      </c>
      <c r="B685" s="67" t="s">
        <v>41</v>
      </c>
      <c r="C685" s="129" t="str">
        <f t="shared" si="20"/>
        <v>05.09.2022_BRAohBo</v>
      </c>
      <c r="D685" s="143">
        <f t="shared" si="21"/>
        <v>5</v>
      </c>
      <c r="E685" s="205"/>
      <c r="F685" s="165"/>
      <c r="G685" s="166"/>
      <c r="H685" s="167"/>
      <c r="I685" s="165"/>
      <c r="J685" s="167"/>
      <c r="K685" s="167"/>
      <c r="L685" s="167"/>
      <c r="M685" s="168"/>
      <c r="N685" s="67" t="s">
        <v>341</v>
      </c>
    </row>
    <row r="686" spans="1:14" x14ac:dyDescent="0.25">
      <c r="A686" s="66">
        <v>44809</v>
      </c>
      <c r="B686" s="67" t="s">
        <v>43</v>
      </c>
      <c r="C686" s="129" t="str">
        <f t="shared" si="20"/>
        <v>05.09.2022_HAAob</v>
      </c>
      <c r="D686" s="143">
        <f t="shared" si="21"/>
        <v>0</v>
      </c>
      <c r="E686" s="157">
        <v>8.41</v>
      </c>
      <c r="F686" s="165"/>
      <c r="G686" s="166">
        <v>1030</v>
      </c>
      <c r="H686" s="167">
        <v>7.4</v>
      </c>
      <c r="I686" s="165"/>
      <c r="J686" s="167"/>
      <c r="K686" s="167">
        <v>19.3</v>
      </c>
      <c r="L686" s="167">
        <v>4.7</v>
      </c>
      <c r="M686" s="168">
        <v>0.58402777777777803</v>
      </c>
      <c r="N686" s="67"/>
    </row>
    <row r="687" spans="1:14" x14ac:dyDescent="0.25">
      <c r="A687" s="66">
        <v>44809</v>
      </c>
      <c r="B687" s="67" t="s">
        <v>45</v>
      </c>
      <c r="C687" s="129" t="str">
        <f t="shared" si="20"/>
        <v>05.09.2022_HAAun</v>
      </c>
      <c r="D687" s="143">
        <f t="shared" si="21"/>
        <v>0</v>
      </c>
      <c r="E687" s="157">
        <v>8.17</v>
      </c>
      <c r="F687" s="165"/>
      <c r="G687" s="166">
        <v>1381</v>
      </c>
      <c r="H687" s="167">
        <v>8</v>
      </c>
      <c r="I687" s="165"/>
      <c r="J687" s="167"/>
      <c r="K687" s="167">
        <v>18.100000000000001</v>
      </c>
      <c r="L687" s="167">
        <v>7.3</v>
      </c>
      <c r="M687" s="168">
        <v>0.57291666666666696</v>
      </c>
      <c r="N687" s="175" t="s">
        <v>259</v>
      </c>
    </row>
    <row r="688" spans="1:14" x14ac:dyDescent="0.25">
      <c r="A688" s="66">
        <v>44809</v>
      </c>
      <c r="B688" s="67" t="s">
        <v>47</v>
      </c>
      <c r="C688" s="129" t="str">
        <f t="shared" si="20"/>
        <v>05.09.2022_KIRob</v>
      </c>
      <c r="D688" s="143">
        <f t="shared" si="21"/>
        <v>0</v>
      </c>
      <c r="E688" s="157">
        <v>8.0500000000000007</v>
      </c>
      <c r="F688" s="165"/>
      <c r="G688" s="166">
        <v>1154</v>
      </c>
      <c r="H688" s="167">
        <v>9.4</v>
      </c>
      <c r="I688" s="165"/>
      <c r="J688" s="167"/>
      <c r="K688" s="167">
        <v>16.100000000000001</v>
      </c>
      <c r="L688" s="167">
        <v>5</v>
      </c>
      <c r="M688" s="168">
        <v>0.44583333333333303</v>
      </c>
      <c r="N688" s="67"/>
    </row>
    <row r="689" spans="1:14" x14ac:dyDescent="0.25">
      <c r="A689" s="66">
        <v>44809</v>
      </c>
      <c r="B689" s="67" t="s">
        <v>49</v>
      </c>
      <c r="C689" s="129" t="str">
        <f t="shared" si="20"/>
        <v>05.09.2022_KIRun</v>
      </c>
      <c r="D689" s="143">
        <f t="shared" si="21"/>
        <v>0</v>
      </c>
      <c r="E689" s="157">
        <v>7.93</v>
      </c>
      <c r="F689" s="165"/>
      <c r="G689" s="166">
        <v>994</v>
      </c>
      <c r="H689" s="167">
        <v>9.1999999999999993</v>
      </c>
      <c r="I689" s="165"/>
      <c r="J689" s="167"/>
      <c r="K689" s="167">
        <v>15.6</v>
      </c>
      <c r="L689" s="167">
        <v>9.6</v>
      </c>
      <c r="M689" s="168">
        <v>0.436805555555556</v>
      </c>
      <c r="N689" s="67"/>
    </row>
    <row r="690" spans="1:14" x14ac:dyDescent="0.25">
      <c r="A690" s="66">
        <v>44809</v>
      </c>
      <c r="B690" s="67" t="s">
        <v>50</v>
      </c>
      <c r="C690" s="129" t="str">
        <f t="shared" si="20"/>
        <v>05.09.2022_LIEohBo</v>
      </c>
      <c r="D690" s="143">
        <f t="shared" si="21"/>
        <v>5</v>
      </c>
      <c r="E690" s="205"/>
      <c r="F690" s="165"/>
      <c r="G690" s="166"/>
      <c r="H690" s="167"/>
      <c r="I690" s="165"/>
      <c r="J690" s="167"/>
      <c r="K690" s="167"/>
      <c r="L690" s="167"/>
      <c r="M690" s="168"/>
      <c r="N690" s="67" t="s">
        <v>341</v>
      </c>
    </row>
    <row r="691" spans="1:14" x14ac:dyDescent="0.25">
      <c r="A691" s="66">
        <v>44809</v>
      </c>
      <c r="B691" s="67" t="s">
        <v>53</v>
      </c>
      <c r="C691" s="129" t="str">
        <f t="shared" si="20"/>
        <v>05.09.2022_NATohBo</v>
      </c>
      <c r="D691" s="143">
        <f t="shared" si="21"/>
        <v>0</v>
      </c>
      <c r="E691" s="157">
        <v>7.84</v>
      </c>
      <c r="F691" s="165"/>
      <c r="G691" s="166">
        <v>2500</v>
      </c>
      <c r="H691" s="167">
        <v>10.199999999999999</v>
      </c>
      <c r="I691" s="165"/>
      <c r="J691" s="167"/>
      <c r="K691" s="167">
        <v>25.6</v>
      </c>
      <c r="L691" s="167">
        <v>9.1</v>
      </c>
      <c r="M691" s="168">
        <v>0.62847222222222199</v>
      </c>
      <c r="N691" s="175" t="s">
        <v>129</v>
      </c>
    </row>
    <row r="692" spans="1:14" x14ac:dyDescent="0.25">
      <c r="A692" s="66">
        <v>44809</v>
      </c>
      <c r="B692" s="67" t="s">
        <v>55</v>
      </c>
      <c r="C692" s="129" t="str">
        <f t="shared" si="20"/>
        <v>05.09.2022_QUAohBo</v>
      </c>
      <c r="D692" s="143">
        <f t="shared" si="21"/>
        <v>5</v>
      </c>
      <c r="E692" s="205"/>
      <c r="F692" s="165"/>
      <c r="G692" s="166"/>
      <c r="H692" s="167"/>
      <c r="I692" s="165"/>
      <c r="J692" s="167"/>
      <c r="K692" s="167"/>
      <c r="L692" s="167"/>
      <c r="M692" s="168"/>
      <c r="N692" s="67" t="s">
        <v>341</v>
      </c>
    </row>
    <row r="693" spans="1:14" x14ac:dyDescent="0.25">
      <c r="A693" s="66">
        <v>44809</v>
      </c>
      <c r="B693" s="67" t="s">
        <v>57</v>
      </c>
      <c r="C693" s="129" t="str">
        <f t="shared" si="20"/>
        <v>05.09.2022_SCHohVo</v>
      </c>
      <c r="D693" s="143">
        <f t="shared" si="21"/>
        <v>5</v>
      </c>
      <c r="E693" s="205"/>
      <c r="F693" s="165"/>
      <c r="G693" s="166"/>
      <c r="H693" s="167"/>
      <c r="I693" s="165"/>
      <c r="J693" s="167"/>
      <c r="K693" s="167"/>
      <c r="L693" s="167"/>
      <c r="M693" s="168"/>
      <c r="N693" s="67" t="s">
        <v>341</v>
      </c>
    </row>
    <row r="694" spans="1:14" x14ac:dyDescent="0.25">
      <c r="A694" s="66">
        <v>44809</v>
      </c>
      <c r="B694" s="67" t="s">
        <v>60</v>
      </c>
      <c r="C694" s="129" t="str">
        <f t="shared" si="20"/>
        <v>05.09.2022_VORohBo</v>
      </c>
      <c r="D694" s="143">
        <f t="shared" si="21"/>
        <v>0</v>
      </c>
      <c r="E694" s="157">
        <v>7.69</v>
      </c>
      <c r="F694" s="165"/>
      <c r="G694" s="166">
        <v>1104</v>
      </c>
      <c r="H694" s="167">
        <v>8.6</v>
      </c>
      <c r="I694" s="165"/>
      <c r="J694" s="167"/>
      <c r="K694" s="167">
        <v>15.5</v>
      </c>
      <c r="L694" s="167">
        <v>5.5</v>
      </c>
      <c r="M694" s="168">
        <v>0.47569444444444398</v>
      </c>
      <c r="N694" s="175" t="s">
        <v>259</v>
      </c>
    </row>
    <row r="695" spans="1:14" x14ac:dyDescent="0.25">
      <c r="A695" s="66">
        <v>44809</v>
      </c>
      <c r="B695" s="67" t="s">
        <v>62</v>
      </c>
      <c r="C695" s="129" t="str">
        <f t="shared" si="20"/>
        <v>05.09.2022_VORuhSc</v>
      </c>
      <c r="D695" s="143">
        <f t="shared" si="21"/>
        <v>0</v>
      </c>
      <c r="E695" s="157">
        <v>7.23</v>
      </c>
      <c r="F695" s="165"/>
      <c r="G695" s="166">
        <v>1122</v>
      </c>
      <c r="H695" s="167">
        <v>7.2</v>
      </c>
      <c r="I695" s="165"/>
      <c r="J695" s="167"/>
      <c r="K695" s="167">
        <v>15.6</v>
      </c>
      <c r="L695" s="167">
        <v>5.6</v>
      </c>
      <c r="M695" s="168">
        <v>0.46319444444444402</v>
      </c>
      <c r="N695" s="67"/>
    </row>
    <row r="696" spans="1:14" x14ac:dyDescent="0.25">
      <c r="A696" s="66">
        <v>44809</v>
      </c>
      <c r="B696" s="67" t="s">
        <v>64</v>
      </c>
      <c r="C696" s="129" t="str">
        <f t="shared" si="20"/>
        <v>05.09.2022_WITob</v>
      </c>
      <c r="D696" s="143">
        <f t="shared" si="21"/>
        <v>5</v>
      </c>
      <c r="E696" s="205"/>
      <c r="F696" s="165"/>
      <c r="G696" s="166"/>
      <c r="H696" s="167"/>
      <c r="I696" s="165"/>
      <c r="J696" s="167"/>
      <c r="K696" s="167"/>
      <c r="L696" s="167"/>
      <c r="M696" s="168"/>
      <c r="N696" s="67" t="s">
        <v>341</v>
      </c>
    </row>
    <row r="697" spans="1:14" x14ac:dyDescent="0.25">
      <c r="A697" s="66">
        <v>44823</v>
      </c>
      <c r="B697" s="67" t="s">
        <v>22</v>
      </c>
      <c r="C697" s="129" t="str">
        <f t="shared" si="20"/>
        <v>19.09.2022_BOYkl</v>
      </c>
      <c r="D697" s="143">
        <f t="shared" si="21"/>
        <v>5</v>
      </c>
      <c r="E697" s="205"/>
      <c r="F697" s="165"/>
      <c r="G697" s="166"/>
      <c r="H697" s="167"/>
      <c r="I697" s="165"/>
      <c r="J697" s="167"/>
      <c r="K697" s="167"/>
      <c r="L697" s="167"/>
      <c r="M697" s="168"/>
      <c r="N697" s="67" t="s">
        <v>341</v>
      </c>
    </row>
    <row r="698" spans="1:14" x14ac:dyDescent="0.25">
      <c r="A698" s="66">
        <v>44823</v>
      </c>
      <c r="B698" s="67" t="s">
        <v>25</v>
      </c>
      <c r="C698" s="129" t="str">
        <f t="shared" si="20"/>
        <v>19.09.2022_BOYohB224</v>
      </c>
      <c r="D698" s="143">
        <f t="shared" si="21"/>
        <v>0</v>
      </c>
      <c r="E698" s="157">
        <v>7.91</v>
      </c>
      <c r="F698" s="165"/>
      <c r="G698" s="166">
        <v>618</v>
      </c>
      <c r="H698" s="167">
        <v>8.1</v>
      </c>
      <c r="I698" s="165"/>
      <c r="J698" s="167"/>
      <c r="K698" s="167">
        <v>16.3</v>
      </c>
      <c r="L698" s="167">
        <v>33</v>
      </c>
      <c r="M698" s="168">
        <v>0.63541666666666696</v>
      </c>
      <c r="N698" s="67"/>
    </row>
    <row r="699" spans="1:14" x14ac:dyDescent="0.25">
      <c r="A699" s="66">
        <v>44823</v>
      </c>
      <c r="B699" s="67" t="s">
        <v>28</v>
      </c>
      <c r="C699" s="129" t="str">
        <f t="shared" si="20"/>
        <v>19.09.2022_BOYohBr</v>
      </c>
      <c r="D699" s="143">
        <f t="shared" si="21"/>
        <v>0</v>
      </c>
      <c r="E699" s="157">
        <v>8.14</v>
      </c>
      <c r="F699" s="165"/>
      <c r="G699" s="166">
        <v>495</v>
      </c>
      <c r="H699" s="167">
        <v>9.3000000000000007</v>
      </c>
      <c r="I699" s="165"/>
      <c r="J699" s="167"/>
      <c r="K699" s="167">
        <v>12.4</v>
      </c>
      <c r="L699" s="167">
        <v>19</v>
      </c>
      <c r="M699" s="168">
        <v>0.53125</v>
      </c>
      <c r="N699" s="67"/>
    </row>
    <row r="700" spans="1:14" x14ac:dyDescent="0.25">
      <c r="A700" s="66">
        <v>44823</v>
      </c>
      <c r="B700" s="67" t="s">
        <v>30</v>
      </c>
      <c r="C700" s="129" t="str">
        <f t="shared" si="20"/>
        <v>19.09.2022_BOYohKi</v>
      </c>
      <c r="D700" s="143">
        <f t="shared" si="21"/>
        <v>0</v>
      </c>
      <c r="E700" s="157">
        <v>8.01</v>
      </c>
      <c r="F700" s="165"/>
      <c r="G700" s="166">
        <v>603</v>
      </c>
      <c r="H700" s="167">
        <v>9.5</v>
      </c>
      <c r="I700" s="165"/>
      <c r="J700" s="167"/>
      <c r="K700" s="167">
        <v>11.8</v>
      </c>
      <c r="L700" s="167">
        <v>39</v>
      </c>
      <c r="M700" s="168">
        <v>0.39930555555555602</v>
      </c>
      <c r="N700" s="67"/>
    </row>
    <row r="701" spans="1:14" x14ac:dyDescent="0.25">
      <c r="A701" s="66">
        <v>44823</v>
      </c>
      <c r="B701" s="67" t="s">
        <v>32</v>
      </c>
      <c r="C701" s="129" t="str">
        <f t="shared" si="20"/>
        <v>19.09.2022_BOYohSp</v>
      </c>
      <c r="D701" s="143">
        <f t="shared" si="21"/>
        <v>0</v>
      </c>
      <c r="E701" s="157">
        <v>7.96</v>
      </c>
      <c r="F701" s="165"/>
      <c r="G701" s="166">
        <v>487</v>
      </c>
      <c r="H701" s="167">
        <v>9.9</v>
      </c>
      <c r="I701" s="165"/>
      <c r="J701" s="167"/>
      <c r="K701" s="167">
        <v>15.5</v>
      </c>
      <c r="L701" s="167">
        <v>10</v>
      </c>
      <c r="M701" s="168">
        <v>0.55555555555555602</v>
      </c>
      <c r="N701" s="67"/>
    </row>
    <row r="702" spans="1:14" x14ac:dyDescent="0.25">
      <c r="A702" s="66">
        <v>44823</v>
      </c>
      <c r="B702" s="67" t="s">
        <v>36</v>
      </c>
      <c r="C702" s="129" t="str">
        <f t="shared" si="20"/>
        <v>19.09.2022_BOYuhSp</v>
      </c>
      <c r="D702" s="143">
        <f t="shared" si="21"/>
        <v>0</v>
      </c>
      <c r="E702" s="157">
        <v>7.99</v>
      </c>
      <c r="F702" s="165"/>
      <c r="G702" s="166">
        <v>491</v>
      </c>
      <c r="H702" s="167">
        <v>9.9</v>
      </c>
      <c r="I702" s="165"/>
      <c r="J702" s="167"/>
      <c r="K702" s="167">
        <v>12.5</v>
      </c>
      <c r="L702" s="167">
        <v>23</v>
      </c>
      <c r="M702" s="168">
        <v>0.54166666666666696</v>
      </c>
      <c r="N702" s="67"/>
    </row>
    <row r="703" spans="1:14" x14ac:dyDescent="0.25">
      <c r="A703" s="66">
        <v>44823</v>
      </c>
      <c r="B703" s="67" t="s">
        <v>38</v>
      </c>
      <c r="C703" s="129" t="str">
        <f t="shared" si="20"/>
        <v>19.09.2022_BRAob</v>
      </c>
      <c r="D703" s="143">
        <f t="shared" si="21"/>
        <v>0</v>
      </c>
      <c r="E703" s="157">
        <v>7.92</v>
      </c>
      <c r="F703" s="165"/>
      <c r="G703" s="166">
        <v>994</v>
      </c>
      <c r="H703" s="167">
        <v>9.6</v>
      </c>
      <c r="I703" s="165"/>
      <c r="J703" s="167"/>
      <c r="K703" s="167">
        <v>12.9</v>
      </c>
      <c r="L703" s="167">
        <v>5</v>
      </c>
      <c r="M703" s="168">
        <v>0.49652777777777801</v>
      </c>
      <c r="N703" s="67"/>
    </row>
    <row r="704" spans="1:14" x14ac:dyDescent="0.25">
      <c r="A704" s="66">
        <v>44823</v>
      </c>
      <c r="B704" s="67" t="s">
        <v>41</v>
      </c>
      <c r="C704" s="129" t="str">
        <f t="shared" si="20"/>
        <v>19.09.2022_BRAohBo</v>
      </c>
      <c r="D704" s="143">
        <f t="shared" si="21"/>
        <v>0</v>
      </c>
      <c r="E704" s="157">
        <v>8.1</v>
      </c>
      <c r="F704" s="165"/>
      <c r="G704" s="166">
        <v>525</v>
      </c>
      <c r="H704" s="167">
        <v>10.6</v>
      </c>
      <c r="I704" s="165"/>
      <c r="J704" s="167"/>
      <c r="K704" s="167">
        <v>12</v>
      </c>
      <c r="L704" s="167">
        <v>13.5</v>
      </c>
      <c r="M704" s="168">
        <v>0.51041666666666696</v>
      </c>
      <c r="N704" s="67"/>
    </row>
    <row r="705" spans="1:14" x14ac:dyDescent="0.25">
      <c r="A705" s="66">
        <v>44823</v>
      </c>
      <c r="B705" s="67" t="s">
        <v>43</v>
      </c>
      <c r="C705" s="129" t="str">
        <f t="shared" si="20"/>
        <v>19.09.2022_HAAob</v>
      </c>
      <c r="D705" s="143">
        <f t="shared" si="21"/>
        <v>0</v>
      </c>
      <c r="E705" s="157">
        <v>8.16</v>
      </c>
      <c r="F705" s="165"/>
      <c r="G705" s="166">
        <v>1089</v>
      </c>
      <c r="H705" s="167">
        <v>10.3</v>
      </c>
      <c r="I705" s="165"/>
      <c r="J705" s="167"/>
      <c r="K705" s="167">
        <v>14.4</v>
      </c>
      <c r="L705" s="167">
        <v>3.5</v>
      </c>
      <c r="M705" s="168">
        <v>0.593055555555556</v>
      </c>
      <c r="N705" s="67"/>
    </row>
    <row r="706" spans="1:14" x14ac:dyDescent="0.25">
      <c r="A706" s="66">
        <v>44823</v>
      </c>
      <c r="B706" s="67" t="s">
        <v>45</v>
      </c>
      <c r="C706" s="129" t="str">
        <f t="shared" si="20"/>
        <v>19.09.2022_HAAun</v>
      </c>
      <c r="D706" s="143">
        <f t="shared" si="21"/>
        <v>0</v>
      </c>
      <c r="E706" s="157">
        <v>8.32</v>
      </c>
      <c r="F706" s="165"/>
      <c r="G706" s="166">
        <v>1315</v>
      </c>
      <c r="H706" s="167">
        <v>10.3</v>
      </c>
      <c r="I706" s="165"/>
      <c r="J706" s="167"/>
      <c r="K706" s="167">
        <v>13.6</v>
      </c>
      <c r="L706" s="167">
        <v>10.5</v>
      </c>
      <c r="M706" s="168">
        <v>0.58333333333333304</v>
      </c>
      <c r="N706" s="67"/>
    </row>
    <row r="707" spans="1:14" x14ac:dyDescent="0.25">
      <c r="A707" s="66">
        <v>44823</v>
      </c>
      <c r="B707" s="67" t="s">
        <v>47</v>
      </c>
      <c r="C707" s="129" t="str">
        <f t="shared" si="20"/>
        <v>19.09.2022_KIRob</v>
      </c>
      <c r="D707" s="143">
        <f t="shared" si="21"/>
        <v>0</v>
      </c>
      <c r="E707" s="157">
        <v>8.14</v>
      </c>
      <c r="F707" s="165"/>
      <c r="G707" s="166">
        <v>1042</v>
      </c>
      <c r="H707" s="167">
        <v>10.199999999999999</v>
      </c>
      <c r="I707" s="165"/>
      <c r="J707" s="167"/>
      <c r="K707" s="167">
        <v>12.2</v>
      </c>
      <c r="L707" s="167">
        <v>5</v>
      </c>
      <c r="M707" s="168">
        <v>0.41736111111111102</v>
      </c>
      <c r="N707" s="67"/>
    </row>
    <row r="708" spans="1:14" x14ac:dyDescent="0.25">
      <c r="A708" s="66">
        <v>44823</v>
      </c>
      <c r="B708" s="67" t="s">
        <v>49</v>
      </c>
      <c r="C708" s="129" t="str">
        <f t="shared" ref="C708:C770" si="22">CONCATENATE(TEXT(A708,"TT.MM.JJJJ"),"_",B708)</f>
        <v>19.09.2022_KIRun</v>
      </c>
      <c r="D708" s="143">
        <f t="shared" si="21"/>
        <v>0</v>
      </c>
      <c r="E708" s="157">
        <v>8.31</v>
      </c>
      <c r="F708" s="165"/>
      <c r="G708" s="166">
        <v>942</v>
      </c>
      <c r="H708" s="167">
        <v>10.7</v>
      </c>
      <c r="I708" s="165"/>
      <c r="J708" s="167"/>
      <c r="K708" s="167">
        <v>12</v>
      </c>
      <c r="L708" s="167">
        <v>10</v>
      </c>
      <c r="M708" s="168">
        <v>0.40833333333333299</v>
      </c>
      <c r="N708" s="67"/>
    </row>
    <row r="709" spans="1:14" x14ac:dyDescent="0.25">
      <c r="A709" s="66">
        <v>44823</v>
      </c>
      <c r="B709" s="67" t="s">
        <v>50</v>
      </c>
      <c r="C709" s="129" t="str">
        <f t="shared" si="22"/>
        <v>19.09.2022_LIEohBo</v>
      </c>
      <c r="D709" s="143">
        <f t="shared" ref="D709:D771" si="23">COUNTBLANK(E709)+COUNTBLANK(G709:H709)+COUNTBLANK(K709:L709)</f>
        <v>0</v>
      </c>
      <c r="E709" s="157">
        <v>8.07</v>
      </c>
      <c r="F709" s="165"/>
      <c r="G709" s="166">
        <v>481</v>
      </c>
      <c r="H709" s="167">
        <v>7.8</v>
      </c>
      <c r="I709" s="165"/>
      <c r="J709" s="167"/>
      <c r="K709" s="167">
        <v>11.6</v>
      </c>
      <c r="L709" s="167">
        <v>8</v>
      </c>
      <c r="M709" s="168">
        <v>0.37847222222222199</v>
      </c>
      <c r="N709" s="67"/>
    </row>
    <row r="710" spans="1:14" x14ac:dyDescent="0.25">
      <c r="A710" s="66">
        <v>44823</v>
      </c>
      <c r="B710" s="67" t="s">
        <v>53</v>
      </c>
      <c r="C710" s="129" t="str">
        <f t="shared" si="22"/>
        <v>19.09.2022_NATohBo</v>
      </c>
      <c r="D710" s="143">
        <f t="shared" si="23"/>
        <v>0</v>
      </c>
      <c r="E710" s="157">
        <v>7.76</v>
      </c>
      <c r="F710" s="165"/>
      <c r="G710" s="166">
        <v>975</v>
      </c>
      <c r="H710" s="167">
        <v>10.199999999999999</v>
      </c>
      <c r="I710" s="165"/>
      <c r="J710" s="167"/>
      <c r="K710" s="167">
        <v>13.9</v>
      </c>
      <c r="L710" s="167">
        <v>10</v>
      </c>
      <c r="M710" s="168">
        <v>0.61805555555555602</v>
      </c>
      <c r="N710" s="67"/>
    </row>
    <row r="711" spans="1:14" x14ac:dyDescent="0.25">
      <c r="A711" s="66">
        <v>44823</v>
      </c>
      <c r="B711" s="67" t="s">
        <v>55</v>
      </c>
      <c r="C711" s="129" t="str">
        <f t="shared" si="22"/>
        <v>19.09.2022_QUAohBo</v>
      </c>
      <c r="D711" s="143">
        <f t="shared" si="23"/>
        <v>5</v>
      </c>
      <c r="E711" s="205"/>
      <c r="F711" s="165"/>
      <c r="G711" s="166"/>
      <c r="H711" s="167"/>
      <c r="I711" s="165"/>
      <c r="J711" s="167"/>
      <c r="K711" s="167"/>
      <c r="L711" s="167"/>
      <c r="M711" s="168"/>
      <c r="N711" s="67" t="s">
        <v>378</v>
      </c>
    </row>
    <row r="712" spans="1:14" x14ac:dyDescent="0.25">
      <c r="A712" s="66">
        <v>44823</v>
      </c>
      <c r="B712" s="67" t="s">
        <v>57</v>
      </c>
      <c r="C712" s="129" t="str">
        <f t="shared" si="22"/>
        <v>19.09.2022_SCHohVo</v>
      </c>
      <c r="D712" s="143">
        <f t="shared" si="23"/>
        <v>0</v>
      </c>
      <c r="E712" s="157">
        <v>8.2899999999999991</v>
      </c>
      <c r="F712" s="165"/>
      <c r="G712" s="166">
        <v>521</v>
      </c>
      <c r="H712" s="167">
        <v>10.6</v>
      </c>
      <c r="I712" s="165"/>
      <c r="J712" s="167"/>
      <c r="K712" s="167">
        <v>11.8</v>
      </c>
      <c r="L712" s="167">
        <v>3.5</v>
      </c>
      <c r="M712" s="168">
        <v>0.43194444444444402</v>
      </c>
      <c r="N712" s="67"/>
    </row>
    <row r="713" spans="1:14" x14ac:dyDescent="0.25">
      <c r="A713" s="66">
        <v>44823</v>
      </c>
      <c r="B713" s="67" t="s">
        <v>60</v>
      </c>
      <c r="C713" s="129" t="str">
        <f t="shared" si="22"/>
        <v>19.09.2022_VORohBo</v>
      </c>
      <c r="D713" s="143">
        <f t="shared" si="23"/>
        <v>0</v>
      </c>
      <c r="E713" s="157">
        <v>7.79</v>
      </c>
      <c r="F713" s="165"/>
      <c r="G713" s="166">
        <v>918</v>
      </c>
      <c r="H713" s="167">
        <v>9</v>
      </c>
      <c r="I713" s="165"/>
      <c r="J713" s="167"/>
      <c r="K713" s="167">
        <v>12.3</v>
      </c>
      <c r="L713" s="167">
        <v>8.5</v>
      </c>
      <c r="M713" s="168">
        <v>0.46875</v>
      </c>
      <c r="N713" s="67"/>
    </row>
    <row r="714" spans="1:14" x14ac:dyDescent="0.25">
      <c r="A714" s="66">
        <v>44823</v>
      </c>
      <c r="B714" s="67" t="s">
        <v>62</v>
      </c>
      <c r="C714" s="129" t="str">
        <f t="shared" si="22"/>
        <v>19.09.2022_VORuhSc</v>
      </c>
      <c r="D714" s="143">
        <f t="shared" si="23"/>
        <v>0</v>
      </c>
      <c r="E714" s="157">
        <v>7.36</v>
      </c>
      <c r="F714" s="165"/>
      <c r="G714" s="166">
        <v>908</v>
      </c>
      <c r="H714" s="167">
        <v>8.6999999999999993</v>
      </c>
      <c r="I714" s="165"/>
      <c r="J714" s="167"/>
      <c r="K714" s="167">
        <v>12.4</v>
      </c>
      <c r="L714" s="167">
        <v>10.5</v>
      </c>
      <c r="M714" s="168">
        <v>0.45138888888888901</v>
      </c>
      <c r="N714" s="67"/>
    </row>
    <row r="715" spans="1:14" x14ac:dyDescent="0.25">
      <c r="A715" s="66">
        <v>44823</v>
      </c>
      <c r="B715" s="67" t="s">
        <v>64</v>
      </c>
      <c r="C715" s="129" t="str">
        <f t="shared" si="22"/>
        <v>19.09.2022_WITob</v>
      </c>
      <c r="D715" s="143">
        <f t="shared" si="23"/>
        <v>0</v>
      </c>
      <c r="E715" s="157">
        <v>8.6300000000000008</v>
      </c>
      <c r="F715" s="165"/>
      <c r="G715" s="166">
        <v>1080</v>
      </c>
      <c r="H715" s="167">
        <v>10.8</v>
      </c>
      <c r="I715" s="165"/>
      <c r="J715" s="167"/>
      <c r="K715" s="167">
        <v>13.9</v>
      </c>
      <c r="L715" s="167">
        <v>1.5</v>
      </c>
      <c r="M715" s="168">
        <v>0.61111111111111105</v>
      </c>
      <c r="N715" s="67"/>
    </row>
    <row r="716" spans="1:14" x14ac:dyDescent="0.25">
      <c r="A716" s="66">
        <v>44841</v>
      </c>
      <c r="B716" s="67" t="s">
        <v>22</v>
      </c>
      <c r="C716" s="129" t="str">
        <f t="shared" si="22"/>
        <v>07.10.2022_BOYkl</v>
      </c>
      <c r="D716" s="143">
        <f t="shared" si="23"/>
        <v>5</v>
      </c>
      <c r="E716" s="157"/>
      <c r="F716" s="165"/>
      <c r="G716" s="166"/>
      <c r="H716" s="167"/>
      <c r="I716" s="165"/>
      <c r="J716" s="167"/>
      <c r="K716" s="167"/>
      <c r="L716" s="167"/>
      <c r="M716" s="168"/>
      <c r="N716" s="67" t="s">
        <v>341</v>
      </c>
    </row>
    <row r="717" spans="1:14" x14ac:dyDescent="0.25">
      <c r="A717" s="66">
        <v>44841</v>
      </c>
      <c r="B717" s="67" t="s">
        <v>25</v>
      </c>
      <c r="C717" s="129" t="str">
        <f t="shared" si="22"/>
        <v>07.10.2022_BOYohB224</v>
      </c>
      <c r="D717" s="143">
        <f t="shared" si="23"/>
        <v>0</v>
      </c>
      <c r="E717" s="157">
        <v>8.24</v>
      </c>
      <c r="F717" s="165"/>
      <c r="G717" s="166">
        <v>1030</v>
      </c>
      <c r="H717" s="167">
        <v>11.1</v>
      </c>
      <c r="I717" s="165"/>
      <c r="J717" s="167"/>
      <c r="K717" s="167">
        <v>14.5</v>
      </c>
      <c r="L717" s="167">
        <v>18.100000000000001</v>
      </c>
      <c r="M717" s="168">
        <v>0.60555555555555596</v>
      </c>
      <c r="N717" s="67"/>
    </row>
    <row r="718" spans="1:14" x14ac:dyDescent="0.25">
      <c r="A718" s="66">
        <v>44841</v>
      </c>
      <c r="B718" s="67" t="s">
        <v>28</v>
      </c>
      <c r="C718" s="129" t="str">
        <f t="shared" si="22"/>
        <v>07.10.2022_BOYohBr</v>
      </c>
      <c r="D718" s="143">
        <f t="shared" si="23"/>
        <v>0</v>
      </c>
      <c r="E718" s="157">
        <v>8.07</v>
      </c>
      <c r="F718" s="165"/>
      <c r="G718" s="166">
        <v>541</v>
      </c>
      <c r="H718" s="167">
        <v>9</v>
      </c>
      <c r="I718" s="165"/>
      <c r="J718" s="167"/>
      <c r="K718" s="167">
        <v>11.8</v>
      </c>
      <c r="L718" s="167">
        <v>17.8</v>
      </c>
      <c r="M718" s="168">
        <v>0.51041666666666696</v>
      </c>
      <c r="N718" s="67"/>
    </row>
    <row r="719" spans="1:14" x14ac:dyDescent="0.25">
      <c r="A719" s="66">
        <v>44841</v>
      </c>
      <c r="B719" s="67" t="s">
        <v>30</v>
      </c>
      <c r="C719" s="129" t="str">
        <f t="shared" si="22"/>
        <v>07.10.2022_BOYohKi</v>
      </c>
      <c r="D719" s="143">
        <f t="shared" si="23"/>
        <v>0</v>
      </c>
      <c r="E719" s="157">
        <v>7.56</v>
      </c>
      <c r="F719" s="165"/>
      <c r="G719" s="166">
        <v>864</v>
      </c>
      <c r="H719" s="167">
        <v>9.4</v>
      </c>
      <c r="I719" s="165"/>
      <c r="J719" s="167"/>
      <c r="K719" s="167">
        <v>9.4</v>
      </c>
      <c r="L719" s="167">
        <v>27.6</v>
      </c>
      <c r="M719" s="168">
        <v>0.38888888888888901</v>
      </c>
      <c r="N719" s="67"/>
    </row>
    <row r="720" spans="1:14" x14ac:dyDescent="0.25">
      <c r="A720" s="66">
        <v>44841</v>
      </c>
      <c r="B720" s="67" t="s">
        <v>32</v>
      </c>
      <c r="C720" s="129" t="str">
        <f t="shared" si="22"/>
        <v>07.10.2022_BOYohSp</v>
      </c>
      <c r="D720" s="143">
        <f t="shared" si="23"/>
        <v>0</v>
      </c>
      <c r="E720" s="157">
        <v>7.8</v>
      </c>
      <c r="F720" s="165"/>
      <c r="G720" s="166">
        <v>602</v>
      </c>
      <c r="H720" s="167">
        <v>9.4</v>
      </c>
      <c r="I720" s="165"/>
      <c r="J720" s="167"/>
      <c r="K720" s="167">
        <v>11.6</v>
      </c>
      <c r="L720" s="167">
        <v>13.9</v>
      </c>
      <c r="M720" s="168">
        <v>0.53263888888888899</v>
      </c>
      <c r="N720" s="67"/>
    </row>
    <row r="721" spans="1:14" x14ac:dyDescent="0.25">
      <c r="A721" s="66">
        <v>44841</v>
      </c>
      <c r="B721" s="67" t="s">
        <v>36</v>
      </c>
      <c r="C721" s="129" t="str">
        <f t="shared" si="22"/>
        <v>07.10.2022_BOYuhSp</v>
      </c>
      <c r="D721" s="143">
        <f t="shared" si="23"/>
        <v>0</v>
      </c>
      <c r="E721" s="157">
        <v>7.94</v>
      </c>
      <c r="F721" s="165"/>
      <c r="G721" s="166">
        <v>611</v>
      </c>
      <c r="H721" s="167">
        <v>8.4</v>
      </c>
      <c r="I721" s="165"/>
      <c r="J721" s="167"/>
      <c r="K721" s="167">
        <v>11.5</v>
      </c>
      <c r="L721" s="167">
        <v>20.100000000000001</v>
      </c>
      <c r="M721" s="168">
        <v>0.52500000000000002</v>
      </c>
      <c r="N721" s="67" t="s">
        <v>130</v>
      </c>
    </row>
    <row r="722" spans="1:14" x14ac:dyDescent="0.25">
      <c r="A722" s="66">
        <v>44841</v>
      </c>
      <c r="B722" s="67" t="s">
        <v>38</v>
      </c>
      <c r="C722" s="129" t="str">
        <f t="shared" si="22"/>
        <v>07.10.2022_BRAob</v>
      </c>
      <c r="D722" s="143">
        <f t="shared" si="23"/>
        <v>0</v>
      </c>
      <c r="E722" s="157">
        <v>7.74</v>
      </c>
      <c r="F722" s="165"/>
      <c r="G722" s="166">
        <v>822</v>
      </c>
      <c r="H722" s="167">
        <v>8.6999999999999993</v>
      </c>
      <c r="I722" s="165"/>
      <c r="J722" s="167"/>
      <c r="K722" s="167">
        <v>10.3</v>
      </c>
      <c r="L722" s="167">
        <v>2.9</v>
      </c>
      <c r="M722" s="168">
        <v>0.47083333333333299</v>
      </c>
      <c r="N722" s="67"/>
    </row>
    <row r="723" spans="1:14" x14ac:dyDescent="0.25">
      <c r="A723" s="66">
        <v>44841</v>
      </c>
      <c r="B723" s="67" t="s">
        <v>41</v>
      </c>
      <c r="C723" s="129" t="str">
        <f t="shared" si="22"/>
        <v>07.10.2022_BRAohBo</v>
      </c>
      <c r="D723" s="143">
        <f t="shared" si="23"/>
        <v>0</v>
      </c>
      <c r="E723" s="157">
        <v>8.1300000000000008</v>
      </c>
      <c r="F723" s="165"/>
      <c r="G723" s="166">
        <v>870</v>
      </c>
      <c r="H723" s="167">
        <v>11.4</v>
      </c>
      <c r="I723" s="165"/>
      <c r="J723" s="167"/>
      <c r="K723" s="167">
        <v>9.5</v>
      </c>
      <c r="L723" s="167">
        <v>13.1</v>
      </c>
      <c r="M723" s="168">
        <v>0.48194444444444401</v>
      </c>
      <c r="N723" s="67"/>
    </row>
    <row r="724" spans="1:14" x14ac:dyDescent="0.25">
      <c r="A724" s="66">
        <v>44841</v>
      </c>
      <c r="B724" s="67" t="s">
        <v>43</v>
      </c>
      <c r="C724" s="129" t="str">
        <f t="shared" si="22"/>
        <v>07.10.2022_HAAob</v>
      </c>
      <c r="D724" s="143">
        <f t="shared" si="23"/>
        <v>0</v>
      </c>
      <c r="E724" s="157">
        <v>8.08</v>
      </c>
      <c r="F724" s="165"/>
      <c r="G724" s="166">
        <v>1064</v>
      </c>
      <c r="H724" s="167">
        <v>8.9</v>
      </c>
      <c r="I724" s="165"/>
      <c r="J724" s="167"/>
      <c r="K724" s="167">
        <v>13</v>
      </c>
      <c r="L724" s="167">
        <v>4.5</v>
      </c>
      <c r="M724" s="168">
        <v>0.5625</v>
      </c>
      <c r="N724" s="67" t="s">
        <v>260</v>
      </c>
    </row>
    <row r="725" spans="1:14" x14ac:dyDescent="0.25">
      <c r="A725" s="66">
        <v>44841</v>
      </c>
      <c r="B725" s="67" t="s">
        <v>45</v>
      </c>
      <c r="C725" s="129" t="str">
        <f t="shared" si="22"/>
        <v>07.10.2022_HAAun</v>
      </c>
      <c r="D725" s="143">
        <f t="shared" si="23"/>
        <v>0</v>
      </c>
      <c r="E725" s="157">
        <v>8.14</v>
      </c>
      <c r="F725" s="165"/>
      <c r="G725" s="166">
        <v>1292</v>
      </c>
      <c r="H725" s="167">
        <v>8.9</v>
      </c>
      <c r="I725" s="165"/>
      <c r="J725" s="167"/>
      <c r="K725" s="167">
        <v>12.3</v>
      </c>
      <c r="L725" s="167">
        <v>8.4</v>
      </c>
      <c r="M725" s="168">
        <v>0.55208333333333304</v>
      </c>
      <c r="N725" s="67"/>
    </row>
    <row r="726" spans="1:14" x14ac:dyDescent="0.25">
      <c r="A726" s="66">
        <v>44841</v>
      </c>
      <c r="B726" s="67" t="s">
        <v>47</v>
      </c>
      <c r="C726" s="129" t="str">
        <f t="shared" si="22"/>
        <v>07.10.2022_KIRob</v>
      </c>
      <c r="D726" s="143">
        <f t="shared" si="23"/>
        <v>0</v>
      </c>
      <c r="E726" s="157">
        <v>7.9</v>
      </c>
      <c r="F726" s="165"/>
      <c r="G726" s="166">
        <v>1116</v>
      </c>
      <c r="H726" s="167">
        <v>9.1999999999999993</v>
      </c>
      <c r="I726" s="165"/>
      <c r="J726" s="167"/>
      <c r="K726" s="167">
        <v>10.6</v>
      </c>
      <c r="L726" s="167">
        <v>10.3</v>
      </c>
      <c r="M726" s="168">
        <v>0.40972222222222199</v>
      </c>
      <c r="N726" s="67" t="s">
        <v>261</v>
      </c>
    </row>
    <row r="727" spans="1:14" x14ac:dyDescent="0.25">
      <c r="A727" s="66">
        <v>44841</v>
      </c>
      <c r="B727" s="67" t="s">
        <v>49</v>
      </c>
      <c r="C727" s="129" t="str">
        <f t="shared" si="22"/>
        <v>07.10.2022_KIRun</v>
      </c>
      <c r="D727" s="143">
        <f t="shared" si="23"/>
        <v>0</v>
      </c>
      <c r="E727" s="157">
        <v>7.98</v>
      </c>
      <c r="F727" s="165"/>
      <c r="G727" s="166">
        <v>1005</v>
      </c>
      <c r="H727" s="167">
        <v>9.6</v>
      </c>
      <c r="I727" s="165"/>
      <c r="J727" s="167"/>
      <c r="K727" s="167">
        <v>10.8</v>
      </c>
      <c r="L727" s="167">
        <v>12.3</v>
      </c>
      <c r="M727" s="168">
        <v>0.4</v>
      </c>
      <c r="N727" s="67"/>
    </row>
    <row r="728" spans="1:14" x14ac:dyDescent="0.25">
      <c r="A728" s="66">
        <v>44841</v>
      </c>
      <c r="B728" s="67" t="s">
        <v>50</v>
      </c>
      <c r="C728" s="129" t="str">
        <f t="shared" si="22"/>
        <v>07.10.2022_LIEohBo</v>
      </c>
      <c r="D728" s="143">
        <f t="shared" si="23"/>
        <v>0</v>
      </c>
      <c r="E728" s="157">
        <v>7.06</v>
      </c>
      <c r="F728" s="165"/>
      <c r="G728" s="166">
        <v>673</v>
      </c>
      <c r="H728" s="167">
        <v>8</v>
      </c>
      <c r="I728" s="165"/>
      <c r="J728" s="167"/>
      <c r="K728" s="167">
        <v>10</v>
      </c>
      <c r="L728" s="167">
        <v>13.1</v>
      </c>
      <c r="M728" s="168">
        <v>0.375</v>
      </c>
      <c r="N728" s="67" t="s">
        <v>131</v>
      </c>
    </row>
    <row r="729" spans="1:14" x14ac:dyDescent="0.25">
      <c r="A729" s="66">
        <v>44841</v>
      </c>
      <c r="B729" s="67" t="s">
        <v>53</v>
      </c>
      <c r="C729" s="129" t="str">
        <f t="shared" si="22"/>
        <v>07.10.2022_NATohBo</v>
      </c>
      <c r="D729" s="143">
        <f t="shared" si="23"/>
        <v>0</v>
      </c>
      <c r="E729" s="157">
        <v>7.47</v>
      </c>
      <c r="F729" s="165"/>
      <c r="G729" s="166">
        <v>1923</v>
      </c>
      <c r="H729" s="167">
        <v>9.6999999999999993</v>
      </c>
      <c r="I729" s="165"/>
      <c r="J729" s="167"/>
      <c r="K729" s="167">
        <v>11.4</v>
      </c>
      <c r="L729" s="167">
        <v>7.3</v>
      </c>
      <c r="M729" s="168">
        <v>0.59027777777777801</v>
      </c>
      <c r="N729" s="67"/>
    </row>
    <row r="730" spans="1:14" x14ac:dyDescent="0.25">
      <c r="A730" s="66">
        <v>44841</v>
      </c>
      <c r="B730" s="67" t="s">
        <v>55</v>
      </c>
      <c r="C730" s="129" t="str">
        <f t="shared" si="22"/>
        <v>07.10.2022_QUAohBo</v>
      </c>
      <c r="D730" s="143">
        <f t="shared" si="23"/>
        <v>5</v>
      </c>
      <c r="E730" s="157"/>
      <c r="F730" s="165"/>
      <c r="G730" s="166"/>
      <c r="H730" s="167"/>
      <c r="I730" s="165"/>
      <c r="J730" s="167"/>
      <c r="K730" s="167"/>
      <c r="L730" s="167"/>
      <c r="M730" s="168"/>
      <c r="N730" s="67" t="s">
        <v>379</v>
      </c>
    </row>
    <row r="731" spans="1:14" x14ac:dyDescent="0.25">
      <c r="A731" s="66">
        <v>44841</v>
      </c>
      <c r="B731" s="67" t="s">
        <v>57</v>
      </c>
      <c r="C731" s="129" t="str">
        <f t="shared" si="22"/>
        <v>07.10.2022_SCHohVo</v>
      </c>
      <c r="D731" s="143">
        <f t="shared" si="23"/>
        <v>5</v>
      </c>
      <c r="E731" s="157"/>
      <c r="F731" s="165"/>
      <c r="G731" s="166"/>
      <c r="H731" s="167"/>
      <c r="I731" s="165"/>
      <c r="J731" s="167"/>
      <c r="K731" s="167"/>
      <c r="L731" s="167"/>
      <c r="M731" s="168"/>
      <c r="N731" s="67" t="s">
        <v>341</v>
      </c>
    </row>
    <row r="732" spans="1:14" x14ac:dyDescent="0.25">
      <c r="A732" s="66">
        <v>44841</v>
      </c>
      <c r="B732" s="67" t="s">
        <v>60</v>
      </c>
      <c r="C732" s="129" t="str">
        <f t="shared" si="22"/>
        <v>07.10.2022_VORohBo</v>
      </c>
      <c r="D732" s="143">
        <f t="shared" si="23"/>
        <v>0</v>
      </c>
      <c r="E732" s="157">
        <v>7.51</v>
      </c>
      <c r="F732" s="165"/>
      <c r="G732" s="166">
        <v>1095</v>
      </c>
      <c r="H732" s="167">
        <v>7.5</v>
      </c>
      <c r="I732" s="165"/>
      <c r="J732" s="167"/>
      <c r="K732" s="167">
        <v>10.4</v>
      </c>
      <c r="L732" s="167">
        <v>9.5</v>
      </c>
      <c r="M732" s="168">
        <v>0.44444444444444398</v>
      </c>
      <c r="N732" s="67"/>
    </row>
    <row r="733" spans="1:14" x14ac:dyDescent="0.25">
      <c r="A733" s="66">
        <v>44841</v>
      </c>
      <c r="B733" s="67" t="s">
        <v>62</v>
      </c>
      <c r="C733" s="129" t="str">
        <f t="shared" si="22"/>
        <v>07.10.2022_VORuhSc</v>
      </c>
      <c r="D733" s="143">
        <f t="shared" si="23"/>
        <v>0</v>
      </c>
      <c r="E733" s="157">
        <v>7.33</v>
      </c>
      <c r="F733" s="165"/>
      <c r="G733" s="166">
        <v>1132</v>
      </c>
      <c r="H733" s="167">
        <v>7.6</v>
      </c>
      <c r="I733" s="165"/>
      <c r="J733" s="167"/>
      <c r="K733" s="167">
        <v>11.4</v>
      </c>
      <c r="L733" s="167">
        <v>6.8</v>
      </c>
      <c r="M733" s="168">
        <v>0.43125000000000002</v>
      </c>
      <c r="N733" s="67"/>
    </row>
    <row r="734" spans="1:14" x14ac:dyDescent="0.25">
      <c r="A734" s="66">
        <v>44841</v>
      </c>
      <c r="B734" s="67" t="s">
        <v>64</v>
      </c>
      <c r="C734" s="129" t="str">
        <f t="shared" si="22"/>
        <v>07.10.2022_WITob</v>
      </c>
      <c r="D734" s="143">
        <f t="shared" si="23"/>
        <v>0</v>
      </c>
      <c r="E734" s="157">
        <v>8.2100000000000009</v>
      </c>
      <c r="F734" s="165"/>
      <c r="G734" s="166">
        <v>1185</v>
      </c>
      <c r="H734" s="167">
        <v>8.6999999999999993</v>
      </c>
      <c r="I734" s="165"/>
      <c r="J734" s="167"/>
      <c r="K734" s="167">
        <v>12.9</v>
      </c>
      <c r="L734" s="167">
        <v>3.2</v>
      </c>
      <c r="M734" s="168">
        <v>0.57638888888888895</v>
      </c>
      <c r="N734" s="67"/>
    </row>
    <row r="735" spans="1:14" x14ac:dyDescent="0.25">
      <c r="A735" s="66">
        <v>44855</v>
      </c>
      <c r="B735" s="67" t="s">
        <v>22</v>
      </c>
      <c r="C735" s="129" t="str">
        <f t="shared" si="22"/>
        <v>21.10.2022_BOYkl</v>
      </c>
      <c r="D735" s="143">
        <f t="shared" si="23"/>
        <v>5</v>
      </c>
      <c r="E735" s="157"/>
      <c r="F735" s="165"/>
      <c r="G735" s="166"/>
      <c r="H735" s="167"/>
      <c r="I735" s="165"/>
      <c r="J735" s="167"/>
      <c r="K735" s="167"/>
      <c r="L735" s="167"/>
      <c r="M735" s="168"/>
      <c r="N735" s="67" t="s">
        <v>341</v>
      </c>
    </row>
    <row r="736" spans="1:14" x14ac:dyDescent="0.25">
      <c r="A736" s="66">
        <v>44855</v>
      </c>
      <c r="B736" s="67" t="s">
        <v>25</v>
      </c>
      <c r="C736" s="129" t="str">
        <f t="shared" si="22"/>
        <v>21.10.2022_BOYohB224</v>
      </c>
      <c r="D736" s="143">
        <f t="shared" si="23"/>
        <v>0</v>
      </c>
      <c r="E736" s="157">
        <v>8.34</v>
      </c>
      <c r="F736" s="165"/>
      <c r="G736" s="166">
        <v>944</v>
      </c>
      <c r="H736" s="167">
        <v>10.4</v>
      </c>
      <c r="I736" s="165"/>
      <c r="J736" s="167"/>
      <c r="K736" s="167">
        <v>13.6</v>
      </c>
      <c r="L736" s="167">
        <v>24</v>
      </c>
      <c r="M736" s="168">
        <v>0.60763888888888895</v>
      </c>
      <c r="N736" s="67"/>
    </row>
    <row r="737" spans="1:14" x14ac:dyDescent="0.25">
      <c r="A737" s="66">
        <v>44855</v>
      </c>
      <c r="B737" s="67" t="s">
        <v>28</v>
      </c>
      <c r="C737" s="129" t="str">
        <f t="shared" si="22"/>
        <v>21.10.2022_BOYohBr</v>
      </c>
      <c r="D737" s="143">
        <f t="shared" si="23"/>
        <v>0</v>
      </c>
      <c r="E737" s="157">
        <v>7.94</v>
      </c>
      <c r="F737" s="165"/>
      <c r="G737" s="166">
        <v>720</v>
      </c>
      <c r="H737" s="167">
        <v>6.6</v>
      </c>
      <c r="I737" s="165"/>
      <c r="J737" s="167"/>
      <c r="K737" s="167">
        <v>11.7</v>
      </c>
      <c r="L737" s="167">
        <v>22.8</v>
      </c>
      <c r="M737" s="168">
        <v>0.50694444444444398</v>
      </c>
      <c r="N737" s="67"/>
    </row>
    <row r="738" spans="1:14" x14ac:dyDescent="0.25">
      <c r="A738" s="66">
        <v>44855</v>
      </c>
      <c r="B738" s="67" t="s">
        <v>30</v>
      </c>
      <c r="C738" s="129" t="str">
        <f t="shared" si="22"/>
        <v>21.10.2022_BOYohKi</v>
      </c>
      <c r="D738" s="143">
        <f t="shared" si="23"/>
        <v>0</v>
      </c>
      <c r="E738" s="157">
        <v>7.92</v>
      </c>
      <c r="F738" s="165"/>
      <c r="G738" s="166">
        <v>873</v>
      </c>
      <c r="H738" s="167">
        <v>7.6</v>
      </c>
      <c r="I738" s="165"/>
      <c r="J738" s="167"/>
      <c r="K738" s="167">
        <v>11.2</v>
      </c>
      <c r="L738" s="167">
        <v>28.1</v>
      </c>
      <c r="M738" s="168">
        <v>0.389583333333333</v>
      </c>
      <c r="N738" s="67"/>
    </row>
    <row r="739" spans="1:14" x14ac:dyDescent="0.25">
      <c r="A739" s="66">
        <v>44855</v>
      </c>
      <c r="B739" s="67" t="s">
        <v>32</v>
      </c>
      <c r="C739" s="129" t="str">
        <f t="shared" si="22"/>
        <v>21.10.2022_BOYohSp</v>
      </c>
      <c r="D739" s="143">
        <f t="shared" si="23"/>
        <v>0</v>
      </c>
      <c r="E739" s="157">
        <v>8.11</v>
      </c>
      <c r="F739" s="165"/>
      <c r="G739" s="166">
        <v>592</v>
      </c>
      <c r="H739" s="167">
        <v>6.5</v>
      </c>
      <c r="I739" s="165"/>
      <c r="J739" s="167"/>
      <c r="K739" s="167">
        <v>12.2</v>
      </c>
      <c r="L739" s="167">
        <v>27.5</v>
      </c>
      <c r="M739" s="168">
        <v>0.530555555555556</v>
      </c>
      <c r="N739" s="175" t="s">
        <v>132</v>
      </c>
    </row>
    <row r="740" spans="1:14" x14ac:dyDescent="0.25">
      <c r="A740" s="66">
        <v>44855</v>
      </c>
      <c r="B740" s="67" t="s">
        <v>34</v>
      </c>
      <c r="C740" s="129" t="str">
        <f t="shared" si="22"/>
        <v>21.10.2022_BOYuhHa</v>
      </c>
      <c r="D740" s="143">
        <f t="shared" si="23"/>
        <v>1</v>
      </c>
      <c r="E740" s="157">
        <v>8.59</v>
      </c>
      <c r="F740" s="165"/>
      <c r="G740" s="166">
        <v>1024</v>
      </c>
      <c r="H740" s="167">
        <v>12.3</v>
      </c>
      <c r="I740" s="165"/>
      <c r="J740" s="167"/>
      <c r="K740" s="167">
        <v>13.3</v>
      </c>
      <c r="L740" s="167"/>
      <c r="M740" s="168">
        <v>0.62361111111111101</v>
      </c>
      <c r="N740" s="67"/>
    </row>
    <row r="741" spans="1:14" x14ac:dyDescent="0.25">
      <c r="A741" s="66">
        <v>44855</v>
      </c>
      <c r="B741" s="67" t="s">
        <v>36</v>
      </c>
      <c r="C741" s="129" t="str">
        <f t="shared" si="22"/>
        <v>21.10.2022_BOYuhSp</v>
      </c>
      <c r="D741" s="143">
        <f t="shared" si="23"/>
        <v>0</v>
      </c>
      <c r="E741" s="157">
        <v>8.0399999999999991</v>
      </c>
      <c r="F741" s="165"/>
      <c r="G741" s="166">
        <v>602</v>
      </c>
      <c r="H741" s="167">
        <v>6.8</v>
      </c>
      <c r="I741" s="165"/>
      <c r="J741" s="167"/>
      <c r="K741" s="167">
        <v>12.2</v>
      </c>
      <c r="L741" s="167">
        <v>21.8</v>
      </c>
      <c r="M741" s="168">
        <v>0.52361111111111103</v>
      </c>
      <c r="N741" s="67"/>
    </row>
    <row r="742" spans="1:14" x14ac:dyDescent="0.25">
      <c r="A742" s="66">
        <v>44855</v>
      </c>
      <c r="B742" s="67" t="s">
        <v>38</v>
      </c>
      <c r="C742" s="129" t="str">
        <f t="shared" si="22"/>
        <v>21.10.2022_BRAob</v>
      </c>
      <c r="D742" s="143">
        <f t="shared" si="23"/>
        <v>0</v>
      </c>
      <c r="E742" s="157">
        <v>7.86</v>
      </c>
      <c r="F742" s="165"/>
      <c r="G742" s="166">
        <v>827</v>
      </c>
      <c r="H742" s="167">
        <v>6.4</v>
      </c>
      <c r="I742" s="165"/>
      <c r="J742" s="167"/>
      <c r="K742" s="167">
        <v>12</v>
      </c>
      <c r="L742" s="167">
        <v>8.3000000000000007</v>
      </c>
      <c r="M742" s="168">
        <v>0.468055555555556</v>
      </c>
      <c r="N742" s="67"/>
    </row>
    <row r="743" spans="1:14" x14ac:dyDescent="0.25">
      <c r="A743" s="66">
        <v>44855</v>
      </c>
      <c r="B743" s="67" t="s">
        <v>41</v>
      </c>
      <c r="C743" s="129" t="str">
        <f t="shared" si="22"/>
        <v>21.10.2022_BRAohBo</v>
      </c>
      <c r="D743" s="143">
        <f t="shared" si="23"/>
        <v>0</v>
      </c>
      <c r="E743" s="157">
        <v>8.18</v>
      </c>
      <c r="F743" s="165"/>
      <c r="G743" s="166">
        <v>802</v>
      </c>
      <c r="H743" s="167">
        <v>7.5</v>
      </c>
      <c r="I743" s="165"/>
      <c r="J743" s="167"/>
      <c r="K743" s="167">
        <v>11.7</v>
      </c>
      <c r="L743" s="167">
        <v>12</v>
      </c>
      <c r="M743" s="168">
        <v>0.47847222222222202</v>
      </c>
      <c r="N743" s="67"/>
    </row>
    <row r="744" spans="1:14" x14ac:dyDescent="0.25">
      <c r="A744" s="66">
        <v>44855</v>
      </c>
      <c r="B744" s="67" t="s">
        <v>43</v>
      </c>
      <c r="C744" s="129" t="str">
        <f t="shared" si="22"/>
        <v>21.10.2022_HAAob</v>
      </c>
      <c r="D744" s="143">
        <f t="shared" si="23"/>
        <v>0</v>
      </c>
      <c r="E744" s="157">
        <v>8.09</v>
      </c>
      <c r="F744" s="165"/>
      <c r="G744" s="166">
        <v>1093</v>
      </c>
      <c r="H744" s="167">
        <v>7.1</v>
      </c>
      <c r="I744" s="165"/>
      <c r="J744" s="167"/>
      <c r="K744" s="167">
        <v>14.2</v>
      </c>
      <c r="L744" s="167">
        <v>7.7</v>
      </c>
      <c r="M744" s="168">
        <v>0.57222222222222197</v>
      </c>
      <c r="N744" s="67"/>
    </row>
    <row r="745" spans="1:14" x14ac:dyDescent="0.25">
      <c r="A745" s="66">
        <v>44855</v>
      </c>
      <c r="B745" s="67" t="s">
        <v>45</v>
      </c>
      <c r="C745" s="129" t="str">
        <f t="shared" si="22"/>
        <v>21.10.2022_HAAun</v>
      </c>
      <c r="D745" s="143">
        <f t="shared" si="23"/>
        <v>0</v>
      </c>
      <c r="E745" s="157">
        <v>7.96</v>
      </c>
      <c r="F745" s="165"/>
      <c r="G745" s="166">
        <v>1086</v>
      </c>
      <c r="H745" s="167">
        <v>6.4</v>
      </c>
      <c r="I745" s="165"/>
      <c r="J745" s="167"/>
      <c r="K745" s="167">
        <v>13.4</v>
      </c>
      <c r="L745" s="167">
        <v>11</v>
      </c>
      <c r="M745" s="168">
        <v>0.561805555555556</v>
      </c>
      <c r="N745" s="67"/>
    </row>
    <row r="746" spans="1:14" x14ac:dyDescent="0.25">
      <c r="A746" s="66">
        <v>44855</v>
      </c>
      <c r="B746" s="67" t="s">
        <v>47</v>
      </c>
      <c r="C746" s="129" t="str">
        <f t="shared" si="22"/>
        <v>21.10.2022_KIRob</v>
      </c>
      <c r="D746" s="143">
        <f t="shared" si="23"/>
        <v>0</v>
      </c>
      <c r="E746" s="157">
        <v>7.99</v>
      </c>
      <c r="F746" s="165"/>
      <c r="G746" s="166">
        <v>1089</v>
      </c>
      <c r="H746" s="167">
        <v>6.5</v>
      </c>
      <c r="I746" s="165"/>
      <c r="J746" s="167"/>
      <c r="K746" s="167">
        <v>12.9</v>
      </c>
      <c r="L746" s="167">
        <v>9.3000000000000007</v>
      </c>
      <c r="M746" s="168">
        <v>0.40972222222222199</v>
      </c>
      <c r="N746" s="67"/>
    </row>
    <row r="747" spans="1:14" x14ac:dyDescent="0.25">
      <c r="A747" s="66">
        <v>44855</v>
      </c>
      <c r="B747" s="67" t="s">
        <v>49</v>
      </c>
      <c r="C747" s="129" t="str">
        <f t="shared" si="22"/>
        <v>21.10.2022_KIRun</v>
      </c>
      <c r="D747" s="143">
        <f t="shared" si="23"/>
        <v>0</v>
      </c>
      <c r="E747" s="157">
        <v>8.1199999999999992</v>
      </c>
      <c r="F747" s="165"/>
      <c r="G747" s="166">
        <v>1004</v>
      </c>
      <c r="H747" s="167">
        <v>7.8</v>
      </c>
      <c r="I747" s="165"/>
      <c r="J747" s="167"/>
      <c r="K747" s="167">
        <v>12.5</v>
      </c>
      <c r="L747" s="167">
        <v>11.6</v>
      </c>
      <c r="M747" s="168">
        <v>0.4</v>
      </c>
      <c r="N747" s="67"/>
    </row>
    <row r="748" spans="1:14" x14ac:dyDescent="0.25">
      <c r="A748" s="66">
        <v>44855</v>
      </c>
      <c r="B748" s="67" t="s">
        <v>50</v>
      </c>
      <c r="C748" s="129" t="str">
        <f t="shared" si="22"/>
        <v>21.10.2022_LIEohBo</v>
      </c>
      <c r="D748" s="143">
        <f t="shared" si="23"/>
        <v>0</v>
      </c>
      <c r="E748" s="157">
        <v>7.71</v>
      </c>
      <c r="F748" s="165"/>
      <c r="G748" s="166">
        <v>731</v>
      </c>
      <c r="H748" s="167">
        <v>6.6</v>
      </c>
      <c r="I748" s="165"/>
      <c r="J748" s="167"/>
      <c r="K748" s="167">
        <v>11.5</v>
      </c>
      <c r="L748" s="167">
        <v>11</v>
      </c>
      <c r="M748" s="168">
        <v>0.37708333333333299</v>
      </c>
      <c r="N748" s="67"/>
    </row>
    <row r="749" spans="1:14" x14ac:dyDescent="0.25">
      <c r="A749" s="66">
        <v>44855</v>
      </c>
      <c r="B749" s="67" t="s">
        <v>53</v>
      </c>
      <c r="C749" s="129" t="str">
        <f t="shared" si="22"/>
        <v>21.10.2022_NATohBo</v>
      </c>
      <c r="D749" s="143">
        <f t="shared" si="23"/>
        <v>0</v>
      </c>
      <c r="E749" s="157">
        <v>7.73</v>
      </c>
      <c r="F749" s="165"/>
      <c r="G749" s="166">
        <v>1816</v>
      </c>
      <c r="H749" s="167">
        <v>7.3</v>
      </c>
      <c r="I749" s="165"/>
      <c r="J749" s="167"/>
      <c r="K749" s="167">
        <v>12.9</v>
      </c>
      <c r="L749" s="167">
        <v>13.4</v>
      </c>
      <c r="M749" s="168">
        <v>0.59652777777777799</v>
      </c>
      <c r="N749" s="67"/>
    </row>
    <row r="750" spans="1:14" x14ac:dyDescent="0.25">
      <c r="A750" s="66">
        <v>44855</v>
      </c>
      <c r="B750" s="67" t="s">
        <v>55</v>
      </c>
      <c r="C750" s="129" t="str">
        <f t="shared" si="22"/>
        <v>21.10.2022_QUAohBo</v>
      </c>
      <c r="D750" s="143">
        <f t="shared" si="23"/>
        <v>0</v>
      </c>
      <c r="E750" s="157">
        <v>8.89</v>
      </c>
      <c r="F750" s="165"/>
      <c r="G750" s="166">
        <v>1147</v>
      </c>
      <c r="H750" s="167">
        <v>7.9</v>
      </c>
      <c r="I750" s="165"/>
      <c r="J750" s="167"/>
      <c r="K750" s="167">
        <v>15</v>
      </c>
      <c r="L750" s="167">
        <v>6</v>
      </c>
      <c r="M750" s="168">
        <v>0.54861111111111105</v>
      </c>
      <c r="N750" s="67"/>
    </row>
    <row r="751" spans="1:14" x14ac:dyDescent="0.25">
      <c r="A751" s="66">
        <v>44855</v>
      </c>
      <c r="B751" s="67" t="s">
        <v>57</v>
      </c>
      <c r="C751" s="129" t="str">
        <f t="shared" si="22"/>
        <v>21.10.2022_SCHohVo</v>
      </c>
      <c r="D751" s="143">
        <f t="shared" si="23"/>
        <v>5</v>
      </c>
      <c r="E751" s="157"/>
      <c r="F751" s="165"/>
      <c r="G751" s="166"/>
      <c r="H751" s="167"/>
      <c r="I751" s="165"/>
      <c r="J751" s="167"/>
      <c r="K751" s="167"/>
      <c r="L751" s="167"/>
      <c r="M751" s="168"/>
      <c r="N751" s="67" t="s">
        <v>341</v>
      </c>
    </row>
    <row r="752" spans="1:14" x14ac:dyDescent="0.25">
      <c r="A752" s="66">
        <v>44855</v>
      </c>
      <c r="B752" s="67" t="s">
        <v>60</v>
      </c>
      <c r="C752" s="129" t="str">
        <f t="shared" si="22"/>
        <v>21.10.2022_VORohBo</v>
      </c>
      <c r="D752" s="143">
        <f t="shared" si="23"/>
        <v>0</v>
      </c>
      <c r="E752" s="157">
        <v>7.65</v>
      </c>
      <c r="F752" s="165"/>
      <c r="G752" s="166">
        <v>1075</v>
      </c>
      <c r="H752" s="167">
        <v>4.5999999999999996</v>
      </c>
      <c r="I752" s="165"/>
      <c r="J752" s="167"/>
      <c r="K752" s="167">
        <v>12</v>
      </c>
      <c r="L752" s="167">
        <v>20</v>
      </c>
      <c r="M752" s="168">
        <v>0.43958333333333299</v>
      </c>
      <c r="N752" s="67"/>
    </row>
    <row r="753" spans="1:14" x14ac:dyDescent="0.25">
      <c r="A753" s="66">
        <v>44855</v>
      </c>
      <c r="B753" s="67" t="s">
        <v>62</v>
      </c>
      <c r="C753" s="129" t="str">
        <f t="shared" si="22"/>
        <v>21.10.2022_VORuhSc</v>
      </c>
      <c r="D753" s="143">
        <f t="shared" si="23"/>
        <v>0</v>
      </c>
      <c r="E753" s="157">
        <v>7.43</v>
      </c>
      <c r="F753" s="165"/>
      <c r="G753" s="166">
        <v>1091</v>
      </c>
      <c r="H753" s="167">
        <v>5.4</v>
      </c>
      <c r="I753" s="165"/>
      <c r="J753" s="167"/>
      <c r="K753" s="167">
        <v>12.3</v>
      </c>
      <c r="L753" s="167">
        <v>12</v>
      </c>
      <c r="M753" s="168">
        <v>0.42777777777777798</v>
      </c>
      <c r="N753" s="175" t="s">
        <v>133</v>
      </c>
    </row>
    <row r="754" spans="1:14" x14ac:dyDescent="0.25">
      <c r="A754" s="66">
        <v>44855</v>
      </c>
      <c r="B754" s="67" t="s">
        <v>64</v>
      </c>
      <c r="C754" s="129" t="str">
        <f t="shared" si="22"/>
        <v>21.10.2022_WITob</v>
      </c>
      <c r="D754" s="143">
        <f t="shared" si="23"/>
        <v>0</v>
      </c>
      <c r="E754" s="157">
        <v>8.17</v>
      </c>
      <c r="F754" s="165"/>
      <c r="G754" s="166">
        <v>1179</v>
      </c>
      <c r="H754" s="167">
        <v>7.8</v>
      </c>
      <c r="I754" s="165"/>
      <c r="J754" s="167"/>
      <c r="K754" s="167">
        <v>13.8</v>
      </c>
      <c r="L754" s="167">
        <v>2.5</v>
      </c>
      <c r="M754" s="168">
        <v>0.58472222222222203</v>
      </c>
      <c r="N754" s="67"/>
    </row>
    <row r="755" spans="1:14" x14ac:dyDescent="0.25">
      <c r="A755" s="66">
        <v>44869</v>
      </c>
      <c r="B755" s="67" t="s">
        <v>22</v>
      </c>
      <c r="C755" s="129" t="str">
        <f t="shared" si="22"/>
        <v>04.11.2022_BOYkl</v>
      </c>
      <c r="D755" s="143">
        <f t="shared" si="23"/>
        <v>5</v>
      </c>
      <c r="E755" s="157"/>
      <c r="F755" s="165"/>
      <c r="G755" s="166"/>
      <c r="H755" s="167"/>
      <c r="I755" s="165"/>
      <c r="J755" s="167"/>
      <c r="K755" s="167"/>
      <c r="L755" s="167"/>
      <c r="M755" s="168"/>
      <c r="N755" s="67" t="s">
        <v>341</v>
      </c>
    </row>
    <row r="756" spans="1:14" x14ac:dyDescent="0.25">
      <c r="A756" s="66">
        <v>44869</v>
      </c>
      <c r="B756" s="67" t="s">
        <v>25</v>
      </c>
      <c r="C756" s="129" t="str">
        <f t="shared" si="22"/>
        <v>04.11.2022_BOYohB224</v>
      </c>
      <c r="D756" s="143">
        <f t="shared" si="23"/>
        <v>0</v>
      </c>
      <c r="E756" s="157">
        <v>8.34</v>
      </c>
      <c r="F756" s="165"/>
      <c r="G756" s="166">
        <v>1022</v>
      </c>
      <c r="H756" s="167">
        <v>11.7</v>
      </c>
      <c r="I756" s="165"/>
      <c r="J756" s="167"/>
      <c r="K756" s="167">
        <v>12.1</v>
      </c>
      <c r="L756" s="167">
        <v>17</v>
      </c>
      <c r="M756" s="168">
        <v>0.594444444444444</v>
      </c>
      <c r="N756" s="67"/>
    </row>
    <row r="757" spans="1:14" x14ac:dyDescent="0.25">
      <c r="A757" s="66">
        <v>44869</v>
      </c>
      <c r="B757" s="67" t="s">
        <v>28</v>
      </c>
      <c r="C757" s="129" t="str">
        <f t="shared" si="22"/>
        <v>04.11.2022_BOYohBr</v>
      </c>
      <c r="D757" s="143">
        <f t="shared" si="23"/>
        <v>0</v>
      </c>
      <c r="E757" s="157">
        <v>7.78</v>
      </c>
      <c r="F757" s="165"/>
      <c r="G757" s="166">
        <v>566</v>
      </c>
      <c r="H757" s="167">
        <v>7.9</v>
      </c>
      <c r="I757" s="165"/>
      <c r="J757" s="167"/>
      <c r="K757" s="167">
        <v>11.5</v>
      </c>
      <c r="L757" s="167">
        <v>38.5</v>
      </c>
      <c r="M757" s="168">
        <v>0.49861111111111101</v>
      </c>
      <c r="N757" s="67"/>
    </row>
    <row r="758" spans="1:14" x14ac:dyDescent="0.25">
      <c r="A758" s="66">
        <v>44869</v>
      </c>
      <c r="B758" s="67" t="s">
        <v>30</v>
      </c>
      <c r="C758" s="129" t="str">
        <f t="shared" si="22"/>
        <v>04.11.2022_BOYohKi</v>
      </c>
      <c r="D758" s="143">
        <f t="shared" si="23"/>
        <v>0</v>
      </c>
      <c r="E758" s="157">
        <v>7.89</v>
      </c>
      <c r="F758" s="165"/>
      <c r="G758" s="166">
        <v>867</v>
      </c>
      <c r="H758" s="167">
        <v>8.9</v>
      </c>
      <c r="I758" s="165"/>
      <c r="J758" s="167"/>
      <c r="K758" s="167">
        <v>10.9</v>
      </c>
      <c r="L758" s="167">
        <v>28.7</v>
      </c>
      <c r="M758" s="168">
        <v>0.390972222222222</v>
      </c>
      <c r="N758" s="67"/>
    </row>
    <row r="759" spans="1:14" x14ac:dyDescent="0.25">
      <c r="A759" s="66">
        <v>44869</v>
      </c>
      <c r="B759" s="67" t="s">
        <v>32</v>
      </c>
      <c r="C759" s="129" t="str">
        <f t="shared" si="22"/>
        <v>04.11.2022_BOYohSp</v>
      </c>
      <c r="D759" s="143">
        <f t="shared" si="23"/>
        <v>0</v>
      </c>
      <c r="E759" s="157">
        <v>7.79</v>
      </c>
      <c r="F759" s="165"/>
      <c r="G759" s="166">
        <v>634</v>
      </c>
      <c r="H759" s="167">
        <v>5.6</v>
      </c>
      <c r="I759" s="165"/>
      <c r="J759" s="167"/>
      <c r="K759" s="167">
        <v>11.5</v>
      </c>
      <c r="L759" s="167">
        <v>32</v>
      </c>
      <c r="M759" s="168">
        <v>0.52222222222222203</v>
      </c>
      <c r="N759" s="67"/>
    </row>
    <row r="760" spans="1:14" x14ac:dyDescent="0.25">
      <c r="A760" s="66">
        <v>44869</v>
      </c>
      <c r="B760" s="67" t="s">
        <v>34</v>
      </c>
      <c r="C760" s="129" t="str">
        <f t="shared" si="22"/>
        <v>04.11.2022_BOYuhHa</v>
      </c>
      <c r="D760" s="143">
        <f t="shared" si="23"/>
        <v>0</v>
      </c>
      <c r="E760" s="157">
        <v>8.56</v>
      </c>
      <c r="F760" s="165"/>
      <c r="G760" s="166">
        <v>1069</v>
      </c>
      <c r="H760" s="167">
        <v>13.3</v>
      </c>
      <c r="I760" s="165"/>
      <c r="J760" s="167"/>
      <c r="K760" s="167">
        <v>12</v>
      </c>
      <c r="L760" s="167">
        <v>32</v>
      </c>
      <c r="M760" s="168">
        <v>0.60972222222222205</v>
      </c>
      <c r="N760" s="67"/>
    </row>
    <row r="761" spans="1:14" x14ac:dyDescent="0.25">
      <c r="A761" s="66">
        <v>44869</v>
      </c>
      <c r="B761" s="67" t="s">
        <v>36</v>
      </c>
      <c r="C761" s="129" t="str">
        <f t="shared" si="22"/>
        <v>04.11.2022_BOYuhSp</v>
      </c>
      <c r="D761" s="143">
        <f t="shared" si="23"/>
        <v>0</v>
      </c>
      <c r="E761" s="157">
        <v>7.81</v>
      </c>
      <c r="F761" s="165"/>
      <c r="G761" s="166">
        <v>639</v>
      </c>
      <c r="H761" s="167">
        <v>6</v>
      </c>
      <c r="I761" s="165"/>
      <c r="J761" s="167"/>
      <c r="K761" s="167">
        <v>11.5</v>
      </c>
      <c r="L761" s="167">
        <v>20.8</v>
      </c>
      <c r="M761" s="168">
        <v>0.51388888888888895</v>
      </c>
      <c r="N761" s="67"/>
    </row>
    <row r="762" spans="1:14" x14ac:dyDescent="0.25">
      <c r="A762" s="66">
        <v>44869</v>
      </c>
      <c r="B762" s="67" t="s">
        <v>38</v>
      </c>
      <c r="C762" s="129" t="str">
        <f t="shared" si="22"/>
        <v>04.11.2022_BRAob</v>
      </c>
      <c r="D762" s="143">
        <f t="shared" si="23"/>
        <v>0</v>
      </c>
      <c r="E762" s="157">
        <v>7.67</v>
      </c>
      <c r="F762" s="165"/>
      <c r="G762" s="166">
        <v>798</v>
      </c>
      <c r="H762" s="167">
        <v>6</v>
      </c>
      <c r="I762" s="165"/>
      <c r="J762" s="167"/>
      <c r="K762" s="167">
        <v>11</v>
      </c>
      <c r="L762" s="167">
        <v>6.5</v>
      </c>
      <c r="M762" s="168">
        <v>0.46875</v>
      </c>
      <c r="N762" s="67"/>
    </row>
    <row r="763" spans="1:14" x14ac:dyDescent="0.25">
      <c r="A763" s="66">
        <v>44869</v>
      </c>
      <c r="B763" s="67" t="s">
        <v>41</v>
      </c>
      <c r="C763" s="129" t="str">
        <f t="shared" si="22"/>
        <v>04.11.2022_BRAohBo</v>
      </c>
      <c r="D763" s="143">
        <f t="shared" si="23"/>
        <v>0</v>
      </c>
      <c r="E763" s="157">
        <v>7.96</v>
      </c>
      <c r="F763" s="165"/>
      <c r="G763" s="166">
        <v>807</v>
      </c>
      <c r="H763" s="167">
        <v>7.8</v>
      </c>
      <c r="I763" s="165"/>
      <c r="J763" s="167"/>
      <c r="K763" s="167">
        <v>10.8</v>
      </c>
      <c r="L763" s="167">
        <v>12.7</v>
      </c>
      <c r="M763" s="168">
        <v>0.47916666666666702</v>
      </c>
      <c r="N763" s="67"/>
    </row>
    <row r="764" spans="1:14" x14ac:dyDescent="0.25">
      <c r="A764" s="66">
        <v>44869</v>
      </c>
      <c r="B764" s="67" t="s">
        <v>43</v>
      </c>
      <c r="C764" s="129" t="str">
        <f t="shared" si="22"/>
        <v>04.11.2022_HAAob</v>
      </c>
      <c r="D764" s="143">
        <f t="shared" si="23"/>
        <v>0</v>
      </c>
      <c r="E764" s="157">
        <v>8.09</v>
      </c>
      <c r="F764" s="165"/>
      <c r="G764" s="166">
        <v>1059</v>
      </c>
      <c r="H764" s="167">
        <v>8</v>
      </c>
      <c r="I764" s="165"/>
      <c r="J764" s="167"/>
      <c r="K764" s="167">
        <v>12.6</v>
      </c>
      <c r="L764" s="167">
        <v>10.3</v>
      </c>
      <c r="M764" s="168">
        <v>0.55694444444444502</v>
      </c>
      <c r="N764" s="67"/>
    </row>
    <row r="765" spans="1:14" x14ac:dyDescent="0.25">
      <c r="A765" s="66">
        <v>44869</v>
      </c>
      <c r="B765" s="67" t="s">
        <v>45</v>
      </c>
      <c r="C765" s="129" t="str">
        <f t="shared" si="22"/>
        <v>04.11.2022_HAAun</v>
      </c>
      <c r="D765" s="143">
        <f t="shared" si="23"/>
        <v>0</v>
      </c>
      <c r="E765" s="157">
        <v>7.9</v>
      </c>
      <c r="F765" s="165"/>
      <c r="G765" s="166">
        <v>1272</v>
      </c>
      <c r="H765" s="167">
        <v>7.5</v>
      </c>
      <c r="I765" s="165"/>
      <c r="J765" s="167"/>
      <c r="K765" s="167">
        <v>12.1</v>
      </c>
      <c r="L765" s="167">
        <v>12.1</v>
      </c>
      <c r="M765" s="168">
        <v>0.54652777777777795</v>
      </c>
      <c r="N765" s="67"/>
    </row>
    <row r="766" spans="1:14" x14ac:dyDescent="0.25">
      <c r="A766" s="66">
        <v>44869</v>
      </c>
      <c r="B766" s="67" t="s">
        <v>47</v>
      </c>
      <c r="C766" s="129" t="str">
        <f t="shared" si="22"/>
        <v>04.11.2022_KIRob</v>
      </c>
      <c r="D766" s="143">
        <f t="shared" si="23"/>
        <v>0</v>
      </c>
      <c r="E766" s="157">
        <v>7.84</v>
      </c>
      <c r="F766" s="165"/>
      <c r="G766" s="166">
        <v>1039</v>
      </c>
      <c r="H766" s="167">
        <v>6.4</v>
      </c>
      <c r="I766" s="165"/>
      <c r="J766" s="167"/>
      <c r="K766" s="167">
        <v>11.6</v>
      </c>
      <c r="L766" s="167">
        <v>10</v>
      </c>
      <c r="M766" s="168">
        <v>0.41388888888888897</v>
      </c>
      <c r="N766" s="67"/>
    </row>
    <row r="767" spans="1:14" x14ac:dyDescent="0.25">
      <c r="A767" s="66">
        <v>44869</v>
      </c>
      <c r="B767" s="67" t="s">
        <v>49</v>
      </c>
      <c r="C767" s="129" t="str">
        <f t="shared" si="22"/>
        <v>04.11.2022_KIRun</v>
      </c>
      <c r="D767" s="143">
        <f t="shared" si="23"/>
        <v>0</v>
      </c>
      <c r="E767" s="157">
        <v>7.9</v>
      </c>
      <c r="F767" s="165"/>
      <c r="G767" s="166">
        <v>931</v>
      </c>
      <c r="H767" s="167">
        <v>8.6</v>
      </c>
      <c r="I767" s="165"/>
      <c r="J767" s="167"/>
      <c r="K767" s="167">
        <v>11.8</v>
      </c>
      <c r="L767" s="167">
        <v>13.7</v>
      </c>
      <c r="M767" s="168">
        <v>0.40277777777777801</v>
      </c>
      <c r="N767" s="67"/>
    </row>
    <row r="768" spans="1:14" x14ac:dyDescent="0.25">
      <c r="A768" s="66">
        <v>44869</v>
      </c>
      <c r="B768" s="67" t="s">
        <v>50</v>
      </c>
      <c r="C768" s="129" t="str">
        <f t="shared" si="22"/>
        <v>04.11.2022_LIEohBo</v>
      </c>
      <c r="D768" s="143">
        <f t="shared" si="23"/>
        <v>0</v>
      </c>
      <c r="E768" s="157">
        <v>7.73</v>
      </c>
      <c r="F768" s="165"/>
      <c r="G768" s="166">
        <v>676</v>
      </c>
      <c r="H768" s="167">
        <v>7.9</v>
      </c>
      <c r="I768" s="165"/>
      <c r="J768" s="167"/>
      <c r="K768" s="167">
        <v>11.2</v>
      </c>
      <c r="L768" s="167">
        <v>13</v>
      </c>
      <c r="M768" s="168">
        <v>0.37361111111111101</v>
      </c>
      <c r="N768" s="67"/>
    </row>
    <row r="769" spans="1:14" x14ac:dyDescent="0.25">
      <c r="A769" s="66">
        <v>44869</v>
      </c>
      <c r="B769" s="67" t="s">
        <v>53</v>
      </c>
      <c r="C769" s="129" t="str">
        <f t="shared" si="22"/>
        <v>04.11.2022_NATohBo</v>
      </c>
      <c r="D769" s="143">
        <f t="shared" si="23"/>
        <v>0</v>
      </c>
      <c r="E769" s="157">
        <v>7.53</v>
      </c>
      <c r="F769" s="165"/>
      <c r="G769" s="166">
        <v>1748</v>
      </c>
      <c r="H769" s="167">
        <v>7</v>
      </c>
      <c r="I769" s="165"/>
      <c r="J769" s="167"/>
      <c r="K769" s="167">
        <v>11.9</v>
      </c>
      <c r="L769" s="167">
        <v>10.9</v>
      </c>
      <c r="M769" s="168">
        <v>0.58194444444444504</v>
      </c>
      <c r="N769" s="67"/>
    </row>
    <row r="770" spans="1:14" x14ac:dyDescent="0.25">
      <c r="A770" s="66">
        <v>44869</v>
      </c>
      <c r="B770" s="67" t="s">
        <v>55</v>
      </c>
      <c r="C770" s="129" t="str">
        <f t="shared" si="22"/>
        <v>04.11.2022_QUAohBo</v>
      </c>
      <c r="D770" s="143">
        <f t="shared" si="23"/>
        <v>5</v>
      </c>
      <c r="E770" s="157"/>
      <c r="F770" s="165"/>
      <c r="G770" s="166"/>
      <c r="H770" s="167"/>
      <c r="I770" s="165"/>
      <c r="J770" s="167"/>
      <c r="K770" s="167"/>
      <c r="L770" s="167"/>
      <c r="M770" s="168"/>
      <c r="N770" s="67" t="s">
        <v>341</v>
      </c>
    </row>
    <row r="771" spans="1:14" x14ac:dyDescent="0.25">
      <c r="A771" s="66">
        <v>44869</v>
      </c>
      <c r="B771" s="67" t="s">
        <v>57</v>
      </c>
      <c r="C771" s="129" t="str">
        <f t="shared" ref="C771:C831" si="24">CONCATENATE(TEXT(A771,"TT.MM.JJJJ"),"_",B771)</f>
        <v>04.11.2022_SCHohVo</v>
      </c>
      <c r="D771" s="143">
        <f t="shared" si="23"/>
        <v>5</v>
      </c>
      <c r="E771" s="157"/>
      <c r="F771" s="165"/>
      <c r="G771" s="166"/>
      <c r="H771" s="167"/>
      <c r="I771" s="165"/>
      <c r="J771" s="167"/>
      <c r="K771" s="167"/>
      <c r="L771" s="167"/>
      <c r="M771" s="168"/>
      <c r="N771" s="67" t="s">
        <v>341</v>
      </c>
    </row>
    <row r="772" spans="1:14" x14ac:dyDescent="0.25">
      <c r="A772" s="66">
        <v>44869</v>
      </c>
      <c r="B772" s="67" t="s">
        <v>60</v>
      </c>
      <c r="C772" s="129" t="str">
        <f t="shared" si="24"/>
        <v>04.11.2022_VORohBo</v>
      </c>
      <c r="D772" s="143">
        <f t="shared" ref="D772:D832" si="25">COUNTBLANK(E772)+COUNTBLANK(G772:H772)+COUNTBLANK(K772:L772)</f>
        <v>0</v>
      </c>
      <c r="E772" s="157">
        <v>7.47</v>
      </c>
      <c r="F772" s="165"/>
      <c r="G772" s="166">
        <v>1066</v>
      </c>
      <c r="H772" s="167">
        <v>3.9</v>
      </c>
      <c r="I772" s="165"/>
      <c r="J772" s="167"/>
      <c r="K772" s="167">
        <v>11.3</v>
      </c>
      <c r="L772" s="167">
        <v>28</v>
      </c>
      <c r="M772" s="168">
        <v>0.44166666666666698</v>
      </c>
      <c r="N772" s="67"/>
    </row>
    <row r="773" spans="1:14" x14ac:dyDescent="0.25">
      <c r="A773" s="66">
        <v>44869</v>
      </c>
      <c r="B773" s="67" t="s">
        <v>62</v>
      </c>
      <c r="C773" s="129" t="str">
        <f t="shared" si="24"/>
        <v>04.11.2022_VORuhSc</v>
      </c>
      <c r="D773" s="143">
        <f t="shared" si="25"/>
        <v>0</v>
      </c>
      <c r="E773" s="157">
        <v>7.22</v>
      </c>
      <c r="F773" s="165"/>
      <c r="G773" s="166">
        <v>1118</v>
      </c>
      <c r="H773" s="167">
        <v>5.3</v>
      </c>
      <c r="I773" s="165"/>
      <c r="J773" s="167"/>
      <c r="K773" s="167">
        <v>11.8</v>
      </c>
      <c r="L773" s="167">
        <v>10.5</v>
      </c>
      <c r="M773" s="168">
        <v>0.42986111111111103</v>
      </c>
      <c r="N773" s="67"/>
    </row>
    <row r="774" spans="1:14" x14ac:dyDescent="0.25">
      <c r="A774" s="66">
        <v>44869</v>
      </c>
      <c r="B774" s="67" t="s">
        <v>64</v>
      </c>
      <c r="C774" s="129" t="str">
        <f t="shared" si="24"/>
        <v>04.11.2022_WITob</v>
      </c>
      <c r="D774" s="143">
        <f t="shared" si="25"/>
        <v>0</v>
      </c>
      <c r="E774" s="157">
        <v>8.18</v>
      </c>
      <c r="F774" s="165"/>
      <c r="G774" s="166">
        <v>1220</v>
      </c>
      <c r="H774" s="167">
        <v>8.9</v>
      </c>
      <c r="I774" s="165"/>
      <c r="J774" s="167"/>
      <c r="K774" s="167">
        <v>12.1</v>
      </c>
      <c r="L774" s="167">
        <v>2.6</v>
      </c>
      <c r="M774" s="168">
        <v>0.57013888888888897</v>
      </c>
      <c r="N774" s="67"/>
    </row>
    <row r="775" spans="1:14" x14ac:dyDescent="0.25">
      <c r="A775" s="66">
        <v>44883</v>
      </c>
      <c r="B775" s="67" t="s">
        <v>22</v>
      </c>
      <c r="C775" s="129" t="str">
        <f t="shared" si="24"/>
        <v>18.11.2022_BOYkl</v>
      </c>
      <c r="D775" s="143">
        <f t="shared" si="25"/>
        <v>5</v>
      </c>
      <c r="E775" s="157"/>
      <c r="F775" s="165"/>
      <c r="G775" s="166"/>
      <c r="H775" s="167"/>
      <c r="I775" s="165"/>
      <c r="J775" s="167"/>
      <c r="K775" s="167"/>
      <c r="L775" s="167"/>
      <c r="M775" s="168"/>
      <c r="N775" s="67" t="s">
        <v>353</v>
      </c>
    </row>
    <row r="776" spans="1:14" x14ac:dyDescent="0.25">
      <c r="A776" s="66">
        <v>44883</v>
      </c>
      <c r="B776" s="67" t="s">
        <v>25</v>
      </c>
      <c r="C776" s="129" t="str">
        <f t="shared" si="24"/>
        <v>18.11.2022_BOYohB224</v>
      </c>
      <c r="D776" s="143">
        <f t="shared" si="25"/>
        <v>0</v>
      </c>
      <c r="E776" s="157">
        <v>8.3000000000000007</v>
      </c>
      <c r="F776" s="165"/>
      <c r="G776" s="166">
        <v>851</v>
      </c>
      <c r="H776" s="167">
        <v>10.6</v>
      </c>
      <c r="I776" s="165"/>
      <c r="J776" s="167"/>
      <c r="K776" s="167">
        <v>11.2</v>
      </c>
      <c r="L776" s="167">
        <v>20</v>
      </c>
      <c r="M776" s="168">
        <v>0.62152777777777801</v>
      </c>
      <c r="N776" s="67"/>
    </row>
    <row r="777" spans="1:14" x14ac:dyDescent="0.25">
      <c r="A777" s="66">
        <v>44883</v>
      </c>
      <c r="B777" s="67" t="s">
        <v>28</v>
      </c>
      <c r="C777" s="129" t="str">
        <f t="shared" si="24"/>
        <v>18.11.2022_BOYohBr</v>
      </c>
      <c r="D777" s="143">
        <f t="shared" si="25"/>
        <v>0</v>
      </c>
      <c r="E777" s="157">
        <v>7.92</v>
      </c>
      <c r="F777" s="165"/>
      <c r="G777" s="166">
        <v>513</v>
      </c>
      <c r="H777" s="167">
        <v>7.9</v>
      </c>
      <c r="I777" s="165"/>
      <c r="J777" s="167"/>
      <c r="K777" s="167">
        <v>10.9</v>
      </c>
      <c r="L777" s="167">
        <v>27.5</v>
      </c>
      <c r="M777" s="168">
        <v>0.49444444444444402</v>
      </c>
      <c r="N777" s="67"/>
    </row>
    <row r="778" spans="1:14" x14ac:dyDescent="0.25">
      <c r="A778" s="66">
        <v>44883</v>
      </c>
      <c r="B778" s="67" t="s">
        <v>30</v>
      </c>
      <c r="C778" s="129" t="str">
        <f t="shared" si="24"/>
        <v>18.11.2022_BOYohKi</v>
      </c>
      <c r="D778" s="143">
        <f t="shared" si="25"/>
        <v>0</v>
      </c>
      <c r="E778" s="157">
        <v>7.61</v>
      </c>
      <c r="F778" s="165"/>
      <c r="G778" s="166">
        <v>704</v>
      </c>
      <c r="H778" s="167">
        <v>8.1999999999999993</v>
      </c>
      <c r="I778" s="165"/>
      <c r="J778" s="167"/>
      <c r="K778" s="167">
        <v>10.199999999999999</v>
      </c>
      <c r="L778" s="167">
        <v>33.4</v>
      </c>
      <c r="M778" s="168">
        <v>0.39305555555555599</v>
      </c>
      <c r="N778" s="67"/>
    </row>
    <row r="779" spans="1:14" x14ac:dyDescent="0.25">
      <c r="A779" s="66">
        <v>44883</v>
      </c>
      <c r="B779" s="67" t="s">
        <v>32</v>
      </c>
      <c r="C779" s="129" t="str">
        <f t="shared" si="24"/>
        <v>18.11.2022_BOYohSp</v>
      </c>
      <c r="D779" s="143">
        <f t="shared" si="25"/>
        <v>0</v>
      </c>
      <c r="E779" s="157">
        <v>7.86</v>
      </c>
      <c r="F779" s="165"/>
      <c r="G779" s="166">
        <v>600</v>
      </c>
      <c r="H779" s="167">
        <v>6.2</v>
      </c>
      <c r="I779" s="165"/>
      <c r="J779" s="167"/>
      <c r="K779" s="167">
        <v>10.8</v>
      </c>
      <c r="L779" s="167">
        <v>22</v>
      </c>
      <c r="M779" s="168">
        <v>0.53402777777777799</v>
      </c>
      <c r="N779" s="67" t="s">
        <v>262</v>
      </c>
    </row>
    <row r="780" spans="1:14" x14ac:dyDescent="0.25">
      <c r="A780" s="66">
        <v>44883</v>
      </c>
      <c r="B780" s="67" t="s">
        <v>34</v>
      </c>
      <c r="C780" s="129" t="str">
        <f t="shared" si="24"/>
        <v>18.11.2022_BOYuhHa</v>
      </c>
      <c r="D780" s="143">
        <f t="shared" si="25"/>
        <v>1</v>
      </c>
      <c r="E780" s="157">
        <v>8.49</v>
      </c>
      <c r="F780" s="165"/>
      <c r="G780" s="166"/>
      <c r="H780" s="167">
        <v>10.9</v>
      </c>
      <c r="I780" s="165"/>
      <c r="J780" s="167"/>
      <c r="K780" s="167">
        <v>11</v>
      </c>
      <c r="L780" s="167">
        <v>44.3</v>
      </c>
      <c r="M780" s="168">
        <v>0.63263888888888897</v>
      </c>
      <c r="N780" s="67"/>
    </row>
    <row r="781" spans="1:14" x14ac:dyDescent="0.25">
      <c r="A781" s="66">
        <v>44883</v>
      </c>
      <c r="B781" s="67" t="s">
        <v>36</v>
      </c>
      <c r="C781" s="129" t="str">
        <f t="shared" si="24"/>
        <v>18.11.2022_BOYuhSp</v>
      </c>
      <c r="D781" s="143">
        <f t="shared" si="25"/>
        <v>0</v>
      </c>
      <c r="E781" s="157">
        <v>7.91</v>
      </c>
      <c r="F781" s="165"/>
      <c r="G781" s="166">
        <v>589</v>
      </c>
      <c r="H781" s="167">
        <v>6.6</v>
      </c>
      <c r="I781" s="165"/>
      <c r="J781" s="167"/>
      <c r="K781" s="167">
        <v>10.8</v>
      </c>
      <c r="L781" s="167">
        <v>26.3</v>
      </c>
      <c r="M781" s="168">
        <v>0.52500000000000002</v>
      </c>
      <c r="N781" s="67"/>
    </row>
    <row r="782" spans="1:14" x14ac:dyDescent="0.25">
      <c r="A782" s="66">
        <v>44883</v>
      </c>
      <c r="B782" s="67" t="s">
        <v>38</v>
      </c>
      <c r="C782" s="129" t="str">
        <f t="shared" si="24"/>
        <v>18.11.2022_BRAob</v>
      </c>
      <c r="D782" s="143">
        <f t="shared" si="25"/>
        <v>0</v>
      </c>
      <c r="E782" s="157">
        <v>7.67</v>
      </c>
      <c r="F782" s="165"/>
      <c r="G782" s="166">
        <v>834</v>
      </c>
      <c r="H782" s="167">
        <v>6.6</v>
      </c>
      <c r="I782" s="165"/>
      <c r="J782" s="167"/>
      <c r="K782" s="167">
        <v>10.5</v>
      </c>
      <c r="L782" s="167">
        <v>12</v>
      </c>
      <c r="M782" s="168">
        <v>0.47152777777777799</v>
      </c>
      <c r="N782" s="67"/>
    </row>
    <row r="783" spans="1:14" x14ac:dyDescent="0.25">
      <c r="A783" s="66">
        <v>44883</v>
      </c>
      <c r="B783" s="67" t="s">
        <v>41</v>
      </c>
      <c r="C783" s="129" t="str">
        <f t="shared" si="24"/>
        <v>18.11.2022_BRAohBo</v>
      </c>
      <c r="D783" s="143">
        <f t="shared" si="25"/>
        <v>0</v>
      </c>
      <c r="E783" s="157">
        <v>7.86</v>
      </c>
      <c r="F783" s="165"/>
      <c r="G783" s="166">
        <v>589</v>
      </c>
      <c r="H783" s="167">
        <v>6.4</v>
      </c>
      <c r="I783" s="165"/>
      <c r="J783" s="167"/>
      <c r="K783" s="167">
        <v>10</v>
      </c>
      <c r="L783" s="167">
        <v>13</v>
      </c>
      <c r="M783" s="168">
        <v>0.48125000000000001</v>
      </c>
      <c r="N783" s="67"/>
    </row>
    <row r="784" spans="1:14" x14ac:dyDescent="0.25">
      <c r="A784" s="66">
        <v>44883</v>
      </c>
      <c r="B784" s="67" t="s">
        <v>43</v>
      </c>
      <c r="C784" s="129" t="str">
        <f t="shared" si="24"/>
        <v>18.11.2022_HAAob</v>
      </c>
      <c r="D784" s="143">
        <f t="shared" si="25"/>
        <v>0</v>
      </c>
      <c r="E784" s="157">
        <v>8.01</v>
      </c>
      <c r="F784" s="165"/>
      <c r="G784" s="166">
        <v>965</v>
      </c>
      <c r="H784" s="167">
        <v>8.1</v>
      </c>
      <c r="I784" s="165"/>
      <c r="J784" s="167"/>
      <c r="K784" s="167">
        <v>11.9</v>
      </c>
      <c r="L784" s="167">
        <v>10.8</v>
      </c>
      <c r="M784" s="168">
        <v>0.58333333333333304</v>
      </c>
      <c r="N784" s="67" t="s">
        <v>263</v>
      </c>
    </row>
    <row r="785" spans="1:14" x14ac:dyDescent="0.25">
      <c r="A785" s="66">
        <v>44883</v>
      </c>
      <c r="B785" s="67" t="s">
        <v>45</v>
      </c>
      <c r="C785" s="129" t="str">
        <f t="shared" si="24"/>
        <v>18.11.2022_HAAun</v>
      </c>
      <c r="D785" s="143">
        <f t="shared" si="25"/>
        <v>0</v>
      </c>
      <c r="E785" s="157">
        <v>7.99</v>
      </c>
      <c r="F785" s="165"/>
      <c r="G785" s="166">
        <v>1210</v>
      </c>
      <c r="H785" s="167">
        <v>7.5</v>
      </c>
      <c r="I785" s="165"/>
      <c r="J785" s="167"/>
      <c r="K785" s="167">
        <v>11.3</v>
      </c>
      <c r="L785" s="167">
        <v>12.4</v>
      </c>
      <c r="M785" s="168">
        <v>0.57361111111111096</v>
      </c>
      <c r="N785" s="67" t="s">
        <v>264</v>
      </c>
    </row>
    <row r="786" spans="1:14" x14ac:dyDescent="0.25">
      <c r="A786" s="66">
        <v>44883</v>
      </c>
      <c r="B786" s="67" t="s">
        <v>47</v>
      </c>
      <c r="C786" s="129" t="str">
        <f t="shared" si="24"/>
        <v>18.11.2022_KIRob</v>
      </c>
      <c r="D786" s="143">
        <f t="shared" si="25"/>
        <v>0</v>
      </c>
      <c r="E786" s="157">
        <v>7.75</v>
      </c>
      <c r="F786" s="165"/>
      <c r="G786" s="166">
        <v>1107</v>
      </c>
      <c r="H786" s="167">
        <v>6.2</v>
      </c>
      <c r="I786" s="165"/>
      <c r="J786" s="167"/>
      <c r="K786" s="167">
        <v>11.2</v>
      </c>
      <c r="L786" s="167">
        <v>9.5</v>
      </c>
      <c r="M786" s="168">
        <v>0.41319444444444398</v>
      </c>
      <c r="N786" s="67"/>
    </row>
    <row r="787" spans="1:14" x14ac:dyDescent="0.25">
      <c r="A787" s="66">
        <v>44883</v>
      </c>
      <c r="B787" s="67" t="s">
        <v>49</v>
      </c>
      <c r="C787" s="129" t="str">
        <f t="shared" si="24"/>
        <v>18.11.2022_KIRun</v>
      </c>
      <c r="D787" s="143">
        <f t="shared" si="25"/>
        <v>0</v>
      </c>
      <c r="E787" s="157">
        <v>7.88</v>
      </c>
      <c r="F787" s="165"/>
      <c r="G787" s="166">
        <v>978</v>
      </c>
      <c r="H787" s="167">
        <v>8.6</v>
      </c>
      <c r="I787" s="165"/>
      <c r="J787" s="167"/>
      <c r="K787" s="167">
        <v>11.2</v>
      </c>
      <c r="L787" s="167">
        <v>14.5</v>
      </c>
      <c r="M787" s="168">
        <v>0.405555555555556</v>
      </c>
      <c r="N787" s="67"/>
    </row>
    <row r="788" spans="1:14" x14ac:dyDescent="0.25">
      <c r="A788" s="66">
        <v>44883</v>
      </c>
      <c r="B788" s="67" t="s">
        <v>50</v>
      </c>
      <c r="C788" s="129" t="str">
        <f t="shared" si="24"/>
        <v>18.11.2022_LIEohBo</v>
      </c>
      <c r="D788" s="143">
        <f t="shared" si="25"/>
        <v>0</v>
      </c>
      <c r="E788" s="157">
        <v>7.8</v>
      </c>
      <c r="F788" s="165"/>
      <c r="G788" s="166">
        <v>586</v>
      </c>
      <c r="H788" s="167">
        <v>9.1999999999999993</v>
      </c>
      <c r="I788" s="165"/>
      <c r="J788" s="167"/>
      <c r="K788" s="167">
        <v>9.1999999999999993</v>
      </c>
      <c r="L788" s="167">
        <v>13.4</v>
      </c>
      <c r="M788" s="168">
        <v>0.37638888888888899</v>
      </c>
      <c r="N788" s="67"/>
    </row>
    <row r="789" spans="1:14" x14ac:dyDescent="0.25">
      <c r="A789" s="66">
        <v>44883</v>
      </c>
      <c r="B789" s="67" t="s">
        <v>53</v>
      </c>
      <c r="C789" s="129" t="str">
        <f t="shared" si="24"/>
        <v>18.11.2022_NATohBo</v>
      </c>
      <c r="D789" s="143">
        <f t="shared" si="25"/>
        <v>0</v>
      </c>
      <c r="E789" s="157">
        <v>7.71</v>
      </c>
      <c r="F789" s="165"/>
      <c r="G789" s="166">
        <v>1227</v>
      </c>
      <c r="H789" s="167">
        <v>7.8</v>
      </c>
      <c r="I789" s="165"/>
      <c r="J789" s="167"/>
      <c r="K789" s="167">
        <v>10.6</v>
      </c>
      <c r="L789" s="167">
        <v>12</v>
      </c>
      <c r="M789" s="168">
        <v>0.61111111111111105</v>
      </c>
      <c r="N789" s="67" t="s">
        <v>265</v>
      </c>
    </row>
    <row r="790" spans="1:14" x14ac:dyDescent="0.25">
      <c r="A790" s="66">
        <v>44883</v>
      </c>
      <c r="B790" s="67" t="s">
        <v>55</v>
      </c>
      <c r="C790" s="129" t="str">
        <f t="shared" si="24"/>
        <v>18.11.2022_QUAohBo</v>
      </c>
      <c r="D790" s="143">
        <f t="shared" si="25"/>
        <v>0</v>
      </c>
      <c r="E790" s="157">
        <v>7.63</v>
      </c>
      <c r="F790" s="165"/>
      <c r="G790" s="166">
        <v>770</v>
      </c>
      <c r="H790" s="167">
        <v>4.8</v>
      </c>
      <c r="I790" s="165"/>
      <c r="J790" s="167"/>
      <c r="K790" s="167">
        <v>11</v>
      </c>
      <c r="L790" s="167">
        <v>9</v>
      </c>
      <c r="M790" s="168">
        <v>0.55069444444444504</v>
      </c>
      <c r="N790" s="67"/>
    </row>
    <row r="791" spans="1:14" x14ac:dyDescent="0.25">
      <c r="A791" s="66">
        <v>44883</v>
      </c>
      <c r="B791" s="67" t="s">
        <v>57</v>
      </c>
      <c r="C791" s="129" t="str">
        <f t="shared" si="24"/>
        <v>18.11.2022_SCHohVo</v>
      </c>
      <c r="D791" s="143">
        <f t="shared" si="25"/>
        <v>5</v>
      </c>
      <c r="E791" s="157"/>
      <c r="F791" s="165"/>
      <c r="G791" s="166"/>
      <c r="H791" s="167"/>
      <c r="I791" s="165"/>
      <c r="J791" s="167"/>
      <c r="K791" s="167"/>
      <c r="L791" s="167"/>
      <c r="M791" s="168"/>
      <c r="N791" s="67" t="s">
        <v>341</v>
      </c>
    </row>
    <row r="792" spans="1:14" x14ac:dyDescent="0.25">
      <c r="A792" s="66">
        <v>44883</v>
      </c>
      <c r="B792" s="67" t="s">
        <v>60</v>
      </c>
      <c r="C792" s="129" t="str">
        <f t="shared" si="24"/>
        <v>18.11.2022_VORohBo</v>
      </c>
      <c r="D792" s="143">
        <f t="shared" si="25"/>
        <v>0</v>
      </c>
      <c r="E792" s="157">
        <v>7.53</v>
      </c>
      <c r="F792" s="165"/>
      <c r="G792" s="166">
        <v>936</v>
      </c>
      <c r="H792" s="167">
        <v>6.2</v>
      </c>
      <c r="I792" s="165"/>
      <c r="J792" s="167"/>
      <c r="K792" s="167">
        <v>10.3</v>
      </c>
      <c r="L792" s="167">
        <v>25.3</v>
      </c>
      <c r="M792" s="168">
        <v>0.44305555555555598</v>
      </c>
      <c r="N792" s="67"/>
    </row>
    <row r="793" spans="1:14" x14ac:dyDescent="0.25">
      <c r="A793" s="66">
        <v>44883</v>
      </c>
      <c r="B793" s="67" t="s">
        <v>62</v>
      </c>
      <c r="C793" s="129" t="str">
        <f t="shared" si="24"/>
        <v>18.11.2022_VORuhSc</v>
      </c>
      <c r="D793" s="143">
        <f t="shared" si="25"/>
        <v>0</v>
      </c>
      <c r="E793" s="157">
        <v>7.32</v>
      </c>
      <c r="F793" s="165"/>
      <c r="G793" s="166">
        <v>917</v>
      </c>
      <c r="H793" s="167">
        <v>6.2</v>
      </c>
      <c r="I793" s="165"/>
      <c r="J793" s="167"/>
      <c r="K793" s="167">
        <v>10.7</v>
      </c>
      <c r="L793" s="167">
        <v>14.5</v>
      </c>
      <c r="M793" s="168">
        <v>0.43194444444444402</v>
      </c>
      <c r="N793" s="67"/>
    </row>
    <row r="794" spans="1:14" x14ac:dyDescent="0.25">
      <c r="A794" s="66">
        <v>44883</v>
      </c>
      <c r="B794" s="67" t="s">
        <v>64</v>
      </c>
      <c r="C794" s="129" t="str">
        <f t="shared" si="24"/>
        <v>18.11.2022_WITob</v>
      </c>
      <c r="D794" s="143">
        <f t="shared" si="25"/>
        <v>0</v>
      </c>
      <c r="E794" s="157">
        <v>8.3800000000000008</v>
      </c>
      <c r="F794" s="165"/>
      <c r="G794" s="166">
        <v>1093</v>
      </c>
      <c r="H794" s="167">
        <v>8.8000000000000007</v>
      </c>
      <c r="I794" s="165"/>
      <c r="J794" s="167"/>
      <c r="K794" s="167">
        <v>11.3</v>
      </c>
      <c r="L794" s="167">
        <v>3</v>
      </c>
      <c r="M794" s="168">
        <v>0.593055555555556</v>
      </c>
      <c r="N794" s="67" t="s">
        <v>262</v>
      </c>
    </row>
    <row r="795" spans="1:14" x14ac:dyDescent="0.25">
      <c r="A795" s="66">
        <v>44897</v>
      </c>
      <c r="B795" s="67" t="s">
        <v>22</v>
      </c>
      <c r="C795" s="129" t="str">
        <f t="shared" si="24"/>
        <v>02.12.2022_BOYkl</v>
      </c>
      <c r="D795" s="143">
        <f t="shared" si="25"/>
        <v>0</v>
      </c>
      <c r="E795" s="157">
        <v>8.08</v>
      </c>
      <c r="F795" s="165"/>
      <c r="G795" s="166">
        <v>537</v>
      </c>
      <c r="H795" s="167">
        <v>7.6</v>
      </c>
      <c r="I795" s="165"/>
      <c r="J795" s="167"/>
      <c r="K795" s="167">
        <v>5.4</v>
      </c>
      <c r="L795" s="167">
        <v>4</v>
      </c>
      <c r="M795" s="168">
        <v>0.47777777777777802</v>
      </c>
      <c r="N795" s="67" t="s">
        <v>266</v>
      </c>
    </row>
    <row r="796" spans="1:14" x14ac:dyDescent="0.25">
      <c r="A796" s="66">
        <v>44897</v>
      </c>
      <c r="B796" s="67" t="s">
        <v>25</v>
      </c>
      <c r="C796" s="129" t="str">
        <f t="shared" si="24"/>
        <v>02.12.2022_BOYohB224</v>
      </c>
      <c r="D796" s="143">
        <f t="shared" si="25"/>
        <v>0</v>
      </c>
      <c r="E796" s="157">
        <v>8.36</v>
      </c>
      <c r="F796" s="165"/>
      <c r="G796" s="166">
        <v>1001</v>
      </c>
      <c r="H796" s="167">
        <v>12.2</v>
      </c>
      <c r="I796" s="165"/>
      <c r="J796" s="167"/>
      <c r="K796" s="167">
        <v>6.5</v>
      </c>
      <c r="L796" s="167">
        <v>23.8</v>
      </c>
      <c r="M796" s="168">
        <v>0.63055555555555598</v>
      </c>
      <c r="N796" s="67"/>
    </row>
    <row r="797" spans="1:14" x14ac:dyDescent="0.25">
      <c r="A797" s="66">
        <v>44897</v>
      </c>
      <c r="B797" s="67" t="s">
        <v>28</v>
      </c>
      <c r="C797" s="129" t="str">
        <f t="shared" si="24"/>
        <v>02.12.2022_BOYohBr</v>
      </c>
      <c r="D797" s="143">
        <f t="shared" si="25"/>
        <v>0</v>
      </c>
      <c r="E797" s="157">
        <v>8.16</v>
      </c>
      <c r="F797" s="165"/>
      <c r="G797" s="166">
        <v>607</v>
      </c>
      <c r="H797" s="167">
        <v>8.6999999999999993</v>
      </c>
      <c r="I797" s="165"/>
      <c r="J797" s="167"/>
      <c r="K797" s="167">
        <v>8.8000000000000007</v>
      </c>
      <c r="L797" s="167">
        <v>42</v>
      </c>
      <c r="M797" s="168">
        <v>0.52986111111111101</v>
      </c>
      <c r="N797" s="67"/>
    </row>
    <row r="798" spans="1:14" x14ac:dyDescent="0.25">
      <c r="A798" s="66">
        <v>44897</v>
      </c>
      <c r="B798" s="67" t="s">
        <v>30</v>
      </c>
      <c r="C798" s="129" t="str">
        <f t="shared" si="24"/>
        <v>02.12.2022_BOYohKi</v>
      </c>
      <c r="D798" s="143">
        <f t="shared" si="25"/>
        <v>0</v>
      </c>
      <c r="E798" s="157">
        <v>8.0399999999999991</v>
      </c>
      <c r="F798" s="165"/>
      <c r="G798" s="166">
        <v>850</v>
      </c>
      <c r="H798" s="167">
        <v>10.6</v>
      </c>
      <c r="I798" s="165"/>
      <c r="J798" s="167"/>
      <c r="K798" s="167">
        <v>6.9</v>
      </c>
      <c r="L798" s="167">
        <v>30</v>
      </c>
      <c r="M798" s="168">
        <v>0.39791666666666697</v>
      </c>
      <c r="N798" s="67"/>
    </row>
    <row r="799" spans="1:14" x14ac:dyDescent="0.25">
      <c r="A799" s="66">
        <v>44897</v>
      </c>
      <c r="B799" s="67" t="s">
        <v>32</v>
      </c>
      <c r="C799" s="129" t="str">
        <f t="shared" si="24"/>
        <v>02.12.2022_BOYohSp</v>
      </c>
      <c r="D799" s="143">
        <f t="shared" si="25"/>
        <v>0</v>
      </c>
      <c r="E799" s="157">
        <v>8.1999999999999993</v>
      </c>
      <c r="F799" s="165"/>
      <c r="G799" s="166">
        <v>693</v>
      </c>
      <c r="H799" s="167">
        <v>9.4</v>
      </c>
      <c r="I799" s="165"/>
      <c r="J799" s="167"/>
      <c r="K799" s="167">
        <v>7.8</v>
      </c>
      <c r="L799" s="167">
        <v>21.9</v>
      </c>
      <c r="M799" s="168">
        <v>0.55625000000000002</v>
      </c>
      <c r="N799" s="67"/>
    </row>
    <row r="800" spans="1:14" x14ac:dyDescent="0.25">
      <c r="A800" s="66">
        <v>44897</v>
      </c>
      <c r="B800" s="67" t="s">
        <v>34</v>
      </c>
      <c r="C800" s="129" t="str">
        <f t="shared" si="24"/>
        <v>02.12.2022_BOYuhHa</v>
      </c>
      <c r="D800" s="143">
        <f t="shared" si="25"/>
        <v>0</v>
      </c>
      <c r="E800" s="157">
        <v>8.43</v>
      </c>
      <c r="F800" s="165"/>
      <c r="G800" s="166">
        <v>1032</v>
      </c>
      <c r="H800" s="167">
        <v>12.7</v>
      </c>
      <c r="I800" s="165"/>
      <c r="J800" s="167"/>
      <c r="K800" s="167">
        <v>6.3</v>
      </c>
      <c r="L800" s="167">
        <v>15</v>
      </c>
      <c r="M800" s="168">
        <v>0.64236111111111105</v>
      </c>
      <c r="N800" s="67"/>
    </row>
    <row r="801" spans="1:14" x14ac:dyDescent="0.25">
      <c r="A801" s="66">
        <v>44897</v>
      </c>
      <c r="B801" s="67" t="s">
        <v>36</v>
      </c>
      <c r="C801" s="129" t="str">
        <f t="shared" si="24"/>
        <v>02.12.2022_BOYuhSp</v>
      </c>
      <c r="D801" s="143">
        <f t="shared" si="25"/>
        <v>0</v>
      </c>
      <c r="E801" s="157">
        <v>8.2899999999999991</v>
      </c>
      <c r="F801" s="165"/>
      <c r="G801" s="166">
        <v>702</v>
      </c>
      <c r="H801" s="167">
        <v>9.6999999999999993</v>
      </c>
      <c r="I801" s="165"/>
      <c r="J801" s="167"/>
      <c r="K801" s="167">
        <v>7.6</v>
      </c>
      <c r="L801" s="167">
        <v>19.2</v>
      </c>
      <c r="M801" s="168">
        <v>0.54722222222222205</v>
      </c>
      <c r="N801" s="67"/>
    </row>
    <row r="802" spans="1:14" x14ac:dyDescent="0.25">
      <c r="A802" s="66">
        <v>44897</v>
      </c>
      <c r="B802" s="67" t="s">
        <v>38</v>
      </c>
      <c r="C802" s="129" t="str">
        <f t="shared" si="24"/>
        <v>02.12.2022_BRAob</v>
      </c>
      <c r="D802" s="143">
        <f t="shared" si="25"/>
        <v>0</v>
      </c>
      <c r="E802" s="157">
        <v>7.97</v>
      </c>
      <c r="F802" s="165"/>
      <c r="G802" s="166">
        <v>880</v>
      </c>
      <c r="H802" s="167">
        <v>9.3000000000000007</v>
      </c>
      <c r="I802" s="165"/>
      <c r="J802" s="167"/>
      <c r="K802" s="167">
        <v>6.6</v>
      </c>
      <c r="L802" s="167">
        <v>9.5</v>
      </c>
      <c r="M802" s="168">
        <v>0.49236111111111103</v>
      </c>
      <c r="N802" s="67"/>
    </row>
    <row r="803" spans="1:14" x14ac:dyDescent="0.25">
      <c r="A803" s="66">
        <v>44897</v>
      </c>
      <c r="B803" s="67" t="s">
        <v>41</v>
      </c>
      <c r="C803" s="129" t="str">
        <f t="shared" si="24"/>
        <v>02.12.2022_BRAohBo</v>
      </c>
      <c r="D803" s="143">
        <f t="shared" si="25"/>
        <v>0</v>
      </c>
      <c r="E803" s="157">
        <v>8.27</v>
      </c>
      <c r="F803" s="165"/>
      <c r="G803" s="166">
        <v>883</v>
      </c>
      <c r="H803" s="167">
        <v>10</v>
      </c>
      <c r="I803" s="165"/>
      <c r="J803" s="167"/>
      <c r="K803" s="167">
        <v>6.1</v>
      </c>
      <c r="L803" s="167">
        <v>15.7</v>
      </c>
      <c r="M803" s="168">
        <v>0.50347222222222199</v>
      </c>
      <c r="N803" s="67"/>
    </row>
    <row r="804" spans="1:14" x14ac:dyDescent="0.25">
      <c r="A804" s="66">
        <v>44897</v>
      </c>
      <c r="B804" s="67" t="s">
        <v>43</v>
      </c>
      <c r="C804" s="129" t="str">
        <f t="shared" si="24"/>
        <v>02.12.2022_HAAob</v>
      </c>
      <c r="D804" s="143">
        <f t="shared" si="25"/>
        <v>0</v>
      </c>
      <c r="E804" s="157">
        <v>7.85</v>
      </c>
      <c r="F804" s="165"/>
      <c r="G804" s="166">
        <v>1117</v>
      </c>
      <c r="H804" s="167">
        <v>8.6</v>
      </c>
      <c r="I804" s="165"/>
      <c r="J804" s="167"/>
      <c r="K804" s="167">
        <v>7.7</v>
      </c>
      <c r="L804" s="167">
        <v>10</v>
      </c>
      <c r="M804" s="168">
        <v>0.59097222222222201</v>
      </c>
      <c r="N804" s="67"/>
    </row>
    <row r="805" spans="1:14" x14ac:dyDescent="0.25">
      <c r="A805" s="66">
        <v>44897</v>
      </c>
      <c r="B805" s="67" t="s">
        <v>45</v>
      </c>
      <c r="C805" s="129" t="str">
        <f t="shared" si="24"/>
        <v>02.12.2022_HAAun</v>
      </c>
      <c r="D805" s="143">
        <f t="shared" si="25"/>
        <v>0</v>
      </c>
      <c r="E805" s="157">
        <v>8.01</v>
      </c>
      <c r="F805" s="165"/>
      <c r="G805" s="166">
        <v>1334</v>
      </c>
      <c r="H805" s="167">
        <v>10</v>
      </c>
      <c r="I805" s="165"/>
      <c r="J805" s="167"/>
      <c r="K805" s="167">
        <v>7.2</v>
      </c>
      <c r="L805" s="167">
        <v>8.9</v>
      </c>
      <c r="M805" s="168">
        <v>0.57986111111111105</v>
      </c>
      <c r="N805" s="67"/>
    </row>
    <row r="806" spans="1:14" x14ac:dyDescent="0.25">
      <c r="A806" s="66">
        <v>44897</v>
      </c>
      <c r="B806" s="67" t="s">
        <v>47</v>
      </c>
      <c r="C806" s="129" t="str">
        <f t="shared" si="24"/>
        <v>02.12.2022_KIRob</v>
      </c>
      <c r="D806" s="143">
        <f t="shared" si="25"/>
        <v>0</v>
      </c>
      <c r="E806" s="157">
        <v>8.08</v>
      </c>
      <c r="F806" s="165"/>
      <c r="G806" s="166">
        <v>1120</v>
      </c>
      <c r="H806" s="167">
        <v>7.5</v>
      </c>
      <c r="I806" s="165"/>
      <c r="J806" s="167"/>
      <c r="K806" s="167">
        <v>7.7</v>
      </c>
      <c r="L806" s="167">
        <v>11</v>
      </c>
      <c r="M806" s="168">
        <v>0.42430555555555599</v>
      </c>
      <c r="N806" s="67"/>
    </row>
    <row r="807" spans="1:14" x14ac:dyDescent="0.25">
      <c r="A807" s="66">
        <v>44897</v>
      </c>
      <c r="B807" s="67" t="s">
        <v>49</v>
      </c>
      <c r="C807" s="129" t="str">
        <f t="shared" si="24"/>
        <v>02.12.2022_KIRun</v>
      </c>
      <c r="D807" s="143">
        <f t="shared" si="25"/>
        <v>0</v>
      </c>
      <c r="E807" s="157">
        <v>8.09</v>
      </c>
      <c r="F807" s="165"/>
      <c r="G807" s="166">
        <v>1007</v>
      </c>
      <c r="H807" s="167">
        <v>9.4</v>
      </c>
      <c r="I807" s="165"/>
      <c r="J807" s="167"/>
      <c r="K807" s="167">
        <v>8</v>
      </c>
      <c r="L807" s="167">
        <v>11</v>
      </c>
      <c r="M807" s="168">
        <v>0.41319444444444398</v>
      </c>
      <c r="N807" s="67"/>
    </row>
    <row r="808" spans="1:14" x14ac:dyDescent="0.25">
      <c r="A808" s="66">
        <v>44897</v>
      </c>
      <c r="B808" s="67" t="s">
        <v>50</v>
      </c>
      <c r="C808" s="129" t="str">
        <f t="shared" si="24"/>
        <v>02.12.2022_LIEohBo</v>
      </c>
      <c r="D808" s="143">
        <f t="shared" si="25"/>
        <v>0</v>
      </c>
      <c r="E808" s="157">
        <v>8.0500000000000007</v>
      </c>
      <c r="F808" s="165"/>
      <c r="G808" s="166">
        <v>667</v>
      </c>
      <c r="H808" s="167">
        <v>9.6</v>
      </c>
      <c r="I808" s="165"/>
      <c r="J808" s="167"/>
      <c r="K808" s="167">
        <v>6.4</v>
      </c>
      <c r="L808" s="167">
        <v>14.2</v>
      </c>
      <c r="M808" s="168">
        <v>0.375</v>
      </c>
      <c r="N808" s="67"/>
    </row>
    <row r="809" spans="1:14" x14ac:dyDescent="0.25">
      <c r="A809" s="66">
        <v>44897</v>
      </c>
      <c r="B809" s="67" t="s">
        <v>53</v>
      </c>
      <c r="C809" s="129" t="str">
        <f t="shared" si="24"/>
        <v>02.12.2022_NATohBo</v>
      </c>
      <c r="D809" s="143">
        <f t="shared" si="25"/>
        <v>0</v>
      </c>
      <c r="E809" s="157">
        <v>7.78</v>
      </c>
      <c r="F809" s="165"/>
      <c r="G809" s="166">
        <v>1920</v>
      </c>
      <c r="H809" s="167">
        <v>9.9</v>
      </c>
      <c r="I809" s="165"/>
      <c r="J809" s="167"/>
      <c r="K809" s="167">
        <v>6.7</v>
      </c>
      <c r="L809" s="167">
        <v>15</v>
      </c>
      <c r="M809" s="168">
        <v>0.61805555555555602</v>
      </c>
      <c r="N809" s="67" t="s">
        <v>262</v>
      </c>
    </row>
    <row r="810" spans="1:14" x14ac:dyDescent="0.25">
      <c r="A810" s="66">
        <v>44897</v>
      </c>
      <c r="B810" s="67" t="s">
        <v>55</v>
      </c>
      <c r="C810" s="129" t="str">
        <f t="shared" si="24"/>
        <v>02.12.2022_QUAohBo</v>
      </c>
      <c r="D810" s="143">
        <f t="shared" si="25"/>
        <v>0</v>
      </c>
      <c r="E810" s="157">
        <v>7.95</v>
      </c>
      <c r="F810" s="165"/>
      <c r="G810" s="166">
        <v>880</v>
      </c>
      <c r="H810" s="167">
        <v>9.3000000000000007</v>
      </c>
      <c r="I810" s="165"/>
      <c r="J810" s="167"/>
      <c r="K810" s="167">
        <v>6.5</v>
      </c>
      <c r="L810" s="167">
        <v>11</v>
      </c>
      <c r="M810" s="168">
        <v>0.56944444444444398</v>
      </c>
      <c r="N810" s="67"/>
    </row>
    <row r="811" spans="1:14" x14ac:dyDescent="0.25">
      <c r="A811" s="66">
        <v>44897</v>
      </c>
      <c r="B811" s="67" t="s">
        <v>57</v>
      </c>
      <c r="C811" s="129" t="str">
        <f t="shared" si="24"/>
        <v>02.12.2022_SCHohVo</v>
      </c>
      <c r="D811" s="143">
        <f t="shared" si="25"/>
        <v>5</v>
      </c>
      <c r="E811" s="157"/>
      <c r="F811" s="165"/>
      <c r="G811" s="166"/>
      <c r="H811" s="167"/>
      <c r="I811" s="165"/>
      <c r="J811" s="167"/>
      <c r="K811" s="167"/>
      <c r="L811" s="167"/>
      <c r="M811" s="168"/>
      <c r="N811" s="67" t="s">
        <v>341</v>
      </c>
    </row>
    <row r="812" spans="1:14" x14ac:dyDescent="0.25">
      <c r="A812" s="66">
        <v>44897</v>
      </c>
      <c r="B812" s="67" t="s">
        <v>60</v>
      </c>
      <c r="C812" s="129" t="str">
        <f t="shared" si="24"/>
        <v>02.12.2022_VORohBo</v>
      </c>
      <c r="D812" s="143">
        <f t="shared" si="25"/>
        <v>0</v>
      </c>
      <c r="E812" s="157">
        <v>7.79</v>
      </c>
      <c r="F812" s="165"/>
      <c r="G812" s="166">
        <v>1082</v>
      </c>
      <c r="H812" s="167">
        <v>7.4</v>
      </c>
      <c r="I812" s="165"/>
      <c r="J812" s="167"/>
      <c r="K812" s="167">
        <v>7.3</v>
      </c>
      <c r="L812" s="167">
        <v>26.9</v>
      </c>
      <c r="M812" s="168">
        <v>0.45902777777777798</v>
      </c>
      <c r="N812" s="67"/>
    </row>
    <row r="813" spans="1:14" x14ac:dyDescent="0.25">
      <c r="A813" s="66">
        <v>44897</v>
      </c>
      <c r="B813" s="67" t="s">
        <v>62</v>
      </c>
      <c r="C813" s="129" t="str">
        <f t="shared" si="24"/>
        <v>02.12.2022_VORuhSc</v>
      </c>
      <c r="D813" s="143">
        <f t="shared" si="25"/>
        <v>0</v>
      </c>
      <c r="E813" s="157">
        <v>7.61</v>
      </c>
      <c r="F813" s="165"/>
      <c r="G813" s="166">
        <v>1074</v>
      </c>
      <c r="H813" s="167">
        <v>7.9</v>
      </c>
      <c r="I813" s="165"/>
      <c r="J813" s="167"/>
      <c r="K813" s="167">
        <v>8</v>
      </c>
      <c r="L813" s="167">
        <v>15</v>
      </c>
      <c r="M813" s="168">
        <v>0.44513888888888897</v>
      </c>
      <c r="N813" s="67"/>
    </row>
    <row r="814" spans="1:14" x14ac:dyDescent="0.25">
      <c r="A814" s="66">
        <v>44897</v>
      </c>
      <c r="B814" s="67" t="s">
        <v>64</v>
      </c>
      <c r="C814" s="129" t="str">
        <f t="shared" si="24"/>
        <v>02.12.2022_WITob</v>
      </c>
      <c r="D814" s="143">
        <f t="shared" si="25"/>
        <v>0</v>
      </c>
      <c r="E814" s="157">
        <v>8.3800000000000008</v>
      </c>
      <c r="F814" s="165"/>
      <c r="G814" s="166">
        <v>1259</v>
      </c>
      <c r="H814" s="167">
        <v>11.3</v>
      </c>
      <c r="I814" s="165"/>
      <c r="J814" s="167"/>
      <c r="K814" s="167">
        <v>6</v>
      </c>
      <c r="L814" s="167">
        <v>4</v>
      </c>
      <c r="M814" s="168">
        <v>0.60416666666666696</v>
      </c>
      <c r="N814" s="67"/>
    </row>
    <row r="815" spans="1:14" x14ac:dyDescent="0.25">
      <c r="A815" s="66">
        <v>44911</v>
      </c>
      <c r="B815" s="67" t="s">
        <v>22</v>
      </c>
      <c r="C815" s="129" t="str">
        <f t="shared" si="24"/>
        <v>16.12.2022_BOYkl</v>
      </c>
      <c r="D815" s="143">
        <f t="shared" si="25"/>
        <v>0</v>
      </c>
      <c r="E815" s="157">
        <v>7.03</v>
      </c>
      <c r="F815" s="165"/>
      <c r="G815" s="166">
        <v>348</v>
      </c>
      <c r="H815" s="167">
        <v>11.6</v>
      </c>
      <c r="I815" s="165"/>
      <c r="J815" s="167"/>
      <c r="K815" s="167">
        <v>0.2</v>
      </c>
      <c r="L815" s="167">
        <v>6.4</v>
      </c>
      <c r="M815" s="168">
        <v>0.46666666666666701</v>
      </c>
      <c r="N815" s="67" t="s">
        <v>134</v>
      </c>
    </row>
    <row r="816" spans="1:14" x14ac:dyDescent="0.25">
      <c r="A816" s="66">
        <v>44911</v>
      </c>
      <c r="B816" s="67" t="s">
        <v>25</v>
      </c>
      <c r="C816" s="129" t="str">
        <f t="shared" si="24"/>
        <v>16.12.2022_BOYohB224</v>
      </c>
      <c r="D816" s="143">
        <f t="shared" si="25"/>
        <v>0</v>
      </c>
      <c r="E816" s="157">
        <v>8.14</v>
      </c>
      <c r="F816" s="165"/>
      <c r="G816" s="166">
        <v>1001</v>
      </c>
      <c r="H816" s="167">
        <v>17.7</v>
      </c>
      <c r="I816" s="165"/>
      <c r="J816" s="167"/>
      <c r="K816" s="167">
        <v>0.3</v>
      </c>
      <c r="L816" s="167">
        <v>35.200000000000003</v>
      </c>
      <c r="M816" s="168">
        <v>0.62222222222222201</v>
      </c>
      <c r="N816" s="67" t="s">
        <v>135</v>
      </c>
    </row>
    <row r="817" spans="1:14" x14ac:dyDescent="0.25">
      <c r="A817" s="66">
        <v>44911</v>
      </c>
      <c r="B817" s="67" t="s">
        <v>28</v>
      </c>
      <c r="C817" s="129" t="str">
        <f t="shared" si="24"/>
        <v>16.12.2022_BOYohBr</v>
      </c>
      <c r="D817" s="143">
        <f t="shared" si="25"/>
        <v>0</v>
      </c>
      <c r="E817" s="157">
        <v>7.91</v>
      </c>
      <c r="F817" s="165"/>
      <c r="G817" s="166">
        <v>634</v>
      </c>
      <c r="H817" s="167">
        <v>11.3</v>
      </c>
      <c r="I817" s="165"/>
      <c r="J817" s="167"/>
      <c r="K817" s="167">
        <v>5.6</v>
      </c>
      <c r="L817" s="167">
        <v>55</v>
      </c>
      <c r="M817" s="168">
        <v>0.52500000000000002</v>
      </c>
      <c r="N817" s="67"/>
    </row>
    <row r="818" spans="1:14" x14ac:dyDescent="0.25">
      <c r="A818" s="66">
        <v>44911</v>
      </c>
      <c r="B818" s="67" t="s">
        <v>30</v>
      </c>
      <c r="C818" s="129" t="str">
        <f t="shared" si="24"/>
        <v>16.12.2022_BOYohKi</v>
      </c>
      <c r="D818" s="143">
        <f t="shared" si="25"/>
        <v>0</v>
      </c>
      <c r="E818" s="157">
        <v>8.1999999999999993</v>
      </c>
      <c r="F818" s="165"/>
      <c r="G818" s="166">
        <v>901</v>
      </c>
      <c r="H818" s="167">
        <v>16</v>
      </c>
      <c r="I818" s="165"/>
      <c r="J818" s="167"/>
      <c r="K818" s="167">
        <v>0.5</v>
      </c>
      <c r="L818" s="167">
        <v>27</v>
      </c>
      <c r="M818" s="168">
        <v>0.39236111111111099</v>
      </c>
      <c r="N818" s="67" t="s">
        <v>136</v>
      </c>
    </row>
    <row r="819" spans="1:14" x14ac:dyDescent="0.25">
      <c r="A819" s="66">
        <v>44911</v>
      </c>
      <c r="B819" s="67" t="s">
        <v>32</v>
      </c>
      <c r="C819" s="129" t="str">
        <f t="shared" si="24"/>
        <v>16.12.2022_BOYohSp</v>
      </c>
      <c r="D819" s="143">
        <f t="shared" si="25"/>
        <v>0</v>
      </c>
      <c r="E819" s="157">
        <v>7.84</v>
      </c>
      <c r="F819" s="165"/>
      <c r="G819" s="166">
        <v>731</v>
      </c>
      <c r="H819" s="167">
        <v>11.9</v>
      </c>
      <c r="I819" s="165"/>
      <c r="J819" s="167"/>
      <c r="K819" s="167">
        <v>3.1</v>
      </c>
      <c r="L819" s="167">
        <v>23.2</v>
      </c>
      <c r="M819" s="168">
        <v>0.55347222222222203</v>
      </c>
      <c r="N819" s="67"/>
    </row>
    <row r="820" spans="1:14" x14ac:dyDescent="0.25">
      <c r="A820" s="66">
        <v>44911</v>
      </c>
      <c r="B820" s="67" t="s">
        <v>34</v>
      </c>
      <c r="C820" s="129" t="str">
        <f t="shared" si="24"/>
        <v>16.12.2022_BOYuhHa</v>
      </c>
      <c r="D820" s="143">
        <f t="shared" si="25"/>
        <v>1</v>
      </c>
      <c r="E820" s="157"/>
      <c r="F820" s="165"/>
      <c r="G820" s="166">
        <v>1079</v>
      </c>
      <c r="H820" s="167">
        <v>18</v>
      </c>
      <c r="I820" s="165"/>
      <c r="J820" s="167"/>
      <c r="K820" s="167">
        <v>0.2</v>
      </c>
      <c r="L820" s="167">
        <v>22</v>
      </c>
      <c r="M820" s="168">
        <v>0.63333333333333297</v>
      </c>
      <c r="N820" s="67" t="s">
        <v>137</v>
      </c>
    </row>
    <row r="821" spans="1:14" x14ac:dyDescent="0.25">
      <c r="A821" s="66">
        <v>44911</v>
      </c>
      <c r="B821" s="67" t="s">
        <v>36</v>
      </c>
      <c r="C821" s="129" t="str">
        <f t="shared" si="24"/>
        <v>16.12.2022_BOYuhSp</v>
      </c>
      <c r="D821" s="143">
        <f t="shared" si="25"/>
        <v>0</v>
      </c>
      <c r="E821" s="157">
        <v>7.97</v>
      </c>
      <c r="F821" s="165"/>
      <c r="G821" s="166">
        <v>738</v>
      </c>
      <c r="H821" s="167">
        <v>13.3</v>
      </c>
      <c r="I821" s="165"/>
      <c r="J821" s="167"/>
      <c r="K821" s="167">
        <v>2.9</v>
      </c>
      <c r="L821" s="167">
        <v>20</v>
      </c>
      <c r="M821" s="168">
        <v>0.54513888888888895</v>
      </c>
      <c r="N821" s="67"/>
    </row>
    <row r="822" spans="1:14" x14ac:dyDescent="0.25">
      <c r="A822" s="66">
        <v>44911</v>
      </c>
      <c r="B822" s="67" t="s">
        <v>38</v>
      </c>
      <c r="C822" s="129" t="str">
        <f t="shared" si="24"/>
        <v>16.12.2022_BRAob</v>
      </c>
      <c r="D822" s="143">
        <f t="shared" si="25"/>
        <v>0</v>
      </c>
      <c r="E822" s="157">
        <v>7.56</v>
      </c>
      <c r="F822" s="165"/>
      <c r="G822" s="166">
        <v>833</v>
      </c>
      <c r="H822" s="167">
        <v>14.8</v>
      </c>
      <c r="I822" s="165"/>
      <c r="J822" s="167"/>
      <c r="K822" s="167">
        <v>0.3</v>
      </c>
      <c r="L822" s="167">
        <v>9.8000000000000007</v>
      </c>
      <c r="M822" s="168">
        <v>0.48055555555555601</v>
      </c>
      <c r="N822" s="67"/>
    </row>
    <row r="823" spans="1:14" x14ac:dyDescent="0.25">
      <c r="A823" s="66">
        <v>44911</v>
      </c>
      <c r="B823" s="67" t="s">
        <v>41</v>
      </c>
      <c r="C823" s="129" t="str">
        <f t="shared" si="24"/>
        <v>16.12.2022_BRAohBo</v>
      </c>
      <c r="D823" s="143">
        <f t="shared" si="25"/>
        <v>0</v>
      </c>
      <c r="E823" s="157">
        <v>7.68</v>
      </c>
      <c r="F823" s="165"/>
      <c r="G823" s="166">
        <v>892</v>
      </c>
      <c r="H823" s="167">
        <v>14.6</v>
      </c>
      <c r="I823" s="165"/>
      <c r="J823" s="167"/>
      <c r="K823" s="167">
        <v>0.3</v>
      </c>
      <c r="L823" s="167">
        <v>15.9</v>
      </c>
      <c r="M823" s="168">
        <v>0.49444444444444402</v>
      </c>
      <c r="N823" s="67"/>
    </row>
    <row r="824" spans="1:14" x14ac:dyDescent="0.25">
      <c r="A824" s="66">
        <v>44911</v>
      </c>
      <c r="B824" s="67" t="s">
        <v>43</v>
      </c>
      <c r="C824" s="129" t="str">
        <f t="shared" si="24"/>
        <v>16.12.2022_HAAob</v>
      </c>
      <c r="D824" s="143">
        <f t="shared" si="25"/>
        <v>0</v>
      </c>
      <c r="E824" s="157">
        <v>7.88</v>
      </c>
      <c r="F824" s="165"/>
      <c r="G824" s="166">
        <v>1051</v>
      </c>
      <c r="H824" s="167">
        <v>14.3</v>
      </c>
      <c r="I824" s="165"/>
      <c r="J824" s="167"/>
      <c r="K824" s="167">
        <v>2.2000000000000002</v>
      </c>
      <c r="L824" s="167">
        <v>11.5</v>
      </c>
      <c r="M824" s="168">
        <v>0.58611111111111103</v>
      </c>
      <c r="N824" s="67" t="s">
        <v>135</v>
      </c>
    </row>
    <row r="825" spans="1:14" x14ac:dyDescent="0.25">
      <c r="A825" s="66">
        <v>44911</v>
      </c>
      <c r="B825" s="67" t="s">
        <v>45</v>
      </c>
      <c r="C825" s="129" t="str">
        <f t="shared" si="24"/>
        <v>16.12.2022_HAAun</v>
      </c>
      <c r="D825" s="143">
        <f t="shared" si="25"/>
        <v>0</v>
      </c>
      <c r="E825" s="157">
        <v>8.1</v>
      </c>
      <c r="F825" s="165"/>
      <c r="G825" s="166">
        <v>1262</v>
      </c>
      <c r="H825" s="167">
        <v>14.6</v>
      </c>
      <c r="I825" s="165"/>
      <c r="J825" s="167"/>
      <c r="K825" s="167">
        <v>1.4</v>
      </c>
      <c r="L825" s="167">
        <v>12</v>
      </c>
      <c r="M825" s="168">
        <v>0.57638888888888895</v>
      </c>
      <c r="N825" s="67"/>
    </row>
    <row r="826" spans="1:14" x14ac:dyDescent="0.25">
      <c r="A826" s="66">
        <v>44911</v>
      </c>
      <c r="B826" s="67" t="s">
        <v>47</v>
      </c>
      <c r="C826" s="129" t="str">
        <f t="shared" si="24"/>
        <v>16.12.2022_KIRob</v>
      </c>
      <c r="D826" s="143">
        <f t="shared" si="25"/>
        <v>0</v>
      </c>
      <c r="E826" s="157">
        <v>8.23</v>
      </c>
      <c r="F826" s="165"/>
      <c r="G826" s="166">
        <v>1120</v>
      </c>
      <c r="H826" s="167">
        <v>13.7</v>
      </c>
      <c r="I826" s="165"/>
      <c r="J826" s="167"/>
      <c r="K826" s="167">
        <v>1.3</v>
      </c>
      <c r="L826" s="167">
        <v>14</v>
      </c>
      <c r="M826" s="168">
        <v>0.41458333333333303</v>
      </c>
      <c r="N826" s="67"/>
    </row>
    <row r="827" spans="1:14" x14ac:dyDescent="0.25">
      <c r="A827" s="66">
        <v>44911</v>
      </c>
      <c r="B827" s="67" t="s">
        <v>49</v>
      </c>
      <c r="C827" s="129" t="str">
        <f t="shared" si="24"/>
        <v>16.12.2022_KIRun</v>
      </c>
      <c r="D827" s="143">
        <f t="shared" si="25"/>
        <v>0</v>
      </c>
      <c r="E827" s="157">
        <v>8.26</v>
      </c>
      <c r="F827" s="165"/>
      <c r="G827" s="166">
        <v>1013</v>
      </c>
      <c r="H827" s="167">
        <v>15.2</v>
      </c>
      <c r="I827" s="165"/>
      <c r="J827" s="167"/>
      <c r="K827" s="167">
        <v>2.2999999999999998</v>
      </c>
      <c r="L827" s="167">
        <v>12.8</v>
      </c>
      <c r="M827" s="168">
        <v>0.40625</v>
      </c>
      <c r="N827" s="67"/>
    </row>
    <row r="828" spans="1:14" x14ac:dyDescent="0.25">
      <c r="A828" s="66">
        <v>44911</v>
      </c>
      <c r="B828" s="67" t="s">
        <v>50</v>
      </c>
      <c r="C828" s="129" t="str">
        <f t="shared" si="24"/>
        <v>16.12.2022_LIEohBo</v>
      </c>
      <c r="D828" s="143">
        <f t="shared" si="25"/>
        <v>0</v>
      </c>
      <c r="E828" s="157">
        <v>7.45</v>
      </c>
      <c r="F828" s="165"/>
      <c r="G828" s="166">
        <v>840</v>
      </c>
      <c r="H828" s="167">
        <v>7.1</v>
      </c>
      <c r="I828" s="165"/>
      <c r="J828" s="167"/>
      <c r="K828" s="167">
        <v>1</v>
      </c>
      <c r="L828" s="167">
        <v>6.8</v>
      </c>
      <c r="M828" s="168">
        <v>0.375694444444445</v>
      </c>
      <c r="N828" s="67" t="s">
        <v>267</v>
      </c>
    </row>
    <row r="829" spans="1:14" x14ac:dyDescent="0.25">
      <c r="A829" s="66">
        <v>44911</v>
      </c>
      <c r="B829" s="67" t="s">
        <v>53</v>
      </c>
      <c r="C829" s="129" t="str">
        <f t="shared" si="24"/>
        <v>16.12.2022_NATohBo</v>
      </c>
      <c r="D829" s="143">
        <f t="shared" si="25"/>
        <v>0</v>
      </c>
      <c r="E829" s="157">
        <v>7.24</v>
      </c>
      <c r="F829" s="165"/>
      <c r="G829" s="166">
        <v>2190</v>
      </c>
      <c r="H829" s="167">
        <v>10.5</v>
      </c>
      <c r="I829" s="165"/>
      <c r="J829" s="167"/>
      <c r="K829" s="167">
        <v>2.1</v>
      </c>
      <c r="L829" s="167">
        <v>15.3</v>
      </c>
      <c r="M829" s="168">
        <v>0.61041666666666705</v>
      </c>
      <c r="N829" s="67" t="s">
        <v>135</v>
      </c>
    </row>
    <row r="830" spans="1:14" x14ac:dyDescent="0.25">
      <c r="A830" s="66">
        <v>44911</v>
      </c>
      <c r="B830" s="67" t="s">
        <v>55</v>
      </c>
      <c r="C830" s="129" t="str">
        <f t="shared" si="24"/>
        <v>16.12.2022_QUAohBo</v>
      </c>
      <c r="D830" s="143">
        <f t="shared" si="25"/>
        <v>0</v>
      </c>
      <c r="E830" s="157">
        <v>7.58</v>
      </c>
      <c r="F830" s="165"/>
      <c r="G830" s="166">
        <v>961</v>
      </c>
      <c r="H830" s="167">
        <v>12.7</v>
      </c>
      <c r="I830" s="165"/>
      <c r="J830" s="167"/>
      <c r="K830" s="167">
        <v>0.5</v>
      </c>
      <c r="L830" s="167">
        <v>12</v>
      </c>
      <c r="M830" s="168">
        <v>0.563194444444444</v>
      </c>
      <c r="N830" s="67" t="s">
        <v>135</v>
      </c>
    </row>
    <row r="831" spans="1:14" x14ac:dyDescent="0.25">
      <c r="A831" s="66">
        <v>44911</v>
      </c>
      <c r="B831" s="67" t="s">
        <v>57</v>
      </c>
      <c r="C831" s="129" t="str">
        <f t="shared" si="24"/>
        <v>16.12.2022_SCHohVo</v>
      </c>
      <c r="D831" s="143">
        <f t="shared" si="25"/>
        <v>5</v>
      </c>
      <c r="E831" s="157"/>
      <c r="F831" s="165"/>
      <c r="G831" s="166"/>
      <c r="H831" s="167"/>
      <c r="I831" s="165"/>
      <c r="J831" s="167"/>
      <c r="K831" s="167"/>
      <c r="L831" s="167"/>
      <c r="M831" s="168"/>
      <c r="N831" s="67" t="s">
        <v>138</v>
      </c>
    </row>
    <row r="832" spans="1:14" x14ac:dyDescent="0.25">
      <c r="A832" s="66">
        <v>44911</v>
      </c>
      <c r="B832" s="67" t="s">
        <v>60</v>
      </c>
      <c r="C832" s="129" t="str">
        <f t="shared" ref="C832:C894" si="26">CONCATENATE(TEXT(A832,"TT.MM.JJJJ"),"_",B832)</f>
        <v>16.12.2022_VORohBo</v>
      </c>
      <c r="D832" s="143">
        <f t="shared" si="25"/>
        <v>0</v>
      </c>
      <c r="E832" s="157">
        <v>7.71</v>
      </c>
      <c r="F832" s="165"/>
      <c r="G832" s="166">
        <v>1113</v>
      </c>
      <c r="H832" s="167">
        <v>11.2</v>
      </c>
      <c r="I832" s="165"/>
      <c r="J832" s="167"/>
      <c r="K832" s="167">
        <v>1.2</v>
      </c>
      <c r="L832" s="167">
        <v>25.8</v>
      </c>
      <c r="M832" s="168">
        <v>0.44930555555555601</v>
      </c>
      <c r="N832" s="67"/>
    </row>
    <row r="833" spans="1:14" x14ac:dyDescent="0.25">
      <c r="A833" s="66">
        <v>44911</v>
      </c>
      <c r="B833" s="67" t="s">
        <v>62</v>
      </c>
      <c r="C833" s="129" t="str">
        <f t="shared" si="26"/>
        <v>16.12.2022_VORuhSc</v>
      </c>
      <c r="D833" s="143">
        <f t="shared" ref="D833:D895" si="27">COUNTBLANK(E833)+COUNTBLANK(G833:H833)+COUNTBLANK(K833:L833)</f>
        <v>0</v>
      </c>
      <c r="E833" s="157">
        <v>7.41</v>
      </c>
      <c r="F833" s="165"/>
      <c r="G833" s="166">
        <v>1118</v>
      </c>
      <c r="H833" s="167">
        <v>11.5</v>
      </c>
      <c r="I833" s="165"/>
      <c r="J833" s="167"/>
      <c r="K833" s="167">
        <v>3.1</v>
      </c>
      <c r="L833" s="167">
        <v>14</v>
      </c>
      <c r="M833" s="168">
        <v>0.43611111111111101</v>
      </c>
      <c r="N833" s="67"/>
    </row>
    <row r="834" spans="1:14" x14ac:dyDescent="0.25">
      <c r="A834" s="66">
        <v>44911</v>
      </c>
      <c r="B834" s="67" t="s">
        <v>64</v>
      </c>
      <c r="C834" s="129" t="str">
        <f t="shared" si="26"/>
        <v>16.12.2022_WITob</v>
      </c>
      <c r="D834" s="143">
        <f t="shared" si="27"/>
        <v>0</v>
      </c>
      <c r="E834" s="157">
        <v>7.97</v>
      </c>
      <c r="F834" s="165"/>
      <c r="G834" s="166">
        <v>1345</v>
      </c>
      <c r="H834" s="167">
        <v>13.8</v>
      </c>
      <c r="I834" s="165"/>
      <c r="J834" s="167"/>
      <c r="K834" s="167">
        <v>0.2</v>
      </c>
      <c r="L834" s="167">
        <v>4</v>
      </c>
      <c r="M834" s="168">
        <v>0.59722222222222199</v>
      </c>
      <c r="N834" s="67" t="s">
        <v>139</v>
      </c>
    </row>
    <row r="835" spans="1:14" x14ac:dyDescent="0.25">
      <c r="A835" s="66">
        <v>44925</v>
      </c>
      <c r="B835" s="67" t="s">
        <v>22</v>
      </c>
      <c r="C835" s="129" t="str">
        <f t="shared" si="26"/>
        <v>30.12.2022_BOYkl</v>
      </c>
      <c r="D835" s="143">
        <f t="shared" si="27"/>
        <v>0</v>
      </c>
      <c r="E835" s="157">
        <v>7.24</v>
      </c>
      <c r="F835" s="165"/>
      <c r="G835" s="166">
        <v>494</v>
      </c>
      <c r="H835" s="167">
        <v>10.7</v>
      </c>
      <c r="I835" s="165"/>
      <c r="J835" s="167"/>
      <c r="K835" s="167">
        <v>6.7</v>
      </c>
      <c r="L835" s="167">
        <v>31.3</v>
      </c>
      <c r="M835" s="168">
        <v>0.47569444444444398</v>
      </c>
      <c r="N835" s="67" t="s">
        <v>140</v>
      </c>
    </row>
    <row r="836" spans="1:14" x14ac:dyDescent="0.25">
      <c r="A836" s="66">
        <v>44925</v>
      </c>
      <c r="B836" s="67" t="s">
        <v>25</v>
      </c>
      <c r="C836" s="129" t="str">
        <f t="shared" si="26"/>
        <v>30.12.2022_BOYohB224</v>
      </c>
      <c r="D836" s="143">
        <f t="shared" si="27"/>
        <v>0</v>
      </c>
      <c r="E836" s="157">
        <v>8.2200000000000006</v>
      </c>
      <c r="F836" s="165"/>
      <c r="G836" s="166">
        <v>789</v>
      </c>
      <c r="H836" s="167">
        <v>10.4</v>
      </c>
      <c r="I836" s="165"/>
      <c r="J836" s="167"/>
      <c r="K836" s="167">
        <v>7.6</v>
      </c>
      <c r="L836" s="167">
        <v>31.9</v>
      </c>
      <c r="M836" s="168">
        <v>0.63749999999999996</v>
      </c>
      <c r="N836" s="67"/>
    </row>
    <row r="837" spans="1:14" x14ac:dyDescent="0.25">
      <c r="A837" s="66">
        <v>44925</v>
      </c>
      <c r="B837" s="67" t="s">
        <v>28</v>
      </c>
      <c r="C837" s="129" t="str">
        <f t="shared" si="26"/>
        <v>30.12.2022_BOYohBr</v>
      </c>
      <c r="D837" s="143">
        <f t="shared" si="27"/>
        <v>0</v>
      </c>
      <c r="E837" s="157">
        <v>7.54</v>
      </c>
      <c r="F837" s="165"/>
      <c r="G837" s="166">
        <v>570</v>
      </c>
      <c r="H837" s="167">
        <v>10.1</v>
      </c>
      <c r="I837" s="165"/>
      <c r="J837" s="167"/>
      <c r="K837" s="167">
        <v>7.9</v>
      </c>
      <c r="L837" s="167">
        <v>35.299999999999997</v>
      </c>
      <c r="M837" s="168">
        <v>0.53402777777777799</v>
      </c>
      <c r="N837" s="67"/>
    </row>
    <row r="838" spans="1:14" x14ac:dyDescent="0.25">
      <c r="A838" s="66">
        <v>44925</v>
      </c>
      <c r="B838" s="67" t="s">
        <v>30</v>
      </c>
      <c r="C838" s="129" t="str">
        <f t="shared" si="26"/>
        <v>30.12.2022_BOYohKi</v>
      </c>
      <c r="D838" s="143">
        <f t="shared" si="27"/>
        <v>0</v>
      </c>
      <c r="E838" s="157">
        <v>7.92</v>
      </c>
      <c r="F838" s="165"/>
      <c r="G838" s="166">
        <v>710</v>
      </c>
      <c r="H838" s="167">
        <v>11.3</v>
      </c>
      <c r="I838" s="165"/>
      <c r="J838" s="167"/>
      <c r="K838" s="167">
        <v>6.9</v>
      </c>
      <c r="L838" s="167">
        <v>44.5</v>
      </c>
      <c r="M838" s="168">
        <v>0.39930555555555602</v>
      </c>
      <c r="N838" s="67" t="s">
        <v>141</v>
      </c>
    </row>
    <row r="839" spans="1:14" x14ac:dyDescent="0.25">
      <c r="A839" s="66">
        <v>44925</v>
      </c>
      <c r="B839" s="67" t="s">
        <v>32</v>
      </c>
      <c r="C839" s="129" t="str">
        <f t="shared" si="26"/>
        <v>30.12.2022_BOYohSp</v>
      </c>
      <c r="D839" s="143">
        <f t="shared" si="27"/>
        <v>0</v>
      </c>
      <c r="E839" s="157">
        <v>7.84</v>
      </c>
      <c r="F839" s="165"/>
      <c r="G839" s="166">
        <v>619</v>
      </c>
      <c r="H839" s="167">
        <v>9.6999999999999993</v>
      </c>
      <c r="I839" s="165"/>
      <c r="J839" s="167"/>
      <c r="K839" s="167">
        <v>7.6</v>
      </c>
      <c r="L839" s="167">
        <v>25.1</v>
      </c>
      <c r="M839" s="168">
        <v>0.55902777777777801</v>
      </c>
      <c r="N839" s="67" t="s">
        <v>142</v>
      </c>
    </row>
    <row r="840" spans="1:14" x14ac:dyDescent="0.25">
      <c r="A840" s="66">
        <v>44925</v>
      </c>
      <c r="B840" s="67" t="s">
        <v>34</v>
      </c>
      <c r="C840" s="129" t="str">
        <f t="shared" si="26"/>
        <v>30.12.2022_BOYuhHa</v>
      </c>
      <c r="D840" s="143">
        <f t="shared" si="27"/>
        <v>0</v>
      </c>
      <c r="E840" s="157">
        <v>8.3699999999999992</v>
      </c>
      <c r="F840" s="165"/>
      <c r="G840" s="166">
        <v>801</v>
      </c>
      <c r="H840" s="167">
        <v>11</v>
      </c>
      <c r="I840" s="165"/>
      <c r="J840" s="167"/>
      <c r="K840" s="167">
        <v>7.5</v>
      </c>
      <c r="L840" s="167">
        <v>27.4</v>
      </c>
      <c r="M840" s="168">
        <v>0.65069444444444502</v>
      </c>
      <c r="N840" s="67"/>
    </row>
    <row r="841" spans="1:14" x14ac:dyDescent="0.25">
      <c r="A841" s="66">
        <v>44925</v>
      </c>
      <c r="B841" s="67" t="s">
        <v>36</v>
      </c>
      <c r="C841" s="129" t="str">
        <f t="shared" si="26"/>
        <v>30.12.2022_BOYuhSp</v>
      </c>
      <c r="D841" s="143">
        <f t="shared" si="27"/>
        <v>0</v>
      </c>
      <c r="E841" s="157">
        <v>7.81</v>
      </c>
      <c r="F841" s="165"/>
      <c r="G841" s="166">
        <v>679</v>
      </c>
      <c r="H841" s="167">
        <v>9.9</v>
      </c>
      <c r="I841" s="165"/>
      <c r="J841" s="167"/>
      <c r="K841" s="167">
        <v>7.4</v>
      </c>
      <c r="L841" s="167">
        <v>23.4</v>
      </c>
      <c r="M841" s="168">
        <v>0.55000000000000004</v>
      </c>
      <c r="N841" s="67"/>
    </row>
    <row r="842" spans="1:14" x14ac:dyDescent="0.25">
      <c r="A842" s="66">
        <v>44925</v>
      </c>
      <c r="B842" s="67" t="s">
        <v>38</v>
      </c>
      <c r="C842" s="129" t="str">
        <f t="shared" si="26"/>
        <v>30.12.2022_BRAob</v>
      </c>
      <c r="D842" s="143">
        <f t="shared" si="27"/>
        <v>0</v>
      </c>
      <c r="E842" s="157">
        <v>7.62</v>
      </c>
      <c r="F842" s="165"/>
      <c r="G842" s="166">
        <v>916</v>
      </c>
      <c r="H842" s="167">
        <v>9.5</v>
      </c>
      <c r="I842" s="165"/>
      <c r="J842" s="167"/>
      <c r="K842" s="167">
        <v>7.1</v>
      </c>
      <c r="L842" s="167">
        <v>9.5</v>
      </c>
      <c r="M842" s="168">
        <v>0.48958333333333298</v>
      </c>
      <c r="N842" s="67"/>
    </row>
    <row r="843" spans="1:14" x14ac:dyDescent="0.25">
      <c r="A843" s="66">
        <v>44925</v>
      </c>
      <c r="B843" s="67" t="s">
        <v>41</v>
      </c>
      <c r="C843" s="129" t="str">
        <f t="shared" si="26"/>
        <v>30.12.2022_BRAohBo</v>
      </c>
      <c r="D843" s="143">
        <f t="shared" si="27"/>
        <v>0</v>
      </c>
      <c r="E843" s="157">
        <v>7.57</v>
      </c>
      <c r="F843" s="165"/>
      <c r="G843" s="166">
        <v>822</v>
      </c>
      <c r="H843" s="167">
        <v>9.9</v>
      </c>
      <c r="I843" s="165"/>
      <c r="J843" s="167"/>
      <c r="K843" s="167">
        <v>7.1</v>
      </c>
      <c r="L843" s="167">
        <v>21.3</v>
      </c>
      <c r="M843" s="168">
        <v>0.50486111111111098</v>
      </c>
      <c r="N843" s="67"/>
    </row>
    <row r="844" spans="1:14" x14ac:dyDescent="0.25">
      <c r="A844" s="66">
        <v>44925</v>
      </c>
      <c r="B844" s="67" t="s">
        <v>43</v>
      </c>
      <c r="C844" s="129" t="str">
        <f t="shared" si="26"/>
        <v>30.12.2022_HAAob</v>
      </c>
      <c r="D844" s="143">
        <f t="shared" si="27"/>
        <v>0</v>
      </c>
      <c r="E844" s="157">
        <v>8.15</v>
      </c>
      <c r="F844" s="165"/>
      <c r="G844" s="166">
        <v>837</v>
      </c>
      <c r="H844" s="167">
        <v>9.3000000000000007</v>
      </c>
      <c r="I844" s="165"/>
      <c r="J844" s="167"/>
      <c r="K844" s="167">
        <v>8.6</v>
      </c>
      <c r="L844" s="167">
        <v>8.1999999999999993</v>
      </c>
      <c r="M844" s="168">
        <v>0.59722222222222199</v>
      </c>
      <c r="N844" s="67"/>
    </row>
    <row r="845" spans="1:14" x14ac:dyDescent="0.25">
      <c r="A845" s="66">
        <v>44925</v>
      </c>
      <c r="B845" s="67" t="s">
        <v>45</v>
      </c>
      <c r="C845" s="129" t="str">
        <f t="shared" si="26"/>
        <v>30.12.2022_HAAun</v>
      </c>
      <c r="D845" s="143">
        <f t="shared" si="27"/>
        <v>0</v>
      </c>
      <c r="E845" s="157">
        <v>7.93</v>
      </c>
      <c r="F845" s="165"/>
      <c r="G845" s="166">
        <v>1069</v>
      </c>
      <c r="H845" s="167">
        <v>8.5</v>
      </c>
      <c r="I845" s="165"/>
      <c r="J845" s="167"/>
      <c r="K845" s="167">
        <v>8.3000000000000007</v>
      </c>
      <c r="L845" s="167">
        <v>12.1</v>
      </c>
      <c r="M845" s="168">
        <v>0.58472222222222203</v>
      </c>
      <c r="N845" s="67"/>
    </row>
    <row r="846" spans="1:14" x14ac:dyDescent="0.25">
      <c r="A846" s="66">
        <v>44925</v>
      </c>
      <c r="B846" s="67" t="s">
        <v>47</v>
      </c>
      <c r="C846" s="129" t="str">
        <f t="shared" si="26"/>
        <v>30.12.2022_KIRob</v>
      </c>
      <c r="D846" s="143">
        <f t="shared" si="27"/>
        <v>0</v>
      </c>
      <c r="E846" s="157">
        <v>7.95</v>
      </c>
      <c r="F846" s="165"/>
      <c r="G846" s="166">
        <v>1042</v>
      </c>
      <c r="H846" s="167">
        <v>8.6</v>
      </c>
      <c r="I846" s="165"/>
      <c r="J846" s="167"/>
      <c r="K846" s="167">
        <v>8.1</v>
      </c>
      <c r="L846" s="167">
        <v>11</v>
      </c>
      <c r="M846" s="168">
        <v>0.41944444444444401</v>
      </c>
      <c r="N846" s="67"/>
    </row>
    <row r="847" spans="1:14" x14ac:dyDescent="0.25">
      <c r="A847" s="66">
        <v>44925</v>
      </c>
      <c r="B847" s="67" t="s">
        <v>49</v>
      </c>
      <c r="C847" s="129" t="str">
        <f t="shared" si="26"/>
        <v>30.12.2022_KIRun</v>
      </c>
      <c r="D847" s="143">
        <f t="shared" si="27"/>
        <v>0</v>
      </c>
      <c r="E847" s="157">
        <v>8.02</v>
      </c>
      <c r="F847" s="165"/>
      <c r="G847" s="166">
        <v>958</v>
      </c>
      <c r="H847" s="167">
        <v>10.3</v>
      </c>
      <c r="I847" s="165"/>
      <c r="J847" s="167"/>
      <c r="K847" s="167">
        <v>8.3000000000000007</v>
      </c>
      <c r="L847" s="167">
        <v>11.7</v>
      </c>
      <c r="M847" s="168">
        <v>0.40972222222222199</v>
      </c>
      <c r="N847" s="67"/>
    </row>
    <row r="848" spans="1:14" x14ac:dyDescent="0.25">
      <c r="A848" s="66">
        <v>44925</v>
      </c>
      <c r="B848" s="67" t="s">
        <v>50</v>
      </c>
      <c r="C848" s="129" t="str">
        <f t="shared" si="26"/>
        <v>30.12.2022_LIEohBo</v>
      </c>
      <c r="D848" s="143">
        <f t="shared" si="27"/>
        <v>0</v>
      </c>
      <c r="E848" s="157">
        <v>8.01</v>
      </c>
      <c r="F848" s="165"/>
      <c r="G848" s="166">
        <v>600</v>
      </c>
      <c r="H848" s="167">
        <v>8.3000000000000007</v>
      </c>
      <c r="I848" s="165"/>
      <c r="J848" s="167"/>
      <c r="K848" s="167">
        <v>5.3</v>
      </c>
      <c r="L848" s="167">
        <v>17.600000000000001</v>
      </c>
      <c r="M848" s="168">
        <v>0.37222222222222201</v>
      </c>
      <c r="N848" s="67"/>
    </row>
    <row r="849" spans="1:14" x14ac:dyDescent="0.25">
      <c r="A849" s="66">
        <v>44925</v>
      </c>
      <c r="B849" s="67" t="s">
        <v>53</v>
      </c>
      <c r="C849" s="129" t="str">
        <f t="shared" si="26"/>
        <v>30.12.2022_NATohBo</v>
      </c>
      <c r="D849" s="143">
        <f t="shared" si="27"/>
        <v>0</v>
      </c>
      <c r="E849" s="157">
        <v>7.78</v>
      </c>
      <c r="F849" s="165"/>
      <c r="G849" s="166">
        <v>1208</v>
      </c>
      <c r="H849" s="167">
        <v>9.1999999999999993</v>
      </c>
      <c r="I849" s="165"/>
      <c r="J849" s="167"/>
      <c r="K849" s="167">
        <v>7.8</v>
      </c>
      <c r="L849" s="167">
        <v>13.2</v>
      </c>
      <c r="M849" s="168">
        <v>0.625694444444444</v>
      </c>
      <c r="N849" s="67"/>
    </row>
    <row r="850" spans="1:14" x14ac:dyDescent="0.25">
      <c r="A850" s="66">
        <v>44925</v>
      </c>
      <c r="B850" s="67" t="s">
        <v>55</v>
      </c>
      <c r="C850" s="129" t="str">
        <f t="shared" si="26"/>
        <v>30.12.2022_QUAohBo</v>
      </c>
      <c r="D850" s="143">
        <f t="shared" si="27"/>
        <v>0</v>
      </c>
      <c r="E850" s="157">
        <v>7.8</v>
      </c>
      <c r="F850" s="165"/>
      <c r="G850" s="166">
        <v>872</v>
      </c>
      <c r="H850" s="167">
        <v>8.5</v>
      </c>
      <c r="I850" s="165"/>
      <c r="J850" s="167"/>
      <c r="K850" s="167">
        <v>7.9</v>
      </c>
      <c r="L850" s="167">
        <v>17.899999999999999</v>
      </c>
      <c r="M850" s="168">
        <v>0.56944444444444398</v>
      </c>
      <c r="N850" s="67"/>
    </row>
    <row r="851" spans="1:14" x14ac:dyDescent="0.25">
      <c r="A851" s="66">
        <v>44925</v>
      </c>
      <c r="B851" s="67" t="s">
        <v>57</v>
      </c>
      <c r="C851" s="129" t="str">
        <f t="shared" si="26"/>
        <v>30.12.2022_SCHohVo</v>
      </c>
      <c r="D851" s="143">
        <f t="shared" si="27"/>
        <v>0</v>
      </c>
      <c r="E851" s="157">
        <v>7.56</v>
      </c>
      <c r="F851" s="165"/>
      <c r="G851" s="166">
        <v>644</v>
      </c>
      <c r="H851" s="167">
        <v>11.2</v>
      </c>
      <c r="I851" s="165"/>
      <c r="J851" s="167"/>
      <c r="K851" s="167">
        <v>6.5</v>
      </c>
      <c r="L851" s="167">
        <v>10.199999999999999</v>
      </c>
      <c r="M851" s="168">
        <v>0.4375</v>
      </c>
      <c r="N851" s="67"/>
    </row>
    <row r="852" spans="1:14" x14ac:dyDescent="0.25">
      <c r="A852" s="66">
        <v>44925</v>
      </c>
      <c r="B852" s="67" t="s">
        <v>60</v>
      </c>
      <c r="C852" s="129" t="str">
        <f t="shared" si="26"/>
        <v>30.12.2022_VORohBo</v>
      </c>
      <c r="D852" s="143">
        <f t="shared" si="27"/>
        <v>0</v>
      </c>
      <c r="E852" s="157">
        <v>7.55</v>
      </c>
      <c r="F852" s="165"/>
      <c r="G852" s="166">
        <v>959</v>
      </c>
      <c r="H852" s="167">
        <v>7.7</v>
      </c>
      <c r="I852" s="165"/>
      <c r="J852" s="167"/>
      <c r="K852" s="167">
        <v>7.3</v>
      </c>
      <c r="L852" s="167">
        <v>22.4</v>
      </c>
      <c r="M852" s="168">
        <v>0.45763888888888898</v>
      </c>
      <c r="N852" s="67"/>
    </row>
    <row r="853" spans="1:14" x14ac:dyDescent="0.25">
      <c r="A853" s="66">
        <v>44925</v>
      </c>
      <c r="B853" s="67" t="s">
        <v>62</v>
      </c>
      <c r="C853" s="129" t="str">
        <f t="shared" si="26"/>
        <v>30.12.2022_VORuhSc</v>
      </c>
      <c r="D853" s="143">
        <f t="shared" si="27"/>
        <v>0</v>
      </c>
      <c r="E853" s="157">
        <v>7.41</v>
      </c>
      <c r="F853" s="165"/>
      <c r="G853" s="166">
        <v>940</v>
      </c>
      <c r="H853" s="167">
        <v>9.1999999999999993</v>
      </c>
      <c r="I853" s="165"/>
      <c r="J853" s="167"/>
      <c r="K853" s="167">
        <v>7.7</v>
      </c>
      <c r="L853" s="167">
        <v>13.3</v>
      </c>
      <c r="M853" s="168">
        <v>0.44722222222222202</v>
      </c>
      <c r="N853" s="67"/>
    </row>
    <row r="854" spans="1:14" x14ac:dyDescent="0.25">
      <c r="A854" s="66">
        <v>44925</v>
      </c>
      <c r="B854" s="67" t="s">
        <v>64</v>
      </c>
      <c r="C854" s="129" t="str">
        <f t="shared" si="26"/>
        <v>30.12.2022_WITob</v>
      </c>
      <c r="D854" s="143">
        <f t="shared" si="27"/>
        <v>0</v>
      </c>
      <c r="E854" s="157">
        <v>8.4499999999999993</v>
      </c>
      <c r="F854" s="165"/>
      <c r="G854" s="166">
        <v>1247</v>
      </c>
      <c r="H854" s="167">
        <v>9.5</v>
      </c>
      <c r="I854" s="165"/>
      <c r="J854" s="167"/>
      <c r="K854" s="167">
        <v>8.1</v>
      </c>
      <c r="L854" s="167">
        <v>3.3</v>
      </c>
      <c r="M854" s="168">
        <v>0.61111111111111105</v>
      </c>
      <c r="N854" s="67"/>
    </row>
    <row r="855" spans="1:14" x14ac:dyDescent="0.25">
      <c r="A855" s="66">
        <v>44939</v>
      </c>
      <c r="B855" s="67" t="s">
        <v>22</v>
      </c>
      <c r="C855" s="129" t="str">
        <f t="shared" si="26"/>
        <v>13.01.2023_BOYkl</v>
      </c>
      <c r="D855" s="143">
        <f t="shared" si="27"/>
        <v>0</v>
      </c>
      <c r="E855" s="157">
        <v>7.24</v>
      </c>
      <c r="F855" s="165"/>
      <c r="G855" s="166">
        <v>427</v>
      </c>
      <c r="H855" s="167">
        <v>12.1</v>
      </c>
      <c r="I855" s="165"/>
      <c r="J855" s="167"/>
      <c r="K855" s="167">
        <v>8.8000000000000007</v>
      </c>
      <c r="L855" s="167">
        <v>49</v>
      </c>
      <c r="M855" s="168">
        <v>0.45138888888888901</v>
      </c>
      <c r="N855" s="67" t="s">
        <v>268</v>
      </c>
    </row>
    <row r="856" spans="1:14" x14ac:dyDescent="0.25">
      <c r="A856" s="66">
        <v>44939</v>
      </c>
      <c r="B856" s="67" t="s">
        <v>25</v>
      </c>
      <c r="C856" s="129" t="str">
        <f t="shared" si="26"/>
        <v>13.01.2023_BOYohB224</v>
      </c>
      <c r="D856" s="143">
        <f t="shared" si="27"/>
        <v>0</v>
      </c>
      <c r="E856" s="157">
        <v>7.82</v>
      </c>
      <c r="F856" s="165"/>
      <c r="G856" s="166">
        <v>584</v>
      </c>
      <c r="H856" s="167">
        <v>9.6</v>
      </c>
      <c r="I856" s="165"/>
      <c r="J856" s="167"/>
      <c r="K856" s="167">
        <v>9.3000000000000007</v>
      </c>
      <c r="L856" s="167">
        <v>70</v>
      </c>
      <c r="M856" s="168">
        <v>0.59583333333333299</v>
      </c>
      <c r="N856" s="67" t="s">
        <v>269</v>
      </c>
    </row>
    <row r="857" spans="1:14" x14ac:dyDescent="0.25">
      <c r="A857" s="66">
        <v>44939</v>
      </c>
      <c r="B857" s="67" t="s">
        <v>28</v>
      </c>
      <c r="C857" s="129" t="str">
        <f t="shared" si="26"/>
        <v>13.01.2023_BOYohBr</v>
      </c>
      <c r="D857" s="143">
        <f t="shared" si="27"/>
        <v>0</v>
      </c>
      <c r="E857" s="157">
        <v>7.24</v>
      </c>
      <c r="F857" s="165"/>
      <c r="G857" s="166">
        <v>497</v>
      </c>
      <c r="H857" s="167">
        <v>10.4</v>
      </c>
      <c r="I857" s="165"/>
      <c r="J857" s="167"/>
      <c r="K857" s="167">
        <v>9.1</v>
      </c>
      <c r="L857" s="167">
        <v>47</v>
      </c>
      <c r="M857" s="168">
        <v>0.49375000000000002</v>
      </c>
      <c r="N857" s="67"/>
    </row>
    <row r="858" spans="1:14" x14ac:dyDescent="0.25">
      <c r="A858" s="66">
        <v>44939</v>
      </c>
      <c r="B858" s="67" t="s">
        <v>30</v>
      </c>
      <c r="C858" s="129" t="str">
        <f t="shared" si="26"/>
        <v>13.01.2023_BOYohKi</v>
      </c>
      <c r="D858" s="143">
        <f t="shared" si="27"/>
        <v>0</v>
      </c>
      <c r="E858" s="157">
        <v>7.55</v>
      </c>
      <c r="F858" s="165"/>
      <c r="G858" s="166">
        <v>552</v>
      </c>
      <c r="H858" s="167">
        <v>9.4</v>
      </c>
      <c r="I858" s="165"/>
      <c r="J858" s="167"/>
      <c r="K858" s="167">
        <v>9.1</v>
      </c>
      <c r="L858" s="167">
        <v>70.5</v>
      </c>
      <c r="M858" s="168">
        <v>0.375</v>
      </c>
      <c r="N858" s="67" t="s">
        <v>270</v>
      </c>
    </row>
    <row r="859" spans="1:14" x14ac:dyDescent="0.25">
      <c r="A859" s="66">
        <v>44939</v>
      </c>
      <c r="B859" s="67" t="s">
        <v>32</v>
      </c>
      <c r="C859" s="129" t="str">
        <f t="shared" si="26"/>
        <v>13.01.2023_BOYohSp</v>
      </c>
      <c r="D859" s="143">
        <f t="shared" si="27"/>
        <v>0</v>
      </c>
      <c r="E859" s="157">
        <v>7.4</v>
      </c>
      <c r="F859" s="165"/>
      <c r="G859" s="166">
        <v>590</v>
      </c>
      <c r="H859" s="167">
        <v>9.6</v>
      </c>
      <c r="I859" s="165"/>
      <c r="J859" s="167"/>
      <c r="K859" s="167">
        <v>8.9</v>
      </c>
      <c r="L859" s="167">
        <v>53</v>
      </c>
      <c r="M859" s="168">
        <v>0.51805555555555605</v>
      </c>
      <c r="N859" s="67"/>
    </row>
    <row r="860" spans="1:14" x14ac:dyDescent="0.25">
      <c r="A860" s="66">
        <v>44939</v>
      </c>
      <c r="B860" s="67" t="s">
        <v>34</v>
      </c>
      <c r="C860" s="129" t="str">
        <f t="shared" si="26"/>
        <v>13.01.2023_BOYuhHa</v>
      </c>
      <c r="D860" s="143">
        <f t="shared" si="27"/>
        <v>0</v>
      </c>
      <c r="E860" s="157">
        <v>7.94</v>
      </c>
      <c r="F860" s="165"/>
      <c r="G860" s="166">
        <v>579</v>
      </c>
      <c r="H860" s="167">
        <v>9.6999999999999993</v>
      </c>
      <c r="I860" s="165"/>
      <c r="J860" s="167"/>
      <c r="K860" s="167">
        <v>9.3000000000000007</v>
      </c>
      <c r="L860" s="167">
        <v>34.5</v>
      </c>
      <c r="M860" s="168">
        <v>0.60555555555555596</v>
      </c>
      <c r="N860" s="67"/>
    </row>
    <row r="861" spans="1:14" x14ac:dyDescent="0.25">
      <c r="A861" s="66">
        <v>44939</v>
      </c>
      <c r="B861" s="67" t="s">
        <v>36</v>
      </c>
      <c r="C861" s="129" t="str">
        <f t="shared" si="26"/>
        <v>13.01.2023_BOYuhSp</v>
      </c>
      <c r="D861" s="143">
        <f t="shared" si="27"/>
        <v>0</v>
      </c>
      <c r="E861" s="157">
        <v>7.44</v>
      </c>
      <c r="F861" s="165"/>
      <c r="G861" s="166">
        <v>582</v>
      </c>
      <c r="H861" s="167">
        <v>9.5</v>
      </c>
      <c r="I861" s="165"/>
      <c r="J861" s="167"/>
      <c r="K861" s="167">
        <v>8.8000000000000007</v>
      </c>
      <c r="L861" s="167">
        <v>66</v>
      </c>
      <c r="M861" s="168">
        <v>0.51180555555555596</v>
      </c>
      <c r="N861" s="67"/>
    </row>
    <row r="862" spans="1:14" x14ac:dyDescent="0.25">
      <c r="A862" s="66">
        <v>44939</v>
      </c>
      <c r="B862" s="67" t="s">
        <v>38</v>
      </c>
      <c r="C862" s="129" t="str">
        <f t="shared" si="26"/>
        <v>13.01.2023_BRAob</v>
      </c>
      <c r="D862" s="143">
        <f t="shared" si="27"/>
        <v>0</v>
      </c>
      <c r="E862" s="157">
        <v>7.51</v>
      </c>
      <c r="F862" s="165"/>
      <c r="G862" s="166">
        <v>774</v>
      </c>
      <c r="H862" s="167">
        <v>9.3000000000000007</v>
      </c>
      <c r="I862" s="165"/>
      <c r="J862" s="167"/>
      <c r="K862" s="167">
        <v>8.5</v>
      </c>
      <c r="L862" s="167">
        <v>16.3</v>
      </c>
      <c r="M862" s="168">
        <v>0.46597222222222201</v>
      </c>
      <c r="N862" s="67"/>
    </row>
    <row r="863" spans="1:14" x14ac:dyDescent="0.25">
      <c r="A863" s="66">
        <v>44939</v>
      </c>
      <c r="B863" s="67" t="s">
        <v>41</v>
      </c>
      <c r="C863" s="129" t="str">
        <f t="shared" si="26"/>
        <v>13.01.2023_BRAohBo</v>
      </c>
      <c r="D863" s="143">
        <f t="shared" si="27"/>
        <v>0</v>
      </c>
      <c r="E863" s="157">
        <v>7.4</v>
      </c>
      <c r="F863" s="165"/>
      <c r="G863" s="166">
        <v>648</v>
      </c>
      <c r="H863" s="167">
        <v>9.1999999999999993</v>
      </c>
      <c r="I863" s="165"/>
      <c r="J863" s="167"/>
      <c r="K863" s="167">
        <v>8.5</v>
      </c>
      <c r="L863" s="167">
        <v>41</v>
      </c>
      <c r="M863" s="168">
        <v>0.47569444444444398</v>
      </c>
      <c r="N863" s="67"/>
    </row>
    <row r="864" spans="1:14" x14ac:dyDescent="0.25">
      <c r="A864" s="66">
        <v>44939</v>
      </c>
      <c r="B864" s="67" t="s">
        <v>43</v>
      </c>
      <c r="C864" s="129" t="str">
        <f t="shared" si="26"/>
        <v>13.01.2023_HAAob</v>
      </c>
      <c r="D864" s="143">
        <f t="shared" si="27"/>
        <v>0</v>
      </c>
      <c r="E864" s="157">
        <v>8.19</v>
      </c>
      <c r="F864" s="165"/>
      <c r="G864" s="166">
        <v>736</v>
      </c>
      <c r="H864" s="167">
        <v>11</v>
      </c>
      <c r="I864" s="165"/>
      <c r="J864" s="167"/>
      <c r="K864" s="167">
        <v>9.1</v>
      </c>
      <c r="L864" s="167">
        <v>15.8</v>
      </c>
      <c r="M864" s="168">
        <v>0.56111111111111101</v>
      </c>
      <c r="N864" s="67" t="s">
        <v>143</v>
      </c>
    </row>
    <row r="865" spans="1:14" x14ac:dyDescent="0.25">
      <c r="A865" s="66">
        <v>44939</v>
      </c>
      <c r="B865" s="67" t="s">
        <v>45</v>
      </c>
      <c r="C865" s="129" t="str">
        <f t="shared" si="26"/>
        <v>13.01.2023_HAAun</v>
      </c>
      <c r="D865" s="143">
        <f t="shared" si="27"/>
        <v>0</v>
      </c>
      <c r="E865" s="157">
        <v>7.61</v>
      </c>
      <c r="F865" s="165"/>
      <c r="G865" s="166">
        <v>907</v>
      </c>
      <c r="H865" s="167">
        <v>9.1999999999999993</v>
      </c>
      <c r="I865" s="165"/>
      <c r="J865" s="167"/>
      <c r="K865" s="167">
        <v>9.4</v>
      </c>
      <c r="L865" s="167">
        <v>25</v>
      </c>
      <c r="M865" s="168">
        <v>0.54097222222222197</v>
      </c>
      <c r="N865" s="67"/>
    </row>
    <row r="866" spans="1:14" x14ac:dyDescent="0.25">
      <c r="A866" s="66">
        <v>44939</v>
      </c>
      <c r="B866" s="67" t="s">
        <v>47</v>
      </c>
      <c r="C866" s="129" t="str">
        <f t="shared" si="26"/>
        <v>13.01.2023_KIRob</v>
      </c>
      <c r="D866" s="143">
        <f t="shared" si="27"/>
        <v>0</v>
      </c>
      <c r="E866" s="157">
        <v>7.8</v>
      </c>
      <c r="F866" s="165"/>
      <c r="G866" s="166">
        <v>937</v>
      </c>
      <c r="H866" s="167">
        <v>9.1</v>
      </c>
      <c r="I866" s="165"/>
      <c r="J866" s="167"/>
      <c r="K866" s="167">
        <v>9.6</v>
      </c>
      <c r="L866" s="167">
        <v>14.2</v>
      </c>
      <c r="M866" s="168">
        <v>0.39861111111111103</v>
      </c>
      <c r="N866" s="67"/>
    </row>
    <row r="867" spans="1:14" x14ac:dyDescent="0.25">
      <c r="A867" s="66">
        <v>44939</v>
      </c>
      <c r="B867" s="67" t="s">
        <v>49</v>
      </c>
      <c r="C867" s="129" t="str">
        <f t="shared" si="26"/>
        <v>13.01.2023_KIRun</v>
      </c>
      <c r="D867" s="143">
        <f t="shared" si="27"/>
        <v>0</v>
      </c>
      <c r="E867" s="157">
        <v>8.07</v>
      </c>
      <c r="F867" s="165"/>
      <c r="G867" s="166">
        <v>925</v>
      </c>
      <c r="H867" s="167">
        <v>9.8000000000000007</v>
      </c>
      <c r="I867" s="165"/>
      <c r="J867" s="167"/>
      <c r="K867" s="167">
        <v>9.6</v>
      </c>
      <c r="L867" s="167">
        <v>13.4</v>
      </c>
      <c r="M867" s="168">
        <v>0.38611111111111102</v>
      </c>
      <c r="N867" s="67"/>
    </row>
    <row r="868" spans="1:14" x14ac:dyDescent="0.25">
      <c r="A868" s="66">
        <v>44939</v>
      </c>
      <c r="B868" s="67" t="s">
        <v>50</v>
      </c>
      <c r="C868" s="129" t="str">
        <f t="shared" si="26"/>
        <v>13.01.2023_LIEohBo</v>
      </c>
      <c r="D868" s="143">
        <f t="shared" si="27"/>
        <v>0</v>
      </c>
      <c r="E868" s="157">
        <v>7.91</v>
      </c>
      <c r="F868" s="165"/>
      <c r="G868" s="166">
        <v>540</v>
      </c>
      <c r="H868" s="167">
        <v>9.6999999999999993</v>
      </c>
      <c r="I868" s="165"/>
      <c r="J868" s="167"/>
      <c r="K868" s="167">
        <v>10.7</v>
      </c>
      <c r="L868" s="167">
        <v>17.2</v>
      </c>
      <c r="M868" s="168">
        <v>0.36458333333333298</v>
      </c>
      <c r="N868" s="67"/>
    </row>
    <row r="869" spans="1:14" x14ac:dyDescent="0.25">
      <c r="A869" s="66">
        <v>44939</v>
      </c>
      <c r="B869" s="67" t="s">
        <v>53</v>
      </c>
      <c r="C869" s="129" t="str">
        <f t="shared" si="26"/>
        <v>13.01.2023_NATohBo</v>
      </c>
      <c r="D869" s="143">
        <f t="shared" si="27"/>
        <v>0</v>
      </c>
      <c r="E869" s="157">
        <v>7.94</v>
      </c>
      <c r="F869" s="165"/>
      <c r="G869" s="166">
        <v>707</v>
      </c>
      <c r="H869" s="167">
        <v>10.8</v>
      </c>
      <c r="I869" s="165"/>
      <c r="J869" s="167"/>
      <c r="K869" s="167">
        <v>8.9</v>
      </c>
      <c r="L869" s="167">
        <v>31.8</v>
      </c>
      <c r="M869" s="168">
        <v>0.58541666666666703</v>
      </c>
      <c r="N869" s="67"/>
    </row>
    <row r="870" spans="1:14" x14ac:dyDescent="0.25">
      <c r="A870" s="66">
        <v>44939</v>
      </c>
      <c r="B870" s="67" t="s">
        <v>55</v>
      </c>
      <c r="C870" s="129" t="str">
        <f t="shared" si="26"/>
        <v>13.01.2023_QUAohBo</v>
      </c>
      <c r="D870" s="143">
        <f t="shared" si="27"/>
        <v>0</v>
      </c>
      <c r="E870" s="157">
        <v>7.58</v>
      </c>
      <c r="F870" s="165"/>
      <c r="G870" s="166">
        <v>662</v>
      </c>
      <c r="H870" s="167">
        <v>10</v>
      </c>
      <c r="I870" s="165"/>
      <c r="J870" s="167"/>
      <c r="K870" s="167">
        <v>9.1</v>
      </c>
      <c r="L870" s="167">
        <v>25.3</v>
      </c>
      <c r="M870" s="168">
        <v>0.53125</v>
      </c>
      <c r="N870" s="67"/>
    </row>
    <row r="871" spans="1:14" x14ac:dyDescent="0.25">
      <c r="A871" s="66">
        <v>44939</v>
      </c>
      <c r="B871" s="67" t="s">
        <v>57</v>
      </c>
      <c r="C871" s="129" t="str">
        <f t="shared" si="26"/>
        <v>13.01.2023_SCHohVo</v>
      </c>
      <c r="D871" s="143">
        <f t="shared" si="27"/>
        <v>0</v>
      </c>
      <c r="E871" s="157">
        <v>7.47</v>
      </c>
      <c r="F871" s="165"/>
      <c r="G871" s="166">
        <v>506</v>
      </c>
      <c r="H871" s="167">
        <v>10.4</v>
      </c>
      <c r="I871" s="165"/>
      <c r="J871" s="167"/>
      <c r="K871" s="167">
        <v>8.4</v>
      </c>
      <c r="L871" s="167">
        <v>20</v>
      </c>
      <c r="M871" s="168">
        <v>0.41249999999999998</v>
      </c>
      <c r="N871" s="67"/>
    </row>
    <row r="872" spans="1:14" x14ac:dyDescent="0.25">
      <c r="A872" s="66">
        <v>44939</v>
      </c>
      <c r="B872" s="67" t="s">
        <v>60</v>
      </c>
      <c r="C872" s="129" t="str">
        <f t="shared" si="26"/>
        <v>13.01.2023_VORohBo</v>
      </c>
      <c r="D872" s="143">
        <f t="shared" si="27"/>
        <v>0</v>
      </c>
      <c r="E872" s="157">
        <v>7.64</v>
      </c>
      <c r="F872" s="165"/>
      <c r="G872" s="166">
        <v>743</v>
      </c>
      <c r="H872" s="167">
        <v>10.9</v>
      </c>
      <c r="I872" s="165"/>
      <c r="J872" s="167"/>
      <c r="K872" s="167">
        <v>8.8000000000000007</v>
      </c>
      <c r="L872" s="167">
        <v>26.5</v>
      </c>
      <c r="M872" s="168">
        <v>0.43194444444444402</v>
      </c>
      <c r="N872" s="67"/>
    </row>
    <row r="873" spans="1:14" x14ac:dyDescent="0.25">
      <c r="A873" s="66">
        <v>44939</v>
      </c>
      <c r="B873" s="67" t="s">
        <v>62</v>
      </c>
      <c r="C873" s="129" t="str">
        <f t="shared" si="26"/>
        <v>13.01.2023_VORuhSc</v>
      </c>
      <c r="D873" s="143">
        <f t="shared" si="27"/>
        <v>0</v>
      </c>
      <c r="E873" s="157">
        <v>7.38</v>
      </c>
      <c r="F873" s="165"/>
      <c r="G873" s="166">
        <v>731</v>
      </c>
      <c r="H873" s="167">
        <v>9.4</v>
      </c>
      <c r="I873" s="165"/>
      <c r="J873" s="167"/>
      <c r="K873" s="167">
        <v>8.8000000000000007</v>
      </c>
      <c r="L873" s="167">
        <v>23</v>
      </c>
      <c r="M873" s="168">
        <v>0.420833333333333</v>
      </c>
      <c r="N873" s="67"/>
    </row>
    <row r="874" spans="1:14" x14ac:dyDescent="0.25">
      <c r="A874" s="66">
        <v>44939</v>
      </c>
      <c r="B874" s="67" t="s">
        <v>64</v>
      </c>
      <c r="C874" s="129" t="str">
        <f t="shared" si="26"/>
        <v>13.01.2023_WITob</v>
      </c>
      <c r="D874" s="143">
        <f t="shared" si="27"/>
        <v>0</v>
      </c>
      <c r="E874" s="157">
        <v>8.35</v>
      </c>
      <c r="F874" s="165"/>
      <c r="G874" s="166">
        <v>1185</v>
      </c>
      <c r="H874" s="167">
        <v>11.3</v>
      </c>
      <c r="I874" s="165"/>
      <c r="J874" s="167"/>
      <c r="K874" s="167">
        <v>9.3000000000000007</v>
      </c>
      <c r="L874" s="167">
        <v>5</v>
      </c>
      <c r="M874" s="168">
        <v>0.57916666666666705</v>
      </c>
      <c r="N874" s="67"/>
    </row>
    <row r="875" spans="1:14" x14ac:dyDescent="0.25">
      <c r="A875" s="66">
        <v>44953</v>
      </c>
      <c r="B875" s="67" t="s">
        <v>22</v>
      </c>
      <c r="C875" s="129" t="str">
        <f t="shared" si="26"/>
        <v>27.01.2023_BOYkl</v>
      </c>
      <c r="D875" s="143">
        <f t="shared" si="27"/>
        <v>0</v>
      </c>
      <c r="E875" s="157">
        <v>7.75</v>
      </c>
      <c r="F875" s="165"/>
      <c r="G875" s="166">
        <v>496</v>
      </c>
      <c r="H875" s="167">
        <v>11.6</v>
      </c>
      <c r="I875" s="165"/>
      <c r="J875" s="167"/>
      <c r="K875" s="167">
        <v>6.4</v>
      </c>
      <c r="L875" s="167">
        <v>31</v>
      </c>
      <c r="M875" s="168">
        <v>0.46180555555555602</v>
      </c>
      <c r="N875" s="67"/>
    </row>
    <row r="876" spans="1:14" x14ac:dyDescent="0.25">
      <c r="A876" s="66">
        <v>44953</v>
      </c>
      <c r="B876" s="67" t="s">
        <v>25</v>
      </c>
      <c r="C876" s="129" t="str">
        <f t="shared" si="26"/>
        <v>27.01.2023_BOYohB224</v>
      </c>
      <c r="D876" s="143">
        <f t="shared" si="27"/>
        <v>0</v>
      </c>
      <c r="E876" s="157">
        <v>8.23</v>
      </c>
      <c r="F876" s="165"/>
      <c r="G876" s="166">
        <v>895</v>
      </c>
      <c r="H876" s="167">
        <v>11.4</v>
      </c>
      <c r="I876" s="165"/>
      <c r="J876" s="167"/>
      <c r="K876" s="167">
        <v>6.5</v>
      </c>
      <c r="L876" s="167">
        <v>49</v>
      </c>
      <c r="M876" s="168">
        <v>0.59375</v>
      </c>
      <c r="N876" s="67"/>
    </row>
    <row r="877" spans="1:14" x14ac:dyDescent="0.25">
      <c r="A877" s="66">
        <v>44953</v>
      </c>
      <c r="B877" s="67" t="s">
        <v>28</v>
      </c>
      <c r="C877" s="129" t="str">
        <f t="shared" si="26"/>
        <v>27.01.2023_BOYohBr</v>
      </c>
      <c r="D877" s="143">
        <f t="shared" si="27"/>
        <v>0</v>
      </c>
      <c r="E877" s="157">
        <v>7.9</v>
      </c>
      <c r="F877" s="165"/>
      <c r="G877" s="166">
        <v>608</v>
      </c>
      <c r="H877" s="167">
        <v>11.4</v>
      </c>
      <c r="I877" s="165"/>
      <c r="J877" s="167"/>
      <c r="K877" s="167">
        <v>7.1</v>
      </c>
      <c r="L877" s="167">
        <v>17.8</v>
      </c>
      <c r="M877" s="168">
        <v>0.50416666666666698</v>
      </c>
      <c r="N877" s="67"/>
    </row>
    <row r="878" spans="1:14" x14ac:dyDescent="0.25">
      <c r="A878" s="66">
        <v>44953</v>
      </c>
      <c r="B878" s="67" t="s">
        <v>30</v>
      </c>
      <c r="C878" s="129" t="str">
        <f t="shared" si="26"/>
        <v>27.01.2023_BOYohKi</v>
      </c>
      <c r="D878" s="143">
        <f t="shared" si="27"/>
        <v>0</v>
      </c>
      <c r="E878" s="157">
        <v>7.99</v>
      </c>
      <c r="F878" s="165"/>
      <c r="G878" s="166">
        <v>847</v>
      </c>
      <c r="H878" s="167">
        <v>10.5</v>
      </c>
      <c r="I878" s="165"/>
      <c r="J878" s="167"/>
      <c r="K878" s="167">
        <v>5.9</v>
      </c>
      <c r="L878" s="167">
        <v>42.5</v>
      </c>
      <c r="M878" s="168">
        <v>0.38819444444444401</v>
      </c>
      <c r="N878" s="67"/>
    </row>
    <row r="879" spans="1:14" x14ac:dyDescent="0.25">
      <c r="A879" s="66">
        <v>44953</v>
      </c>
      <c r="B879" s="67" t="s">
        <v>32</v>
      </c>
      <c r="C879" s="129" t="str">
        <f t="shared" si="26"/>
        <v>27.01.2023_BOYohSp</v>
      </c>
      <c r="D879" s="143">
        <f t="shared" si="27"/>
        <v>0</v>
      </c>
      <c r="E879" s="157">
        <v>7.9</v>
      </c>
      <c r="F879" s="165"/>
      <c r="G879" s="166">
        <v>740</v>
      </c>
      <c r="H879" s="167">
        <v>10</v>
      </c>
      <c r="I879" s="165"/>
      <c r="J879" s="167"/>
      <c r="K879" s="167">
        <v>6.5</v>
      </c>
      <c r="L879" s="167">
        <v>27</v>
      </c>
      <c r="M879" s="168">
        <v>0.52638888888888902</v>
      </c>
      <c r="N879" s="67"/>
    </row>
    <row r="880" spans="1:14" x14ac:dyDescent="0.25">
      <c r="A880" s="66">
        <v>44953</v>
      </c>
      <c r="B880" s="67" t="s">
        <v>34</v>
      </c>
      <c r="C880" s="129" t="str">
        <f t="shared" si="26"/>
        <v>27.01.2023_BOYuhHa</v>
      </c>
      <c r="D880" s="143">
        <f t="shared" si="27"/>
        <v>0</v>
      </c>
      <c r="E880" s="157">
        <v>8.36</v>
      </c>
      <c r="F880" s="165"/>
      <c r="G880" s="166">
        <v>893</v>
      </c>
      <c r="H880" s="167">
        <v>12.2</v>
      </c>
      <c r="I880" s="165"/>
      <c r="J880" s="167"/>
      <c r="K880" s="167">
        <v>6.3</v>
      </c>
      <c r="L880" s="167">
        <v>28.3</v>
      </c>
      <c r="M880" s="168">
        <v>0.60416666666666696</v>
      </c>
      <c r="N880" s="67"/>
    </row>
    <row r="881" spans="1:14" x14ac:dyDescent="0.25">
      <c r="A881" s="66">
        <v>44953</v>
      </c>
      <c r="B881" s="67" t="s">
        <v>36</v>
      </c>
      <c r="C881" s="129" t="str">
        <f t="shared" si="26"/>
        <v>27.01.2023_BOYuhSp</v>
      </c>
      <c r="D881" s="143">
        <f t="shared" si="27"/>
        <v>0</v>
      </c>
      <c r="E881" s="157">
        <v>7.9</v>
      </c>
      <c r="F881" s="165"/>
      <c r="G881" s="166">
        <v>751</v>
      </c>
      <c r="H881" s="167">
        <v>11.7</v>
      </c>
      <c r="I881" s="165"/>
      <c r="J881" s="167"/>
      <c r="K881" s="167">
        <v>6.3</v>
      </c>
      <c r="L881" s="167">
        <v>47.7</v>
      </c>
      <c r="M881" s="168">
        <v>0.51805555555555605</v>
      </c>
      <c r="N881" s="67"/>
    </row>
    <row r="882" spans="1:14" x14ac:dyDescent="0.25">
      <c r="A882" s="66">
        <v>44953</v>
      </c>
      <c r="B882" s="67" t="s">
        <v>38</v>
      </c>
      <c r="C882" s="129" t="str">
        <f t="shared" si="26"/>
        <v>27.01.2023_BRAob</v>
      </c>
      <c r="D882" s="143">
        <f t="shared" si="27"/>
        <v>0</v>
      </c>
      <c r="E882" s="157">
        <v>7.74</v>
      </c>
      <c r="F882" s="165"/>
      <c r="G882" s="166">
        <v>927</v>
      </c>
      <c r="H882" s="167">
        <v>10.5</v>
      </c>
      <c r="I882" s="165"/>
      <c r="J882" s="167"/>
      <c r="K882" s="167">
        <v>5.9</v>
      </c>
      <c r="L882" s="167">
        <v>9.6999999999999993</v>
      </c>
      <c r="M882" s="168">
        <v>0.47638888888888897</v>
      </c>
      <c r="N882" s="67" t="s">
        <v>115</v>
      </c>
    </row>
    <row r="883" spans="1:14" x14ac:dyDescent="0.25">
      <c r="A883" s="66">
        <v>44953</v>
      </c>
      <c r="B883" s="67" t="s">
        <v>41</v>
      </c>
      <c r="C883" s="129" t="str">
        <f t="shared" si="26"/>
        <v>27.01.2023_BRAohBo</v>
      </c>
      <c r="D883" s="143">
        <f t="shared" si="27"/>
        <v>0</v>
      </c>
      <c r="E883" s="157">
        <v>7.82</v>
      </c>
      <c r="F883" s="165"/>
      <c r="G883" s="166">
        <v>816</v>
      </c>
      <c r="H883" s="167">
        <v>11.2</v>
      </c>
      <c r="I883" s="165"/>
      <c r="J883" s="167"/>
      <c r="K883" s="167">
        <v>5</v>
      </c>
      <c r="L883" s="167">
        <v>21</v>
      </c>
      <c r="M883" s="168">
        <v>0.485416666666667</v>
      </c>
      <c r="N883" s="67"/>
    </row>
    <row r="884" spans="1:14" x14ac:dyDescent="0.25">
      <c r="A884" s="66">
        <v>44953</v>
      </c>
      <c r="B884" s="67" t="s">
        <v>43</v>
      </c>
      <c r="C884" s="129" t="str">
        <f t="shared" si="26"/>
        <v>27.01.2023_HAAob</v>
      </c>
      <c r="D884" s="143">
        <f t="shared" si="27"/>
        <v>0</v>
      </c>
      <c r="E884" s="157">
        <v>8.2799999999999994</v>
      </c>
      <c r="F884" s="165"/>
      <c r="G884" s="166">
        <v>799</v>
      </c>
      <c r="H884" s="167">
        <v>11.3</v>
      </c>
      <c r="I884" s="165"/>
      <c r="J884" s="167"/>
      <c r="K884" s="167">
        <v>6.1</v>
      </c>
      <c r="L884" s="167">
        <v>12</v>
      </c>
      <c r="M884" s="168">
        <v>0.55694444444444502</v>
      </c>
      <c r="N884" s="67"/>
    </row>
    <row r="885" spans="1:14" x14ac:dyDescent="0.25">
      <c r="A885" s="66">
        <v>44953</v>
      </c>
      <c r="B885" s="67" t="s">
        <v>45</v>
      </c>
      <c r="C885" s="129" t="str">
        <f t="shared" si="26"/>
        <v>27.01.2023_HAAun</v>
      </c>
      <c r="D885" s="143">
        <f t="shared" si="27"/>
        <v>0</v>
      </c>
      <c r="E885" s="157">
        <v>7.87</v>
      </c>
      <c r="F885" s="165"/>
      <c r="G885" s="166">
        <v>1023</v>
      </c>
      <c r="H885" s="167">
        <v>10.6</v>
      </c>
      <c r="I885" s="165"/>
      <c r="J885" s="167"/>
      <c r="K885" s="167">
        <v>6.9</v>
      </c>
      <c r="L885" s="167">
        <v>16.600000000000001</v>
      </c>
      <c r="M885" s="168">
        <v>0.54583333333333295</v>
      </c>
      <c r="N885" s="67"/>
    </row>
    <row r="886" spans="1:14" x14ac:dyDescent="0.25">
      <c r="A886" s="66">
        <v>44953</v>
      </c>
      <c r="B886" s="67" t="s">
        <v>47</v>
      </c>
      <c r="C886" s="129" t="str">
        <f t="shared" si="26"/>
        <v>27.01.2023_KIRob</v>
      </c>
      <c r="D886" s="143">
        <f t="shared" si="27"/>
        <v>0</v>
      </c>
      <c r="E886" s="157">
        <v>8.01</v>
      </c>
      <c r="F886" s="165"/>
      <c r="G886" s="166">
        <v>932</v>
      </c>
      <c r="H886" s="167">
        <v>8.9</v>
      </c>
      <c r="I886" s="165"/>
      <c r="J886" s="167"/>
      <c r="K886" s="167">
        <v>8</v>
      </c>
      <c r="L886" s="167">
        <v>13</v>
      </c>
      <c r="M886" s="168">
        <v>0.40902777777777799</v>
      </c>
      <c r="N886" s="67"/>
    </row>
    <row r="887" spans="1:14" x14ac:dyDescent="0.25">
      <c r="A887" s="66">
        <v>44953</v>
      </c>
      <c r="B887" s="67" t="s">
        <v>49</v>
      </c>
      <c r="C887" s="129" t="str">
        <f t="shared" si="26"/>
        <v>27.01.2023_KIRun</v>
      </c>
      <c r="D887" s="143">
        <f t="shared" si="27"/>
        <v>0</v>
      </c>
      <c r="E887" s="157">
        <v>8.17</v>
      </c>
      <c r="F887" s="165"/>
      <c r="G887" s="166">
        <v>988</v>
      </c>
      <c r="H887" s="167">
        <v>9.8000000000000007</v>
      </c>
      <c r="I887" s="165"/>
      <c r="J887" s="167"/>
      <c r="K887" s="167">
        <v>7.7</v>
      </c>
      <c r="L887" s="167">
        <v>12.9</v>
      </c>
      <c r="M887" s="168">
        <v>0.39930555555555602</v>
      </c>
      <c r="N887" s="67" t="s">
        <v>144</v>
      </c>
    </row>
    <row r="888" spans="1:14" x14ac:dyDescent="0.25">
      <c r="A888" s="66">
        <v>44953</v>
      </c>
      <c r="B888" s="67" t="s">
        <v>50</v>
      </c>
      <c r="C888" s="129" t="str">
        <f t="shared" si="26"/>
        <v>27.01.2023_LIEohBo</v>
      </c>
      <c r="D888" s="143">
        <f t="shared" si="27"/>
        <v>0</v>
      </c>
      <c r="E888" s="157">
        <v>8.01</v>
      </c>
      <c r="F888" s="165"/>
      <c r="G888" s="166">
        <v>757</v>
      </c>
      <c r="H888" s="167">
        <v>10.199999999999999</v>
      </c>
      <c r="I888" s="165"/>
      <c r="J888" s="167"/>
      <c r="K888" s="167">
        <v>5</v>
      </c>
      <c r="L888" s="167">
        <v>17</v>
      </c>
      <c r="M888" s="168">
        <v>0.37361111111111101</v>
      </c>
      <c r="N888" s="67"/>
    </row>
    <row r="889" spans="1:14" x14ac:dyDescent="0.25">
      <c r="A889" s="66">
        <v>44953</v>
      </c>
      <c r="B889" s="67" t="s">
        <v>53</v>
      </c>
      <c r="C889" s="129" t="str">
        <f t="shared" si="26"/>
        <v>27.01.2023_NATohBo</v>
      </c>
      <c r="D889" s="143">
        <f t="shared" si="27"/>
        <v>0</v>
      </c>
      <c r="E889" s="157">
        <v>7.88</v>
      </c>
      <c r="F889" s="165"/>
      <c r="G889" s="166">
        <v>1557</v>
      </c>
      <c r="H889" s="167">
        <v>11.1</v>
      </c>
      <c r="I889" s="165"/>
      <c r="J889" s="167"/>
      <c r="K889" s="167">
        <v>7</v>
      </c>
      <c r="L889" s="167">
        <v>22.8</v>
      </c>
      <c r="M889" s="168">
        <v>0.58194444444444504</v>
      </c>
      <c r="N889" s="67"/>
    </row>
    <row r="890" spans="1:14" x14ac:dyDescent="0.25">
      <c r="A890" s="66">
        <v>44953</v>
      </c>
      <c r="B890" s="67" t="s">
        <v>55</v>
      </c>
      <c r="C890" s="129" t="str">
        <f t="shared" si="26"/>
        <v>27.01.2023_QUAohBo</v>
      </c>
      <c r="D890" s="143">
        <f t="shared" si="27"/>
        <v>0</v>
      </c>
      <c r="E890" s="157">
        <v>7.86</v>
      </c>
      <c r="F890" s="165"/>
      <c r="G890" s="166">
        <v>870</v>
      </c>
      <c r="H890" s="167">
        <v>10.6</v>
      </c>
      <c r="I890" s="165"/>
      <c r="J890" s="167"/>
      <c r="K890" s="167">
        <v>6.8</v>
      </c>
      <c r="L890" s="167">
        <v>15.2</v>
      </c>
      <c r="M890" s="168">
        <v>0.53541666666666698</v>
      </c>
      <c r="N890" s="67"/>
    </row>
    <row r="891" spans="1:14" x14ac:dyDescent="0.25">
      <c r="A891" s="66">
        <v>44953</v>
      </c>
      <c r="B891" s="67" t="s">
        <v>57</v>
      </c>
      <c r="C891" s="129" t="str">
        <f t="shared" si="26"/>
        <v>27.01.2023_SCHohVo</v>
      </c>
      <c r="D891" s="143">
        <f t="shared" si="27"/>
        <v>0</v>
      </c>
      <c r="E891" s="157">
        <v>7.76</v>
      </c>
      <c r="F891" s="165"/>
      <c r="G891" s="166">
        <v>606</v>
      </c>
      <c r="H891" s="167">
        <v>12</v>
      </c>
      <c r="I891" s="165"/>
      <c r="J891" s="167"/>
      <c r="K891" s="167">
        <v>4.7</v>
      </c>
      <c r="L891" s="167">
        <v>11.2</v>
      </c>
      <c r="M891" s="168">
        <v>0.421527777777778</v>
      </c>
      <c r="N891" s="67"/>
    </row>
    <row r="892" spans="1:14" x14ac:dyDescent="0.25">
      <c r="A892" s="66">
        <v>44953</v>
      </c>
      <c r="B892" s="67" t="s">
        <v>60</v>
      </c>
      <c r="C892" s="129" t="str">
        <f t="shared" si="26"/>
        <v>27.01.2023_VORohBo</v>
      </c>
      <c r="D892" s="143">
        <f t="shared" si="27"/>
        <v>0</v>
      </c>
      <c r="E892" s="157">
        <v>7.69</v>
      </c>
      <c r="F892" s="165"/>
      <c r="G892" s="166">
        <v>977</v>
      </c>
      <c r="H892" s="167">
        <v>9.8000000000000007</v>
      </c>
      <c r="I892" s="165"/>
      <c r="J892" s="167"/>
      <c r="K892" s="167">
        <v>6.5</v>
      </c>
      <c r="L892" s="167">
        <v>19.2</v>
      </c>
      <c r="M892" s="168">
        <v>0.44305555555555598</v>
      </c>
      <c r="N892" s="67"/>
    </row>
    <row r="893" spans="1:14" x14ac:dyDescent="0.25">
      <c r="A893" s="66">
        <v>44953</v>
      </c>
      <c r="B893" s="67" t="s">
        <v>62</v>
      </c>
      <c r="C893" s="129" t="str">
        <f t="shared" si="26"/>
        <v>27.01.2023_VORuhSc</v>
      </c>
      <c r="D893" s="143">
        <f t="shared" si="27"/>
        <v>0</v>
      </c>
      <c r="E893" s="157">
        <v>7.45</v>
      </c>
      <c r="F893" s="165"/>
      <c r="G893" s="166">
        <v>947</v>
      </c>
      <c r="H893" s="167">
        <v>9.6</v>
      </c>
      <c r="I893" s="165"/>
      <c r="J893" s="167"/>
      <c r="K893" s="167">
        <v>6.4</v>
      </c>
      <c r="L893" s="167">
        <v>13.5</v>
      </c>
      <c r="M893" s="168">
        <v>0.43125000000000002</v>
      </c>
      <c r="N893" s="67"/>
    </row>
    <row r="894" spans="1:14" x14ac:dyDescent="0.25">
      <c r="A894" s="66">
        <v>44953</v>
      </c>
      <c r="B894" s="67" t="s">
        <v>64</v>
      </c>
      <c r="C894" s="129" t="str">
        <f t="shared" si="26"/>
        <v>27.01.2023_WITob</v>
      </c>
      <c r="D894" s="143">
        <f t="shared" si="27"/>
        <v>0</v>
      </c>
      <c r="E894" s="157">
        <v>8.49</v>
      </c>
      <c r="F894" s="165"/>
      <c r="G894" s="166">
        <v>1311</v>
      </c>
      <c r="H894" s="167">
        <v>11</v>
      </c>
      <c r="I894" s="165"/>
      <c r="J894" s="167"/>
      <c r="K894" s="167">
        <v>7.2</v>
      </c>
      <c r="L894" s="167">
        <v>4.5</v>
      </c>
      <c r="M894" s="168">
        <v>0.57083333333333297</v>
      </c>
      <c r="N894" s="67"/>
    </row>
    <row r="895" spans="1:14" x14ac:dyDescent="0.25">
      <c r="A895" s="66">
        <v>44967</v>
      </c>
      <c r="B895" s="67" t="s">
        <v>22</v>
      </c>
      <c r="C895" s="129" t="str">
        <f t="shared" ref="C895:C958" si="28">CONCATENATE(TEXT(A895,"TT.MM.JJJJ"),"_",B895)</f>
        <v>10.02.2023_BOYkl</v>
      </c>
      <c r="D895" s="143">
        <f t="shared" si="27"/>
        <v>0</v>
      </c>
      <c r="E895" s="157">
        <v>7.73</v>
      </c>
      <c r="F895" s="165"/>
      <c r="G895" s="166">
        <v>483</v>
      </c>
      <c r="H895" s="167">
        <v>14.8</v>
      </c>
      <c r="I895" s="165"/>
      <c r="J895" s="167"/>
      <c r="K895" s="167">
        <v>5.5</v>
      </c>
      <c r="L895" s="167">
        <v>22.4</v>
      </c>
      <c r="M895" s="168">
        <v>0.45069444444444401</v>
      </c>
      <c r="N895" s="67"/>
    </row>
    <row r="896" spans="1:14" x14ac:dyDescent="0.25">
      <c r="A896" s="66">
        <v>44967</v>
      </c>
      <c r="B896" s="67" t="s">
        <v>25</v>
      </c>
      <c r="C896" s="129" t="str">
        <f t="shared" si="28"/>
        <v>10.02.2023_BOYohB224</v>
      </c>
      <c r="D896" s="143">
        <f t="shared" ref="D896:D959" si="29">COUNTBLANK(E896)+COUNTBLANK(G896:H896)+COUNTBLANK(K896:L896)</f>
        <v>0</v>
      </c>
      <c r="E896" s="157">
        <v>7.21</v>
      </c>
      <c r="F896" s="165"/>
      <c r="G896" s="166">
        <v>855</v>
      </c>
      <c r="H896" s="167">
        <v>11.3</v>
      </c>
      <c r="I896" s="165"/>
      <c r="J896" s="167"/>
      <c r="K896" s="167">
        <v>7.3</v>
      </c>
      <c r="L896" s="167">
        <v>43</v>
      </c>
      <c r="M896" s="168">
        <v>0.60902777777777795</v>
      </c>
      <c r="N896" s="67"/>
    </row>
    <row r="897" spans="1:14" x14ac:dyDescent="0.25">
      <c r="A897" s="66">
        <v>44967</v>
      </c>
      <c r="B897" s="67" t="s">
        <v>28</v>
      </c>
      <c r="C897" s="129" t="str">
        <f t="shared" si="28"/>
        <v>10.02.2023_BOYohBr</v>
      </c>
      <c r="D897" s="143">
        <f t="shared" si="29"/>
        <v>0</v>
      </c>
      <c r="E897" s="157">
        <v>7.7</v>
      </c>
      <c r="F897" s="165"/>
      <c r="G897" s="166">
        <v>598</v>
      </c>
      <c r="H897" s="167">
        <v>13.5</v>
      </c>
      <c r="I897" s="165"/>
      <c r="J897" s="167"/>
      <c r="K897" s="167">
        <v>6.4</v>
      </c>
      <c r="L897" s="167">
        <v>17.5</v>
      </c>
      <c r="M897" s="168">
        <v>0.49027777777777798</v>
      </c>
      <c r="N897" s="67"/>
    </row>
    <row r="898" spans="1:14" x14ac:dyDescent="0.25">
      <c r="A898" s="66">
        <v>44967</v>
      </c>
      <c r="B898" s="67" t="s">
        <v>30</v>
      </c>
      <c r="C898" s="129" t="str">
        <f t="shared" si="28"/>
        <v>10.02.2023_BOYohKi</v>
      </c>
      <c r="D898" s="143">
        <f t="shared" si="29"/>
        <v>0</v>
      </c>
      <c r="E898" s="157">
        <v>8.0500000000000007</v>
      </c>
      <c r="F898" s="165"/>
      <c r="G898" s="166">
        <v>815</v>
      </c>
      <c r="H898" s="167">
        <v>15.3</v>
      </c>
      <c r="I898" s="165"/>
      <c r="J898" s="167"/>
      <c r="K898" s="167">
        <v>5.0999999999999996</v>
      </c>
      <c r="L898" s="167">
        <v>40.4</v>
      </c>
      <c r="M898" s="168">
        <v>0.37986111111111098</v>
      </c>
      <c r="N898" s="67"/>
    </row>
    <row r="899" spans="1:14" x14ac:dyDescent="0.25">
      <c r="A899" s="66">
        <v>44967</v>
      </c>
      <c r="B899" s="67" t="s">
        <v>32</v>
      </c>
      <c r="C899" s="129" t="str">
        <f t="shared" si="28"/>
        <v>10.02.2023_BOYohSp</v>
      </c>
      <c r="D899" s="143">
        <f t="shared" si="29"/>
        <v>0</v>
      </c>
      <c r="E899" s="157">
        <v>7.94</v>
      </c>
      <c r="F899" s="165"/>
      <c r="G899" s="166">
        <v>733</v>
      </c>
      <c r="H899" s="167">
        <v>14</v>
      </c>
      <c r="I899" s="165"/>
      <c r="J899" s="167"/>
      <c r="K899" s="167">
        <v>5.6</v>
      </c>
      <c r="L899" s="167">
        <v>30.5</v>
      </c>
      <c r="M899" s="168">
        <v>0.51666666666666705</v>
      </c>
      <c r="N899" s="67"/>
    </row>
    <row r="900" spans="1:14" x14ac:dyDescent="0.25">
      <c r="A900" s="66">
        <v>44967</v>
      </c>
      <c r="B900" s="67" t="s">
        <v>34</v>
      </c>
      <c r="C900" s="129" t="str">
        <f t="shared" si="28"/>
        <v>10.02.2023_BOYuhHa</v>
      </c>
      <c r="D900" s="143">
        <f t="shared" si="29"/>
        <v>0</v>
      </c>
      <c r="E900" s="157">
        <v>7.55</v>
      </c>
      <c r="F900" s="165"/>
      <c r="G900" s="166">
        <v>915</v>
      </c>
      <c r="H900" s="167">
        <v>11.9</v>
      </c>
      <c r="I900" s="165"/>
      <c r="J900" s="167"/>
      <c r="K900" s="167">
        <v>6.9</v>
      </c>
      <c r="L900" s="167">
        <v>24</v>
      </c>
      <c r="M900" s="168">
        <v>0.61944444444444502</v>
      </c>
      <c r="N900" s="67"/>
    </row>
    <row r="901" spans="1:14" x14ac:dyDescent="0.25">
      <c r="A901" s="66">
        <v>44967</v>
      </c>
      <c r="B901" s="67" t="s">
        <v>36</v>
      </c>
      <c r="C901" s="129" t="str">
        <f t="shared" si="28"/>
        <v>10.02.2023_BOYuhSp</v>
      </c>
      <c r="D901" s="143">
        <f t="shared" si="29"/>
        <v>0</v>
      </c>
      <c r="E901" s="157">
        <v>7.8</v>
      </c>
      <c r="F901" s="165"/>
      <c r="G901" s="166">
        <v>722</v>
      </c>
      <c r="H901" s="167">
        <v>14.3</v>
      </c>
      <c r="I901" s="165"/>
      <c r="J901" s="167"/>
      <c r="K901" s="167">
        <v>5.6</v>
      </c>
      <c r="L901" s="167">
        <v>46</v>
      </c>
      <c r="M901" s="168">
        <v>0.50833333333333297</v>
      </c>
      <c r="N901" s="67"/>
    </row>
    <row r="902" spans="1:14" x14ac:dyDescent="0.25">
      <c r="A902" s="66">
        <v>44967</v>
      </c>
      <c r="B902" s="67" t="s">
        <v>38</v>
      </c>
      <c r="C902" s="129" t="str">
        <f t="shared" si="28"/>
        <v>10.02.2023_BRAob</v>
      </c>
      <c r="D902" s="143">
        <f t="shared" si="29"/>
        <v>0</v>
      </c>
      <c r="E902" s="157">
        <v>7.77</v>
      </c>
      <c r="F902" s="165"/>
      <c r="G902" s="166">
        <v>907</v>
      </c>
      <c r="H902" s="167">
        <v>13.6</v>
      </c>
      <c r="I902" s="165"/>
      <c r="J902" s="167"/>
      <c r="K902" s="167">
        <v>5.3</v>
      </c>
      <c r="L902" s="167">
        <v>9.3000000000000007</v>
      </c>
      <c r="M902" s="168">
        <v>0.46458333333333302</v>
      </c>
      <c r="N902" s="67"/>
    </row>
    <row r="903" spans="1:14" x14ac:dyDescent="0.25">
      <c r="A903" s="66">
        <v>44967</v>
      </c>
      <c r="B903" s="67" t="s">
        <v>41</v>
      </c>
      <c r="C903" s="129" t="str">
        <f t="shared" si="28"/>
        <v>10.02.2023_BRAohBo</v>
      </c>
      <c r="D903" s="143">
        <f t="shared" si="29"/>
        <v>0</v>
      </c>
      <c r="E903" s="157">
        <v>7.88</v>
      </c>
      <c r="F903" s="165"/>
      <c r="G903" s="166">
        <v>803</v>
      </c>
      <c r="H903" s="167">
        <v>14.2</v>
      </c>
      <c r="I903" s="165"/>
      <c r="J903" s="167"/>
      <c r="K903" s="167">
        <v>4.9000000000000004</v>
      </c>
      <c r="L903" s="167">
        <v>16.8</v>
      </c>
      <c r="M903" s="168">
        <v>0.47569444444444398</v>
      </c>
      <c r="N903" s="67"/>
    </row>
    <row r="904" spans="1:14" x14ac:dyDescent="0.25">
      <c r="A904" s="66">
        <v>44967</v>
      </c>
      <c r="B904" s="67" t="s">
        <v>43</v>
      </c>
      <c r="C904" s="129" t="str">
        <f t="shared" si="28"/>
        <v>10.02.2023_HAAob</v>
      </c>
      <c r="D904" s="143">
        <f t="shared" si="29"/>
        <v>0</v>
      </c>
      <c r="E904" s="157">
        <v>8.26</v>
      </c>
      <c r="F904" s="165"/>
      <c r="G904" s="166">
        <v>803</v>
      </c>
      <c r="H904" s="167">
        <v>14.9</v>
      </c>
      <c r="I904" s="165"/>
      <c r="J904" s="167"/>
      <c r="K904" s="167">
        <v>6.9</v>
      </c>
      <c r="L904" s="167">
        <v>14.4</v>
      </c>
      <c r="M904" s="168">
        <v>0.56458333333333299</v>
      </c>
      <c r="N904" s="67"/>
    </row>
    <row r="905" spans="1:14" x14ac:dyDescent="0.25">
      <c r="A905" s="66">
        <v>44967</v>
      </c>
      <c r="B905" s="67" t="s">
        <v>45</v>
      </c>
      <c r="C905" s="129" t="str">
        <f t="shared" si="28"/>
        <v>10.02.2023_HAAun</v>
      </c>
      <c r="D905" s="143">
        <f t="shared" si="29"/>
        <v>0</v>
      </c>
      <c r="E905" s="157">
        <v>7.82</v>
      </c>
      <c r="F905" s="165"/>
      <c r="G905" s="166">
        <v>1017</v>
      </c>
      <c r="H905" s="167">
        <v>13.9</v>
      </c>
      <c r="I905" s="165"/>
      <c r="J905" s="167"/>
      <c r="K905" s="167">
        <v>7.1</v>
      </c>
      <c r="L905" s="167">
        <v>15.4</v>
      </c>
      <c r="M905" s="168">
        <v>0.55416666666666703</v>
      </c>
      <c r="N905" s="67"/>
    </row>
    <row r="906" spans="1:14" x14ac:dyDescent="0.25">
      <c r="A906" s="66">
        <v>44967</v>
      </c>
      <c r="B906" s="67" t="s">
        <v>47</v>
      </c>
      <c r="C906" s="129" t="str">
        <f t="shared" si="28"/>
        <v>10.02.2023_KIRob</v>
      </c>
      <c r="D906" s="143">
        <f t="shared" si="29"/>
        <v>0</v>
      </c>
      <c r="E906" s="157">
        <v>8.09</v>
      </c>
      <c r="F906" s="165"/>
      <c r="G906" s="166">
        <v>1068</v>
      </c>
      <c r="H906" s="167">
        <v>12.7</v>
      </c>
      <c r="I906" s="165"/>
      <c r="J906" s="167"/>
      <c r="K906" s="167">
        <v>7.2</v>
      </c>
      <c r="L906" s="167">
        <v>10</v>
      </c>
      <c r="M906" s="168">
        <v>0.39652777777777798</v>
      </c>
      <c r="N906" s="67"/>
    </row>
    <row r="907" spans="1:14" x14ac:dyDescent="0.25">
      <c r="A907" s="66">
        <v>44967</v>
      </c>
      <c r="B907" s="67" t="s">
        <v>49</v>
      </c>
      <c r="C907" s="129" t="str">
        <f t="shared" si="28"/>
        <v>10.02.2023_KIRun</v>
      </c>
      <c r="D907" s="143">
        <f t="shared" si="29"/>
        <v>0</v>
      </c>
      <c r="E907" s="157">
        <v>8.2200000000000006</v>
      </c>
      <c r="F907" s="165"/>
      <c r="G907" s="166">
        <v>997</v>
      </c>
      <c r="H907" s="167">
        <v>13.6</v>
      </c>
      <c r="I907" s="165"/>
      <c r="J907" s="167"/>
      <c r="K907" s="167">
        <v>7</v>
      </c>
      <c r="L907" s="167">
        <v>10.8</v>
      </c>
      <c r="M907" s="168">
        <v>0.38888888888888901</v>
      </c>
      <c r="N907" s="67"/>
    </row>
    <row r="908" spans="1:14" x14ac:dyDescent="0.25">
      <c r="A908" s="66">
        <v>44967</v>
      </c>
      <c r="B908" s="67" t="s">
        <v>50</v>
      </c>
      <c r="C908" s="129" t="str">
        <f t="shared" si="28"/>
        <v>10.02.2023_LIEohBo</v>
      </c>
      <c r="D908" s="143">
        <f t="shared" si="29"/>
        <v>0</v>
      </c>
      <c r="E908" s="157">
        <v>8.2200000000000006</v>
      </c>
      <c r="F908" s="165"/>
      <c r="G908" s="166">
        <v>745</v>
      </c>
      <c r="H908" s="167">
        <v>16.5</v>
      </c>
      <c r="I908" s="165"/>
      <c r="J908" s="167"/>
      <c r="K908" s="167">
        <v>5</v>
      </c>
      <c r="L908" s="167">
        <v>18.8</v>
      </c>
      <c r="M908" s="168">
        <v>0.37083333333333302</v>
      </c>
      <c r="N908" s="67"/>
    </row>
    <row r="909" spans="1:14" x14ac:dyDescent="0.25">
      <c r="A909" s="66">
        <v>44967</v>
      </c>
      <c r="B909" s="67" t="s">
        <v>53</v>
      </c>
      <c r="C909" s="129" t="str">
        <f t="shared" si="28"/>
        <v>10.02.2023_NATohBo</v>
      </c>
      <c r="D909" s="143">
        <f t="shared" si="29"/>
        <v>0</v>
      </c>
      <c r="E909" s="157">
        <v>7.9</v>
      </c>
      <c r="F909" s="165"/>
      <c r="G909" s="166">
        <v>1454</v>
      </c>
      <c r="H909" s="167">
        <v>11.4</v>
      </c>
      <c r="I909" s="165"/>
      <c r="J909" s="167"/>
      <c r="K909" s="167">
        <v>7</v>
      </c>
      <c r="L909" s="167">
        <v>17.7</v>
      </c>
      <c r="M909" s="168">
        <v>0.59236111111111101</v>
      </c>
      <c r="N909" s="67"/>
    </row>
    <row r="910" spans="1:14" x14ac:dyDescent="0.25">
      <c r="A910" s="66">
        <v>44967</v>
      </c>
      <c r="B910" s="67" t="s">
        <v>55</v>
      </c>
      <c r="C910" s="129" t="str">
        <f t="shared" si="28"/>
        <v>10.02.2023_QUAohBo</v>
      </c>
      <c r="D910" s="143">
        <f t="shared" si="29"/>
        <v>0</v>
      </c>
      <c r="E910" s="157">
        <v>7.85</v>
      </c>
      <c r="F910" s="165"/>
      <c r="G910" s="166">
        <v>837</v>
      </c>
      <c r="H910" s="167">
        <v>14.5</v>
      </c>
      <c r="I910" s="165"/>
      <c r="J910" s="167"/>
      <c r="K910" s="167">
        <v>6.3</v>
      </c>
      <c r="L910" s="167">
        <v>17.600000000000001</v>
      </c>
      <c r="M910" s="168">
        <v>0.52847222222222201</v>
      </c>
      <c r="N910" s="67"/>
    </row>
    <row r="911" spans="1:14" x14ac:dyDescent="0.25">
      <c r="A911" s="66">
        <v>44967</v>
      </c>
      <c r="B911" s="67" t="s">
        <v>57</v>
      </c>
      <c r="C911" s="129" t="str">
        <f t="shared" si="28"/>
        <v>10.02.2023_SCHohVo</v>
      </c>
      <c r="D911" s="143">
        <f t="shared" si="29"/>
        <v>0</v>
      </c>
      <c r="E911" s="157">
        <v>7.78</v>
      </c>
      <c r="F911" s="165"/>
      <c r="G911" s="166">
        <v>576</v>
      </c>
      <c r="H911" s="167">
        <v>15</v>
      </c>
      <c r="I911" s="165"/>
      <c r="J911" s="167"/>
      <c r="K911" s="167">
        <v>4</v>
      </c>
      <c r="L911" s="167">
        <v>13.3</v>
      </c>
      <c r="M911" s="168">
        <v>0.40972222222222199</v>
      </c>
      <c r="N911" s="67"/>
    </row>
    <row r="912" spans="1:14" x14ac:dyDescent="0.25">
      <c r="A912" s="66">
        <v>44967</v>
      </c>
      <c r="B912" s="67" t="s">
        <v>60</v>
      </c>
      <c r="C912" s="129" t="str">
        <f t="shared" si="28"/>
        <v>10.02.2023_VORohBo</v>
      </c>
      <c r="D912" s="143">
        <f t="shared" si="29"/>
        <v>0</v>
      </c>
      <c r="E912" s="157">
        <v>7.7</v>
      </c>
      <c r="F912" s="165"/>
      <c r="G912" s="166">
        <v>995</v>
      </c>
      <c r="H912" s="167">
        <v>12.2</v>
      </c>
      <c r="I912" s="165"/>
      <c r="J912" s="167"/>
      <c r="K912" s="167">
        <v>5.8</v>
      </c>
      <c r="L912" s="167">
        <v>17.8</v>
      </c>
      <c r="M912" s="168">
        <v>0.43194444444444402</v>
      </c>
      <c r="N912" s="67"/>
    </row>
    <row r="913" spans="1:14" x14ac:dyDescent="0.25">
      <c r="A913" s="66">
        <v>44967</v>
      </c>
      <c r="B913" s="67" t="s">
        <v>62</v>
      </c>
      <c r="C913" s="129" t="str">
        <f t="shared" si="28"/>
        <v>10.02.2023_VORuhSc</v>
      </c>
      <c r="D913" s="143">
        <f t="shared" si="29"/>
        <v>0</v>
      </c>
      <c r="E913" s="157">
        <v>7.46</v>
      </c>
      <c r="F913" s="165"/>
      <c r="G913" s="166">
        <v>940</v>
      </c>
      <c r="H913" s="167">
        <v>12</v>
      </c>
      <c r="I913" s="165"/>
      <c r="J913" s="167"/>
      <c r="K913" s="167">
        <v>5.9</v>
      </c>
      <c r="L913" s="167">
        <v>15.2</v>
      </c>
      <c r="M913" s="168">
        <v>0.42013888888888901</v>
      </c>
      <c r="N913" s="67"/>
    </row>
    <row r="914" spans="1:14" x14ac:dyDescent="0.25">
      <c r="A914" s="66">
        <v>44967</v>
      </c>
      <c r="B914" s="67" t="s">
        <v>64</v>
      </c>
      <c r="C914" s="129" t="str">
        <f t="shared" si="28"/>
        <v>10.02.2023_WITob</v>
      </c>
      <c r="D914" s="143">
        <f t="shared" si="29"/>
        <v>0</v>
      </c>
      <c r="E914" s="157">
        <v>8.4499999999999993</v>
      </c>
      <c r="F914" s="165"/>
      <c r="G914" s="166">
        <v>1304</v>
      </c>
      <c r="H914" s="167">
        <v>11.3</v>
      </c>
      <c r="I914" s="165"/>
      <c r="J914" s="167"/>
      <c r="K914" s="167">
        <v>7.4</v>
      </c>
      <c r="L914" s="167">
        <v>4</v>
      </c>
      <c r="M914" s="168">
        <v>0.57777777777777795</v>
      </c>
      <c r="N914" s="67" t="s">
        <v>145</v>
      </c>
    </row>
    <row r="915" spans="1:14" x14ac:dyDescent="0.25">
      <c r="A915" s="66">
        <v>44981</v>
      </c>
      <c r="B915" s="67" t="s">
        <v>22</v>
      </c>
      <c r="C915" s="129" t="str">
        <f t="shared" si="28"/>
        <v>24.02.2023_BOYkl</v>
      </c>
      <c r="D915" s="143">
        <f t="shared" si="29"/>
        <v>0</v>
      </c>
      <c r="E915" s="157">
        <v>7.64</v>
      </c>
      <c r="F915" s="165"/>
      <c r="G915" s="166">
        <v>496</v>
      </c>
      <c r="H915" s="167">
        <v>11.8</v>
      </c>
      <c r="I915" s="165"/>
      <c r="J915" s="167"/>
      <c r="K915" s="167">
        <v>7.1</v>
      </c>
      <c r="L915" s="167">
        <v>17.7</v>
      </c>
      <c r="M915" s="168">
        <v>0.45763888888888898</v>
      </c>
      <c r="N915" s="67"/>
    </row>
    <row r="916" spans="1:14" x14ac:dyDescent="0.25">
      <c r="A916" s="66">
        <v>44981</v>
      </c>
      <c r="B916" s="67" t="s">
        <v>25</v>
      </c>
      <c r="C916" s="129" t="str">
        <f t="shared" si="28"/>
        <v>24.02.2023_BOYohB224</v>
      </c>
      <c r="D916" s="143">
        <f t="shared" si="29"/>
        <v>0</v>
      </c>
      <c r="E916" s="157">
        <v>8.27</v>
      </c>
      <c r="F916" s="165"/>
      <c r="G916" s="166">
        <v>873</v>
      </c>
      <c r="H916" s="167">
        <v>12.3</v>
      </c>
      <c r="I916" s="165"/>
      <c r="J916" s="167"/>
      <c r="K916" s="167">
        <v>7.3</v>
      </c>
      <c r="L916" s="167">
        <v>50.5</v>
      </c>
      <c r="M916" s="168">
        <v>0.58125000000000004</v>
      </c>
      <c r="N916" s="67"/>
    </row>
    <row r="917" spans="1:14" x14ac:dyDescent="0.25">
      <c r="A917" s="66">
        <v>44981</v>
      </c>
      <c r="B917" s="67" t="s">
        <v>28</v>
      </c>
      <c r="C917" s="129" t="str">
        <f t="shared" si="28"/>
        <v>24.02.2023_BOYohBr</v>
      </c>
      <c r="D917" s="143">
        <f t="shared" si="29"/>
        <v>0</v>
      </c>
      <c r="E917" s="157">
        <v>7.85</v>
      </c>
      <c r="F917" s="165"/>
      <c r="G917" s="166">
        <v>608</v>
      </c>
      <c r="H917" s="167">
        <v>10.4</v>
      </c>
      <c r="I917" s="165"/>
      <c r="J917" s="167"/>
      <c r="K917" s="167">
        <v>7.5</v>
      </c>
      <c r="L917" s="167">
        <v>26.8</v>
      </c>
      <c r="M917" s="168">
        <v>0.49375000000000002</v>
      </c>
      <c r="N917" s="67"/>
    </row>
    <row r="918" spans="1:14" x14ac:dyDescent="0.25">
      <c r="A918" s="66">
        <v>44981</v>
      </c>
      <c r="B918" s="67" t="s">
        <v>30</v>
      </c>
      <c r="C918" s="129" t="str">
        <f t="shared" si="28"/>
        <v>24.02.2023_BOYohKi</v>
      </c>
      <c r="D918" s="143">
        <f t="shared" si="29"/>
        <v>0</v>
      </c>
      <c r="E918" s="157">
        <v>8.02</v>
      </c>
      <c r="F918" s="165"/>
      <c r="G918" s="166">
        <v>796</v>
      </c>
      <c r="H918" s="167">
        <v>10.7</v>
      </c>
      <c r="I918" s="165"/>
      <c r="J918" s="167"/>
      <c r="K918" s="167">
        <v>7</v>
      </c>
      <c r="L918" s="167">
        <v>44.3</v>
      </c>
      <c r="M918" s="168">
        <v>0.38680555555555601</v>
      </c>
      <c r="N918" s="67"/>
    </row>
    <row r="919" spans="1:14" x14ac:dyDescent="0.25">
      <c r="A919" s="66">
        <v>44981</v>
      </c>
      <c r="B919" s="67" t="s">
        <v>32</v>
      </c>
      <c r="C919" s="129" t="str">
        <f t="shared" si="28"/>
        <v>24.02.2023_BOYohSp</v>
      </c>
      <c r="D919" s="143">
        <f t="shared" si="29"/>
        <v>0</v>
      </c>
      <c r="E919" s="157">
        <v>8.0299999999999994</v>
      </c>
      <c r="F919" s="165"/>
      <c r="G919" s="166">
        <v>728</v>
      </c>
      <c r="H919" s="167">
        <v>10.3</v>
      </c>
      <c r="I919" s="165"/>
      <c r="J919" s="167"/>
      <c r="K919" s="167">
        <v>7.2</v>
      </c>
      <c r="L919" s="167">
        <v>32</v>
      </c>
      <c r="M919" s="168">
        <v>0.51458333333333295</v>
      </c>
      <c r="N919" s="67"/>
    </row>
    <row r="920" spans="1:14" x14ac:dyDescent="0.25">
      <c r="A920" s="66">
        <v>44981</v>
      </c>
      <c r="B920" s="67" t="s">
        <v>34</v>
      </c>
      <c r="C920" s="129" t="str">
        <f t="shared" si="28"/>
        <v>24.02.2023_BOYuhHa</v>
      </c>
      <c r="D920" s="143">
        <f t="shared" si="29"/>
        <v>0</v>
      </c>
      <c r="E920" s="157">
        <v>8.25</v>
      </c>
      <c r="F920" s="165"/>
      <c r="G920" s="166">
        <v>892</v>
      </c>
      <c r="H920" s="167">
        <v>11.4</v>
      </c>
      <c r="I920" s="165"/>
      <c r="J920" s="167"/>
      <c r="K920" s="167">
        <v>6.9</v>
      </c>
      <c r="L920" s="167">
        <v>25.2</v>
      </c>
      <c r="M920" s="168">
        <v>0.36597222222222198</v>
      </c>
      <c r="N920" s="67"/>
    </row>
    <row r="921" spans="1:14" x14ac:dyDescent="0.25">
      <c r="A921" s="66">
        <v>44981</v>
      </c>
      <c r="B921" s="67" t="s">
        <v>36</v>
      </c>
      <c r="C921" s="129" t="str">
        <f t="shared" si="28"/>
        <v>24.02.2023_BOYuhSp</v>
      </c>
      <c r="D921" s="143">
        <f t="shared" si="29"/>
        <v>0</v>
      </c>
      <c r="E921" s="157">
        <v>7.88</v>
      </c>
      <c r="F921" s="165"/>
      <c r="G921" s="166">
        <v>742</v>
      </c>
      <c r="H921" s="167">
        <v>10.7</v>
      </c>
      <c r="I921" s="165"/>
      <c r="J921" s="167"/>
      <c r="K921" s="167">
        <v>7</v>
      </c>
      <c r="L921" s="167">
        <v>45</v>
      </c>
      <c r="M921" s="168">
        <v>0.50833333333333297</v>
      </c>
      <c r="N921" s="67"/>
    </row>
    <row r="922" spans="1:14" x14ac:dyDescent="0.25">
      <c r="A922" s="66">
        <v>44981</v>
      </c>
      <c r="B922" s="67" t="s">
        <v>38</v>
      </c>
      <c r="C922" s="129" t="str">
        <f t="shared" si="28"/>
        <v>24.02.2023_BRAob</v>
      </c>
      <c r="D922" s="143">
        <f t="shared" si="29"/>
        <v>0</v>
      </c>
      <c r="E922" s="157">
        <v>7.92</v>
      </c>
      <c r="F922" s="165"/>
      <c r="G922" s="166">
        <v>890</v>
      </c>
      <c r="H922" s="167">
        <v>10.199999999999999</v>
      </c>
      <c r="I922" s="165"/>
      <c r="J922" s="167"/>
      <c r="K922" s="167">
        <v>6.9</v>
      </c>
      <c r="L922" s="167">
        <v>9.8000000000000007</v>
      </c>
      <c r="M922" s="168">
        <v>0.47013888888888899</v>
      </c>
      <c r="N922" s="67"/>
    </row>
    <row r="923" spans="1:14" x14ac:dyDescent="0.25">
      <c r="A923" s="66">
        <v>44981</v>
      </c>
      <c r="B923" s="67" t="s">
        <v>41</v>
      </c>
      <c r="C923" s="129" t="str">
        <f t="shared" si="28"/>
        <v>24.02.2023_BRAohBo</v>
      </c>
      <c r="D923" s="143">
        <f t="shared" si="29"/>
        <v>0</v>
      </c>
      <c r="E923" s="157">
        <v>7.92</v>
      </c>
      <c r="F923" s="165"/>
      <c r="G923" s="166">
        <v>7.95</v>
      </c>
      <c r="H923" s="167">
        <v>10.6</v>
      </c>
      <c r="I923" s="165"/>
      <c r="J923" s="167"/>
      <c r="K923" s="167">
        <v>6.6</v>
      </c>
      <c r="L923" s="167">
        <v>24</v>
      </c>
      <c r="M923" s="168">
        <v>0.47847222222222202</v>
      </c>
      <c r="N923" s="67"/>
    </row>
    <row r="924" spans="1:14" x14ac:dyDescent="0.25">
      <c r="A924" s="66">
        <v>44981</v>
      </c>
      <c r="B924" s="67" t="s">
        <v>43</v>
      </c>
      <c r="C924" s="129" t="str">
        <f t="shared" si="28"/>
        <v>24.02.2023_HAAob</v>
      </c>
      <c r="D924" s="143">
        <f t="shared" si="29"/>
        <v>0</v>
      </c>
      <c r="E924" s="157">
        <v>8.34</v>
      </c>
      <c r="F924" s="165"/>
      <c r="G924" s="166">
        <v>832</v>
      </c>
      <c r="H924" s="167">
        <v>11.4</v>
      </c>
      <c r="I924" s="165"/>
      <c r="J924" s="167"/>
      <c r="K924" s="167">
        <v>8.1</v>
      </c>
      <c r="L924" s="167">
        <v>10.5</v>
      </c>
      <c r="M924" s="168">
        <v>0.54652777777777795</v>
      </c>
      <c r="N924" s="67"/>
    </row>
    <row r="925" spans="1:14" x14ac:dyDescent="0.25">
      <c r="A925" s="66">
        <v>44981</v>
      </c>
      <c r="B925" s="67" t="s">
        <v>45</v>
      </c>
      <c r="C925" s="129" t="str">
        <f t="shared" si="28"/>
        <v>24.02.2023_HAAun</v>
      </c>
      <c r="D925" s="143">
        <f t="shared" si="29"/>
        <v>0</v>
      </c>
      <c r="E925" s="157">
        <v>7.81</v>
      </c>
      <c r="F925" s="165"/>
      <c r="G925" s="166">
        <v>1019</v>
      </c>
      <c r="H925" s="167">
        <v>10.5</v>
      </c>
      <c r="I925" s="165"/>
      <c r="J925" s="167"/>
      <c r="K925" s="167">
        <v>8.1</v>
      </c>
      <c r="L925" s="167">
        <v>19</v>
      </c>
      <c r="M925" s="168">
        <v>0.53680555555555598</v>
      </c>
      <c r="N925" s="67"/>
    </row>
    <row r="926" spans="1:14" x14ac:dyDescent="0.25">
      <c r="A926" s="66">
        <v>44981</v>
      </c>
      <c r="B926" s="67" t="s">
        <v>47</v>
      </c>
      <c r="C926" s="129" t="str">
        <f t="shared" si="28"/>
        <v>24.02.2023_KIRob</v>
      </c>
      <c r="D926" s="143">
        <f t="shared" si="29"/>
        <v>0</v>
      </c>
      <c r="E926" s="157">
        <v>8.1300000000000008</v>
      </c>
      <c r="F926" s="165"/>
      <c r="G926" s="166">
        <v>1107</v>
      </c>
      <c r="H926" s="167">
        <v>9.5</v>
      </c>
      <c r="I926" s="165"/>
      <c r="J926" s="167"/>
      <c r="K926" s="167">
        <v>8.1</v>
      </c>
      <c r="L926" s="167">
        <v>10.199999999999999</v>
      </c>
      <c r="M926" s="168">
        <v>0.40277777777777801</v>
      </c>
      <c r="N926" s="67"/>
    </row>
    <row r="927" spans="1:14" x14ac:dyDescent="0.25">
      <c r="A927" s="66">
        <v>44981</v>
      </c>
      <c r="B927" s="67" t="s">
        <v>49</v>
      </c>
      <c r="C927" s="129" t="str">
        <f t="shared" si="28"/>
        <v>24.02.2023_KIRun</v>
      </c>
      <c r="D927" s="143">
        <f t="shared" si="29"/>
        <v>0</v>
      </c>
      <c r="E927" s="157">
        <v>8.23</v>
      </c>
      <c r="F927" s="165"/>
      <c r="G927" s="166">
        <v>1026</v>
      </c>
      <c r="H927" s="167">
        <v>10</v>
      </c>
      <c r="I927" s="165"/>
      <c r="J927" s="167"/>
      <c r="K927" s="167">
        <v>8.6</v>
      </c>
      <c r="L927" s="167">
        <v>13.5</v>
      </c>
      <c r="M927" s="168">
        <v>0.39513888888888898</v>
      </c>
      <c r="N927" s="67"/>
    </row>
    <row r="928" spans="1:14" x14ac:dyDescent="0.25">
      <c r="A928" s="66">
        <v>44981</v>
      </c>
      <c r="B928" s="67" t="s">
        <v>50</v>
      </c>
      <c r="C928" s="129" t="str">
        <f t="shared" si="28"/>
        <v>24.02.2023_LIEohBo</v>
      </c>
      <c r="D928" s="143">
        <f t="shared" si="29"/>
        <v>0</v>
      </c>
      <c r="E928" s="157">
        <v>8.35</v>
      </c>
      <c r="F928" s="165"/>
      <c r="G928" s="166">
        <v>788</v>
      </c>
      <c r="H928" s="167">
        <v>10.4</v>
      </c>
      <c r="I928" s="165"/>
      <c r="J928" s="167"/>
      <c r="K928" s="167">
        <v>6.1</v>
      </c>
      <c r="L928" s="167">
        <v>16.600000000000001</v>
      </c>
      <c r="M928" s="168">
        <v>0.37708333333333299</v>
      </c>
      <c r="N928" s="67"/>
    </row>
    <row r="929" spans="1:14" x14ac:dyDescent="0.25">
      <c r="A929" s="66">
        <v>44981</v>
      </c>
      <c r="B929" s="67" t="s">
        <v>53</v>
      </c>
      <c r="C929" s="129" t="str">
        <f t="shared" si="28"/>
        <v>24.02.2023_NATohBo</v>
      </c>
      <c r="D929" s="143">
        <f t="shared" si="29"/>
        <v>0</v>
      </c>
      <c r="E929" s="157">
        <v>7.97</v>
      </c>
      <c r="F929" s="165"/>
      <c r="G929" s="166">
        <v>1329</v>
      </c>
      <c r="H929" s="167">
        <v>11.8</v>
      </c>
      <c r="I929" s="165"/>
      <c r="J929" s="167"/>
      <c r="K929" s="167">
        <v>7.8</v>
      </c>
      <c r="L929" s="167">
        <v>21.6</v>
      </c>
      <c r="M929" s="168">
        <v>0.57222222222222197</v>
      </c>
      <c r="N929" s="67"/>
    </row>
    <row r="930" spans="1:14" x14ac:dyDescent="0.25">
      <c r="A930" s="66">
        <v>44981</v>
      </c>
      <c r="B930" s="67" t="s">
        <v>55</v>
      </c>
      <c r="C930" s="129" t="str">
        <f t="shared" si="28"/>
        <v>24.02.2023_QUAohBo</v>
      </c>
      <c r="D930" s="143">
        <f t="shared" si="29"/>
        <v>0</v>
      </c>
      <c r="E930" s="157">
        <v>7.96</v>
      </c>
      <c r="F930" s="165"/>
      <c r="G930" s="166">
        <v>880</v>
      </c>
      <c r="H930" s="167">
        <v>10.8</v>
      </c>
      <c r="I930" s="165"/>
      <c r="J930" s="167"/>
      <c r="K930" s="167">
        <v>7.3</v>
      </c>
      <c r="L930" s="167">
        <v>23</v>
      </c>
      <c r="M930" s="168">
        <v>0.52291666666666703</v>
      </c>
      <c r="N930" s="67"/>
    </row>
    <row r="931" spans="1:14" x14ac:dyDescent="0.25">
      <c r="A931" s="66">
        <v>44981</v>
      </c>
      <c r="B931" s="67" t="s">
        <v>57</v>
      </c>
      <c r="C931" s="129" t="str">
        <f t="shared" si="28"/>
        <v>24.02.2023_SCHohVo</v>
      </c>
      <c r="D931" s="143">
        <f t="shared" si="29"/>
        <v>0</v>
      </c>
      <c r="E931" s="157">
        <v>7.8</v>
      </c>
      <c r="F931" s="165"/>
      <c r="G931" s="166">
        <v>576</v>
      </c>
      <c r="H931" s="167">
        <v>10.1</v>
      </c>
      <c r="I931" s="165"/>
      <c r="J931" s="167"/>
      <c r="K931" s="167">
        <v>6.5</v>
      </c>
      <c r="L931" s="167">
        <v>12.2</v>
      </c>
      <c r="M931" s="168">
        <v>0.41666666666666702</v>
      </c>
      <c r="N931" s="67"/>
    </row>
    <row r="932" spans="1:14" x14ac:dyDescent="0.25">
      <c r="A932" s="66">
        <v>44981</v>
      </c>
      <c r="B932" s="67" t="s">
        <v>60</v>
      </c>
      <c r="C932" s="129" t="str">
        <f t="shared" si="28"/>
        <v>24.02.2023_VORohBo</v>
      </c>
      <c r="D932" s="143">
        <f t="shared" si="29"/>
        <v>0</v>
      </c>
      <c r="E932" s="157">
        <v>7.72</v>
      </c>
      <c r="F932" s="165"/>
      <c r="G932" s="166">
        <v>997</v>
      </c>
      <c r="H932" s="167">
        <v>9.6999999999999993</v>
      </c>
      <c r="I932" s="165"/>
      <c r="J932" s="167"/>
      <c r="K932" s="167">
        <v>7.6</v>
      </c>
      <c r="L932" s="167">
        <v>18</v>
      </c>
      <c r="M932" s="168">
        <v>0.43958333333333299</v>
      </c>
      <c r="N932" s="67"/>
    </row>
    <row r="933" spans="1:14" x14ac:dyDescent="0.25">
      <c r="A933" s="66">
        <v>44981</v>
      </c>
      <c r="B933" s="67" t="s">
        <v>62</v>
      </c>
      <c r="C933" s="129" t="str">
        <f t="shared" si="28"/>
        <v>24.02.2023_VORuhSc</v>
      </c>
      <c r="D933" s="143">
        <f t="shared" si="29"/>
        <v>0</v>
      </c>
      <c r="E933" s="157">
        <v>7.54</v>
      </c>
      <c r="F933" s="165"/>
      <c r="G933" s="166">
        <v>908</v>
      </c>
      <c r="H933" s="167">
        <v>8.9</v>
      </c>
      <c r="I933" s="165"/>
      <c r="J933" s="167"/>
      <c r="K933" s="167">
        <v>7.7</v>
      </c>
      <c r="L933" s="167">
        <v>17.3</v>
      </c>
      <c r="M933" s="168">
        <v>0.42708333333333298</v>
      </c>
      <c r="N933" s="67"/>
    </row>
    <row r="934" spans="1:14" x14ac:dyDescent="0.25">
      <c r="A934" s="66">
        <v>44981</v>
      </c>
      <c r="B934" s="67" t="s">
        <v>64</v>
      </c>
      <c r="C934" s="129" t="str">
        <f t="shared" si="28"/>
        <v>24.02.2023_WITob</v>
      </c>
      <c r="D934" s="143">
        <f t="shared" si="29"/>
        <v>0</v>
      </c>
      <c r="E934" s="157">
        <v>8.4700000000000006</v>
      </c>
      <c r="F934" s="165"/>
      <c r="G934" s="166">
        <v>1262</v>
      </c>
      <c r="H934" s="167">
        <v>12</v>
      </c>
      <c r="I934" s="165"/>
      <c r="J934" s="167"/>
      <c r="K934" s="167">
        <v>7.3</v>
      </c>
      <c r="L934" s="167">
        <v>3.8</v>
      </c>
      <c r="M934" s="168">
        <v>0.55972222222222201</v>
      </c>
      <c r="N934" s="67"/>
    </row>
    <row r="935" spans="1:14" x14ac:dyDescent="0.25">
      <c r="A935" s="66">
        <v>44995</v>
      </c>
      <c r="B935" s="67" t="s">
        <v>22</v>
      </c>
      <c r="C935" s="129" t="str">
        <f t="shared" si="28"/>
        <v>10.03.2023_BOYkl</v>
      </c>
      <c r="D935" s="143">
        <f t="shared" si="29"/>
        <v>0</v>
      </c>
      <c r="E935" s="157">
        <v>7.25</v>
      </c>
      <c r="F935" s="165"/>
      <c r="G935" s="166">
        <v>365</v>
      </c>
      <c r="H935" s="167">
        <v>12.5</v>
      </c>
      <c r="I935" s="165"/>
      <c r="J935" s="167"/>
      <c r="K935" s="167">
        <v>7</v>
      </c>
      <c r="L935" s="167">
        <v>23.2</v>
      </c>
      <c r="M935" s="168">
        <v>0.46041666666666697</v>
      </c>
      <c r="N935" s="67"/>
    </row>
    <row r="936" spans="1:14" x14ac:dyDescent="0.25">
      <c r="A936" s="66">
        <v>44995</v>
      </c>
      <c r="B936" s="67" t="s">
        <v>25</v>
      </c>
      <c r="C936" s="129" t="str">
        <f t="shared" si="28"/>
        <v>10.03.2023_BOYohB224</v>
      </c>
      <c r="D936" s="143">
        <f t="shared" si="29"/>
        <v>0</v>
      </c>
      <c r="E936" s="157">
        <v>7.7</v>
      </c>
      <c r="F936" s="165"/>
      <c r="G936" s="166">
        <v>551</v>
      </c>
      <c r="H936" s="167">
        <v>12.1</v>
      </c>
      <c r="I936" s="165"/>
      <c r="J936" s="167"/>
      <c r="K936" s="167">
        <v>8.8000000000000007</v>
      </c>
      <c r="L936" s="167">
        <v>48</v>
      </c>
      <c r="M936" s="168">
        <v>0.58194444444444504</v>
      </c>
      <c r="N936" s="67"/>
    </row>
    <row r="937" spans="1:14" x14ac:dyDescent="0.25">
      <c r="A937" s="66">
        <v>44995</v>
      </c>
      <c r="B937" s="67" t="s">
        <v>28</v>
      </c>
      <c r="C937" s="129" t="str">
        <f t="shared" si="28"/>
        <v>10.03.2023_BOYohBr</v>
      </c>
      <c r="D937" s="143">
        <f t="shared" si="29"/>
        <v>0</v>
      </c>
      <c r="E937" s="157">
        <v>7.35</v>
      </c>
      <c r="F937" s="165"/>
      <c r="G937" s="166">
        <v>446</v>
      </c>
      <c r="H937" s="167">
        <v>12.3</v>
      </c>
      <c r="I937" s="165"/>
      <c r="J937" s="167"/>
      <c r="K937" s="167">
        <v>7.1</v>
      </c>
      <c r="L937" s="167">
        <v>43.5</v>
      </c>
      <c r="M937" s="168">
        <v>0.49583333333333302</v>
      </c>
      <c r="N937" s="67"/>
    </row>
    <row r="938" spans="1:14" x14ac:dyDescent="0.25">
      <c r="A938" s="66">
        <v>44995</v>
      </c>
      <c r="B938" s="67" t="s">
        <v>30</v>
      </c>
      <c r="C938" s="129" t="str">
        <f t="shared" si="28"/>
        <v>10.03.2023_BOYohKi</v>
      </c>
      <c r="D938" s="143">
        <f t="shared" si="29"/>
        <v>0</v>
      </c>
      <c r="E938" s="157">
        <v>7.5</v>
      </c>
      <c r="F938" s="165"/>
      <c r="G938" s="166">
        <v>521</v>
      </c>
      <c r="H938" s="167">
        <v>12.2</v>
      </c>
      <c r="I938" s="165"/>
      <c r="J938" s="167"/>
      <c r="K938" s="167">
        <v>6.8</v>
      </c>
      <c r="L938" s="167">
        <f>84-18</f>
        <v>66</v>
      </c>
      <c r="M938" s="168">
        <v>0.390277777777778</v>
      </c>
      <c r="N938" s="67"/>
    </row>
    <row r="939" spans="1:14" x14ac:dyDescent="0.25">
      <c r="A939" s="66">
        <v>44995</v>
      </c>
      <c r="B939" s="67" t="s">
        <v>32</v>
      </c>
      <c r="C939" s="129" t="str">
        <f t="shared" si="28"/>
        <v>10.03.2023_BOYohSp</v>
      </c>
      <c r="D939" s="143">
        <f t="shared" si="29"/>
        <v>0</v>
      </c>
      <c r="E939" s="157">
        <v>7.37</v>
      </c>
      <c r="F939" s="165"/>
      <c r="G939" s="166">
        <v>489</v>
      </c>
      <c r="H939" s="167">
        <v>11.6</v>
      </c>
      <c r="I939" s="165"/>
      <c r="J939" s="167"/>
      <c r="K939" s="167">
        <v>7.4</v>
      </c>
      <c r="L939" s="167">
        <v>67.2</v>
      </c>
      <c r="M939" s="168">
        <v>0.51805555555555605</v>
      </c>
      <c r="N939" s="67"/>
    </row>
    <row r="940" spans="1:14" x14ac:dyDescent="0.25">
      <c r="A940" s="66">
        <v>44995</v>
      </c>
      <c r="B940" s="67" t="s">
        <v>34</v>
      </c>
      <c r="C940" s="129" t="str">
        <f t="shared" si="28"/>
        <v>10.03.2023_BOYuhHa</v>
      </c>
      <c r="D940" s="143">
        <f t="shared" si="29"/>
        <v>0</v>
      </c>
      <c r="E940" s="157">
        <v>7.7</v>
      </c>
      <c r="F940" s="165"/>
      <c r="G940" s="166">
        <v>510</v>
      </c>
      <c r="H940" s="167">
        <v>11.7</v>
      </c>
      <c r="I940" s="165"/>
      <c r="J940" s="167"/>
      <c r="K940" s="167">
        <v>7.2</v>
      </c>
      <c r="L940" s="167">
        <v>34.5</v>
      </c>
      <c r="M940" s="168">
        <v>0.36805555555555602</v>
      </c>
      <c r="N940" s="67"/>
    </row>
    <row r="941" spans="1:14" x14ac:dyDescent="0.25">
      <c r="A941" s="66">
        <v>44995</v>
      </c>
      <c r="B941" s="67" t="s">
        <v>36</v>
      </c>
      <c r="C941" s="129" t="str">
        <f t="shared" si="28"/>
        <v>10.03.2023_BOYuhSp</v>
      </c>
      <c r="D941" s="143">
        <f t="shared" si="29"/>
        <v>0</v>
      </c>
      <c r="E941" s="157">
        <v>7.41</v>
      </c>
      <c r="F941" s="165"/>
      <c r="G941" s="166">
        <v>523</v>
      </c>
      <c r="H941" s="167">
        <v>12.4</v>
      </c>
      <c r="I941" s="165"/>
      <c r="J941" s="167"/>
      <c r="K941" s="167">
        <v>7.4</v>
      </c>
      <c r="L941" s="167">
        <v>79.400000000000006</v>
      </c>
      <c r="M941" s="168">
        <v>0.51180555555555596</v>
      </c>
      <c r="N941" s="67"/>
    </row>
    <row r="942" spans="1:14" x14ac:dyDescent="0.25">
      <c r="A942" s="66">
        <v>44995</v>
      </c>
      <c r="B942" s="67" t="s">
        <v>38</v>
      </c>
      <c r="C942" s="129" t="str">
        <f t="shared" si="28"/>
        <v>10.03.2023_BRAob</v>
      </c>
      <c r="D942" s="143">
        <f t="shared" si="29"/>
        <v>0</v>
      </c>
      <c r="E942" s="157">
        <v>7.48</v>
      </c>
      <c r="F942" s="165"/>
      <c r="G942" s="166">
        <v>678</v>
      </c>
      <c r="H942" s="167">
        <v>11</v>
      </c>
      <c r="I942" s="165"/>
      <c r="J942" s="167"/>
      <c r="K942" s="167">
        <v>7.7</v>
      </c>
      <c r="L942" s="167">
        <v>14.7</v>
      </c>
      <c r="M942" s="168">
        <v>0.47222222222222199</v>
      </c>
      <c r="N942" s="67"/>
    </row>
    <row r="943" spans="1:14" x14ac:dyDescent="0.25">
      <c r="A943" s="66">
        <v>44995</v>
      </c>
      <c r="B943" s="67" t="s">
        <v>41</v>
      </c>
      <c r="C943" s="129" t="str">
        <f t="shared" si="28"/>
        <v>10.03.2023_BRAohBo</v>
      </c>
      <c r="D943" s="143">
        <f t="shared" si="29"/>
        <v>0</v>
      </c>
      <c r="E943" s="157">
        <v>7.4</v>
      </c>
      <c r="F943" s="165"/>
      <c r="G943" s="166">
        <v>548</v>
      </c>
      <c r="H943" s="167">
        <v>10.8</v>
      </c>
      <c r="I943" s="165"/>
      <c r="J943" s="167"/>
      <c r="K943" s="167">
        <v>7.4</v>
      </c>
      <c r="L943" s="167">
        <v>35.200000000000003</v>
      </c>
      <c r="M943" s="168">
        <v>0.48263888888888901</v>
      </c>
      <c r="N943" s="67"/>
    </row>
    <row r="944" spans="1:14" x14ac:dyDescent="0.25">
      <c r="A944" s="66">
        <v>44995</v>
      </c>
      <c r="B944" s="67" t="s">
        <v>43</v>
      </c>
      <c r="C944" s="129" t="str">
        <f t="shared" si="28"/>
        <v>10.03.2023_HAAob</v>
      </c>
      <c r="D944" s="143">
        <f t="shared" si="29"/>
        <v>0</v>
      </c>
      <c r="E944" s="157">
        <v>8.33</v>
      </c>
      <c r="F944" s="165"/>
      <c r="G944" s="166">
        <v>792</v>
      </c>
      <c r="H944" s="167">
        <v>11.3</v>
      </c>
      <c r="I944" s="165"/>
      <c r="J944" s="167"/>
      <c r="K944" s="167">
        <v>9.3000000000000007</v>
      </c>
      <c r="L944" s="167">
        <v>12</v>
      </c>
      <c r="M944" s="168">
        <v>0.54652777777777795</v>
      </c>
      <c r="N944" s="67" t="s">
        <v>271</v>
      </c>
    </row>
    <row r="945" spans="1:14" x14ac:dyDescent="0.25">
      <c r="A945" s="66">
        <v>44995</v>
      </c>
      <c r="B945" s="67" t="s">
        <v>45</v>
      </c>
      <c r="C945" s="129" t="str">
        <f t="shared" si="28"/>
        <v>10.03.2023_HAAun</v>
      </c>
      <c r="D945" s="143">
        <f t="shared" si="29"/>
        <v>0</v>
      </c>
      <c r="E945" s="157">
        <v>7.49</v>
      </c>
      <c r="F945" s="165"/>
      <c r="G945" s="166">
        <v>870</v>
      </c>
      <c r="H945" s="167">
        <v>12.2</v>
      </c>
      <c r="I945" s="165"/>
      <c r="J945" s="167"/>
      <c r="K945" s="167">
        <v>8.3000000000000007</v>
      </c>
      <c r="L945" s="167">
        <v>14.7</v>
      </c>
      <c r="M945" s="168">
        <v>0.53749999999999998</v>
      </c>
      <c r="N945" s="67"/>
    </row>
    <row r="946" spans="1:14" x14ac:dyDescent="0.25">
      <c r="A946" s="66">
        <v>44995</v>
      </c>
      <c r="B946" s="67" t="s">
        <v>47</v>
      </c>
      <c r="C946" s="129" t="str">
        <f t="shared" si="28"/>
        <v>10.03.2023_KIRob</v>
      </c>
      <c r="D946" s="143">
        <f t="shared" si="29"/>
        <v>0</v>
      </c>
      <c r="E946" s="157">
        <v>7.8</v>
      </c>
      <c r="F946" s="165"/>
      <c r="G946" s="166">
        <v>703</v>
      </c>
      <c r="H946" s="167">
        <v>10.8</v>
      </c>
      <c r="I946" s="165"/>
      <c r="J946" s="167"/>
      <c r="K946" s="167">
        <v>9.4</v>
      </c>
      <c r="L946" s="167">
        <v>11.8</v>
      </c>
      <c r="M946" s="168">
        <v>0.40972222222222199</v>
      </c>
      <c r="N946" s="67"/>
    </row>
    <row r="947" spans="1:14" x14ac:dyDescent="0.25">
      <c r="A947" s="66">
        <v>44995</v>
      </c>
      <c r="B947" s="67" t="s">
        <v>49</v>
      </c>
      <c r="C947" s="129" t="str">
        <f t="shared" si="28"/>
        <v>10.03.2023_KIRun</v>
      </c>
      <c r="D947" s="143">
        <f t="shared" si="29"/>
        <v>0</v>
      </c>
      <c r="E947" s="157">
        <v>8.1</v>
      </c>
      <c r="F947" s="165"/>
      <c r="G947" s="166">
        <v>815</v>
      </c>
      <c r="H947" s="167">
        <v>10.4</v>
      </c>
      <c r="I947" s="165"/>
      <c r="J947" s="167"/>
      <c r="K947" s="167">
        <v>9.3000000000000007</v>
      </c>
      <c r="L947" s="167">
        <v>13.6</v>
      </c>
      <c r="M947" s="168">
        <v>0.39930555555555602</v>
      </c>
      <c r="N947" s="67"/>
    </row>
    <row r="948" spans="1:14" x14ac:dyDescent="0.25">
      <c r="A948" s="66">
        <v>44995</v>
      </c>
      <c r="B948" s="67" t="s">
        <v>50</v>
      </c>
      <c r="C948" s="129" t="str">
        <f t="shared" si="28"/>
        <v>10.03.2023_LIEohBo</v>
      </c>
      <c r="D948" s="143">
        <f t="shared" si="29"/>
        <v>0</v>
      </c>
      <c r="E948" s="157">
        <v>8.2200000000000006</v>
      </c>
      <c r="F948" s="165"/>
      <c r="G948" s="166">
        <v>530</v>
      </c>
      <c r="H948" s="167">
        <v>12.1</v>
      </c>
      <c r="I948" s="165"/>
      <c r="J948" s="167"/>
      <c r="K948" s="167">
        <v>7.6</v>
      </c>
      <c r="L948" s="167">
        <v>16.399999999999999</v>
      </c>
      <c r="M948" s="168">
        <v>0.37847222222222199</v>
      </c>
      <c r="N948" s="67"/>
    </row>
    <row r="949" spans="1:14" x14ac:dyDescent="0.25">
      <c r="A949" s="66">
        <v>44995</v>
      </c>
      <c r="B949" s="67" t="s">
        <v>53</v>
      </c>
      <c r="C949" s="129" t="str">
        <f t="shared" si="28"/>
        <v>10.03.2023_NATohBo</v>
      </c>
      <c r="D949" s="143">
        <f t="shared" si="29"/>
        <v>0</v>
      </c>
      <c r="E949" s="157">
        <v>7.86</v>
      </c>
      <c r="F949" s="165"/>
      <c r="G949" s="166">
        <v>714</v>
      </c>
      <c r="H949" s="167">
        <v>12</v>
      </c>
      <c r="I949" s="165"/>
      <c r="J949" s="167"/>
      <c r="K949" s="167">
        <v>8.3000000000000007</v>
      </c>
      <c r="L949" s="167">
        <v>35.5</v>
      </c>
      <c r="M949" s="168">
        <v>0.57222222222222197</v>
      </c>
      <c r="N949" s="67"/>
    </row>
    <row r="950" spans="1:14" x14ac:dyDescent="0.25">
      <c r="A950" s="66">
        <v>44995</v>
      </c>
      <c r="B950" s="67" t="s">
        <v>55</v>
      </c>
      <c r="C950" s="129" t="str">
        <f t="shared" si="28"/>
        <v>10.03.2023_QUAohBo</v>
      </c>
      <c r="D950" s="143">
        <f t="shared" si="29"/>
        <v>0</v>
      </c>
      <c r="E950" s="157">
        <v>7.59</v>
      </c>
      <c r="F950" s="165"/>
      <c r="G950" s="166">
        <v>709</v>
      </c>
      <c r="H950" s="167">
        <v>12.2</v>
      </c>
      <c r="I950" s="165"/>
      <c r="J950" s="167"/>
      <c r="K950" s="167">
        <v>8.1999999999999993</v>
      </c>
      <c r="L950" s="167">
        <v>26.3</v>
      </c>
      <c r="M950" s="168">
        <v>0.52777777777777801</v>
      </c>
      <c r="N950" s="67"/>
    </row>
    <row r="951" spans="1:14" x14ac:dyDescent="0.25">
      <c r="A951" s="66">
        <v>44995</v>
      </c>
      <c r="B951" s="67" t="s">
        <v>57</v>
      </c>
      <c r="C951" s="129" t="str">
        <f t="shared" si="28"/>
        <v>10.03.2023_SCHohVo</v>
      </c>
      <c r="D951" s="143">
        <f t="shared" si="29"/>
        <v>0</v>
      </c>
      <c r="E951" s="157">
        <v>7.5</v>
      </c>
      <c r="F951" s="165"/>
      <c r="G951" s="166">
        <v>388</v>
      </c>
      <c r="H951" s="167">
        <v>12.3</v>
      </c>
      <c r="I951" s="165"/>
      <c r="J951" s="167"/>
      <c r="K951" s="167">
        <v>6.7</v>
      </c>
      <c r="L951" s="167">
        <v>22</v>
      </c>
      <c r="M951" s="168">
        <v>0.422916666666667</v>
      </c>
      <c r="N951" s="67"/>
    </row>
    <row r="952" spans="1:14" x14ac:dyDescent="0.25">
      <c r="A952" s="66">
        <v>44995</v>
      </c>
      <c r="B952" s="67" t="s">
        <v>60</v>
      </c>
      <c r="C952" s="129" t="str">
        <f t="shared" si="28"/>
        <v>10.03.2023_VORohBo</v>
      </c>
      <c r="D952" s="143">
        <f t="shared" si="29"/>
        <v>0</v>
      </c>
      <c r="E952" s="157">
        <v>7.46</v>
      </c>
      <c r="F952" s="165"/>
      <c r="G952" s="166">
        <v>680</v>
      </c>
      <c r="H952" s="167">
        <v>11</v>
      </c>
      <c r="I952" s="165"/>
      <c r="J952" s="167"/>
      <c r="K952" s="167">
        <v>7.8</v>
      </c>
      <c r="L952" s="167">
        <v>21.8</v>
      </c>
      <c r="M952" s="168">
        <v>0.44374999999999998</v>
      </c>
      <c r="N952" s="67"/>
    </row>
    <row r="953" spans="1:14" x14ac:dyDescent="0.25">
      <c r="A953" s="66">
        <v>44995</v>
      </c>
      <c r="B953" s="67" t="s">
        <v>62</v>
      </c>
      <c r="C953" s="129" t="str">
        <f t="shared" si="28"/>
        <v>10.03.2023_VORuhSc</v>
      </c>
      <c r="D953" s="143">
        <f t="shared" si="29"/>
        <v>0</v>
      </c>
      <c r="E953" s="157">
        <v>7.4</v>
      </c>
      <c r="F953" s="165"/>
      <c r="G953" s="166">
        <v>627</v>
      </c>
      <c r="H953" s="167">
        <v>11.1</v>
      </c>
      <c r="I953" s="165"/>
      <c r="J953" s="167"/>
      <c r="K953" s="167">
        <v>7.5</v>
      </c>
      <c r="L953" s="167">
        <v>23.3</v>
      </c>
      <c r="M953" s="168">
        <v>0.43263888888888902</v>
      </c>
      <c r="N953" s="67"/>
    </row>
    <row r="954" spans="1:14" x14ac:dyDescent="0.25">
      <c r="A954" s="66">
        <v>44995</v>
      </c>
      <c r="B954" s="67" t="s">
        <v>64</v>
      </c>
      <c r="C954" s="129" t="str">
        <f t="shared" si="28"/>
        <v>10.03.2023_WITob</v>
      </c>
      <c r="D954" s="143">
        <f t="shared" si="29"/>
        <v>0</v>
      </c>
      <c r="E954" s="157">
        <v>8.4</v>
      </c>
      <c r="F954" s="165"/>
      <c r="G954" s="166">
        <v>1040</v>
      </c>
      <c r="H954" s="167">
        <v>10.5</v>
      </c>
      <c r="I954" s="165"/>
      <c r="J954" s="167"/>
      <c r="K954" s="167">
        <v>10</v>
      </c>
      <c r="L954" s="167">
        <v>4.5</v>
      </c>
      <c r="M954" s="168">
        <v>0.55833333333333302</v>
      </c>
      <c r="N954" s="67"/>
    </row>
    <row r="955" spans="1:14" x14ac:dyDescent="0.25">
      <c r="A955" s="66">
        <v>45020</v>
      </c>
      <c r="B955" s="67" t="s">
        <v>22</v>
      </c>
      <c r="C955" s="129" t="str">
        <f t="shared" si="28"/>
        <v>04.04.2023_BOYkl</v>
      </c>
      <c r="D955" s="143">
        <f t="shared" si="29"/>
        <v>0</v>
      </c>
      <c r="E955" s="157">
        <v>7.62</v>
      </c>
      <c r="F955" s="165"/>
      <c r="G955" s="166">
        <v>424</v>
      </c>
      <c r="H955" s="167">
        <v>11.6</v>
      </c>
      <c r="I955" s="165"/>
      <c r="J955" s="167"/>
      <c r="K955" s="167">
        <v>8.3000000000000007</v>
      </c>
      <c r="L955" s="167">
        <v>16</v>
      </c>
      <c r="M955" s="168">
        <v>0.46041666666666697</v>
      </c>
      <c r="N955" s="67"/>
    </row>
    <row r="956" spans="1:14" x14ac:dyDescent="0.25">
      <c r="A956" s="66">
        <v>45020</v>
      </c>
      <c r="B956" s="67" t="s">
        <v>25</v>
      </c>
      <c r="C956" s="129" t="str">
        <f t="shared" si="28"/>
        <v>04.04.2023_BOYohB224</v>
      </c>
      <c r="D956" s="143">
        <f t="shared" si="29"/>
        <v>0</v>
      </c>
      <c r="E956" s="157">
        <v>7.92</v>
      </c>
      <c r="F956" s="165"/>
      <c r="G956" s="166">
        <v>742</v>
      </c>
      <c r="H956" s="167">
        <v>11.5</v>
      </c>
      <c r="I956" s="165"/>
      <c r="J956" s="167"/>
      <c r="K956" s="167">
        <v>12.1</v>
      </c>
      <c r="L956" s="167">
        <v>40</v>
      </c>
      <c r="M956" s="168">
        <v>0.63055555555555598</v>
      </c>
      <c r="N956" s="67"/>
    </row>
    <row r="957" spans="1:14" x14ac:dyDescent="0.25">
      <c r="A957" s="66">
        <v>45020</v>
      </c>
      <c r="B957" s="67" t="s">
        <v>28</v>
      </c>
      <c r="C957" s="129" t="str">
        <f t="shared" si="28"/>
        <v>04.04.2023_BOYohBr</v>
      </c>
      <c r="D957" s="143">
        <f t="shared" si="29"/>
        <v>0</v>
      </c>
      <c r="E957" s="157">
        <v>7.58</v>
      </c>
      <c r="F957" s="165"/>
      <c r="G957" s="166">
        <v>489</v>
      </c>
      <c r="H957" s="167">
        <v>12</v>
      </c>
      <c r="I957" s="165"/>
      <c r="J957" s="167"/>
      <c r="K957" s="167">
        <v>9.1</v>
      </c>
      <c r="L957" s="167">
        <v>24.2</v>
      </c>
      <c r="M957" s="168">
        <v>0.53958333333333297</v>
      </c>
      <c r="N957" s="67"/>
    </row>
    <row r="958" spans="1:14" x14ac:dyDescent="0.25">
      <c r="A958" s="66">
        <v>45020</v>
      </c>
      <c r="B958" s="67" t="s">
        <v>30</v>
      </c>
      <c r="C958" s="129" t="str">
        <f t="shared" si="28"/>
        <v>04.04.2023_BOYohKi</v>
      </c>
      <c r="D958" s="143">
        <f t="shared" si="29"/>
        <v>0</v>
      </c>
      <c r="E958" s="157">
        <v>7.69</v>
      </c>
      <c r="F958" s="165"/>
      <c r="G958" s="166">
        <v>649</v>
      </c>
      <c r="H958" s="167">
        <v>11.7</v>
      </c>
      <c r="I958" s="165"/>
      <c r="J958" s="167"/>
      <c r="K958" s="167">
        <v>6.4</v>
      </c>
      <c r="L958" s="167">
        <v>55</v>
      </c>
      <c r="M958" s="168">
        <v>0.39444444444444399</v>
      </c>
      <c r="N958" s="67"/>
    </row>
    <row r="959" spans="1:14" x14ac:dyDescent="0.25">
      <c r="A959" s="66">
        <v>45020</v>
      </c>
      <c r="B959" s="67" t="s">
        <v>32</v>
      </c>
      <c r="C959" s="129" t="str">
        <f t="shared" ref="C959:C1022" si="30">CONCATENATE(TEXT(A959,"TT.MM.JJJJ"),"_",B959)</f>
        <v>04.04.2023_BOYohSp</v>
      </c>
      <c r="D959" s="143">
        <f t="shared" si="29"/>
        <v>0</v>
      </c>
      <c r="E959" s="157">
        <v>7.69</v>
      </c>
      <c r="F959" s="165"/>
      <c r="G959" s="166">
        <v>680</v>
      </c>
      <c r="H959" s="167">
        <v>11.1</v>
      </c>
      <c r="I959" s="165"/>
      <c r="J959" s="167"/>
      <c r="K959" s="167">
        <v>9</v>
      </c>
      <c r="L959" s="167">
        <v>43</v>
      </c>
      <c r="M959" s="168">
        <v>0.561805555555556</v>
      </c>
      <c r="N959" s="67"/>
    </row>
    <row r="960" spans="1:14" x14ac:dyDescent="0.25">
      <c r="A960" s="66">
        <v>45020</v>
      </c>
      <c r="B960" s="67" t="s">
        <v>34</v>
      </c>
      <c r="C960" s="129" t="str">
        <f t="shared" si="30"/>
        <v>04.04.2023_BOYuhHa</v>
      </c>
      <c r="D960" s="143">
        <f t="shared" ref="D960:D1023" si="31">COUNTBLANK(E960)+COUNTBLANK(G960:H960)+COUNTBLANK(K960:L960)</f>
        <v>0</v>
      </c>
      <c r="E960" s="157">
        <v>7.73</v>
      </c>
      <c r="F960" s="165"/>
      <c r="G960" s="166">
        <v>713</v>
      </c>
      <c r="H960" s="167">
        <v>11.5</v>
      </c>
      <c r="I960" s="165"/>
      <c r="J960" s="167"/>
      <c r="K960" s="167">
        <v>5.5</v>
      </c>
      <c r="L960" s="167">
        <v>33.5</v>
      </c>
      <c r="M960" s="168">
        <v>0.375694444444445</v>
      </c>
      <c r="N960" s="67"/>
    </row>
    <row r="961" spans="1:14" x14ac:dyDescent="0.25">
      <c r="A961" s="66">
        <v>45020</v>
      </c>
      <c r="B961" s="67" t="s">
        <v>36</v>
      </c>
      <c r="C961" s="129" t="str">
        <f t="shared" si="30"/>
        <v>04.04.2023_BOYuhSp</v>
      </c>
      <c r="D961" s="143">
        <f t="shared" si="31"/>
        <v>0</v>
      </c>
      <c r="E961" s="157">
        <v>7.52</v>
      </c>
      <c r="F961" s="165"/>
      <c r="G961" s="166">
        <v>614</v>
      </c>
      <c r="H961" s="167">
        <v>10.9</v>
      </c>
      <c r="I961" s="165"/>
      <c r="J961" s="167"/>
      <c r="K961" s="167">
        <v>8.3000000000000007</v>
      </c>
      <c r="L961" s="167">
        <v>50</v>
      </c>
      <c r="M961" s="168">
        <v>0.55486111111111103</v>
      </c>
      <c r="N961" s="67"/>
    </row>
    <row r="962" spans="1:14" x14ac:dyDescent="0.25">
      <c r="A962" s="66">
        <v>45020</v>
      </c>
      <c r="B962" s="67" t="s">
        <v>38</v>
      </c>
      <c r="C962" s="129" t="str">
        <f t="shared" si="30"/>
        <v>04.04.2023_BRAob</v>
      </c>
      <c r="D962" s="143">
        <f t="shared" si="31"/>
        <v>0</v>
      </c>
      <c r="E962" s="157">
        <v>7.58</v>
      </c>
      <c r="F962" s="165"/>
      <c r="G962" s="166">
        <v>795</v>
      </c>
      <c r="H962" s="167">
        <v>11.1</v>
      </c>
      <c r="I962" s="165"/>
      <c r="J962" s="167"/>
      <c r="K962" s="167">
        <v>8.4</v>
      </c>
      <c r="L962" s="167">
        <v>14.8</v>
      </c>
      <c r="M962" s="168">
        <v>0.47361111111111098</v>
      </c>
      <c r="N962" s="67"/>
    </row>
    <row r="963" spans="1:14" x14ac:dyDescent="0.25">
      <c r="A963" s="66">
        <v>45020</v>
      </c>
      <c r="B963" s="67" t="s">
        <v>41</v>
      </c>
      <c r="C963" s="129" t="str">
        <f t="shared" si="30"/>
        <v>04.04.2023_BRAohBo</v>
      </c>
      <c r="D963" s="143">
        <f t="shared" si="31"/>
        <v>0</v>
      </c>
      <c r="E963" s="157">
        <v>7.54</v>
      </c>
      <c r="F963" s="165"/>
      <c r="G963" s="166">
        <v>668</v>
      </c>
      <c r="H963" s="167">
        <v>10.8</v>
      </c>
      <c r="I963" s="165"/>
      <c r="J963" s="167"/>
      <c r="K963" s="167">
        <v>8.1999999999999993</v>
      </c>
      <c r="L963" s="167">
        <v>27.2</v>
      </c>
      <c r="M963" s="168">
        <v>0.52361111111111103</v>
      </c>
      <c r="N963" s="67"/>
    </row>
    <row r="964" spans="1:14" x14ac:dyDescent="0.25">
      <c r="A964" s="66">
        <v>45020</v>
      </c>
      <c r="B964" s="67" t="s">
        <v>43</v>
      </c>
      <c r="C964" s="129" t="str">
        <f t="shared" si="30"/>
        <v>04.04.2023_HAAob</v>
      </c>
      <c r="D964" s="143">
        <f t="shared" si="31"/>
        <v>0</v>
      </c>
      <c r="E964" s="157">
        <v>7.89</v>
      </c>
      <c r="F964" s="165"/>
      <c r="G964" s="166">
        <v>853</v>
      </c>
      <c r="H964" s="167">
        <v>10.5</v>
      </c>
      <c r="I964" s="165"/>
      <c r="J964" s="167"/>
      <c r="K964" s="167">
        <v>8.6</v>
      </c>
      <c r="L964" s="167">
        <v>11</v>
      </c>
      <c r="M964" s="168">
        <v>0.59513888888888899</v>
      </c>
      <c r="N964" s="67"/>
    </row>
    <row r="965" spans="1:14" x14ac:dyDescent="0.25">
      <c r="A965" s="66">
        <v>45020</v>
      </c>
      <c r="B965" s="67" t="s">
        <v>45</v>
      </c>
      <c r="C965" s="129" t="str">
        <f t="shared" si="30"/>
        <v>04.04.2023_HAAun</v>
      </c>
      <c r="D965" s="143">
        <f t="shared" si="31"/>
        <v>0</v>
      </c>
      <c r="E965" s="157">
        <v>7.5</v>
      </c>
      <c r="F965" s="165"/>
      <c r="G965" s="166">
        <v>1043</v>
      </c>
      <c r="H965" s="167">
        <v>10.8</v>
      </c>
      <c r="I965" s="165"/>
      <c r="J965" s="167"/>
      <c r="K965" s="167">
        <v>9.8000000000000007</v>
      </c>
      <c r="L965" s="167">
        <v>19.3</v>
      </c>
      <c r="M965" s="168">
        <v>0.58472222222222203</v>
      </c>
      <c r="N965" s="67"/>
    </row>
    <row r="966" spans="1:14" x14ac:dyDescent="0.25">
      <c r="A966" s="66">
        <v>45020</v>
      </c>
      <c r="B966" s="67" t="s">
        <v>47</v>
      </c>
      <c r="C966" s="129" t="str">
        <f t="shared" si="30"/>
        <v>04.04.2023_KIRob</v>
      </c>
      <c r="D966" s="143">
        <f t="shared" si="31"/>
        <v>0</v>
      </c>
      <c r="E966" s="157">
        <v>7.62</v>
      </c>
      <c r="F966" s="165"/>
      <c r="G966" s="166">
        <v>1004</v>
      </c>
      <c r="H966" s="167">
        <v>10.7</v>
      </c>
      <c r="I966" s="165"/>
      <c r="J966" s="167"/>
      <c r="K966" s="167">
        <v>6.9</v>
      </c>
      <c r="L966" s="167">
        <v>14</v>
      </c>
      <c r="M966" s="168">
        <v>0.41388888888888897</v>
      </c>
      <c r="N966" s="67"/>
    </row>
    <row r="967" spans="1:14" x14ac:dyDescent="0.25">
      <c r="A967" s="66">
        <v>45020</v>
      </c>
      <c r="B967" s="67" t="s">
        <v>49</v>
      </c>
      <c r="C967" s="129" t="str">
        <f t="shared" si="30"/>
        <v>04.04.2023_KIRun</v>
      </c>
      <c r="D967" s="143">
        <f t="shared" si="31"/>
        <v>0</v>
      </c>
      <c r="E967" s="157">
        <v>7.71</v>
      </c>
      <c r="F967" s="165"/>
      <c r="G967" s="166">
        <v>951</v>
      </c>
      <c r="H967" s="167">
        <v>11</v>
      </c>
      <c r="I967" s="165"/>
      <c r="J967" s="167"/>
      <c r="K967" s="167">
        <v>7.1</v>
      </c>
      <c r="L967" s="167">
        <v>13.8</v>
      </c>
      <c r="M967" s="168">
        <v>0.40486111111111101</v>
      </c>
      <c r="N967" s="67"/>
    </row>
    <row r="968" spans="1:14" x14ac:dyDescent="0.25">
      <c r="A968" s="66">
        <v>45020</v>
      </c>
      <c r="B968" s="67" t="s">
        <v>50</v>
      </c>
      <c r="C968" s="129" t="str">
        <f t="shared" si="30"/>
        <v>04.04.2023_LIEohBo</v>
      </c>
      <c r="D968" s="143">
        <f t="shared" si="31"/>
        <v>0</v>
      </c>
      <c r="E968" s="157">
        <v>7.86</v>
      </c>
      <c r="F968" s="165"/>
      <c r="G968" s="166">
        <v>783</v>
      </c>
      <c r="H968" s="167">
        <v>12</v>
      </c>
      <c r="I968" s="165"/>
      <c r="J968" s="167"/>
      <c r="K968" s="167">
        <v>4.9000000000000004</v>
      </c>
      <c r="L968" s="167">
        <v>17</v>
      </c>
      <c r="M968" s="168">
        <v>0.38472222222222202</v>
      </c>
      <c r="N968" s="67"/>
    </row>
    <row r="969" spans="1:14" x14ac:dyDescent="0.25">
      <c r="A969" s="66">
        <v>45020</v>
      </c>
      <c r="B969" s="67" t="s">
        <v>53</v>
      </c>
      <c r="C969" s="129" t="str">
        <f t="shared" si="30"/>
        <v>04.04.2023_NATohBo</v>
      </c>
      <c r="D969" s="143">
        <f t="shared" si="31"/>
        <v>0</v>
      </c>
      <c r="E969" s="157">
        <v>7.66</v>
      </c>
      <c r="F969" s="165"/>
      <c r="G969" s="166">
        <v>1091</v>
      </c>
      <c r="H969" s="167">
        <v>11</v>
      </c>
      <c r="I969" s="165"/>
      <c r="J969" s="167"/>
      <c r="K969" s="167">
        <v>10.9</v>
      </c>
      <c r="L969" s="167">
        <v>27.5</v>
      </c>
      <c r="M969" s="168">
        <v>0.62013888888888902</v>
      </c>
      <c r="N969" s="67"/>
    </row>
    <row r="970" spans="1:14" x14ac:dyDescent="0.25">
      <c r="A970" s="66">
        <v>45020</v>
      </c>
      <c r="B970" s="67" t="s">
        <v>55</v>
      </c>
      <c r="C970" s="129" t="str">
        <f t="shared" si="30"/>
        <v>04.04.2023_QUAohBo</v>
      </c>
      <c r="D970" s="143">
        <f t="shared" si="31"/>
        <v>0</v>
      </c>
      <c r="E970" s="157">
        <v>7.54</v>
      </c>
      <c r="F970" s="165"/>
      <c r="G970" s="166">
        <v>783</v>
      </c>
      <c r="H970" s="167">
        <v>10.199999999999999</v>
      </c>
      <c r="I970" s="165"/>
      <c r="J970" s="167"/>
      <c r="K970" s="167">
        <v>11.1</v>
      </c>
      <c r="L970" s="167">
        <v>24.5</v>
      </c>
      <c r="M970" s="168">
        <v>0.56944444444444398</v>
      </c>
      <c r="N970" s="67"/>
    </row>
    <row r="971" spans="1:14" x14ac:dyDescent="0.25">
      <c r="A971" s="66">
        <v>45020</v>
      </c>
      <c r="B971" s="67" t="s">
        <v>57</v>
      </c>
      <c r="C971" s="129" t="str">
        <f t="shared" si="30"/>
        <v>04.04.2023_SCHohVo</v>
      </c>
      <c r="D971" s="143">
        <f t="shared" si="31"/>
        <v>0</v>
      </c>
      <c r="E971" s="157">
        <v>7.74</v>
      </c>
      <c r="F971" s="165"/>
      <c r="G971" s="166">
        <v>392</v>
      </c>
      <c r="H971" s="167">
        <v>11.7</v>
      </c>
      <c r="I971" s="165"/>
      <c r="J971" s="167"/>
      <c r="K971" s="167">
        <v>6.5</v>
      </c>
      <c r="L971" s="167">
        <v>24.5</v>
      </c>
      <c r="M971" s="168">
        <v>0.42430555555555599</v>
      </c>
      <c r="N971" s="67"/>
    </row>
    <row r="972" spans="1:14" x14ac:dyDescent="0.25">
      <c r="A972" s="66">
        <v>45020</v>
      </c>
      <c r="B972" s="67" t="s">
        <v>60</v>
      </c>
      <c r="C972" s="129" t="str">
        <f t="shared" si="30"/>
        <v>04.04.2023_VORohBo</v>
      </c>
      <c r="D972" s="143">
        <f t="shared" si="31"/>
        <v>0</v>
      </c>
      <c r="E972" s="157">
        <v>7.49</v>
      </c>
      <c r="F972" s="165"/>
      <c r="G972" s="166">
        <v>776</v>
      </c>
      <c r="H972" s="167">
        <v>11.8</v>
      </c>
      <c r="I972" s="165"/>
      <c r="J972" s="167"/>
      <c r="K972" s="167">
        <v>6.4</v>
      </c>
      <c r="L972" s="167">
        <v>21.3</v>
      </c>
      <c r="M972" s="168">
        <v>0.44444444444444398</v>
      </c>
      <c r="N972" s="67"/>
    </row>
    <row r="973" spans="1:14" x14ac:dyDescent="0.25">
      <c r="A973" s="66">
        <v>45020</v>
      </c>
      <c r="B973" s="67" t="s">
        <v>62</v>
      </c>
      <c r="C973" s="129" t="str">
        <f t="shared" si="30"/>
        <v>04.04.2023_VORuhSc</v>
      </c>
      <c r="D973" s="143">
        <f t="shared" si="31"/>
        <v>0</v>
      </c>
      <c r="E973" s="157">
        <v>7.42</v>
      </c>
      <c r="F973" s="165"/>
      <c r="G973" s="166">
        <v>622</v>
      </c>
      <c r="H973" s="167">
        <v>10.3</v>
      </c>
      <c r="I973" s="165"/>
      <c r="J973" s="167"/>
      <c r="K973" s="167">
        <v>6.3</v>
      </c>
      <c r="L973" s="167">
        <v>22.5</v>
      </c>
      <c r="M973" s="168">
        <v>0.43472222222222201</v>
      </c>
      <c r="N973" s="67"/>
    </row>
    <row r="974" spans="1:14" x14ac:dyDescent="0.25">
      <c r="A974" s="66">
        <v>45020</v>
      </c>
      <c r="B974" s="67" t="s">
        <v>64</v>
      </c>
      <c r="C974" s="129" t="str">
        <f t="shared" si="30"/>
        <v>04.04.2023_WITob</v>
      </c>
      <c r="D974" s="143">
        <f t="shared" si="31"/>
        <v>0</v>
      </c>
      <c r="E974" s="157">
        <v>8.01</v>
      </c>
      <c r="F974" s="165"/>
      <c r="G974" s="166">
        <v>1364</v>
      </c>
      <c r="H974" s="167">
        <v>10.4</v>
      </c>
      <c r="I974" s="165"/>
      <c r="J974" s="167"/>
      <c r="K974" s="167">
        <v>12.6</v>
      </c>
      <c r="L974" s="167">
        <v>5.3</v>
      </c>
      <c r="M974" s="168">
        <v>0.61319444444444504</v>
      </c>
      <c r="N974" s="67"/>
    </row>
    <row r="975" spans="1:14" x14ac:dyDescent="0.25">
      <c r="A975" s="66">
        <v>45036</v>
      </c>
      <c r="B975" s="67" t="s">
        <v>22</v>
      </c>
      <c r="C975" s="129" t="str">
        <f t="shared" si="30"/>
        <v>20.04.2023_BOYkl</v>
      </c>
      <c r="D975" s="143">
        <f t="shared" si="31"/>
        <v>0</v>
      </c>
      <c r="E975" s="157">
        <v>7.74</v>
      </c>
      <c r="F975" s="165"/>
      <c r="G975" s="166">
        <v>471</v>
      </c>
      <c r="H975" s="167">
        <v>11.1</v>
      </c>
      <c r="I975" s="165"/>
      <c r="J975" s="167"/>
      <c r="K975" s="167">
        <v>8.9</v>
      </c>
      <c r="L975" s="167">
        <v>10.199999999999999</v>
      </c>
      <c r="M975" s="168">
        <v>0.44305555555555598</v>
      </c>
      <c r="N975" s="67"/>
    </row>
    <row r="976" spans="1:14" x14ac:dyDescent="0.25">
      <c r="A976" s="66">
        <v>45036</v>
      </c>
      <c r="B976" s="67" t="s">
        <v>25</v>
      </c>
      <c r="C976" s="129" t="str">
        <f t="shared" si="30"/>
        <v>20.04.2023_BOYohB224</v>
      </c>
      <c r="D976" s="143">
        <f t="shared" si="31"/>
        <v>0</v>
      </c>
      <c r="E976" s="157">
        <v>8.07</v>
      </c>
      <c r="F976" s="165"/>
      <c r="G976" s="166">
        <v>891</v>
      </c>
      <c r="H976" s="167">
        <v>12.5</v>
      </c>
      <c r="I976" s="165"/>
      <c r="J976" s="167"/>
      <c r="K976" s="167">
        <v>11</v>
      </c>
      <c r="L976" s="167">
        <v>29.7</v>
      </c>
      <c r="M976" s="168">
        <v>0.55277777777777803</v>
      </c>
      <c r="N976" s="67"/>
    </row>
    <row r="977" spans="1:14" x14ac:dyDescent="0.25">
      <c r="A977" s="66">
        <v>45036</v>
      </c>
      <c r="B977" s="67" t="s">
        <v>28</v>
      </c>
      <c r="C977" s="129" t="str">
        <f t="shared" si="30"/>
        <v>20.04.2023_BOYohBr</v>
      </c>
      <c r="D977" s="143">
        <f t="shared" si="31"/>
        <v>0</v>
      </c>
      <c r="E977" s="157">
        <v>7.75</v>
      </c>
      <c r="F977" s="165"/>
      <c r="G977" s="166">
        <v>584</v>
      </c>
      <c r="H977" s="167">
        <v>10.1</v>
      </c>
      <c r="I977" s="165"/>
      <c r="J977" s="167"/>
      <c r="K977" s="167">
        <v>10.199999999999999</v>
      </c>
      <c r="L977" s="167">
        <v>15</v>
      </c>
      <c r="M977" s="168">
        <v>0.47430555555555598</v>
      </c>
      <c r="N977" s="67"/>
    </row>
    <row r="978" spans="1:14" x14ac:dyDescent="0.25">
      <c r="A978" s="66">
        <v>45036</v>
      </c>
      <c r="B978" s="67" t="s">
        <v>30</v>
      </c>
      <c r="C978" s="129" t="str">
        <f t="shared" si="30"/>
        <v>20.04.2023_BOYohKi</v>
      </c>
      <c r="D978" s="143">
        <f t="shared" si="31"/>
        <v>0</v>
      </c>
      <c r="E978" s="157">
        <v>7.8</v>
      </c>
      <c r="F978" s="165"/>
      <c r="G978" s="166">
        <v>776</v>
      </c>
      <c r="H978" s="167">
        <v>10</v>
      </c>
      <c r="I978" s="165"/>
      <c r="J978" s="167"/>
      <c r="K978" s="167">
        <v>9</v>
      </c>
      <c r="L978" s="167">
        <v>43</v>
      </c>
      <c r="M978" s="168">
        <v>0.38819444444444401</v>
      </c>
      <c r="N978" s="67"/>
    </row>
    <row r="979" spans="1:14" x14ac:dyDescent="0.25">
      <c r="A979" s="66">
        <v>45036</v>
      </c>
      <c r="B979" s="67" t="s">
        <v>32</v>
      </c>
      <c r="C979" s="129" t="str">
        <f t="shared" si="30"/>
        <v>20.04.2023_BOYohSp</v>
      </c>
      <c r="D979" s="143">
        <f t="shared" si="31"/>
        <v>0</v>
      </c>
      <c r="E979" s="157">
        <v>7.76</v>
      </c>
      <c r="F979" s="165"/>
      <c r="G979" s="166">
        <v>705</v>
      </c>
      <c r="H979" s="167">
        <v>10</v>
      </c>
      <c r="I979" s="165"/>
      <c r="J979" s="167"/>
      <c r="K979" s="167">
        <v>9.5</v>
      </c>
      <c r="L979" s="167">
        <v>33.5</v>
      </c>
      <c r="M979" s="168">
        <v>0.49166666666666697</v>
      </c>
      <c r="N979" s="67"/>
    </row>
    <row r="980" spans="1:14" x14ac:dyDescent="0.25">
      <c r="A980" s="66">
        <v>45036</v>
      </c>
      <c r="B980" s="67" t="s">
        <v>34</v>
      </c>
      <c r="C980" s="129" t="str">
        <f t="shared" si="30"/>
        <v>20.04.2023_BOYuhHa</v>
      </c>
      <c r="D980" s="143">
        <f t="shared" si="31"/>
        <v>0</v>
      </c>
      <c r="E980" s="157">
        <v>7.88</v>
      </c>
      <c r="F980" s="165"/>
      <c r="G980" s="166">
        <v>1135</v>
      </c>
      <c r="H980" s="167">
        <v>10.7</v>
      </c>
      <c r="I980" s="165"/>
      <c r="J980" s="167"/>
      <c r="K980" s="167">
        <v>9.1999999999999993</v>
      </c>
      <c r="L980" s="167">
        <v>23.5</v>
      </c>
      <c r="M980" s="168">
        <v>0.37152777777777801</v>
      </c>
      <c r="N980" s="67"/>
    </row>
    <row r="981" spans="1:14" x14ac:dyDescent="0.25">
      <c r="A981" s="66">
        <v>45036</v>
      </c>
      <c r="B981" s="67" t="s">
        <v>36</v>
      </c>
      <c r="C981" s="129" t="str">
        <f t="shared" si="30"/>
        <v>20.04.2023_BOYuhSp</v>
      </c>
      <c r="D981" s="143">
        <f t="shared" si="31"/>
        <v>0</v>
      </c>
      <c r="E981" s="157">
        <v>7.78</v>
      </c>
      <c r="F981" s="165"/>
      <c r="G981" s="166">
        <v>704</v>
      </c>
      <c r="H981" s="167">
        <v>10.199999999999999</v>
      </c>
      <c r="I981" s="165"/>
      <c r="J981" s="167"/>
      <c r="K981" s="167">
        <v>9.1999999999999993</v>
      </c>
      <c r="L981" s="167">
        <v>33</v>
      </c>
      <c r="M981" s="168">
        <v>0.485416666666667</v>
      </c>
      <c r="N981" s="67"/>
    </row>
    <row r="982" spans="1:14" x14ac:dyDescent="0.25">
      <c r="A982" s="66">
        <v>45036</v>
      </c>
      <c r="B982" s="67" t="s">
        <v>38</v>
      </c>
      <c r="C982" s="129" t="str">
        <f t="shared" si="30"/>
        <v>20.04.2023_BRAob</v>
      </c>
      <c r="D982" s="143">
        <f t="shared" si="31"/>
        <v>0</v>
      </c>
      <c r="E982" s="157">
        <v>7.76</v>
      </c>
      <c r="F982" s="165"/>
      <c r="G982" s="166">
        <v>839</v>
      </c>
      <c r="H982" s="167">
        <v>10.3</v>
      </c>
      <c r="I982" s="165"/>
      <c r="J982" s="167"/>
      <c r="K982" s="167">
        <v>8.8000000000000007</v>
      </c>
      <c r="L982" s="167">
        <v>6.8</v>
      </c>
      <c r="M982" s="168">
        <v>0.453472222222222</v>
      </c>
      <c r="N982" s="67" t="s">
        <v>272</v>
      </c>
    </row>
    <row r="983" spans="1:14" x14ac:dyDescent="0.25">
      <c r="A983" s="66">
        <v>45036</v>
      </c>
      <c r="B983" s="67" t="s">
        <v>41</v>
      </c>
      <c r="C983" s="129" t="str">
        <f t="shared" si="30"/>
        <v>20.04.2023_BRAohBo</v>
      </c>
      <c r="D983" s="143">
        <f t="shared" si="31"/>
        <v>0</v>
      </c>
      <c r="E983" s="157">
        <v>7.8</v>
      </c>
      <c r="F983" s="165"/>
      <c r="G983" s="166">
        <v>754</v>
      </c>
      <c r="H983" s="167">
        <v>11</v>
      </c>
      <c r="I983" s="165"/>
      <c r="J983" s="167"/>
      <c r="K983" s="167">
        <v>8.6</v>
      </c>
      <c r="L983" s="167">
        <v>14.8</v>
      </c>
      <c r="M983" s="168">
        <v>0.46250000000000002</v>
      </c>
      <c r="N983" s="67"/>
    </row>
    <row r="984" spans="1:14" x14ac:dyDescent="0.25">
      <c r="A984" s="66">
        <v>45036</v>
      </c>
      <c r="B984" s="67" t="s">
        <v>43</v>
      </c>
      <c r="C984" s="129" t="str">
        <f t="shared" si="30"/>
        <v>20.04.2023_HAAob</v>
      </c>
      <c r="D984" s="143">
        <f t="shared" si="31"/>
        <v>0</v>
      </c>
      <c r="E984" s="157">
        <v>8.6999999999999993</v>
      </c>
      <c r="F984" s="165"/>
      <c r="G984" s="166">
        <v>817</v>
      </c>
      <c r="H984" s="167">
        <v>10.199999999999999</v>
      </c>
      <c r="I984" s="165"/>
      <c r="J984" s="167"/>
      <c r="K984" s="167">
        <v>11.4</v>
      </c>
      <c r="L984" s="167">
        <v>10.7</v>
      </c>
      <c r="M984" s="168">
        <v>0.52222222222222203</v>
      </c>
      <c r="N984" s="67"/>
    </row>
    <row r="985" spans="1:14" x14ac:dyDescent="0.25">
      <c r="A985" s="66">
        <v>45036</v>
      </c>
      <c r="B985" s="67" t="s">
        <v>45</v>
      </c>
      <c r="C985" s="129" t="str">
        <f t="shared" si="30"/>
        <v>20.04.2023_HAAun</v>
      </c>
      <c r="D985" s="143">
        <f t="shared" si="31"/>
        <v>0</v>
      </c>
      <c r="E985" s="157">
        <v>7.81</v>
      </c>
      <c r="F985" s="165"/>
      <c r="G985" s="166">
        <v>1106</v>
      </c>
      <c r="H985" s="167">
        <v>10</v>
      </c>
      <c r="I985" s="165"/>
      <c r="J985" s="167"/>
      <c r="K985" s="167">
        <v>10.7</v>
      </c>
      <c r="L985" s="167">
        <v>19</v>
      </c>
      <c r="M985" s="168">
        <v>0.50763888888888897</v>
      </c>
      <c r="N985" s="67"/>
    </row>
    <row r="986" spans="1:14" x14ac:dyDescent="0.25">
      <c r="A986" s="66">
        <v>45036</v>
      </c>
      <c r="B986" s="67" t="s">
        <v>47</v>
      </c>
      <c r="C986" s="129" t="str">
        <f t="shared" si="30"/>
        <v>20.04.2023_KIRob</v>
      </c>
      <c r="D986" s="143">
        <f t="shared" si="31"/>
        <v>0</v>
      </c>
      <c r="E986" s="157">
        <v>7.73</v>
      </c>
      <c r="F986" s="165"/>
      <c r="G986" s="166">
        <v>1062</v>
      </c>
      <c r="H986" s="167">
        <v>8.3000000000000007</v>
      </c>
      <c r="I986" s="165"/>
      <c r="J986" s="167"/>
      <c r="K986" s="167">
        <v>9.6</v>
      </c>
      <c r="L986" s="167">
        <v>12</v>
      </c>
      <c r="M986" s="168">
        <v>0.40138888888888902</v>
      </c>
      <c r="N986" s="67"/>
    </row>
    <row r="987" spans="1:14" x14ac:dyDescent="0.25">
      <c r="A987" s="66">
        <v>45036</v>
      </c>
      <c r="B987" s="67" t="s">
        <v>49</v>
      </c>
      <c r="C987" s="129" t="str">
        <f t="shared" si="30"/>
        <v>20.04.2023_KIRun</v>
      </c>
      <c r="D987" s="143">
        <f t="shared" si="31"/>
        <v>0</v>
      </c>
      <c r="E987" s="157">
        <v>7.81</v>
      </c>
      <c r="F987" s="165"/>
      <c r="G987" s="166">
        <v>976</v>
      </c>
      <c r="H987" s="167">
        <v>9.6</v>
      </c>
      <c r="I987" s="165"/>
      <c r="J987" s="167"/>
      <c r="K987" s="167">
        <v>9.6999999999999993</v>
      </c>
      <c r="L987" s="167">
        <v>15.3</v>
      </c>
      <c r="M987" s="168">
        <v>0.39513888888888898</v>
      </c>
      <c r="N987" s="67"/>
    </row>
    <row r="988" spans="1:14" x14ac:dyDescent="0.25">
      <c r="A988" s="66">
        <v>45036</v>
      </c>
      <c r="B988" s="67" t="s">
        <v>50</v>
      </c>
      <c r="C988" s="129" t="str">
        <f t="shared" si="30"/>
        <v>20.04.2023_LIEohBo</v>
      </c>
      <c r="D988" s="143">
        <f t="shared" si="31"/>
        <v>0</v>
      </c>
      <c r="E988" s="157">
        <v>7.95</v>
      </c>
      <c r="F988" s="165"/>
      <c r="G988" s="166">
        <v>830</v>
      </c>
      <c r="H988" s="167">
        <v>10</v>
      </c>
      <c r="I988" s="165"/>
      <c r="J988" s="167"/>
      <c r="K988" s="167">
        <v>8.5</v>
      </c>
      <c r="L988" s="167">
        <v>17.8</v>
      </c>
      <c r="M988" s="168">
        <v>0.38055555555555598</v>
      </c>
      <c r="N988" s="67"/>
    </row>
    <row r="989" spans="1:14" x14ac:dyDescent="0.25">
      <c r="A989" s="66">
        <v>45036</v>
      </c>
      <c r="B989" s="67" t="s">
        <v>53</v>
      </c>
      <c r="C989" s="129" t="str">
        <f t="shared" si="30"/>
        <v>20.04.2023_NATohBo</v>
      </c>
      <c r="D989" s="143">
        <f t="shared" si="31"/>
        <v>0</v>
      </c>
      <c r="E989" s="157">
        <v>7.67</v>
      </c>
      <c r="F989" s="165"/>
      <c r="G989" s="166">
        <v>3550</v>
      </c>
      <c r="H989" s="167">
        <v>8.6999999999999993</v>
      </c>
      <c r="I989" s="165"/>
      <c r="J989" s="167"/>
      <c r="K989" s="167">
        <v>15.3</v>
      </c>
      <c r="L989" s="167">
        <v>26</v>
      </c>
      <c r="M989" s="168">
        <v>0.54236111111111096</v>
      </c>
      <c r="N989" s="67" t="s">
        <v>146</v>
      </c>
    </row>
    <row r="990" spans="1:14" x14ac:dyDescent="0.25">
      <c r="A990" s="66">
        <v>45036</v>
      </c>
      <c r="B990" s="67" t="s">
        <v>55</v>
      </c>
      <c r="C990" s="129" t="str">
        <f t="shared" si="30"/>
        <v>20.04.2023_QUAohBo</v>
      </c>
      <c r="D990" s="143">
        <f t="shared" si="31"/>
        <v>0</v>
      </c>
      <c r="E990" s="157">
        <v>7.75</v>
      </c>
      <c r="F990" s="165"/>
      <c r="G990" s="166">
        <v>863</v>
      </c>
      <c r="H990" s="167">
        <v>10.5</v>
      </c>
      <c r="I990" s="165"/>
      <c r="J990" s="167"/>
      <c r="K990" s="167">
        <v>9.3000000000000007</v>
      </c>
      <c r="L990" s="167">
        <v>16.899999999999999</v>
      </c>
      <c r="M990" s="168">
        <v>0.49722222222222201</v>
      </c>
      <c r="N990" s="67"/>
    </row>
    <row r="991" spans="1:14" x14ac:dyDescent="0.25">
      <c r="A991" s="66">
        <v>45036</v>
      </c>
      <c r="B991" s="67" t="s">
        <v>57</v>
      </c>
      <c r="C991" s="129" t="str">
        <f t="shared" si="30"/>
        <v>20.04.2023_SCHohVo</v>
      </c>
      <c r="D991" s="143">
        <f t="shared" si="31"/>
        <v>0</v>
      </c>
      <c r="E991" s="157">
        <v>7.78</v>
      </c>
      <c r="F991" s="165"/>
      <c r="G991" s="166">
        <v>540</v>
      </c>
      <c r="H991" s="167">
        <v>10.4</v>
      </c>
      <c r="I991" s="165"/>
      <c r="J991" s="167"/>
      <c r="K991" s="167">
        <v>8.9</v>
      </c>
      <c r="L991" s="167">
        <v>16</v>
      </c>
      <c r="M991" s="168">
        <v>0.41111111111111098</v>
      </c>
      <c r="N991" s="67"/>
    </row>
    <row r="992" spans="1:14" x14ac:dyDescent="0.25">
      <c r="A992" s="66">
        <v>45036</v>
      </c>
      <c r="B992" s="67" t="s">
        <v>60</v>
      </c>
      <c r="C992" s="129" t="str">
        <f t="shared" si="30"/>
        <v>20.04.2023_VORohBo</v>
      </c>
      <c r="D992" s="143">
        <f t="shared" si="31"/>
        <v>0</v>
      </c>
      <c r="E992" s="157">
        <v>7.53</v>
      </c>
      <c r="F992" s="165"/>
      <c r="G992" s="166">
        <v>977</v>
      </c>
      <c r="H992" s="167">
        <v>8.6999999999999993</v>
      </c>
      <c r="I992" s="165"/>
      <c r="J992" s="167"/>
      <c r="K992" s="167">
        <v>9.5</v>
      </c>
      <c r="L992" s="167">
        <v>18.899999999999999</v>
      </c>
      <c r="M992" s="168">
        <v>0.42708333333333298</v>
      </c>
      <c r="N992" s="67"/>
    </row>
    <row r="993" spans="1:14" x14ac:dyDescent="0.25">
      <c r="A993" s="66">
        <v>45036</v>
      </c>
      <c r="B993" s="67" t="s">
        <v>62</v>
      </c>
      <c r="C993" s="129" t="str">
        <f t="shared" si="30"/>
        <v>20.04.2023_VORuhSc</v>
      </c>
      <c r="D993" s="143">
        <f t="shared" si="31"/>
        <v>0</v>
      </c>
      <c r="E993" s="157">
        <v>7.38</v>
      </c>
      <c r="F993" s="165"/>
      <c r="G993" s="166">
        <v>905</v>
      </c>
      <c r="H993" s="167">
        <v>8.3000000000000007</v>
      </c>
      <c r="I993" s="165"/>
      <c r="J993" s="167"/>
      <c r="K993" s="167">
        <v>9.5</v>
      </c>
      <c r="L993" s="167">
        <v>18</v>
      </c>
      <c r="M993" s="168">
        <v>0.41805555555555601</v>
      </c>
      <c r="N993" s="67"/>
    </row>
    <row r="994" spans="1:14" x14ac:dyDescent="0.25">
      <c r="A994" s="66">
        <v>45036</v>
      </c>
      <c r="B994" s="67" t="s">
        <v>64</v>
      </c>
      <c r="C994" s="129" t="str">
        <f t="shared" si="30"/>
        <v>20.04.2023_WITob</v>
      </c>
      <c r="D994" s="143">
        <f t="shared" si="31"/>
        <v>0</v>
      </c>
      <c r="E994" s="157">
        <v>8.11</v>
      </c>
      <c r="F994" s="165"/>
      <c r="G994" s="166">
        <v>1297</v>
      </c>
      <c r="H994" s="167">
        <v>10.6</v>
      </c>
      <c r="I994" s="165"/>
      <c r="J994" s="167"/>
      <c r="K994" s="167">
        <v>10.9</v>
      </c>
      <c r="L994" s="167">
        <v>3.8</v>
      </c>
      <c r="M994" s="168">
        <v>0.531944444444444</v>
      </c>
      <c r="N994" s="67"/>
    </row>
    <row r="995" spans="1:14" x14ac:dyDescent="0.25">
      <c r="A995" s="66">
        <v>45050</v>
      </c>
      <c r="B995" s="67" t="s">
        <v>22</v>
      </c>
      <c r="C995" s="129" t="str">
        <f t="shared" si="30"/>
        <v>04.05.2023_BOYkl</v>
      </c>
      <c r="D995" s="143">
        <f t="shared" si="31"/>
        <v>0</v>
      </c>
      <c r="E995" s="157">
        <v>7.72</v>
      </c>
      <c r="F995" s="165"/>
      <c r="G995" s="166">
        <v>494</v>
      </c>
      <c r="H995" s="167">
        <v>10.1</v>
      </c>
      <c r="I995" s="165"/>
      <c r="J995" s="167"/>
      <c r="K995" s="167">
        <v>12.1</v>
      </c>
      <c r="L995" s="167">
        <v>4.2</v>
      </c>
      <c r="M995" s="168">
        <v>0.49236111111111103</v>
      </c>
      <c r="N995" s="176"/>
    </row>
    <row r="996" spans="1:14" x14ac:dyDescent="0.25">
      <c r="A996" s="66">
        <v>45050</v>
      </c>
      <c r="B996" s="67" t="s">
        <v>25</v>
      </c>
      <c r="C996" s="129" t="str">
        <f t="shared" si="30"/>
        <v>04.05.2023_BOYohB224</v>
      </c>
      <c r="D996" s="143">
        <f t="shared" si="31"/>
        <v>0</v>
      </c>
      <c r="E996" s="157">
        <v>8.09</v>
      </c>
      <c r="F996" s="165"/>
      <c r="G996" s="166">
        <v>926</v>
      </c>
      <c r="H996" s="167">
        <v>9.6</v>
      </c>
      <c r="I996" s="165"/>
      <c r="J996" s="167"/>
      <c r="K996" s="167">
        <v>19.8</v>
      </c>
      <c r="L996" s="167">
        <v>7</v>
      </c>
      <c r="M996" s="168">
        <v>0.64722222222222203</v>
      </c>
      <c r="N996" s="176"/>
    </row>
    <row r="997" spans="1:14" x14ac:dyDescent="0.25">
      <c r="A997" s="66">
        <v>45050</v>
      </c>
      <c r="B997" s="67" t="s">
        <v>28</v>
      </c>
      <c r="C997" s="129" t="str">
        <f t="shared" si="30"/>
        <v>04.05.2023_BOYohBr</v>
      </c>
      <c r="D997" s="143">
        <f t="shared" si="31"/>
        <v>0</v>
      </c>
      <c r="E997" s="157">
        <v>7.9</v>
      </c>
      <c r="F997" s="165"/>
      <c r="G997" s="166">
        <v>570</v>
      </c>
      <c r="H997" s="167">
        <v>9.1999999999999993</v>
      </c>
      <c r="I997" s="165"/>
      <c r="J997" s="167"/>
      <c r="K997" s="167">
        <v>11.9</v>
      </c>
      <c r="L997" s="167">
        <v>21.5</v>
      </c>
      <c r="M997" s="168">
        <v>0.54097222222222197</v>
      </c>
      <c r="N997" s="176"/>
    </row>
    <row r="998" spans="1:14" x14ac:dyDescent="0.25">
      <c r="A998" s="66">
        <v>45050</v>
      </c>
      <c r="B998" s="67" t="s">
        <v>30</v>
      </c>
      <c r="C998" s="129" t="str">
        <f t="shared" si="30"/>
        <v>04.05.2023_BOYohKi</v>
      </c>
      <c r="D998" s="143">
        <f t="shared" si="31"/>
        <v>0</v>
      </c>
      <c r="E998" s="157">
        <v>8.0299999999999994</v>
      </c>
      <c r="F998" s="165"/>
      <c r="G998" s="166">
        <v>805</v>
      </c>
      <c r="H998" s="167">
        <v>10.7</v>
      </c>
      <c r="I998" s="165"/>
      <c r="J998" s="167"/>
      <c r="K998" s="167">
        <v>10.8</v>
      </c>
      <c r="L998" s="167">
        <v>43.3</v>
      </c>
      <c r="M998" s="168">
        <v>0.40138888888888902</v>
      </c>
      <c r="N998" s="176"/>
    </row>
    <row r="999" spans="1:14" x14ac:dyDescent="0.25">
      <c r="A999" s="66">
        <v>45050</v>
      </c>
      <c r="B999" s="67" t="s">
        <v>32</v>
      </c>
      <c r="C999" s="129" t="str">
        <f t="shared" si="30"/>
        <v>04.05.2023_BOYohSp</v>
      </c>
      <c r="D999" s="143">
        <f t="shared" si="31"/>
        <v>0</v>
      </c>
      <c r="E999" s="157">
        <v>7.84</v>
      </c>
      <c r="F999" s="165"/>
      <c r="G999" s="166">
        <v>728</v>
      </c>
      <c r="H999" s="167">
        <v>9.9</v>
      </c>
      <c r="I999" s="165"/>
      <c r="J999" s="167"/>
      <c r="K999" s="167">
        <v>12</v>
      </c>
      <c r="L999" s="167">
        <v>26.5</v>
      </c>
      <c r="M999" s="168">
        <v>0.55972222222222201</v>
      </c>
      <c r="N999" s="176"/>
    </row>
    <row r="1000" spans="1:14" x14ac:dyDescent="0.25">
      <c r="A1000" s="66">
        <v>45050</v>
      </c>
      <c r="B1000" s="67" t="s">
        <v>34</v>
      </c>
      <c r="C1000" s="129" t="str">
        <f t="shared" si="30"/>
        <v>04.05.2023_BOYuhHa</v>
      </c>
      <c r="D1000" s="143">
        <f t="shared" si="31"/>
        <v>0</v>
      </c>
      <c r="E1000" s="157">
        <v>8.11</v>
      </c>
      <c r="F1000" s="165"/>
      <c r="G1000" s="166">
        <v>1032</v>
      </c>
      <c r="H1000" s="167">
        <v>10.7</v>
      </c>
      <c r="I1000" s="165"/>
      <c r="J1000" s="167"/>
      <c r="K1000" s="167">
        <v>9.8000000000000007</v>
      </c>
      <c r="L1000" s="167">
        <v>24.5</v>
      </c>
      <c r="M1000" s="168">
        <v>0.374305555555556</v>
      </c>
      <c r="N1000" s="176"/>
    </row>
    <row r="1001" spans="1:14" x14ac:dyDescent="0.25">
      <c r="A1001" s="66">
        <v>45050</v>
      </c>
      <c r="B1001" s="67" t="s">
        <v>36</v>
      </c>
      <c r="C1001" s="129" t="str">
        <f t="shared" si="30"/>
        <v>04.05.2023_BOYuhSp</v>
      </c>
      <c r="D1001" s="143">
        <f t="shared" si="31"/>
        <v>0</v>
      </c>
      <c r="E1001" s="157">
        <v>7.86</v>
      </c>
      <c r="F1001" s="165"/>
      <c r="G1001" s="166">
        <v>676</v>
      </c>
      <c r="H1001" s="167">
        <v>10.7</v>
      </c>
      <c r="I1001" s="165"/>
      <c r="J1001" s="167"/>
      <c r="K1001" s="167">
        <v>11.7</v>
      </c>
      <c r="L1001" s="167">
        <v>28.8</v>
      </c>
      <c r="M1001" s="168">
        <v>0.54930555555555605</v>
      </c>
      <c r="N1001" s="176" t="s">
        <v>147</v>
      </c>
    </row>
    <row r="1002" spans="1:14" x14ac:dyDescent="0.25">
      <c r="A1002" s="66">
        <v>45050</v>
      </c>
      <c r="B1002" s="67" t="s">
        <v>38</v>
      </c>
      <c r="C1002" s="129" t="str">
        <f t="shared" si="30"/>
        <v>04.05.2023_BRAob</v>
      </c>
      <c r="D1002" s="143">
        <f t="shared" si="31"/>
        <v>0</v>
      </c>
      <c r="E1002" s="157">
        <v>7.85</v>
      </c>
      <c r="F1002" s="165"/>
      <c r="G1002" s="166">
        <v>758</v>
      </c>
      <c r="H1002" s="167">
        <v>10.7</v>
      </c>
      <c r="I1002" s="165"/>
      <c r="J1002" s="167"/>
      <c r="K1002" s="167">
        <v>12.9</v>
      </c>
      <c r="L1002" s="167">
        <v>1.6</v>
      </c>
      <c r="M1002" s="168">
        <v>0.50833333333333297</v>
      </c>
      <c r="N1002" s="176"/>
    </row>
    <row r="1003" spans="1:14" x14ac:dyDescent="0.25">
      <c r="A1003" s="66">
        <v>45050</v>
      </c>
      <c r="B1003" s="67" t="s">
        <v>41</v>
      </c>
      <c r="C1003" s="129" t="str">
        <f t="shared" si="30"/>
        <v>04.05.2023_BRAohBo</v>
      </c>
      <c r="D1003" s="143">
        <f t="shared" si="31"/>
        <v>0</v>
      </c>
      <c r="E1003" s="157">
        <v>8.06</v>
      </c>
      <c r="F1003" s="165"/>
      <c r="G1003" s="166">
        <v>778</v>
      </c>
      <c r="H1003" s="167">
        <v>11.4</v>
      </c>
      <c r="I1003" s="165"/>
      <c r="J1003" s="167"/>
      <c r="K1003" s="167">
        <v>12.3</v>
      </c>
      <c r="L1003" s="167">
        <v>12.6</v>
      </c>
      <c r="M1003" s="168">
        <v>0.51805555555555605</v>
      </c>
      <c r="N1003" s="176"/>
    </row>
    <row r="1004" spans="1:14" x14ac:dyDescent="0.25">
      <c r="A1004" s="66">
        <v>45050</v>
      </c>
      <c r="B1004" s="67" t="s">
        <v>43</v>
      </c>
      <c r="C1004" s="129" t="str">
        <f t="shared" si="30"/>
        <v>04.05.2023_HAAob</v>
      </c>
      <c r="D1004" s="143">
        <f t="shared" si="31"/>
        <v>0</v>
      </c>
      <c r="E1004" s="157">
        <v>8.15</v>
      </c>
      <c r="F1004" s="165"/>
      <c r="G1004" s="166">
        <v>766</v>
      </c>
      <c r="H1004" s="167">
        <v>10.8</v>
      </c>
      <c r="I1004" s="165"/>
      <c r="J1004" s="167"/>
      <c r="K1004" s="167">
        <v>16.5</v>
      </c>
      <c r="L1004" s="167">
        <v>8.6999999999999993</v>
      </c>
      <c r="M1004" s="168">
        <v>0.60138888888888897</v>
      </c>
      <c r="N1004" s="176"/>
    </row>
    <row r="1005" spans="1:14" x14ac:dyDescent="0.25">
      <c r="A1005" s="66">
        <v>45050</v>
      </c>
      <c r="B1005" s="67" t="s">
        <v>45</v>
      </c>
      <c r="C1005" s="129" t="str">
        <f t="shared" si="30"/>
        <v>04.05.2023_HAAun</v>
      </c>
      <c r="D1005" s="143">
        <f t="shared" si="31"/>
        <v>0</v>
      </c>
      <c r="E1005" s="157">
        <v>7.87</v>
      </c>
      <c r="F1005" s="165"/>
      <c r="G1005" s="166">
        <v>1026</v>
      </c>
      <c r="H1005" s="167">
        <v>8.9</v>
      </c>
      <c r="I1005" s="165"/>
      <c r="J1005" s="167"/>
      <c r="K1005" s="167">
        <v>14.6</v>
      </c>
      <c r="L1005" s="167">
        <v>10</v>
      </c>
      <c r="M1005" s="168">
        <v>0.58680555555555602</v>
      </c>
      <c r="N1005" s="176"/>
    </row>
    <row r="1006" spans="1:14" x14ac:dyDescent="0.25">
      <c r="A1006" s="66">
        <v>45050</v>
      </c>
      <c r="B1006" s="67" t="s">
        <v>47</v>
      </c>
      <c r="C1006" s="129" t="str">
        <f t="shared" si="30"/>
        <v>04.05.2023_KIRob</v>
      </c>
      <c r="D1006" s="143">
        <f t="shared" si="31"/>
        <v>0</v>
      </c>
      <c r="E1006" s="157">
        <v>7.87</v>
      </c>
      <c r="F1006" s="165"/>
      <c r="G1006" s="166">
        <v>1114</v>
      </c>
      <c r="H1006" s="167">
        <v>10.8</v>
      </c>
      <c r="I1006" s="165"/>
      <c r="J1006" s="167"/>
      <c r="K1006" s="167">
        <v>11</v>
      </c>
      <c r="L1006" s="167">
        <v>12.6</v>
      </c>
      <c r="M1006" s="168">
        <v>0.42499999999999999</v>
      </c>
      <c r="N1006" s="176"/>
    </row>
    <row r="1007" spans="1:14" x14ac:dyDescent="0.25">
      <c r="A1007" s="66">
        <v>45050</v>
      </c>
      <c r="B1007" s="67" t="s">
        <v>49</v>
      </c>
      <c r="C1007" s="129" t="str">
        <f t="shared" si="30"/>
        <v>04.05.2023_KIRun</v>
      </c>
      <c r="D1007" s="143">
        <f t="shared" si="31"/>
        <v>0</v>
      </c>
      <c r="E1007" s="157">
        <v>8.09</v>
      </c>
      <c r="F1007" s="165"/>
      <c r="G1007" s="166">
        <v>1013</v>
      </c>
      <c r="H1007" s="167">
        <v>10</v>
      </c>
      <c r="I1007" s="165"/>
      <c r="J1007" s="167"/>
      <c r="K1007" s="167">
        <v>11.3</v>
      </c>
      <c r="L1007" s="167">
        <v>13.9</v>
      </c>
      <c r="M1007" s="168">
        <v>0.41458333333333303</v>
      </c>
      <c r="N1007" s="176"/>
    </row>
    <row r="1008" spans="1:14" x14ac:dyDescent="0.25">
      <c r="A1008" s="66">
        <v>45050</v>
      </c>
      <c r="B1008" s="67" t="s">
        <v>50</v>
      </c>
      <c r="C1008" s="129" t="str">
        <f t="shared" si="30"/>
        <v>04.05.2023_LIEohBo</v>
      </c>
      <c r="D1008" s="143">
        <f t="shared" si="31"/>
        <v>0</v>
      </c>
      <c r="E1008" s="157">
        <v>8.26</v>
      </c>
      <c r="F1008" s="165"/>
      <c r="G1008" s="166">
        <v>819</v>
      </c>
      <c r="H1008" s="167">
        <v>11.7</v>
      </c>
      <c r="I1008" s="165"/>
      <c r="J1008" s="167"/>
      <c r="K1008" s="167">
        <v>9.9</v>
      </c>
      <c r="L1008" s="167">
        <v>9.4</v>
      </c>
      <c r="M1008" s="168">
        <v>0.390277777777778</v>
      </c>
      <c r="N1008" s="176"/>
    </row>
    <row r="1009" spans="1:14" x14ac:dyDescent="0.25">
      <c r="A1009" s="66">
        <v>45050</v>
      </c>
      <c r="B1009" s="67" t="s">
        <v>53</v>
      </c>
      <c r="C1009" s="129" t="str">
        <f t="shared" si="30"/>
        <v>04.05.2023_NATohBo</v>
      </c>
      <c r="D1009" s="143">
        <f t="shared" si="31"/>
        <v>0</v>
      </c>
      <c r="E1009" s="157">
        <v>7.6</v>
      </c>
      <c r="F1009" s="165"/>
      <c r="G1009" s="166">
        <v>1874</v>
      </c>
      <c r="H1009" s="167">
        <v>9.9</v>
      </c>
      <c r="I1009" s="165"/>
      <c r="J1009" s="167"/>
      <c r="K1009" s="167">
        <v>15.8</v>
      </c>
      <c r="L1009" s="167">
        <v>21.7</v>
      </c>
      <c r="M1009" s="168">
        <v>0.63680555555555596</v>
      </c>
      <c r="N1009" s="176"/>
    </row>
    <row r="1010" spans="1:14" x14ac:dyDescent="0.25">
      <c r="A1010" s="66">
        <v>45050</v>
      </c>
      <c r="B1010" s="67" t="s">
        <v>55</v>
      </c>
      <c r="C1010" s="129" t="str">
        <f t="shared" si="30"/>
        <v>04.05.2023_QUAohBo</v>
      </c>
      <c r="D1010" s="143">
        <f t="shared" si="31"/>
        <v>0</v>
      </c>
      <c r="E1010" s="157">
        <v>7.74</v>
      </c>
      <c r="F1010" s="165"/>
      <c r="G1010" s="166">
        <v>843</v>
      </c>
      <c r="H1010" s="167">
        <v>7.7</v>
      </c>
      <c r="I1010" s="165"/>
      <c r="J1010" s="167"/>
      <c r="K1010" s="167">
        <v>14.6</v>
      </c>
      <c r="L1010" s="167">
        <v>7.7</v>
      </c>
      <c r="M1010" s="168">
        <v>0.57013888888888897</v>
      </c>
      <c r="N1010" s="176"/>
    </row>
    <row r="1011" spans="1:14" x14ac:dyDescent="0.25">
      <c r="A1011" s="66">
        <v>45050</v>
      </c>
      <c r="B1011" s="67" t="s">
        <v>57</v>
      </c>
      <c r="C1011" s="129" t="str">
        <f t="shared" si="30"/>
        <v>04.05.2023_SCHohVo</v>
      </c>
      <c r="D1011" s="143">
        <f t="shared" si="31"/>
        <v>0</v>
      </c>
      <c r="E1011" s="157">
        <v>7.91</v>
      </c>
      <c r="F1011" s="165"/>
      <c r="G1011" s="166">
        <v>571</v>
      </c>
      <c r="H1011" s="167">
        <v>11.4</v>
      </c>
      <c r="I1011" s="165"/>
      <c r="J1011" s="167"/>
      <c r="K1011" s="167">
        <v>10.7</v>
      </c>
      <c r="L1011" s="167">
        <v>12</v>
      </c>
      <c r="M1011" s="168">
        <v>0.44027777777777799</v>
      </c>
      <c r="N1011" s="176"/>
    </row>
    <row r="1012" spans="1:14" x14ac:dyDescent="0.25">
      <c r="A1012" s="66">
        <v>45050</v>
      </c>
      <c r="B1012" s="67" t="s">
        <v>60</v>
      </c>
      <c r="C1012" s="129" t="str">
        <f t="shared" si="30"/>
        <v>04.05.2023_VORohBo</v>
      </c>
      <c r="D1012" s="143">
        <f t="shared" si="31"/>
        <v>0</v>
      </c>
      <c r="E1012" s="157">
        <v>7.56</v>
      </c>
      <c r="F1012" s="165"/>
      <c r="G1012" s="166">
        <v>1003</v>
      </c>
      <c r="H1012" s="167">
        <v>11.5</v>
      </c>
      <c r="I1012" s="165"/>
      <c r="J1012" s="167"/>
      <c r="K1012" s="167">
        <v>11.2</v>
      </c>
      <c r="L1012" s="167">
        <v>11.4</v>
      </c>
      <c r="M1012" s="168">
        <v>0.468055555555556</v>
      </c>
      <c r="N1012" s="176"/>
    </row>
    <row r="1013" spans="1:14" x14ac:dyDescent="0.25">
      <c r="A1013" s="66">
        <v>45050</v>
      </c>
      <c r="B1013" s="67" t="s">
        <v>62</v>
      </c>
      <c r="C1013" s="129" t="str">
        <f t="shared" si="30"/>
        <v>04.05.2023_VORuhSc</v>
      </c>
      <c r="D1013" s="143">
        <f t="shared" si="31"/>
        <v>0</v>
      </c>
      <c r="E1013" s="157">
        <v>7.34</v>
      </c>
      <c r="F1013" s="165"/>
      <c r="G1013" s="166">
        <v>964</v>
      </c>
      <c r="H1013" s="167">
        <v>8.4</v>
      </c>
      <c r="I1013" s="165"/>
      <c r="J1013" s="167"/>
      <c r="K1013" s="167">
        <v>10.9</v>
      </c>
      <c r="L1013" s="167">
        <v>14.5</v>
      </c>
      <c r="M1013" s="168">
        <v>0.45555555555555599</v>
      </c>
      <c r="N1013" s="176"/>
    </row>
    <row r="1014" spans="1:14" x14ac:dyDescent="0.25">
      <c r="A1014" s="66">
        <v>45050</v>
      </c>
      <c r="B1014" s="67" t="s">
        <v>64</v>
      </c>
      <c r="C1014" s="129" t="str">
        <f t="shared" si="30"/>
        <v>04.05.2023_WITob</v>
      </c>
      <c r="D1014" s="143">
        <f t="shared" si="31"/>
        <v>0</v>
      </c>
      <c r="E1014" s="157">
        <v>8.1999999999999993</v>
      </c>
      <c r="F1014" s="165"/>
      <c r="G1014" s="166">
        <v>1277</v>
      </c>
      <c r="H1014" s="167">
        <v>9.8000000000000007</v>
      </c>
      <c r="I1014" s="165"/>
      <c r="J1014" s="167"/>
      <c r="K1014" s="167">
        <v>17.100000000000001</v>
      </c>
      <c r="L1014" s="167">
        <v>2.4</v>
      </c>
      <c r="M1014" s="168">
        <v>0.61527777777777803</v>
      </c>
      <c r="N1014" s="176"/>
    </row>
    <row r="1015" spans="1:14" x14ac:dyDescent="0.25">
      <c r="A1015" s="66">
        <v>45062</v>
      </c>
      <c r="B1015" s="67" t="s">
        <v>22</v>
      </c>
      <c r="C1015" s="129" t="str">
        <f t="shared" si="30"/>
        <v>16.05.2023_BOYkl</v>
      </c>
      <c r="D1015" s="143">
        <f t="shared" si="31"/>
        <v>0</v>
      </c>
      <c r="E1015" s="157">
        <v>7.87</v>
      </c>
      <c r="F1015" s="165"/>
      <c r="G1015" s="166">
        <v>475</v>
      </c>
      <c r="H1015" s="167">
        <v>9.6999999999999993</v>
      </c>
      <c r="I1015" s="165"/>
      <c r="J1015" s="167"/>
      <c r="K1015" s="167">
        <v>11.7</v>
      </c>
      <c r="L1015" s="167">
        <v>5.8</v>
      </c>
      <c r="M1015" s="168">
        <v>0.47430555555555598</v>
      </c>
      <c r="N1015" s="176" t="s">
        <v>274</v>
      </c>
    </row>
    <row r="1016" spans="1:14" x14ac:dyDescent="0.25">
      <c r="A1016" s="66">
        <v>45062</v>
      </c>
      <c r="B1016" s="67" t="s">
        <v>25</v>
      </c>
      <c r="C1016" s="129" t="str">
        <f t="shared" si="30"/>
        <v>16.05.2023_BOYohB224</v>
      </c>
      <c r="D1016" s="143">
        <f t="shared" si="31"/>
        <v>0</v>
      </c>
      <c r="E1016" s="157">
        <v>8.27</v>
      </c>
      <c r="F1016" s="165"/>
      <c r="G1016" s="166">
        <v>855</v>
      </c>
      <c r="H1016" s="167">
        <v>9.1999999999999993</v>
      </c>
      <c r="I1016" s="165"/>
      <c r="J1016" s="167"/>
      <c r="K1016" s="167">
        <v>17.7</v>
      </c>
      <c r="L1016" s="167">
        <v>21.5</v>
      </c>
      <c r="M1016" s="168">
        <v>0.60555555555555596</v>
      </c>
      <c r="N1016" s="176"/>
    </row>
    <row r="1017" spans="1:14" x14ac:dyDescent="0.25">
      <c r="A1017" s="66">
        <v>45062</v>
      </c>
      <c r="B1017" s="67" t="s">
        <v>28</v>
      </c>
      <c r="C1017" s="129" t="str">
        <f t="shared" si="30"/>
        <v>16.05.2023_BOYohBr</v>
      </c>
      <c r="D1017" s="143">
        <f t="shared" si="31"/>
        <v>0</v>
      </c>
      <c r="E1017" s="157">
        <v>7.89</v>
      </c>
      <c r="F1017" s="165"/>
      <c r="G1017" s="166">
        <v>556</v>
      </c>
      <c r="H1017" s="167">
        <v>8</v>
      </c>
      <c r="I1017" s="165"/>
      <c r="J1017" s="167"/>
      <c r="K1017" s="167">
        <v>12.6</v>
      </c>
      <c r="L1017" s="167">
        <v>15.5</v>
      </c>
      <c r="M1017" s="168">
        <v>0.51458333333333295</v>
      </c>
      <c r="N1017" s="176" t="s">
        <v>80</v>
      </c>
    </row>
    <row r="1018" spans="1:14" x14ac:dyDescent="0.25">
      <c r="A1018" s="66">
        <v>45062</v>
      </c>
      <c r="B1018" s="67" t="s">
        <v>30</v>
      </c>
      <c r="C1018" s="129" t="str">
        <f t="shared" si="30"/>
        <v>16.05.2023_BOYohKi</v>
      </c>
      <c r="D1018" s="143">
        <f t="shared" si="31"/>
        <v>0</v>
      </c>
      <c r="E1018" s="157">
        <v>8.57</v>
      </c>
      <c r="F1018" s="165"/>
      <c r="G1018" s="166">
        <v>712</v>
      </c>
      <c r="H1018" s="167">
        <v>9.1999999999999993</v>
      </c>
      <c r="I1018" s="165"/>
      <c r="J1018" s="167"/>
      <c r="K1018" s="167">
        <v>12.4</v>
      </c>
      <c r="L1018" s="167">
        <v>49.5</v>
      </c>
      <c r="M1018" s="168">
        <v>0.39652777777777798</v>
      </c>
      <c r="N1018" s="176" t="s">
        <v>273</v>
      </c>
    </row>
    <row r="1019" spans="1:14" x14ac:dyDescent="0.25">
      <c r="A1019" s="66">
        <v>45062</v>
      </c>
      <c r="B1019" s="67" t="s">
        <v>32</v>
      </c>
      <c r="C1019" s="129" t="str">
        <f t="shared" si="30"/>
        <v>16.05.2023_BOYohSp</v>
      </c>
      <c r="D1019" s="143">
        <f t="shared" si="31"/>
        <v>0</v>
      </c>
      <c r="E1019" s="157">
        <v>7.98</v>
      </c>
      <c r="F1019" s="165"/>
      <c r="G1019" s="166">
        <v>670</v>
      </c>
      <c r="H1019" s="167">
        <v>8.6</v>
      </c>
      <c r="I1019" s="165"/>
      <c r="J1019" s="167"/>
      <c r="K1019" s="167">
        <v>12.1</v>
      </c>
      <c r="L1019" s="167">
        <v>27.5</v>
      </c>
      <c r="M1019" s="168">
        <v>0.54166666666666696</v>
      </c>
      <c r="N1019" s="176" t="s">
        <v>275</v>
      </c>
    </row>
    <row r="1020" spans="1:14" x14ac:dyDescent="0.25">
      <c r="A1020" s="66">
        <v>45062</v>
      </c>
      <c r="B1020" s="67" t="s">
        <v>34</v>
      </c>
      <c r="C1020" s="129" t="str">
        <f t="shared" si="30"/>
        <v>16.05.2023_BOYuhHa</v>
      </c>
      <c r="D1020" s="143">
        <f t="shared" si="31"/>
        <v>0</v>
      </c>
      <c r="E1020" s="157">
        <v>8.31</v>
      </c>
      <c r="F1020" s="165"/>
      <c r="G1020" s="166">
        <v>904</v>
      </c>
      <c r="H1020" s="167">
        <v>9.4</v>
      </c>
      <c r="I1020" s="165"/>
      <c r="J1020" s="167"/>
      <c r="K1020" s="167">
        <v>12.2</v>
      </c>
      <c r="L1020" s="167">
        <v>26.5</v>
      </c>
      <c r="M1020" s="168">
        <v>0.36458333333333298</v>
      </c>
      <c r="N1020" s="176"/>
    </row>
    <row r="1021" spans="1:14" x14ac:dyDescent="0.25">
      <c r="A1021" s="66">
        <v>45062</v>
      </c>
      <c r="B1021" s="67" t="s">
        <v>36</v>
      </c>
      <c r="C1021" s="129" t="str">
        <f t="shared" si="30"/>
        <v>16.05.2023_BOYuhSp</v>
      </c>
      <c r="D1021" s="143">
        <f t="shared" si="31"/>
        <v>0</v>
      </c>
      <c r="E1021" s="157">
        <v>7.94</v>
      </c>
      <c r="F1021" s="165"/>
      <c r="G1021" s="166">
        <v>661</v>
      </c>
      <c r="H1021" s="167">
        <v>8.6</v>
      </c>
      <c r="I1021" s="165"/>
      <c r="J1021" s="167"/>
      <c r="K1021" s="167">
        <v>11.8</v>
      </c>
      <c r="L1021" s="167">
        <v>31.2</v>
      </c>
      <c r="M1021" s="168">
        <v>0.52430555555555602</v>
      </c>
      <c r="N1021" s="176" t="s">
        <v>275</v>
      </c>
    </row>
    <row r="1022" spans="1:14" x14ac:dyDescent="0.25">
      <c r="A1022" s="66">
        <v>45062</v>
      </c>
      <c r="B1022" s="67" t="s">
        <v>38</v>
      </c>
      <c r="C1022" s="129" t="str">
        <f t="shared" si="30"/>
        <v>16.05.2023_BRAob</v>
      </c>
      <c r="D1022" s="143">
        <f t="shared" si="31"/>
        <v>0</v>
      </c>
      <c r="E1022" s="157">
        <v>7.64</v>
      </c>
      <c r="F1022" s="165"/>
      <c r="G1022" s="166">
        <v>822</v>
      </c>
      <c r="H1022" s="167">
        <v>9</v>
      </c>
      <c r="I1022" s="165"/>
      <c r="J1022" s="167"/>
      <c r="K1022" s="167">
        <v>12.2</v>
      </c>
      <c r="L1022" s="167">
        <v>6</v>
      </c>
      <c r="M1022" s="168">
        <v>0.48611111111111099</v>
      </c>
      <c r="N1022" s="176" t="s">
        <v>273</v>
      </c>
    </row>
    <row r="1023" spans="1:14" x14ac:dyDescent="0.25">
      <c r="A1023" s="66">
        <v>45062</v>
      </c>
      <c r="B1023" s="67" t="s">
        <v>41</v>
      </c>
      <c r="C1023" s="129" t="str">
        <f t="shared" ref="C1023:C1086" si="32">CONCATENATE(TEXT(A1023,"TT.MM.JJJJ"),"_",B1023)</f>
        <v>16.05.2023_BRAohBo</v>
      </c>
      <c r="D1023" s="143">
        <f t="shared" si="31"/>
        <v>0</v>
      </c>
      <c r="E1023" s="157">
        <v>7.98</v>
      </c>
      <c r="F1023" s="165"/>
      <c r="G1023" s="166">
        <v>706</v>
      </c>
      <c r="H1023" s="167">
        <v>7.4</v>
      </c>
      <c r="I1023" s="165"/>
      <c r="J1023" s="167"/>
      <c r="K1023" s="167">
        <v>12.2</v>
      </c>
      <c r="L1023" s="167">
        <v>13</v>
      </c>
      <c r="M1023" s="168">
        <v>0.500694444444444</v>
      </c>
      <c r="N1023" s="176" t="s">
        <v>273</v>
      </c>
    </row>
    <row r="1024" spans="1:14" x14ac:dyDescent="0.25">
      <c r="A1024" s="66">
        <v>45062</v>
      </c>
      <c r="B1024" s="67" t="s">
        <v>43</v>
      </c>
      <c r="C1024" s="129" t="str">
        <f t="shared" si="32"/>
        <v>16.05.2023_HAAob</v>
      </c>
      <c r="D1024" s="143">
        <f t="shared" ref="D1024:D1087" si="33">COUNTBLANK(E1024)+COUNTBLANK(G1024:H1024)+COUNTBLANK(K1024:L1024)</f>
        <v>0</v>
      </c>
      <c r="E1024" s="157">
        <v>8.34</v>
      </c>
      <c r="F1024" s="165"/>
      <c r="G1024" s="166">
        <v>783</v>
      </c>
      <c r="H1024" s="167">
        <v>8.3000000000000007</v>
      </c>
      <c r="I1024" s="165"/>
      <c r="J1024" s="167"/>
      <c r="K1024" s="167">
        <v>16</v>
      </c>
      <c r="L1024" s="167">
        <v>11.2</v>
      </c>
      <c r="M1024" s="168">
        <v>0.57013888888888897</v>
      </c>
      <c r="N1024" s="176" t="s">
        <v>273</v>
      </c>
    </row>
    <row r="1025" spans="1:14" x14ac:dyDescent="0.25">
      <c r="A1025" s="66">
        <v>45062</v>
      </c>
      <c r="B1025" s="67" t="s">
        <v>45</v>
      </c>
      <c r="C1025" s="129" t="str">
        <f t="shared" si="32"/>
        <v>16.05.2023_HAAun</v>
      </c>
      <c r="D1025" s="143">
        <f t="shared" si="33"/>
        <v>0</v>
      </c>
      <c r="E1025" s="157">
        <v>8.08</v>
      </c>
      <c r="F1025" s="165"/>
      <c r="G1025" s="166">
        <v>951</v>
      </c>
      <c r="H1025" s="167">
        <v>8.1</v>
      </c>
      <c r="I1025" s="165"/>
      <c r="J1025" s="167"/>
      <c r="K1025" s="167">
        <v>13.8</v>
      </c>
      <c r="L1025" s="167">
        <v>22</v>
      </c>
      <c r="M1025" s="168">
        <v>0.55972222222222201</v>
      </c>
      <c r="N1025" s="176" t="s">
        <v>273</v>
      </c>
    </row>
    <row r="1026" spans="1:14" x14ac:dyDescent="0.25">
      <c r="A1026" s="66">
        <v>45062</v>
      </c>
      <c r="B1026" s="67" t="s">
        <v>47</v>
      </c>
      <c r="C1026" s="129" t="str">
        <f t="shared" si="32"/>
        <v>16.05.2023_KIRob</v>
      </c>
      <c r="D1026" s="143">
        <f t="shared" si="33"/>
        <v>0</v>
      </c>
      <c r="E1026" s="157">
        <v>8.0399999999999991</v>
      </c>
      <c r="F1026" s="165"/>
      <c r="G1026" s="166">
        <v>946</v>
      </c>
      <c r="H1026" s="167">
        <v>6.4</v>
      </c>
      <c r="I1026" s="165"/>
      <c r="J1026" s="167"/>
      <c r="K1026" s="167">
        <v>11.4</v>
      </c>
      <c r="L1026" s="167">
        <v>15</v>
      </c>
      <c r="M1026" s="168">
        <v>0.41388888888888897</v>
      </c>
      <c r="N1026" s="176" t="s">
        <v>273</v>
      </c>
    </row>
    <row r="1027" spans="1:14" x14ac:dyDescent="0.25">
      <c r="A1027" s="66">
        <v>45062</v>
      </c>
      <c r="B1027" s="67" t="s">
        <v>49</v>
      </c>
      <c r="C1027" s="129" t="str">
        <f t="shared" si="32"/>
        <v>16.05.2023_KIRun</v>
      </c>
      <c r="D1027" s="143">
        <f t="shared" si="33"/>
        <v>0</v>
      </c>
      <c r="E1027" s="157">
        <v>8.0299999999999994</v>
      </c>
      <c r="F1027" s="165"/>
      <c r="G1027" s="166">
        <v>806</v>
      </c>
      <c r="H1027" s="167">
        <v>8.8000000000000007</v>
      </c>
      <c r="I1027" s="165"/>
      <c r="J1027" s="167"/>
      <c r="K1027" s="167">
        <v>11.8</v>
      </c>
      <c r="L1027" s="167">
        <v>16</v>
      </c>
      <c r="M1027" s="168">
        <v>0.40625</v>
      </c>
      <c r="N1027" s="176"/>
    </row>
    <row r="1028" spans="1:14" x14ac:dyDescent="0.25">
      <c r="A1028" s="66">
        <v>45062</v>
      </c>
      <c r="B1028" s="67" t="s">
        <v>50</v>
      </c>
      <c r="C1028" s="129" t="str">
        <f t="shared" si="32"/>
        <v>16.05.2023_LIEohBo</v>
      </c>
      <c r="D1028" s="143">
        <f t="shared" si="33"/>
        <v>0</v>
      </c>
      <c r="E1028" s="157">
        <v>8.3000000000000007</v>
      </c>
      <c r="F1028" s="165"/>
      <c r="G1028" s="166">
        <v>725</v>
      </c>
      <c r="H1028" s="167">
        <v>8.8000000000000007</v>
      </c>
      <c r="I1028" s="165"/>
      <c r="J1028" s="167"/>
      <c r="K1028" s="167">
        <v>11.6</v>
      </c>
      <c r="L1028" s="167">
        <v>14</v>
      </c>
      <c r="M1028" s="168">
        <v>0.375694444444445</v>
      </c>
      <c r="N1028" s="176" t="s">
        <v>273</v>
      </c>
    </row>
    <row r="1029" spans="1:14" x14ac:dyDescent="0.25">
      <c r="A1029" s="66">
        <v>45062</v>
      </c>
      <c r="B1029" s="67" t="s">
        <v>53</v>
      </c>
      <c r="C1029" s="129" t="str">
        <f t="shared" si="32"/>
        <v>16.05.2023_NATohBo</v>
      </c>
      <c r="D1029" s="143">
        <f t="shared" si="33"/>
        <v>0</v>
      </c>
      <c r="E1029" s="157">
        <v>7.8</v>
      </c>
      <c r="F1029" s="165"/>
      <c r="G1029" s="166">
        <v>1472</v>
      </c>
      <c r="H1029" s="167">
        <v>7.9</v>
      </c>
      <c r="I1029" s="165"/>
      <c r="J1029" s="167"/>
      <c r="K1029" s="167">
        <v>14.5</v>
      </c>
      <c r="L1029" s="167">
        <v>24.5</v>
      </c>
      <c r="M1029" s="168">
        <v>0.59513888888888899</v>
      </c>
      <c r="N1029" s="176"/>
    </row>
    <row r="1030" spans="1:14" x14ac:dyDescent="0.25">
      <c r="A1030" s="66">
        <v>45062</v>
      </c>
      <c r="B1030" s="67" t="s">
        <v>55</v>
      </c>
      <c r="C1030" s="129" t="str">
        <f t="shared" si="32"/>
        <v>16.05.2023_QUAohBo</v>
      </c>
      <c r="D1030" s="143">
        <f t="shared" si="33"/>
        <v>0</v>
      </c>
      <c r="E1030" s="157">
        <v>7.91</v>
      </c>
      <c r="F1030" s="165"/>
      <c r="G1030" s="166">
        <v>853</v>
      </c>
      <c r="H1030" s="167">
        <v>7.7</v>
      </c>
      <c r="I1030" s="165"/>
      <c r="J1030" s="167"/>
      <c r="K1030" s="167">
        <v>12.9</v>
      </c>
      <c r="L1030" s="167">
        <v>14</v>
      </c>
      <c r="M1030" s="168">
        <v>0.55000000000000004</v>
      </c>
      <c r="N1030" s="176" t="s">
        <v>275</v>
      </c>
    </row>
    <row r="1031" spans="1:14" x14ac:dyDescent="0.25">
      <c r="A1031" s="66">
        <v>45062</v>
      </c>
      <c r="B1031" s="67" t="s">
        <v>57</v>
      </c>
      <c r="C1031" s="129" t="str">
        <f t="shared" si="32"/>
        <v>16.05.2023_SCHohVo</v>
      </c>
      <c r="D1031" s="143">
        <f t="shared" si="33"/>
        <v>0</v>
      </c>
      <c r="E1031" s="157">
        <v>7.81</v>
      </c>
      <c r="F1031" s="165"/>
      <c r="G1031" s="166">
        <v>467</v>
      </c>
      <c r="H1031" s="167">
        <v>8.1999999999999993</v>
      </c>
      <c r="I1031" s="165"/>
      <c r="J1031" s="167"/>
      <c r="K1031" s="167">
        <v>11.1</v>
      </c>
      <c r="L1031" s="167">
        <v>13</v>
      </c>
      <c r="M1031" s="168">
        <v>0.43263888888888902</v>
      </c>
      <c r="N1031" s="176" t="s">
        <v>273</v>
      </c>
    </row>
    <row r="1032" spans="1:14" x14ac:dyDescent="0.25">
      <c r="A1032" s="66">
        <v>45062</v>
      </c>
      <c r="B1032" s="67" t="s">
        <v>60</v>
      </c>
      <c r="C1032" s="129" t="str">
        <f t="shared" si="32"/>
        <v>16.05.2023_VORohBo</v>
      </c>
      <c r="D1032" s="143">
        <f t="shared" si="33"/>
        <v>0</v>
      </c>
      <c r="E1032" s="157">
        <v>7.67</v>
      </c>
      <c r="F1032" s="165"/>
      <c r="G1032" s="166">
        <v>926</v>
      </c>
      <c r="H1032" s="167">
        <v>7.1</v>
      </c>
      <c r="I1032" s="165"/>
      <c r="J1032" s="167"/>
      <c r="K1032" s="167">
        <v>11.5</v>
      </c>
      <c r="L1032" s="167">
        <v>14.2</v>
      </c>
      <c r="M1032" s="168">
        <v>0.452083333333333</v>
      </c>
      <c r="N1032" s="176" t="s">
        <v>273</v>
      </c>
    </row>
    <row r="1033" spans="1:14" x14ac:dyDescent="0.25">
      <c r="A1033" s="66">
        <v>45062</v>
      </c>
      <c r="B1033" s="67" t="s">
        <v>62</v>
      </c>
      <c r="C1033" s="129" t="str">
        <f t="shared" si="32"/>
        <v>16.05.2023_VORuhSc</v>
      </c>
      <c r="D1033" s="143">
        <f t="shared" si="33"/>
        <v>0</v>
      </c>
      <c r="E1033" s="157">
        <v>7.34</v>
      </c>
      <c r="F1033" s="165"/>
      <c r="G1033" s="166">
        <v>841</v>
      </c>
      <c r="H1033" s="167">
        <v>8</v>
      </c>
      <c r="I1033" s="165"/>
      <c r="J1033" s="167"/>
      <c r="K1033" s="167">
        <v>11.9</v>
      </c>
      <c r="L1033" s="167">
        <v>13.7</v>
      </c>
      <c r="M1033" s="168">
        <v>0.44097222222222199</v>
      </c>
      <c r="N1033" s="176" t="s">
        <v>273</v>
      </c>
    </row>
    <row r="1034" spans="1:14" x14ac:dyDescent="0.25">
      <c r="A1034" s="66">
        <v>45062</v>
      </c>
      <c r="B1034" s="67" t="s">
        <v>64</v>
      </c>
      <c r="C1034" s="129" t="str">
        <f t="shared" si="32"/>
        <v>16.05.2023_WITob</v>
      </c>
      <c r="D1034" s="143">
        <f t="shared" si="33"/>
        <v>0</v>
      </c>
      <c r="E1034" s="157">
        <v>8.5</v>
      </c>
      <c r="F1034" s="165"/>
      <c r="G1034" s="166">
        <v>1226</v>
      </c>
      <c r="H1034" s="167">
        <v>9.5</v>
      </c>
      <c r="I1034" s="165"/>
      <c r="J1034" s="167"/>
      <c r="K1034" s="167">
        <v>13.6</v>
      </c>
      <c r="L1034" s="167">
        <v>3.5</v>
      </c>
      <c r="M1034" s="168">
        <v>0.58402777777777803</v>
      </c>
      <c r="N1034" s="176"/>
    </row>
    <row r="1035" spans="1:14" x14ac:dyDescent="0.25">
      <c r="A1035" s="66">
        <v>45082</v>
      </c>
      <c r="B1035" s="67" t="s">
        <v>22</v>
      </c>
      <c r="C1035" s="129" t="str">
        <f t="shared" si="32"/>
        <v>05.06.2023_BOYkl</v>
      </c>
      <c r="D1035" s="143">
        <f t="shared" si="33"/>
        <v>5</v>
      </c>
      <c r="E1035" s="157"/>
      <c r="F1035" s="165"/>
      <c r="G1035" s="166"/>
      <c r="H1035" s="167"/>
      <c r="I1035" s="165"/>
      <c r="J1035" s="167"/>
      <c r="K1035" s="167"/>
      <c r="L1035" s="167"/>
      <c r="M1035" s="168"/>
      <c r="N1035" s="176" t="s">
        <v>380</v>
      </c>
    </row>
    <row r="1036" spans="1:14" x14ac:dyDescent="0.25">
      <c r="A1036" s="66">
        <v>45082</v>
      </c>
      <c r="B1036" s="67" t="s">
        <v>25</v>
      </c>
      <c r="C1036" s="129" t="str">
        <f t="shared" si="32"/>
        <v>05.06.2023_BOYohB224</v>
      </c>
      <c r="D1036" s="143">
        <f t="shared" si="33"/>
        <v>0</v>
      </c>
      <c r="E1036" s="157">
        <v>8.44</v>
      </c>
      <c r="F1036" s="165"/>
      <c r="G1036" s="166">
        <v>1047</v>
      </c>
      <c r="H1036" s="167">
        <v>13</v>
      </c>
      <c r="I1036" s="165"/>
      <c r="J1036" s="167"/>
      <c r="K1036" s="167">
        <v>21.8</v>
      </c>
      <c r="L1036" s="167">
        <v>20</v>
      </c>
      <c r="M1036" s="168">
        <v>0.57361111111111096</v>
      </c>
      <c r="N1036" s="176"/>
    </row>
    <row r="1037" spans="1:14" x14ac:dyDescent="0.25">
      <c r="A1037" s="66">
        <v>45082</v>
      </c>
      <c r="B1037" s="67" t="s">
        <v>28</v>
      </c>
      <c r="C1037" s="129" t="str">
        <f t="shared" si="32"/>
        <v>05.06.2023_BOYohBr</v>
      </c>
      <c r="D1037" s="143">
        <f t="shared" si="33"/>
        <v>0</v>
      </c>
      <c r="E1037" s="157">
        <v>7.76</v>
      </c>
      <c r="F1037" s="165"/>
      <c r="G1037" s="166">
        <v>536</v>
      </c>
      <c r="H1037" s="167">
        <v>8.1999999999999993</v>
      </c>
      <c r="I1037" s="165"/>
      <c r="J1037" s="167"/>
      <c r="K1037" s="167">
        <v>13.2</v>
      </c>
      <c r="L1037" s="167">
        <v>10.5</v>
      </c>
      <c r="M1037" s="168">
        <v>0.48958333333333298</v>
      </c>
      <c r="N1037" s="176"/>
    </row>
    <row r="1038" spans="1:14" x14ac:dyDescent="0.25">
      <c r="A1038" s="66">
        <v>45082</v>
      </c>
      <c r="B1038" s="67" t="s">
        <v>30</v>
      </c>
      <c r="C1038" s="129" t="str">
        <f t="shared" si="32"/>
        <v>05.06.2023_BOYohKi</v>
      </c>
      <c r="D1038" s="143">
        <f t="shared" si="33"/>
        <v>0</v>
      </c>
      <c r="E1038" s="157">
        <v>7.91</v>
      </c>
      <c r="F1038" s="165"/>
      <c r="G1038" s="166">
        <v>872</v>
      </c>
      <c r="H1038" s="167">
        <v>9.1</v>
      </c>
      <c r="I1038" s="165"/>
      <c r="J1038" s="167"/>
      <c r="K1038" s="167">
        <v>13.6</v>
      </c>
      <c r="L1038" s="167">
        <v>41.2</v>
      </c>
      <c r="M1038" s="168">
        <v>0.39722222222222198</v>
      </c>
      <c r="N1038" s="176"/>
    </row>
    <row r="1039" spans="1:14" x14ac:dyDescent="0.25">
      <c r="A1039" s="66">
        <v>45082</v>
      </c>
      <c r="B1039" s="67" t="s">
        <v>32</v>
      </c>
      <c r="C1039" s="129" t="str">
        <f t="shared" si="32"/>
        <v>05.06.2023_BOYohSp</v>
      </c>
      <c r="D1039" s="143">
        <f t="shared" si="33"/>
        <v>0</v>
      </c>
      <c r="E1039" s="157">
        <v>8.0399999999999991</v>
      </c>
      <c r="F1039" s="165"/>
      <c r="G1039" s="166">
        <v>657</v>
      </c>
      <c r="H1039" s="167">
        <v>8.3000000000000007</v>
      </c>
      <c r="I1039" s="165"/>
      <c r="J1039" s="167"/>
      <c r="K1039" s="167">
        <v>13.3</v>
      </c>
      <c r="L1039" s="167">
        <v>18.3</v>
      </c>
      <c r="M1039" s="168">
        <v>0.51249999999999996</v>
      </c>
      <c r="N1039" s="176"/>
    </row>
    <row r="1040" spans="1:14" x14ac:dyDescent="0.25">
      <c r="A1040" s="66">
        <v>45082</v>
      </c>
      <c r="B1040" s="67" t="s">
        <v>34</v>
      </c>
      <c r="C1040" s="129" t="str">
        <f t="shared" si="32"/>
        <v>05.06.2023_BOYuhHa</v>
      </c>
      <c r="D1040" s="143">
        <f t="shared" si="33"/>
        <v>0</v>
      </c>
      <c r="E1040" s="157">
        <v>8.25</v>
      </c>
      <c r="F1040" s="165"/>
      <c r="G1040" s="166">
        <v>1105</v>
      </c>
      <c r="H1040" s="167">
        <v>12.6</v>
      </c>
      <c r="I1040" s="165"/>
      <c r="J1040" s="167"/>
      <c r="K1040" s="167">
        <v>13.7</v>
      </c>
      <c r="L1040" s="167">
        <v>26.5</v>
      </c>
      <c r="M1040" s="168">
        <v>0.37222222222222201</v>
      </c>
      <c r="N1040" s="176"/>
    </row>
    <row r="1041" spans="1:14" x14ac:dyDescent="0.25">
      <c r="A1041" s="66">
        <v>45082</v>
      </c>
      <c r="B1041" s="67" t="s">
        <v>36</v>
      </c>
      <c r="C1041" s="129" t="str">
        <f t="shared" si="32"/>
        <v>05.06.2023_BOYuhSp</v>
      </c>
      <c r="D1041" s="143">
        <f t="shared" si="33"/>
        <v>0</v>
      </c>
      <c r="E1041" s="157">
        <v>7.88</v>
      </c>
      <c r="F1041" s="165"/>
      <c r="G1041" s="166">
        <v>680</v>
      </c>
      <c r="H1041" s="167">
        <v>8.9</v>
      </c>
      <c r="I1041" s="165"/>
      <c r="J1041" s="167"/>
      <c r="K1041" s="167">
        <v>14.3</v>
      </c>
      <c r="L1041" s="167">
        <v>25</v>
      </c>
      <c r="M1041" s="168">
        <v>0.50555555555555598</v>
      </c>
      <c r="N1041" s="176"/>
    </row>
    <row r="1042" spans="1:14" x14ac:dyDescent="0.25">
      <c r="A1042" s="66">
        <v>45082</v>
      </c>
      <c r="B1042" s="67" t="s">
        <v>38</v>
      </c>
      <c r="C1042" s="129" t="str">
        <f t="shared" si="32"/>
        <v>05.06.2023_BRAob</v>
      </c>
      <c r="D1042" s="143">
        <f t="shared" si="33"/>
        <v>0</v>
      </c>
      <c r="E1042" s="157">
        <v>7.93</v>
      </c>
      <c r="F1042" s="165"/>
      <c r="G1042" s="166">
        <v>724</v>
      </c>
      <c r="H1042" s="167">
        <v>8.6</v>
      </c>
      <c r="I1042" s="165"/>
      <c r="J1042" s="167"/>
      <c r="K1042" s="167">
        <v>14</v>
      </c>
      <c r="L1042" s="167">
        <v>2.5</v>
      </c>
      <c r="M1042" s="168">
        <v>0.46736111111111101</v>
      </c>
      <c r="N1042" s="176" t="s">
        <v>276</v>
      </c>
    </row>
    <row r="1043" spans="1:14" x14ac:dyDescent="0.25">
      <c r="A1043" s="66">
        <v>45082</v>
      </c>
      <c r="B1043" s="67" t="s">
        <v>41</v>
      </c>
      <c r="C1043" s="129" t="str">
        <f t="shared" si="32"/>
        <v>05.06.2023_BRAohBo</v>
      </c>
      <c r="D1043" s="143">
        <f t="shared" si="33"/>
        <v>0</v>
      </c>
      <c r="E1043" s="157">
        <v>8.15</v>
      </c>
      <c r="F1043" s="165"/>
      <c r="G1043" s="166">
        <v>719</v>
      </c>
      <c r="H1043" s="167">
        <v>9</v>
      </c>
      <c r="I1043" s="165"/>
      <c r="J1043" s="167"/>
      <c r="K1043" s="167">
        <v>1.3</v>
      </c>
      <c r="L1043" s="167">
        <v>7</v>
      </c>
      <c r="M1043" s="168">
        <v>0.47638888888888897</v>
      </c>
      <c r="N1043" s="176"/>
    </row>
    <row r="1044" spans="1:14" x14ac:dyDescent="0.25">
      <c r="A1044" s="66">
        <v>45082</v>
      </c>
      <c r="B1044" s="67" t="s">
        <v>43</v>
      </c>
      <c r="C1044" s="129" t="str">
        <f t="shared" si="32"/>
        <v>05.06.2023_HAAob</v>
      </c>
      <c r="D1044" s="143">
        <f t="shared" si="33"/>
        <v>0</v>
      </c>
      <c r="E1044" s="157">
        <v>8.09</v>
      </c>
      <c r="F1044" s="165"/>
      <c r="G1044" s="166">
        <v>583</v>
      </c>
      <c r="H1044" s="167">
        <v>7.6</v>
      </c>
      <c r="I1044" s="165"/>
      <c r="J1044" s="167"/>
      <c r="K1044" s="167">
        <v>17.100000000000001</v>
      </c>
      <c r="L1044" s="167">
        <v>9.3000000000000007</v>
      </c>
      <c r="M1044" s="168">
        <v>0.54166666666666696</v>
      </c>
      <c r="N1044" s="176"/>
    </row>
    <row r="1045" spans="1:14" x14ac:dyDescent="0.25">
      <c r="A1045" s="66">
        <v>45082</v>
      </c>
      <c r="B1045" s="67" t="s">
        <v>45</v>
      </c>
      <c r="C1045" s="129" t="str">
        <f t="shared" si="32"/>
        <v>05.06.2023_HAAun</v>
      </c>
      <c r="D1045" s="143">
        <f t="shared" si="33"/>
        <v>0</v>
      </c>
      <c r="E1045" s="157">
        <v>7.86</v>
      </c>
      <c r="F1045" s="165"/>
      <c r="G1045" s="166">
        <v>1052</v>
      </c>
      <c r="H1045" s="167">
        <v>8.3000000000000007</v>
      </c>
      <c r="I1045" s="165"/>
      <c r="J1045" s="167"/>
      <c r="K1045" s="167">
        <v>15.5</v>
      </c>
      <c r="L1045" s="167">
        <v>16.2</v>
      </c>
      <c r="M1045" s="168">
        <v>0.53263888888888899</v>
      </c>
      <c r="N1045" s="176"/>
    </row>
    <row r="1046" spans="1:14" x14ac:dyDescent="0.25">
      <c r="A1046" s="66">
        <v>45082</v>
      </c>
      <c r="B1046" s="67" t="s">
        <v>47</v>
      </c>
      <c r="C1046" s="129" t="str">
        <f t="shared" si="32"/>
        <v>05.06.2023_KIRob</v>
      </c>
      <c r="D1046" s="143">
        <f t="shared" si="33"/>
        <v>0</v>
      </c>
      <c r="E1046" s="157">
        <v>7.86</v>
      </c>
      <c r="F1046" s="165"/>
      <c r="G1046" s="166">
        <v>1127</v>
      </c>
      <c r="H1046" s="167">
        <v>7.4</v>
      </c>
      <c r="I1046" s="165"/>
      <c r="J1046" s="167"/>
      <c r="K1046" s="167">
        <v>13.2</v>
      </c>
      <c r="L1046" s="167">
        <v>14.4</v>
      </c>
      <c r="M1046" s="168">
        <v>0.41319444444444398</v>
      </c>
      <c r="N1046" s="176"/>
    </row>
    <row r="1047" spans="1:14" x14ac:dyDescent="0.25">
      <c r="A1047" s="66">
        <v>45082</v>
      </c>
      <c r="B1047" s="67" t="s">
        <v>49</v>
      </c>
      <c r="C1047" s="129" t="str">
        <f t="shared" si="32"/>
        <v>05.06.2023_KIRun</v>
      </c>
      <c r="D1047" s="143">
        <f t="shared" si="33"/>
        <v>0</v>
      </c>
      <c r="E1047" s="157">
        <v>8.02</v>
      </c>
      <c r="F1047" s="165"/>
      <c r="G1047" s="166">
        <v>1002</v>
      </c>
      <c r="H1047" s="167">
        <v>8.6</v>
      </c>
      <c r="I1047" s="165"/>
      <c r="J1047" s="167"/>
      <c r="K1047" s="167">
        <v>13.3</v>
      </c>
      <c r="L1047" s="167">
        <v>14.5</v>
      </c>
      <c r="M1047" s="168">
        <v>0.40625</v>
      </c>
      <c r="N1047" s="176"/>
    </row>
    <row r="1048" spans="1:14" x14ac:dyDescent="0.25">
      <c r="A1048" s="66">
        <v>45082</v>
      </c>
      <c r="B1048" s="67" t="s">
        <v>50</v>
      </c>
      <c r="C1048" s="129" t="str">
        <f t="shared" si="32"/>
        <v>05.06.2023_LIEohBo</v>
      </c>
      <c r="D1048" s="143">
        <f t="shared" si="33"/>
        <v>0</v>
      </c>
      <c r="E1048" s="157">
        <v>8.1999999999999993</v>
      </c>
      <c r="F1048" s="165"/>
      <c r="G1048" s="166">
        <v>766</v>
      </c>
      <c r="H1048" s="167">
        <v>7.2</v>
      </c>
      <c r="I1048" s="165"/>
      <c r="J1048" s="167"/>
      <c r="K1048" s="167">
        <v>13.4</v>
      </c>
      <c r="L1048" s="167">
        <v>16</v>
      </c>
      <c r="M1048" s="168">
        <v>0.38750000000000001</v>
      </c>
      <c r="N1048" s="176"/>
    </row>
    <row r="1049" spans="1:14" x14ac:dyDescent="0.25">
      <c r="A1049" s="66">
        <v>45082</v>
      </c>
      <c r="B1049" s="67" t="s">
        <v>53</v>
      </c>
      <c r="C1049" s="129" t="str">
        <f t="shared" si="32"/>
        <v>05.06.2023_NATohBo</v>
      </c>
      <c r="D1049" s="143">
        <f t="shared" si="33"/>
        <v>0</v>
      </c>
      <c r="E1049" s="157">
        <v>7.48</v>
      </c>
      <c r="F1049" s="165"/>
      <c r="G1049" s="166">
        <v>2080</v>
      </c>
      <c r="H1049" s="167">
        <v>7.1</v>
      </c>
      <c r="I1049" s="165"/>
      <c r="J1049" s="167"/>
      <c r="K1049" s="167">
        <v>15.7</v>
      </c>
      <c r="L1049" s="167">
        <v>20.5</v>
      </c>
      <c r="M1049" s="168">
        <v>0.56458333333333299</v>
      </c>
      <c r="N1049" s="176"/>
    </row>
    <row r="1050" spans="1:14" x14ac:dyDescent="0.25">
      <c r="A1050" s="66">
        <v>45082</v>
      </c>
      <c r="B1050" s="67" t="s">
        <v>55</v>
      </c>
      <c r="C1050" s="129" t="str">
        <f t="shared" si="32"/>
        <v>05.06.2023_QUAohBo</v>
      </c>
      <c r="D1050" s="143">
        <f t="shared" si="33"/>
        <v>0</v>
      </c>
      <c r="E1050" s="157">
        <v>7.85</v>
      </c>
      <c r="F1050" s="165"/>
      <c r="G1050" s="166">
        <v>841</v>
      </c>
      <c r="H1050" s="167">
        <v>6.2</v>
      </c>
      <c r="I1050" s="165"/>
      <c r="J1050" s="167"/>
      <c r="K1050" s="167">
        <v>15.3</v>
      </c>
      <c r="L1050" s="167">
        <v>8.1999999999999993</v>
      </c>
      <c r="M1050" s="168">
        <v>0.52152777777777803</v>
      </c>
      <c r="N1050" s="176"/>
    </row>
    <row r="1051" spans="1:14" x14ac:dyDescent="0.25">
      <c r="A1051" s="66">
        <v>45082</v>
      </c>
      <c r="B1051" s="67" t="s">
        <v>57</v>
      </c>
      <c r="C1051" s="129" t="str">
        <f t="shared" si="32"/>
        <v>05.06.2023_SCHohVo</v>
      </c>
      <c r="D1051" s="143">
        <f t="shared" si="33"/>
        <v>0</v>
      </c>
      <c r="E1051" s="157">
        <v>8.02</v>
      </c>
      <c r="F1051" s="165"/>
      <c r="G1051" s="166">
        <v>721</v>
      </c>
      <c r="H1051" s="167">
        <v>7.3</v>
      </c>
      <c r="I1051" s="165"/>
      <c r="J1051" s="167"/>
      <c r="K1051" s="167">
        <v>13.6</v>
      </c>
      <c r="L1051" s="167">
        <v>6.7</v>
      </c>
      <c r="M1051" s="168">
        <v>0.422916666666667</v>
      </c>
      <c r="N1051" s="176"/>
    </row>
    <row r="1052" spans="1:14" x14ac:dyDescent="0.25">
      <c r="A1052" s="66">
        <v>45082</v>
      </c>
      <c r="B1052" s="67" t="s">
        <v>60</v>
      </c>
      <c r="C1052" s="129" t="str">
        <f t="shared" si="32"/>
        <v>05.06.2023_VORohBo</v>
      </c>
      <c r="D1052" s="143">
        <f t="shared" si="33"/>
        <v>0</v>
      </c>
      <c r="E1052" s="157">
        <v>7.64</v>
      </c>
      <c r="F1052" s="165"/>
      <c r="G1052" s="166">
        <v>1108</v>
      </c>
      <c r="H1052" s="167">
        <v>7.4</v>
      </c>
      <c r="I1052" s="165"/>
      <c r="J1052" s="167"/>
      <c r="K1052" s="167">
        <v>13.1</v>
      </c>
      <c r="L1052" s="167">
        <v>12</v>
      </c>
      <c r="M1052" s="168">
        <v>0.43958333333333299</v>
      </c>
      <c r="N1052" s="176"/>
    </row>
    <row r="1053" spans="1:14" x14ac:dyDescent="0.25">
      <c r="A1053" s="66">
        <v>45082</v>
      </c>
      <c r="B1053" s="67" t="s">
        <v>62</v>
      </c>
      <c r="C1053" s="129" t="str">
        <f t="shared" si="32"/>
        <v>05.06.2023_VORuhSc</v>
      </c>
      <c r="D1053" s="143">
        <f t="shared" si="33"/>
        <v>0</v>
      </c>
      <c r="E1053" s="157">
        <v>7.47</v>
      </c>
      <c r="F1053" s="165"/>
      <c r="G1053" s="166">
        <v>1083</v>
      </c>
      <c r="H1053" s="167">
        <v>7.2</v>
      </c>
      <c r="I1053" s="165"/>
      <c r="J1053" s="167"/>
      <c r="K1053" s="167">
        <v>13.3</v>
      </c>
      <c r="L1053" s="167">
        <v>9</v>
      </c>
      <c r="M1053" s="168">
        <v>0.43125000000000002</v>
      </c>
      <c r="N1053" s="176"/>
    </row>
    <row r="1054" spans="1:14" x14ac:dyDescent="0.25">
      <c r="A1054" s="66">
        <v>45082</v>
      </c>
      <c r="B1054" s="67" t="s">
        <v>64</v>
      </c>
      <c r="C1054" s="129" t="str">
        <f t="shared" si="32"/>
        <v>05.06.2023_WITob</v>
      </c>
      <c r="D1054" s="143">
        <f t="shared" si="33"/>
        <v>0</v>
      </c>
      <c r="E1054" s="157">
        <v>8.16</v>
      </c>
      <c r="F1054" s="165"/>
      <c r="G1054" s="166">
        <v>1303</v>
      </c>
      <c r="H1054" s="167">
        <v>9.3000000000000007</v>
      </c>
      <c r="I1054" s="165"/>
      <c r="J1054" s="167"/>
      <c r="K1054" s="167">
        <v>15.5</v>
      </c>
      <c r="L1054" s="167">
        <v>2.2999999999999998</v>
      </c>
      <c r="M1054" s="168">
        <v>0.55277777777777803</v>
      </c>
      <c r="N1054" s="176"/>
    </row>
    <row r="1055" spans="1:14" x14ac:dyDescent="0.25">
      <c r="A1055" s="66">
        <v>45093</v>
      </c>
      <c r="B1055" s="67" t="s">
        <v>22</v>
      </c>
      <c r="C1055" s="129" t="str">
        <f t="shared" si="32"/>
        <v>16.06.2023_BOYkl</v>
      </c>
      <c r="D1055" s="143">
        <f t="shared" si="33"/>
        <v>5</v>
      </c>
      <c r="E1055" s="157"/>
      <c r="F1055" s="165"/>
      <c r="G1055" s="166"/>
      <c r="H1055" s="167"/>
      <c r="I1055" s="165"/>
      <c r="J1055" s="167"/>
      <c r="K1055" s="167"/>
      <c r="L1055" s="167"/>
      <c r="M1055" s="168"/>
      <c r="N1055" s="67" t="s">
        <v>341</v>
      </c>
    </row>
    <row r="1056" spans="1:14" x14ac:dyDescent="0.25">
      <c r="A1056" s="66">
        <v>45093</v>
      </c>
      <c r="B1056" s="67" t="s">
        <v>25</v>
      </c>
      <c r="C1056" s="129" t="str">
        <f t="shared" si="32"/>
        <v>16.06.2023_BOYohB224</v>
      </c>
      <c r="D1056" s="143">
        <f t="shared" si="33"/>
        <v>0</v>
      </c>
      <c r="E1056" s="157">
        <v>8.23</v>
      </c>
      <c r="F1056" s="165"/>
      <c r="G1056" s="166">
        <v>1024</v>
      </c>
      <c r="H1056" s="167">
        <v>15.2</v>
      </c>
      <c r="I1056" s="165"/>
      <c r="J1056" s="167"/>
      <c r="K1056" s="167">
        <v>25.7</v>
      </c>
      <c r="L1056" s="167">
        <v>27</v>
      </c>
      <c r="M1056" s="168">
        <v>0.63263888888888897</v>
      </c>
      <c r="N1056" s="177"/>
    </row>
    <row r="1057" spans="1:14" x14ac:dyDescent="0.25">
      <c r="A1057" s="66">
        <v>45093</v>
      </c>
      <c r="B1057" s="67" t="s">
        <v>28</v>
      </c>
      <c r="C1057" s="129" t="str">
        <f t="shared" si="32"/>
        <v>16.06.2023_BOYohBr</v>
      </c>
      <c r="D1057" s="143">
        <f t="shared" si="33"/>
        <v>0</v>
      </c>
      <c r="E1057" s="157">
        <v>7.64</v>
      </c>
      <c r="F1057" s="165"/>
      <c r="G1057" s="166">
        <v>555</v>
      </c>
      <c r="H1057" s="167">
        <v>13.3</v>
      </c>
      <c r="I1057" s="165"/>
      <c r="J1057" s="167"/>
      <c r="K1057" s="167">
        <v>13.7</v>
      </c>
      <c r="L1057" s="167">
        <v>22</v>
      </c>
      <c r="M1057" s="168">
        <v>0.56874999999999998</v>
      </c>
      <c r="N1057" s="177"/>
    </row>
    <row r="1058" spans="1:14" x14ac:dyDescent="0.25">
      <c r="A1058" s="66">
        <v>45093</v>
      </c>
      <c r="B1058" s="67" t="s">
        <v>30</v>
      </c>
      <c r="C1058" s="129" t="str">
        <f t="shared" si="32"/>
        <v>16.06.2023_BOYohKi</v>
      </c>
      <c r="D1058" s="143">
        <f t="shared" si="33"/>
        <v>0</v>
      </c>
      <c r="E1058" s="157">
        <v>8.07</v>
      </c>
      <c r="F1058" s="165"/>
      <c r="G1058" s="166">
        <v>865</v>
      </c>
      <c r="H1058" s="167">
        <v>10.5</v>
      </c>
      <c r="I1058" s="165"/>
      <c r="J1058" s="167"/>
      <c r="K1058" s="167">
        <v>15.6</v>
      </c>
      <c r="L1058" s="167">
        <v>39</v>
      </c>
      <c r="M1058" s="168">
        <v>0.42569444444444399</v>
      </c>
      <c r="N1058" s="177"/>
    </row>
    <row r="1059" spans="1:14" x14ac:dyDescent="0.25">
      <c r="A1059" s="66">
        <v>45093</v>
      </c>
      <c r="B1059" s="67" t="s">
        <v>32</v>
      </c>
      <c r="C1059" s="129" t="str">
        <f t="shared" si="32"/>
        <v>16.06.2023_BOYohSp</v>
      </c>
      <c r="D1059" s="143">
        <f t="shared" si="33"/>
        <v>0</v>
      </c>
      <c r="E1059" s="157">
        <v>7.62</v>
      </c>
      <c r="F1059" s="165"/>
      <c r="G1059" s="166">
        <v>603</v>
      </c>
      <c r="H1059" s="167">
        <v>10.050000000000001</v>
      </c>
      <c r="I1059" s="165"/>
      <c r="J1059" s="167"/>
      <c r="K1059" s="167">
        <v>14.3</v>
      </c>
      <c r="L1059" s="167">
        <v>16.5</v>
      </c>
      <c r="M1059" s="168">
        <v>0.54791666666666705</v>
      </c>
      <c r="N1059" s="67" t="s">
        <v>277</v>
      </c>
    </row>
    <row r="1060" spans="1:14" x14ac:dyDescent="0.25">
      <c r="A1060" s="66">
        <v>45093</v>
      </c>
      <c r="B1060" s="67" t="s">
        <v>34</v>
      </c>
      <c r="C1060" s="129" t="str">
        <f t="shared" si="32"/>
        <v>16.06.2023_BOYuhHa</v>
      </c>
      <c r="D1060" s="143">
        <f t="shared" si="33"/>
        <v>0</v>
      </c>
      <c r="E1060" s="157">
        <v>8.32</v>
      </c>
      <c r="F1060" s="165"/>
      <c r="G1060" s="166">
        <v>1128</v>
      </c>
      <c r="H1060" s="167">
        <v>10.5</v>
      </c>
      <c r="I1060" s="165"/>
      <c r="J1060" s="167"/>
      <c r="K1060" s="167">
        <v>16.8</v>
      </c>
      <c r="L1060" s="167">
        <v>18.5</v>
      </c>
      <c r="M1060" s="168">
        <v>0.4</v>
      </c>
      <c r="N1060" s="177"/>
    </row>
    <row r="1061" spans="1:14" x14ac:dyDescent="0.25">
      <c r="A1061" s="66">
        <v>45093</v>
      </c>
      <c r="B1061" s="67" t="s">
        <v>36</v>
      </c>
      <c r="C1061" s="129" t="str">
        <f t="shared" si="32"/>
        <v>16.06.2023_BOYuhSp</v>
      </c>
      <c r="D1061" s="143">
        <f t="shared" si="33"/>
        <v>0</v>
      </c>
      <c r="E1061" s="157">
        <v>7.63</v>
      </c>
      <c r="F1061" s="165"/>
      <c r="G1061" s="166">
        <v>625</v>
      </c>
      <c r="H1061" s="167">
        <v>10.039999999999999</v>
      </c>
      <c r="I1061" s="165"/>
      <c r="J1061" s="167"/>
      <c r="K1061" s="167">
        <v>15.7</v>
      </c>
      <c r="L1061" s="167">
        <v>24</v>
      </c>
      <c r="M1061" s="168">
        <v>0.54097222222222197</v>
      </c>
      <c r="N1061" s="177"/>
    </row>
    <row r="1062" spans="1:14" x14ac:dyDescent="0.25">
      <c r="A1062" s="66">
        <v>45093</v>
      </c>
      <c r="B1062" s="67" t="s">
        <v>38</v>
      </c>
      <c r="C1062" s="129" t="str">
        <f t="shared" si="32"/>
        <v>16.06.2023_BRAob</v>
      </c>
      <c r="D1062" s="143">
        <f t="shared" si="33"/>
        <v>0</v>
      </c>
      <c r="E1062" s="157">
        <v>7.96</v>
      </c>
      <c r="F1062" s="165"/>
      <c r="G1062" s="166">
        <v>673</v>
      </c>
      <c r="H1062" s="167">
        <v>9.5</v>
      </c>
      <c r="I1062" s="165"/>
      <c r="J1062" s="167"/>
      <c r="K1062" s="167">
        <v>16.600000000000001</v>
      </c>
      <c r="L1062" s="167">
        <v>3.5</v>
      </c>
      <c r="M1062" s="168">
        <v>0.51319444444444395</v>
      </c>
      <c r="N1062" s="67" t="s">
        <v>372</v>
      </c>
    </row>
    <row r="1063" spans="1:14" x14ac:dyDescent="0.25">
      <c r="A1063" s="66">
        <v>45093</v>
      </c>
      <c r="B1063" s="67" t="s">
        <v>41</v>
      </c>
      <c r="C1063" s="129" t="str">
        <f t="shared" si="32"/>
        <v>16.06.2023_BRAohBo</v>
      </c>
      <c r="D1063" s="143">
        <f t="shared" si="33"/>
        <v>5</v>
      </c>
      <c r="E1063" s="157"/>
      <c r="F1063" s="165"/>
      <c r="G1063" s="166"/>
      <c r="H1063" s="167"/>
      <c r="I1063" s="165"/>
      <c r="J1063" s="167"/>
      <c r="K1063" s="167"/>
      <c r="L1063" s="167"/>
      <c r="M1063" s="168"/>
      <c r="N1063" s="67" t="s">
        <v>341</v>
      </c>
    </row>
    <row r="1064" spans="1:14" x14ac:dyDescent="0.25">
      <c r="A1064" s="66">
        <v>45093</v>
      </c>
      <c r="B1064" s="67" t="s">
        <v>43</v>
      </c>
      <c r="C1064" s="129" t="str">
        <f t="shared" si="32"/>
        <v>16.06.2023_HAAob</v>
      </c>
      <c r="D1064" s="143">
        <f t="shared" si="33"/>
        <v>0</v>
      </c>
      <c r="E1064" s="157">
        <v>8.0399999999999991</v>
      </c>
      <c r="F1064" s="165"/>
      <c r="G1064" s="166">
        <v>667</v>
      </c>
      <c r="H1064" s="167">
        <v>9.6999999999999993</v>
      </c>
      <c r="I1064" s="165"/>
      <c r="J1064" s="167"/>
      <c r="K1064" s="167">
        <v>19.3</v>
      </c>
      <c r="L1064" s="167">
        <v>10</v>
      </c>
      <c r="M1064" s="168">
        <v>0.59513888888888899</v>
      </c>
      <c r="N1064" s="177"/>
    </row>
    <row r="1065" spans="1:14" x14ac:dyDescent="0.25">
      <c r="A1065" s="66">
        <v>45093</v>
      </c>
      <c r="B1065" s="67" t="s">
        <v>45</v>
      </c>
      <c r="C1065" s="129" t="str">
        <f t="shared" si="32"/>
        <v>16.06.2023_HAAun</v>
      </c>
      <c r="D1065" s="143">
        <f t="shared" si="33"/>
        <v>0</v>
      </c>
      <c r="E1065" s="157">
        <v>7.9</v>
      </c>
      <c r="F1065" s="165"/>
      <c r="G1065" s="166">
        <v>1065</v>
      </c>
      <c r="H1065" s="167">
        <v>10.01</v>
      </c>
      <c r="I1065" s="165"/>
      <c r="J1065" s="167"/>
      <c r="K1065" s="167">
        <v>17.8</v>
      </c>
      <c r="L1065" s="167">
        <v>9.5</v>
      </c>
      <c r="M1065" s="168">
        <v>0.58333333333333304</v>
      </c>
      <c r="N1065" s="177"/>
    </row>
    <row r="1066" spans="1:14" x14ac:dyDescent="0.25">
      <c r="A1066" s="66">
        <v>45093</v>
      </c>
      <c r="B1066" s="67" t="s">
        <v>47</v>
      </c>
      <c r="C1066" s="129" t="str">
        <f t="shared" si="32"/>
        <v>16.06.2023_KIRob</v>
      </c>
      <c r="D1066" s="143">
        <f t="shared" si="33"/>
        <v>0</v>
      </c>
      <c r="E1066" s="157">
        <v>7.9</v>
      </c>
      <c r="F1066" s="165"/>
      <c r="G1066" s="166">
        <v>1100</v>
      </c>
      <c r="H1066" s="167">
        <v>10.199999999999999</v>
      </c>
      <c r="I1066" s="165"/>
      <c r="J1066" s="167"/>
      <c r="K1066" s="167">
        <v>14.6</v>
      </c>
      <c r="L1066" s="167">
        <v>13</v>
      </c>
      <c r="M1066" s="168">
        <v>0.453472222222222</v>
      </c>
      <c r="N1066" s="177"/>
    </row>
    <row r="1067" spans="1:14" x14ac:dyDescent="0.25">
      <c r="A1067" s="66">
        <v>45093</v>
      </c>
      <c r="B1067" s="67" t="s">
        <v>49</v>
      </c>
      <c r="C1067" s="129" t="str">
        <f t="shared" si="32"/>
        <v>16.06.2023_KIRun</v>
      </c>
      <c r="D1067" s="143">
        <f t="shared" si="33"/>
        <v>0</v>
      </c>
      <c r="E1067" s="157">
        <v>8.07</v>
      </c>
      <c r="F1067" s="165"/>
      <c r="G1067" s="166">
        <v>972</v>
      </c>
      <c r="H1067" s="167">
        <v>9.5</v>
      </c>
      <c r="I1067" s="165"/>
      <c r="J1067" s="167"/>
      <c r="K1067" s="167">
        <v>14.8</v>
      </c>
      <c r="L1067" s="167">
        <v>15</v>
      </c>
      <c r="M1067" s="168">
        <v>0.44444444444444398</v>
      </c>
      <c r="N1067" s="67" t="s">
        <v>149</v>
      </c>
    </row>
    <row r="1068" spans="1:14" x14ac:dyDescent="0.25">
      <c r="A1068" s="66">
        <v>45093</v>
      </c>
      <c r="B1068" s="67" t="s">
        <v>50</v>
      </c>
      <c r="C1068" s="129" t="str">
        <f t="shared" si="32"/>
        <v>16.06.2023_LIEohBo</v>
      </c>
      <c r="D1068" s="143">
        <f t="shared" si="33"/>
        <v>0</v>
      </c>
      <c r="E1068" s="157">
        <v>7.85</v>
      </c>
      <c r="F1068" s="165"/>
      <c r="G1068" s="166">
        <v>724</v>
      </c>
      <c r="H1068" s="167">
        <v>6.9</v>
      </c>
      <c r="I1068" s="165"/>
      <c r="J1068" s="167"/>
      <c r="K1068" s="167">
        <v>16</v>
      </c>
      <c r="L1068" s="167">
        <v>11.5</v>
      </c>
      <c r="M1068" s="168">
        <v>0.41388888888888897</v>
      </c>
      <c r="N1068" s="67" t="s">
        <v>148</v>
      </c>
    </row>
    <row r="1069" spans="1:14" x14ac:dyDescent="0.25">
      <c r="A1069" s="66">
        <v>45093</v>
      </c>
      <c r="B1069" s="67" t="s">
        <v>53</v>
      </c>
      <c r="C1069" s="129" t="str">
        <f t="shared" si="32"/>
        <v>16.06.2023_NATohBo</v>
      </c>
      <c r="D1069" s="143">
        <f t="shared" si="33"/>
        <v>0</v>
      </c>
      <c r="E1069" s="157">
        <v>7.33</v>
      </c>
      <c r="F1069" s="165"/>
      <c r="G1069" s="166">
        <v>2300</v>
      </c>
      <c r="H1069" s="167">
        <v>10.1</v>
      </c>
      <c r="I1069" s="165"/>
      <c r="J1069" s="167"/>
      <c r="K1069" s="167">
        <v>17.899999999999999</v>
      </c>
      <c r="L1069" s="167">
        <v>14</v>
      </c>
      <c r="M1069" s="168">
        <v>0.61944444444444502</v>
      </c>
      <c r="N1069" s="177"/>
    </row>
    <row r="1070" spans="1:14" x14ac:dyDescent="0.25">
      <c r="A1070" s="66">
        <v>45093</v>
      </c>
      <c r="B1070" s="67" t="s">
        <v>55</v>
      </c>
      <c r="C1070" s="129" t="str">
        <f t="shared" si="32"/>
        <v>16.06.2023_QUAohBo</v>
      </c>
      <c r="D1070" s="143">
        <f t="shared" si="33"/>
        <v>5</v>
      </c>
      <c r="E1070" s="157"/>
      <c r="F1070" s="165"/>
      <c r="G1070" s="166"/>
      <c r="H1070" s="167"/>
      <c r="I1070" s="165"/>
      <c r="J1070" s="167"/>
      <c r="K1070" s="167"/>
      <c r="L1070" s="167"/>
      <c r="M1070" s="168"/>
      <c r="N1070" s="67" t="s">
        <v>341</v>
      </c>
    </row>
    <row r="1071" spans="1:14" x14ac:dyDescent="0.25">
      <c r="A1071" s="66">
        <v>45093</v>
      </c>
      <c r="B1071" s="67" t="s">
        <v>57</v>
      </c>
      <c r="C1071" s="129" t="str">
        <f t="shared" si="32"/>
        <v>16.06.2023_SCHohVo</v>
      </c>
      <c r="D1071" s="143">
        <f t="shared" si="33"/>
        <v>5</v>
      </c>
      <c r="E1071" s="157"/>
      <c r="F1071" s="165"/>
      <c r="G1071" s="166"/>
      <c r="H1071" s="167"/>
      <c r="I1071" s="165"/>
      <c r="J1071" s="167"/>
      <c r="K1071" s="167"/>
      <c r="L1071" s="167"/>
      <c r="M1071" s="168"/>
      <c r="N1071" s="67" t="s">
        <v>341</v>
      </c>
    </row>
    <row r="1072" spans="1:14" x14ac:dyDescent="0.25">
      <c r="A1072" s="66">
        <v>45093</v>
      </c>
      <c r="B1072" s="67" t="s">
        <v>60</v>
      </c>
      <c r="C1072" s="129" t="str">
        <f t="shared" si="32"/>
        <v>16.06.2023_VORohBo</v>
      </c>
      <c r="D1072" s="143">
        <f t="shared" si="33"/>
        <v>0</v>
      </c>
      <c r="E1072" s="157">
        <v>7.62</v>
      </c>
      <c r="F1072" s="165"/>
      <c r="G1072" s="166">
        <v>1082</v>
      </c>
      <c r="H1072" s="167">
        <v>9</v>
      </c>
      <c r="I1072" s="165"/>
      <c r="J1072" s="167"/>
      <c r="K1072" s="167">
        <v>14.6</v>
      </c>
      <c r="L1072" s="167">
        <v>10</v>
      </c>
      <c r="M1072" s="168">
        <v>0.48680555555555599</v>
      </c>
      <c r="N1072" s="177"/>
    </row>
    <row r="1073" spans="1:14" x14ac:dyDescent="0.25">
      <c r="A1073" s="66">
        <v>45093</v>
      </c>
      <c r="B1073" s="67" t="s">
        <v>62</v>
      </c>
      <c r="C1073" s="129" t="str">
        <f t="shared" si="32"/>
        <v>16.06.2023_VORuhSc</v>
      </c>
      <c r="D1073" s="143">
        <f t="shared" si="33"/>
        <v>0</v>
      </c>
      <c r="E1073" s="157">
        <v>7.15</v>
      </c>
      <c r="F1073" s="165"/>
      <c r="G1073" s="166">
        <v>1083</v>
      </c>
      <c r="H1073" s="167">
        <v>13</v>
      </c>
      <c r="I1073" s="165"/>
      <c r="J1073" s="167"/>
      <c r="K1073" s="167">
        <v>14.4</v>
      </c>
      <c r="L1073" s="167">
        <v>4</v>
      </c>
      <c r="M1073" s="168">
        <v>0.47499999999999998</v>
      </c>
      <c r="N1073" s="177"/>
    </row>
    <row r="1074" spans="1:14" x14ac:dyDescent="0.25">
      <c r="A1074" s="66">
        <v>45093</v>
      </c>
      <c r="B1074" s="67" t="s">
        <v>64</v>
      </c>
      <c r="C1074" s="129" t="str">
        <f t="shared" si="32"/>
        <v>16.06.2023_WITob</v>
      </c>
      <c r="D1074" s="143">
        <f t="shared" si="33"/>
        <v>0</v>
      </c>
      <c r="E1074" s="157">
        <v>8.1199999999999992</v>
      </c>
      <c r="F1074" s="165"/>
      <c r="G1074" s="166">
        <v>1205</v>
      </c>
      <c r="H1074" s="167">
        <v>7.3</v>
      </c>
      <c r="I1074" s="165"/>
      <c r="J1074" s="167"/>
      <c r="K1074" s="167">
        <v>18.399999999999999</v>
      </c>
      <c r="L1074" s="167">
        <v>1.5</v>
      </c>
      <c r="M1074" s="168">
        <v>0.60624999999999996</v>
      </c>
      <c r="N1074" s="177"/>
    </row>
    <row r="1075" spans="1:14" x14ac:dyDescent="0.25">
      <c r="A1075" s="66">
        <v>45107</v>
      </c>
      <c r="B1075" s="67" t="s">
        <v>22</v>
      </c>
      <c r="C1075" s="129" t="str">
        <f t="shared" si="32"/>
        <v>30.06.2023_BOYkl</v>
      </c>
      <c r="D1075" s="143">
        <f t="shared" si="33"/>
        <v>0</v>
      </c>
      <c r="E1075" s="157">
        <v>8.06</v>
      </c>
      <c r="F1075" s="165"/>
      <c r="G1075" s="166">
        <v>446</v>
      </c>
      <c r="H1075" s="167">
        <v>10.3</v>
      </c>
      <c r="I1075" s="165"/>
      <c r="J1075" s="167"/>
      <c r="K1075" s="167">
        <v>16.5</v>
      </c>
      <c r="L1075" s="167">
        <v>5.5</v>
      </c>
      <c r="M1075" s="168">
        <v>0.44444444444444398</v>
      </c>
      <c r="N1075" s="67" t="s">
        <v>153</v>
      </c>
    </row>
    <row r="1076" spans="1:14" x14ac:dyDescent="0.25">
      <c r="A1076" s="66">
        <v>45107</v>
      </c>
      <c r="B1076" s="67" t="s">
        <v>25</v>
      </c>
      <c r="C1076" s="129" t="str">
        <f t="shared" si="32"/>
        <v>30.06.2023_BOYohB224</v>
      </c>
      <c r="D1076" s="143">
        <f t="shared" si="33"/>
        <v>0</v>
      </c>
      <c r="E1076" s="157">
        <v>8.2100000000000009</v>
      </c>
      <c r="F1076" s="165"/>
      <c r="G1076" s="166">
        <v>977</v>
      </c>
      <c r="H1076" s="167">
        <v>12.6</v>
      </c>
      <c r="I1076" s="165"/>
      <c r="J1076" s="167"/>
      <c r="K1076" s="167">
        <v>22.5</v>
      </c>
      <c r="L1076" s="167">
        <v>17</v>
      </c>
      <c r="M1076" s="168">
        <v>0.61666666666666703</v>
      </c>
      <c r="N1076" s="177"/>
    </row>
    <row r="1077" spans="1:14" x14ac:dyDescent="0.25">
      <c r="A1077" s="66">
        <v>45107</v>
      </c>
      <c r="B1077" s="67" t="s">
        <v>28</v>
      </c>
      <c r="C1077" s="129" t="str">
        <f t="shared" si="32"/>
        <v>30.06.2023_BOYohBr</v>
      </c>
      <c r="D1077" s="143">
        <f t="shared" si="33"/>
        <v>0</v>
      </c>
      <c r="E1077" s="157">
        <v>7.88</v>
      </c>
      <c r="F1077" s="165"/>
      <c r="G1077" s="166">
        <v>540</v>
      </c>
      <c r="H1077" s="167">
        <v>10.4</v>
      </c>
      <c r="I1077" s="165"/>
      <c r="J1077" s="167"/>
      <c r="K1077" s="167">
        <v>15.8</v>
      </c>
      <c r="L1077" s="167">
        <v>23</v>
      </c>
      <c r="M1077" s="168">
        <v>0.49791666666666701</v>
      </c>
      <c r="N1077" s="177"/>
    </row>
    <row r="1078" spans="1:14" x14ac:dyDescent="0.25">
      <c r="A1078" s="66">
        <v>45107</v>
      </c>
      <c r="B1078" s="67" t="s">
        <v>30</v>
      </c>
      <c r="C1078" s="129" t="str">
        <f t="shared" si="32"/>
        <v>30.06.2023_BOYohKi</v>
      </c>
      <c r="D1078" s="143">
        <f t="shared" si="33"/>
        <v>0</v>
      </c>
      <c r="E1078" s="157">
        <v>7.78</v>
      </c>
      <c r="F1078" s="165"/>
      <c r="G1078" s="166">
        <v>801</v>
      </c>
      <c r="H1078" s="167">
        <v>7.4</v>
      </c>
      <c r="I1078" s="165"/>
      <c r="J1078" s="167"/>
      <c r="K1078" s="167">
        <v>16</v>
      </c>
      <c r="L1078" s="167">
        <v>45</v>
      </c>
      <c r="M1078" s="168">
        <v>0.358333333333333</v>
      </c>
      <c r="N1078" s="67" t="s">
        <v>151</v>
      </c>
    </row>
    <row r="1079" spans="1:14" x14ac:dyDescent="0.25">
      <c r="A1079" s="66">
        <v>45107</v>
      </c>
      <c r="B1079" s="67" t="s">
        <v>32</v>
      </c>
      <c r="C1079" s="129" t="str">
        <f t="shared" si="32"/>
        <v>30.06.2023_BOYohSp</v>
      </c>
      <c r="D1079" s="143">
        <f t="shared" si="33"/>
        <v>0</v>
      </c>
      <c r="E1079" s="157">
        <v>8.02</v>
      </c>
      <c r="F1079" s="165"/>
      <c r="G1079" s="166">
        <v>582</v>
      </c>
      <c r="H1079" s="167">
        <v>9</v>
      </c>
      <c r="I1079" s="165"/>
      <c r="J1079" s="167"/>
      <c r="K1079" s="167">
        <v>15.8</v>
      </c>
      <c r="L1079" s="167">
        <v>13.5</v>
      </c>
      <c r="M1079" s="168">
        <v>0.52361111111111103</v>
      </c>
      <c r="N1079" s="177"/>
    </row>
    <row r="1080" spans="1:14" x14ac:dyDescent="0.25">
      <c r="A1080" s="66">
        <v>45107</v>
      </c>
      <c r="B1080" s="67" t="s">
        <v>34</v>
      </c>
      <c r="C1080" s="129" t="str">
        <f t="shared" si="32"/>
        <v>30.06.2023_BOYuhHa</v>
      </c>
      <c r="D1080" s="143">
        <f t="shared" si="33"/>
        <v>0</v>
      </c>
      <c r="E1080" s="157">
        <v>8.17</v>
      </c>
      <c r="F1080" s="165"/>
      <c r="G1080" s="166">
        <v>1233</v>
      </c>
      <c r="H1080" s="167">
        <v>10.5</v>
      </c>
      <c r="I1080" s="165"/>
      <c r="J1080" s="167"/>
      <c r="K1080" s="167">
        <v>17.100000000000001</v>
      </c>
      <c r="L1080" s="167">
        <v>16</v>
      </c>
      <c r="M1080" s="168">
        <v>0.33541666666666697</v>
      </c>
      <c r="N1080" s="177"/>
    </row>
    <row r="1081" spans="1:14" x14ac:dyDescent="0.25">
      <c r="A1081" s="66">
        <v>45107</v>
      </c>
      <c r="B1081" s="67" t="s">
        <v>36</v>
      </c>
      <c r="C1081" s="129" t="str">
        <f t="shared" si="32"/>
        <v>30.06.2023_BOYuhSp</v>
      </c>
      <c r="D1081" s="143">
        <f t="shared" si="33"/>
        <v>0</v>
      </c>
      <c r="E1081" s="157">
        <v>7.99</v>
      </c>
      <c r="F1081" s="165"/>
      <c r="G1081" s="166">
        <v>610</v>
      </c>
      <c r="H1081" s="167">
        <v>11.5</v>
      </c>
      <c r="I1081" s="165"/>
      <c r="J1081" s="167"/>
      <c r="K1081" s="167">
        <v>16.899999999999999</v>
      </c>
      <c r="L1081" s="167">
        <v>19.5</v>
      </c>
      <c r="M1081" s="168">
        <v>0.51527777777777795</v>
      </c>
      <c r="N1081" s="67" t="s">
        <v>155</v>
      </c>
    </row>
    <row r="1082" spans="1:14" x14ac:dyDescent="0.25">
      <c r="A1082" s="66">
        <v>45107</v>
      </c>
      <c r="B1082" s="67" t="s">
        <v>38</v>
      </c>
      <c r="C1082" s="129" t="str">
        <f t="shared" si="32"/>
        <v>30.06.2023_BRAob</v>
      </c>
      <c r="D1082" s="143">
        <f t="shared" si="33"/>
        <v>0</v>
      </c>
      <c r="E1082" s="157">
        <v>7.91</v>
      </c>
      <c r="F1082" s="165"/>
      <c r="G1082" s="166">
        <v>734</v>
      </c>
      <c r="H1082" s="167">
        <v>10.7</v>
      </c>
      <c r="I1082" s="165"/>
      <c r="J1082" s="167"/>
      <c r="K1082" s="167">
        <v>16</v>
      </c>
      <c r="L1082" s="167">
        <v>2</v>
      </c>
      <c r="M1082" s="168">
        <v>0.46180555555555602</v>
      </c>
      <c r="N1082" s="67" t="s">
        <v>154</v>
      </c>
    </row>
    <row r="1083" spans="1:14" x14ac:dyDescent="0.25">
      <c r="A1083" s="66">
        <v>45107</v>
      </c>
      <c r="B1083" s="67" t="s">
        <v>41</v>
      </c>
      <c r="C1083" s="129" t="str">
        <f t="shared" si="32"/>
        <v>30.06.2023_BRAohBo</v>
      </c>
      <c r="D1083" s="143">
        <f t="shared" si="33"/>
        <v>0</v>
      </c>
      <c r="E1083" s="157">
        <v>8.02</v>
      </c>
      <c r="F1083" s="165"/>
      <c r="G1083" s="166">
        <v>733</v>
      </c>
      <c r="H1083" s="167">
        <v>9.1999999999999993</v>
      </c>
      <c r="I1083" s="165"/>
      <c r="J1083" s="167"/>
      <c r="K1083" s="167">
        <v>16.3</v>
      </c>
      <c r="L1083" s="167">
        <v>6.5</v>
      </c>
      <c r="M1083" s="168">
        <v>0.47638888888888897</v>
      </c>
      <c r="N1083" s="177"/>
    </row>
    <row r="1084" spans="1:14" x14ac:dyDescent="0.25">
      <c r="A1084" s="66">
        <v>45107</v>
      </c>
      <c r="B1084" s="67" t="s">
        <v>43</v>
      </c>
      <c r="C1084" s="129" t="str">
        <f t="shared" si="32"/>
        <v>30.06.2023_HAAob</v>
      </c>
      <c r="D1084" s="143">
        <f t="shared" si="33"/>
        <v>0</v>
      </c>
      <c r="E1084" s="157">
        <v>8.0500000000000007</v>
      </c>
      <c r="F1084" s="165"/>
      <c r="G1084" s="166">
        <v>667</v>
      </c>
      <c r="H1084" s="167">
        <v>10.5</v>
      </c>
      <c r="I1084" s="165"/>
      <c r="J1084" s="167"/>
      <c r="K1084" s="167">
        <v>18.5</v>
      </c>
      <c r="L1084" s="167">
        <v>9</v>
      </c>
      <c r="M1084" s="168">
        <v>0.57222222222222197</v>
      </c>
      <c r="N1084" s="177"/>
    </row>
    <row r="1085" spans="1:14" x14ac:dyDescent="0.25">
      <c r="A1085" s="66">
        <v>45107</v>
      </c>
      <c r="B1085" s="67" t="s">
        <v>45</v>
      </c>
      <c r="C1085" s="129" t="str">
        <f t="shared" si="32"/>
        <v>30.06.2023_HAAun</v>
      </c>
      <c r="D1085" s="143">
        <f t="shared" si="33"/>
        <v>0</v>
      </c>
      <c r="E1085" s="157">
        <v>7.93</v>
      </c>
      <c r="F1085" s="165"/>
      <c r="G1085" s="166">
        <v>1111</v>
      </c>
      <c r="H1085" s="167">
        <v>10.7</v>
      </c>
      <c r="I1085" s="165"/>
      <c r="J1085" s="167"/>
      <c r="K1085" s="167">
        <v>17</v>
      </c>
      <c r="L1085" s="167">
        <v>11</v>
      </c>
      <c r="M1085" s="168">
        <v>0.55972222222222201</v>
      </c>
      <c r="N1085" s="177"/>
    </row>
    <row r="1086" spans="1:14" x14ac:dyDescent="0.25">
      <c r="A1086" s="66">
        <v>45107</v>
      </c>
      <c r="B1086" s="67" t="s">
        <v>47</v>
      </c>
      <c r="C1086" s="129" t="str">
        <f t="shared" si="32"/>
        <v>30.06.2023_KIRob</v>
      </c>
      <c r="D1086" s="143">
        <f t="shared" si="33"/>
        <v>0</v>
      </c>
      <c r="E1086" s="157">
        <v>7.79</v>
      </c>
      <c r="F1086" s="165"/>
      <c r="G1086" s="166">
        <v>903</v>
      </c>
      <c r="H1086" s="167">
        <v>10.4</v>
      </c>
      <c r="I1086" s="165"/>
      <c r="J1086" s="167"/>
      <c r="K1086" s="167">
        <v>14.9</v>
      </c>
      <c r="L1086" s="167">
        <v>14</v>
      </c>
      <c r="M1086" s="168">
        <v>0.38333333333333303</v>
      </c>
      <c r="N1086" s="177"/>
    </row>
    <row r="1087" spans="1:14" x14ac:dyDescent="0.25">
      <c r="A1087" s="66">
        <v>45107</v>
      </c>
      <c r="B1087" s="67" t="s">
        <v>49</v>
      </c>
      <c r="C1087" s="129" t="str">
        <f t="shared" ref="C1087:C1150" si="34">CONCATENATE(TEXT(A1087,"TT.MM.JJJJ"),"_",B1087)</f>
        <v>30.06.2023_KIRun</v>
      </c>
      <c r="D1087" s="143">
        <f t="shared" si="33"/>
        <v>0</v>
      </c>
      <c r="E1087" s="157">
        <v>7.89</v>
      </c>
      <c r="F1087" s="165"/>
      <c r="G1087" s="166">
        <v>1037</v>
      </c>
      <c r="H1087" s="167">
        <v>10.5</v>
      </c>
      <c r="I1087" s="165"/>
      <c r="J1087" s="167"/>
      <c r="K1087" s="167">
        <v>14.8</v>
      </c>
      <c r="L1087" s="167">
        <v>12</v>
      </c>
      <c r="M1087" s="168">
        <v>0.37013888888888902</v>
      </c>
      <c r="N1087" s="177"/>
    </row>
    <row r="1088" spans="1:14" x14ac:dyDescent="0.25">
      <c r="A1088" s="66">
        <v>45107</v>
      </c>
      <c r="B1088" s="67" t="s">
        <v>50</v>
      </c>
      <c r="C1088" s="129" t="str">
        <f t="shared" si="34"/>
        <v>30.06.2023_LIEohBo</v>
      </c>
      <c r="D1088" s="143">
        <f t="shared" ref="D1088:D1151" si="35">COUNTBLANK(E1088)+COUNTBLANK(G1088:H1088)+COUNTBLANK(K1088:L1088)</f>
        <v>0</v>
      </c>
      <c r="E1088" s="157">
        <v>7.63</v>
      </c>
      <c r="F1088" s="165"/>
      <c r="G1088" s="166">
        <v>768</v>
      </c>
      <c r="H1088" s="167">
        <v>8.1999999999999993</v>
      </c>
      <c r="I1088" s="165"/>
      <c r="J1088" s="167"/>
      <c r="K1088" s="167">
        <v>17.100000000000001</v>
      </c>
      <c r="L1088" s="167">
        <v>13</v>
      </c>
      <c r="M1088" s="168">
        <v>0.34722222222222199</v>
      </c>
      <c r="N1088" s="67" t="s">
        <v>150</v>
      </c>
    </row>
    <row r="1089" spans="1:14" x14ac:dyDescent="0.25">
      <c r="A1089" s="66">
        <v>45107</v>
      </c>
      <c r="B1089" s="67" t="s">
        <v>53</v>
      </c>
      <c r="C1089" s="129" t="str">
        <f t="shared" si="34"/>
        <v>30.06.2023_NATohBo</v>
      </c>
      <c r="D1089" s="143">
        <f t="shared" si="35"/>
        <v>0</v>
      </c>
      <c r="E1089" s="157">
        <v>7.63</v>
      </c>
      <c r="F1089" s="165"/>
      <c r="G1089" s="166">
        <v>1716</v>
      </c>
      <c r="H1089" s="167">
        <v>10.8</v>
      </c>
      <c r="I1089" s="165"/>
      <c r="J1089" s="167"/>
      <c r="K1089" s="167">
        <v>17.899999999999999</v>
      </c>
      <c r="L1089" s="167">
        <v>20</v>
      </c>
      <c r="M1089" s="168">
        <v>0.60138888888888897</v>
      </c>
      <c r="N1089" s="177"/>
    </row>
    <row r="1090" spans="1:14" x14ac:dyDescent="0.25">
      <c r="A1090" s="66">
        <v>45107</v>
      </c>
      <c r="B1090" s="67" t="s">
        <v>55</v>
      </c>
      <c r="C1090" s="129" t="str">
        <f t="shared" si="34"/>
        <v>30.06.2023_QUAohBo</v>
      </c>
      <c r="D1090" s="143">
        <f t="shared" si="35"/>
        <v>0</v>
      </c>
      <c r="E1090" s="157">
        <v>7.88</v>
      </c>
      <c r="F1090" s="165"/>
      <c r="G1090" s="166">
        <v>776</v>
      </c>
      <c r="H1090" s="167">
        <v>8.6999999999999993</v>
      </c>
      <c r="I1090" s="165"/>
      <c r="J1090" s="167"/>
      <c r="K1090" s="167">
        <v>17.5</v>
      </c>
      <c r="L1090" s="167">
        <v>6</v>
      </c>
      <c r="M1090" s="168">
        <v>0.54791666666666705</v>
      </c>
      <c r="N1090" s="177"/>
    </row>
    <row r="1091" spans="1:14" x14ac:dyDescent="0.25">
      <c r="A1091" s="66">
        <v>45107</v>
      </c>
      <c r="B1091" s="67" t="s">
        <v>57</v>
      </c>
      <c r="C1091" s="129" t="str">
        <f t="shared" si="34"/>
        <v>30.06.2023_SCHohVo</v>
      </c>
      <c r="D1091" s="143">
        <f t="shared" si="35"/>
        <v>0</v>
      </c>
      <c r="E1091" s="157">
        <v>7.99</v>
      </c>
      <c r="F1091" s="165"/>
      <c r="G1091" s="166">
        <v>719</v>
      </c>
      <c r="H1091" s="167">
        <v>13.4</v>
      </c>
      <c r="I1091" s="165"/>
      <c r="J1091" s="167"/>
      <c r="K1091" s="167">
        <v>16.100000000000001</v>
      </c>
      <c r="L1091" s="167">
        <v>4</v>
      </c>
      <c r="M1091" s="168">
        <v>0.39722222222222198</v>
      </c>
      <c r="N1091" s="67" t="s">
        <v>152</v>
      </c>
    </row>
    <row r="1092" spans="1:14" x14ac:dyDescent="0.25">
      <c r="A1092" s="66">
        <v>45107</v>
      </c>
      <c r="B1092" s="67" t="s">
        <v>60</v>
      </c>
      <c r="C1092" s="129" t="str">
        <f t="shared" si="34"/>
        <v>30.06.2023_VORohBo</v>
      </c>
      <c r="D1092" s="143">
        <f t="shared" si="35"/>
        <v>0</v>
      </c>
      <c r="E1092" s="157">
        <v>7.58</v>
      </c>
      <c r="F1092" s="165"/>
      <c r="G1092" s="166">
        <v>1036</v>
      </c>
      <c r="H1092" s="167">
        <v>10.199999999999999</v>
      </c>
      <c r="I1092" s="165"/>
      <c r="J1092" s="167"/>
      <c r="K1092" s="167">
        <v>15</v>
      </c>
      <c r="L1092" s="167">
        <v>19</v>
      </c>
      <c r="M1092" s="168">
        <v>0.422916666666667</v>
      </c>
      <c r="N1092" s="177"/>
    </row>
    <row r="1093" spans="1:14" x14ac:dyDescent="0.25">
      <c r="A1093" s="66">
        <v>45107</v>
      </c>
      <c r="B1093" s="67" t="s">
        <v>62</v>
      </c>
      <c r="C1093" s="129" t="str">
        <f t="shared" si="34"/>
        <v>30.06.2023_VORuhSc</v>
      </c>
      <c r="D1093" s="143">
        <f t="shared" si="35"/>
        <v>0</v>
      </c>
      <c r="E1093" s="157">
        <v>7.43</v>
      </c>
      <c r="F1093" s="165"/>
      <c r="G1093" s="166">
        <v>1115</v>
      </c>
      <c r="H1093" s="167">
        <v>9.5</v>
      </c>
      <c r="I1093" s="165"/>
      <c r="J1093" s="167"/>
      <c r="K1093" s="167">
        <v>15.2</v>
      </c>
      <c r="L1093" s="167">
        <v>7</v>
      </c>
      <c r="M1093" s="168">
        <v>0.40833333333333299</v>
      </c>
      <c r="N1093" s="177"/>
    </row>
    <row r="1094" spans="1:14" x14ac:dyDescent="0.25">
      <c r="A1094" s="66">
        <v>45107</v>
      </c>
      <c r="B1094" s="67" t="s">
        <v>64</v>
      </c>
      <c r="C1094" s="129" t="str">
        <f t="shared" si="34"/>
        <v>30.06.2023_WITob</v>
      </c>
      <c r="D1094" s="143">
        <f t="shared" si="35"/>
        <v>0</v>
      </c>
      <c r="E1094" s="157">
        <v>8.15</v>
      </c>
      <c r="F1094" s="165"/>
      <c r="G1094" s="166">
        <v>1289</v>
      </c>
      <c r="H1094" s="167">
        <v>13.3</v>
      </c>
      <c r="I1094" s="165"/>
      <c r="J1094" s="167"/>
      <c r="K1094" s="167">
        <v>16.7</v>
      </c>
      <c r="L1094" s="167">
        <v>4.5</v>
      </c>
      <c r="M1094" s="168">
        <v>0.58680555555555602</v>
      </c>
      <c r="N1094" s="177"/>
    </row>
    <row r="1095" spans="1:14" x14ac:dyDescent="0.25">
      <c r="A1095" s="66">
        <v>45124</v>
      </c>
      <c r="B1095" s="67" t="s">
        <v>22</v>
      </c>
      <c r="C1095" s="129" t="str">
        <f t="shared" si="34"/>
        <v>17.07.2023_BOYkl</v>
      </c>
      <c r="D1095" s="143">
        <f t="shared" si="35"/>
        <v>5</v>
      </c>
      <c r="E1095" s="157"/>
      <c r="F1095" s="165"/>
      <c r="G1095" s="166"/>
      <c r="H1095" s="167"/>
      <c r="I1095" s="165"/>
      <c r="J1095" s="167"/>
      <c r="K1095" s="167"/>
      <c r="L1095" s="167"/>
      <c r="M1095" s="168"/>
      <c r="N1095" s="67" t="s">
        <v>341</v>
      </c>
    </row>
    <row r="1096" spans="1:14" x14ac:dyDescent="0.25">
      <c r="A1096" s="66">
        <v>45124</v>
      </c>
      <c r="B1096" s="67" t="s">
        <v>25</v>
      </c>
      <c r="C1096" s="129" t="str">
        <f t="shared" si="34"/>
        <v>17.07.2023_BOYohB224</v>
      </c>
      <c r="D1096" s="143">
        <f t="shared" si="35"/>
        <v>0</v>
      </c>
      <c r="E1096" s="157">
        <v>8.42</v>
      </c>
      <c r="F1096" s="165"/>
      <c r="G1096" s="166">
        <v>1025</v>
      </c>
      <c r="H1096" s="167">
        <v>11.1</v>
      </c>
      <c r="I1096" s="165"/>
      <c r="J1096" s="167"/>
      <c r="K1096" s="167">
        <v>22.8</v>
      </c>
      <c r="L1096" s="167">
        <v>13.5</v>
      </c>
      <c r="M1096" s="168">
        <v>0.63194444444444398</v>
      </c>
      <c r="N1096" s="177"/>
    </row>
    <row r="1097" spans="1:14" x14ac:dyDescent="0.25">
      <c r="A1097" s="66">
        <v>45124</v>
      </c>
      <c r="B1097" s="67" t="s">
        <v>28</v>
      </c>
      <c r="C1097" s="129" t="str">
        <f t="shared" si="34"/>
        <v>17.07.2023_BOYohBr</v>
      </c>
      <c r="D1097" s="143">
        <f t="shared" si="35"/>
        <v>0</v>
      </c>
      <c r="E1097" s="157">
        <v>7.74</v>
      </c>
      <c r="F1097" s="165"/>
      <c r="G1097" s="166">
        <v>547</v>
      </c>
      <c r="H1097" s="167">
        <v>9.1999999999999993</v>
      </c>
      <c r="I1097" s="165"/>
      <c r="J1097" s="167"/>
      <c r="K1097" s="167">
        <v>14.6</v>
      </c>
      <c r="L1097" s="167">
        <v>18.399999999999999</v>
      </c>
      <c r="M1097" s="168">
        <v>0.530555555555556</v>
      </c>
      <c r="N1097" s="177"/>
    </row>
    <row r="1098" spans="1:14" x14ac:dyDescent="0.25">
      <c r="A1098" s="66">
        <v>45124</v>
      </c>
      <c r="B1098" s="67" t="s">
        <v>30</v>
      </c>
      <c r="C1098" s="129" t="str">
        <f t="shared" si="34"/>
        <v>17.07.2023_BOYohKi</v>
      </c>
      <c r="D1098" s="143">
        <f t="shared" si="35"/>
        <v>0</v>
      </c>
      <c r="E1098" s="157">
        <v>7.83</v>
      </c>
      <c r="F1098" s="165"/>
      <c r="G1098" s="166">
        <v>840</v>
      </c>
      <c r="H1098" s="167">
        <v>9.3000000000000007</v>
      </c>
      <c r="I1098" s="165"/>
      <c r="J1098" s="167"/>
      <c r="K1098" s="167">
        <v>16.8</v>
      </c>
      <c r="L1098" s="167">
        <v>35.5</v>
      </c>
      <c r="M1098" s="168">
        <v>0.41388888888888897</v>
      </c>
      <c r="N1098" s="177"/>
    </row>
    <row r="1099" spans="1:14" x14ac:dyDescent="0.25">
      <c r="A1099" s="66">
        <v>45124</v>
      </c>
      <c r="B1099" s="67" t="s">
        <v>32</v>
      </c>
      <c r="C1099" s="129" t="str">
        <f t="shared" si="34"/>
        <v>17.07.2023_BOYohSp</v>
      </c>
      <c r="D1099" s="143">
        <f t="shared" si="35"/>
        <v>0</v>
      </c>
      <c r="E1099" s="157">
        <v>7.91</v>
      </c>
      <c r="F1099" s="165"/>
      <c r="G1099" s="166">
        <v>608</v>
      </c>
      <c r="H1099" s="167">
        <v>9.8000000000000007</v>
      </c>
      <c r="I1099" s="165"/>
      <c r="J1099" s="167"/>
      <c r="K1099" s="167">
        <v>15.1</v>
      </c>
      <c r="L1099" s="167">
        <v>14.6</v>
      </c>
      <c r="M1099" s="168">
        <v>0.55416666666666703</v>
      </c>
      <c r="N1099" s="67" t="s">
        <v>279</v>
      </c>
    </row>
    <row r="1100" spans="1:14" x14ac:dyDescent="0.25">
      <c r="A1100" s="66">
        <v>45124</v>
      </c>
      <c r="B1100" s="67" t="s">
        <v>34</v>
      </c>
      <c r="C1100" s="129" t="str">
        <f t="shared" si="34"/>
        <v>17.07.2023_BOYuhHa</v>
      </c>
      <c r="D1100" s="143">
        <f t="shared" si="35"/>
        <v>0</v>
      </c>
      <c r="E1100" s="157">
        <v>8.33</v>
      </c>
      <c r="F1100" s="165"/>
      <c r="G1100" s="166">
        <v>1119</v>
      </c>
      <c r="H1100" s="167">
        <v>10.3</v>
      </c>
      <c r="I1100" s="165"/>
      <c r="J1100" s="167"/>
      <c r="K1100" s="167">
        <v>17.100000000000001</v>
      </c>
      <c r="L1100" s="167">
        <v>13.7</v>
      </c>
      <c r="M1100" s="168">
        <v>0.38472222222222202</v>
      </c>
      <c r="N1100" s="177"/>
    </row>
    <row r="1101" spans="1:14" x14ac:dyDescent="0.25">
      <c r="A1101" s="66">
        <v>45124</v>
      </c>
      <c r="B1101" s="67" t="s">
        <v>36</v>
      </c>
      <c r="C1101" s="129" t="str">
        <f t="shared" si="34"/>
        <v>17.07.2023_BOYuhSp</v>
      </c>
      <c r="D1101" s="143">
        <f t="shared" si="35"/>
        <v>0</v>
      </c>
      <c r="E1101" s="157">
        <v>7.98</v>
      </c>
      <c r="F1101" s="165"/>
      <c r="G1101" s="166">
        <v>594</v>
      </c>
      <c r="H1101" s="167">
        <v>12.6</v>
      </c>
      <c r="I1101" s="165"/>
      <c r="J1101" s="167"/>
      <c r="K1101" s="167">
        <v>16.5</v>
      </c>
      <c r="L1101" s="167">
        <v>19</v>
      </c>
      <c r="M1101" s="168">
        <v>0.54166666666666696</v>
      </c>
      <c r="N1101" s="177"/>
    </row>
    <row r="1102" spans="1:14" x14ac:dyDescent="0.25">
      <c r="A1102" s="66">
        <v>45124</v>
      </c>
      <c r="B1102" s="67" t="s">
        <v>38</v>
      </c>
      <c r="C1102" s="129" t="str">
        <f t="shared" si="34"/>
        <v>17.07.2023_BRAob</v>
      </c>
      <c r="D1102" s="143">
        <f t="shared" si="35"/>
        <v>0</v>
      </c>
      <c r="E1102" s="157">
        <v>8.11</v>
      </c>
      <c r="F1102" s="165"/>
      <c r="G1102" s="166">
        <v>687</v>
      </c>
      <c r="H1102" s="167">
        <v>9.6999999999999993</v>
      </c>
      <c r="I1102" s="165"/>
      <c r="J1102" s="167"/>
      <c r="K1102" s="167">
        <v>16.899999999999999</v>
      </c>
      <c r="L1102" s="167">
        <v>4</v>
      </c>
      <c r="M1102" s="168">
        <v>0.46041666666666697</v>
      </c>
      <c r="N1102" s="67" t="s">
        <v>156</v>
      </c>
    </row>
    <row r="1103" spans="1:14" x14ac:dyDescent="0.25">
      <c r="A1103" s="66">
        <v>45124</v>
      </c>
      <c r="B1103" s="67" t="s">
        <v>41</v>
      </c>
      <c r="C1103" s="129" t="str">
        <f t="shared" si="34"/>
        <v>17.07.2023_BRAohBo</v>
      </c>
      <c r="D1103" s="143">
        <f t="shared" si="35"/>
        <v>5</v>
      </c>
      <c r="E1103" s="157"/>
      <c r="F1103" s="165"/>
      <c r="G1103" s="166"/>
      <c r="H1103" s="167"/>
      <c r="I1103" s="165"/>
      <c r="J1103" s="167"/>
      <c r="K1103" s="167"/>
      <c r="L1103" s="167"/>
      <c r="M1103" s="168"/>
      <c r="N1103" s="67" t="s">
        <v>341</v>
      </c>
    </row>
    <row r="1104" spans="1:14" x14ac:dyDescent="0.25">
      <c r="A1104" s="66">
        <v>45124</v>
      </c>
      <c r="B1104" s="67" t="s">
        <v>43</v>
      </c>
      <c r="C1104" s="129" t="str">
        <f t="shared" si="34"/>
        <v>17.07.2023_HAAob</v>
      </c>
      <c r="D1104" s="143">
        <f t="shared" si="35"/>
        <v>0</v>
      </c>
      <c r="E1104" s="157">
        <v>8.23</v>
      </c>
      <c r="F1104" s="165"/>
      <c r="G1104" s="166">
        <v>825</v>
      </c>
      <c r="H1104" s="167">
        <v>8.6</v>
      </c>
      <c r="I1104" s="165"/>
      <c r="J1104" s="167"/>
      <c r="K1104" s="167">
        <v>18.100000000000001</v>
      </c>
      <c r="L1104" s="167">
        <v>6.6</v>
      </c>
      <c r="M1104" s="168">
        <v>0.58680555555555602</v>
      </c>
      <c r="N1104" s="177"/>
    </row>
    <row r="1105" spans="1:14" x14ac:dyDescent="0.25">
      <c r="A1105" s="66">
        <v>45124</v>
      </c>
      <c r="B1105" s="67" t="s">
        <v>45</v>
      </c>
      <c r="C1105" s="129" t="str">
        <f t="shared" si="34"/>
        <v>17.07.2023_HAAun</v>
      </c>
      <c r="D1105" s="143">
        <f t="shared" si="35"/>
        <v>0</v>
      </c>
      <c r="E1105" s="157">
        <v>7.96</v>
      </c>
      <c r="F1105" s="165"/>
      <c r="G1105" s="166">
        <v>1206</v>
      </c>
      <c r="H1105" s="167">
        <v>9.6999999999999993</v>
      </c>
      <c r="I1105" s="165"/>
      <c r="J1105" s="167"/>
      <c r="K1105" s="167">
        <v>16.100000000000001</v>
      </c>
      <c r="L1105" s="167">
        <v>10</v>
      </c>
      <c r="M1105" s="168">
        <v>0.57291666666666696</v>
      </c>
      <c r="N1105" s="177"/>
    </row>
    <row r="1106" spans="1:14" x14ac:dyDescent="0.25">
      <c r="A1106" s="66">
        <v>45124</v>
      </c>
      <c r="B1106" s="67" t="s">
        <v>47</v>
      </c>
      <c r="C1106" s="129" t="str">
        <f t="shared" si="34"/>
        <v>17.07.2023_KIRob</v>
      </c>
      <c r="D1106" s="143">
        <f t="shared" si="35"/>
        <v>0</v>
      </c>
      <c r="E1106" s="157">
        <v>7.98</v>
      </c>
      <c r="F1106" s="165"/>
      <c r="G1106" s="166">
        <v>1097</v>
      </c>
      <c r="H1106" s="167">
        <v>9.1999999999999993</v>
      </c>
      <c r="I1106" s="165"/>
      <c r="J1106" s="167"/>
      <c r="K1106" s="167">
        <v>15.6</v>
      </c>
      <c r="L1106" s="167">
        <v>6.6</v>
      </c>
      <c r="M1106" s="168">
        <v>0.438194444444444</v>
      </c>
      <c r="N1106" s="177"/>
    </row>
    <row r="1107" spans="1:14" x14ac:dyDescent="0.25">
      <c r="A1107" s="66">
        <v>45124</v>
      </c>
      <c r="B1107" s="67" t="s">
        <v>49</v>
      </c>
      <c r="C1107" s="129" t="str">
        <f t="shared" si="34"/>
        <v>17.07.2023_KIRun</v>
      </c>
      <c r="D1107" s="143">
        <f t="shared" si="35"/>
        <v>0</v>
      </c>
      <c r="E1107" s="157">
        <v>8.02</v>
      </c>
      <c r="F1107" s="165"/>
      <c r="G1107" s="166">
        <v>949</v>
      </c>
      <c r="H1107" s="167">
        <v>9.5</v>
      </c>
      <c r="I1107" s="165"/>
      <c r="J1107" s="167"/>
      <c r="K1107" s="167">
        <v>15.6</v>
      </c>
      <c r="L1107" s="167">
        <v>13.8</v>
      </c>
      <c r="M1107" s="168">
        <v>0.42847222222222198</v>
      </c>
      <c r="N1107" s="177"/>
    </row>
    <row r="1108" spans="1:14" x14ac:dyDescent="0.25">
      <c r="A1108" s="66">
        <v>45124</v>
      </c>
      <c r="B1108" s="67" t="s">
        <v>50</v>
      </c>
      <c r="C1108" s="129" t="str">
        <f t="shared" si="34"/>
        <v>17.07.2023_LIEohBo</v>
      </c>
      <c r="D1108" s="143">
        <f t="shared" si="35"/>
        <v>0</v>
      </c>
      <c r="E1108" s="157">
        <v>7.62</v>
      </c>
      <c r="F1108" s="165"/>
      <c r="G1108" s="166">
        <v>716</v>
      </c>
      <c r="H1108" s="167">
        <v>5.8</v>
      </c>
      <c r="I1108" s="165"/>
      <c r="J1108" s="167"/>
      <c r="K1108" s="167">
        <v>17.3</v>
      </c>
      <c r="L1108" s="167">
        <v>11.8</v>
      </c>
      <c r="M1108" s="168">
        <v>0.4</v>
      </c>
      <c r="N1108" s="67" t="s">
        <v>278</v>
      </c>
    </row>
    <row r="1109" spans="1:14" x14ac:dyDescent="0.25">
      <c r="A1109" s="66">
        <v>45124</v>
      </c>
      <c r="B1109" s="67" t="s">
        <v>53</v>
      </c>
      <c r="C1109" s="129" t="str">
        <f t="shared" si="34"/>
        <v>17.07.2023_NATohBo</v>
      </c>
      <c r="D1109" s="143">
        <f t="shared" si="35"/>
        <v>0</v>
      </c>
      <c r="E1109" s="157">
        <v>7.48</v>
      </c>
      <c r="F1109" s="165"/>
      <c r="G1109" s="166">
        <v>2540</v>
      </c>
      <c r="H1109" s="167">
        <v>8.6999999999999993</v>
      </c>
      <c r="I1109" s="165"/>
      <c r="J1109" s="167"/>
      <c r="K1109" s="167">
        <v>18.8</v>
      </c>
      <c r="L1109" s="167">
        <v>14.1</v>
      </c>
      <c r="M1109" s="168">
        <v>0.62152777777777801</v>
      </c>
      <c r="N1109" s="177"/>
    </row>
    <row r="1110" spans="1:14" x14ac:dyDescent="0.25">
      <c r="A1110" s="66">
        <v>45124</v>
      </c>
      <c r="B1110" s="67" t="s">
        <v>55</v>
      </c>
      <c r="C1110" s="129" t="str">
        <f t="shared" si="34"/>
        <v>17.07.2023_QUAohBo</v>
      </c>
      <c r="D1110" s="143">
        <f t="shared" si="35"/>
        <v>5</v>
      </c>
      <c r="E1110" s="157"/>
      <c r="F1110" s="165"/>
      <c r="G1110" s="166"/>
      <c r="H1110" s="167"/>
      <c r="I1110" s="165"/>
      <c r="J1110" s="167"/>
      <c r="K1110" s="167"/>
      <c r="L1110" s="167"/>
      <c r="M1110" s="168"/>
      <c r="N1110" s="67" t="s">
        <v>341</v>
      </c>
    </row>
    <row r="1111" spans="1:14" x14ac:dyDescent="0.25">
      <c r="A1111" s="66">
        <v>45124</v>
      </c>
      <c r="B1111" s="67" t="s">
        <v>57</v>
      </c>
      <c r="C1111" s="129" t="str">
        <f t="shared" si="34"/>
        <v>17.07.2023_SCHohVo</v>
      </c>
      <c r="D1111" s="143">
        <f t="shared" si="35"/>
        <v>5</v>
      </c>
      <c r="E1111" s="157"/>
      <c r="F1111" s="165"/>
      <c r="G1111" s="166"/>
      <c r="H1111" s="167"/>
      <c r="I1111" s="165"/>
      <c r="J1111" s="167"/>
      <c r="K1111" s="167"/>
      <c r="L1111" s="167"/>
      <c r="M1111" s="168"/>
      <c r="N1111" s="67" t="s">
        <v>341</v>
      </c>
    </row>
    <row r="1112" spans="1:14" x14ac:dyDescent="0.25">
      <c r="A1112" s="66">
        <v>45124</v>
      </c>
      <c r="B1112" s="67" t="s">
        <v>60</v>
      </c>
      <c r="C1112" s="129" t="str">
        <f t="shared" si="34"/>
        <v>17.07.2023_VORohBo</v>
      </c>
      <c r="D1112" s="143">
        <f t="shared" si="35"/>
        <v>0</v>
      </c>
      <c r="E1112" s="157">
        <v>7.51</v>
      </c>
      <c r="F1112" s="165"/>
      <c r="G1112" s="166">
        <v>1045</v>
      </c>
      <c r="H1112" s="167">
        <v>8.1</v>
      </c>
      <c r="I1112" s="165"/>
      <c r="J1112" s="167"/>
      <c r="K1112" s="167">
        <v>16.600000000000001</v>
      </c>
      <c r="L1112" s="167">
        <v>18</v>
      </c>
      <c r="M1112" s="168">
        <v>0.469444444444444</v>
      </c>
      <c r="N1112" s="177"/>
    </row>
    <row r="1113" spans="1:14" x14ac:dyDescent="0.25">
      <c r="A1113" s="66">
        <v>45124</v>
      </c>
      <c r="B1113" s="67" t="s">
        <v>62</v>
      </c>
      <c r="C1113" s="129" t="str">
        <f t="shared" si="34"/>
        <v>17.07.2023_VORuhSc</v>
      </c>
      <c r="D1113" s="143">
        <f t="shared" si="35"/>
        <v>0</v>
      </c>
      <c r="E1113" s="157">
        <v>7.24</v>
      </c>
      <c r="F1113" s="165"/>
      <c r="G1113" s="166">
        <v>1014</v>
      </c>
      <c r="H1113" s="167">
        <v>8.5</v>
      </c>
      <c r="I1113" s="165"/>
      <c r="J1113" s="167"/>
      <c r="K1113" s="167">
        <v>16</v>
      </c>
      <c r="L1113" s="167">
        <v>9.8000000000000007</v>
      </c>
      <c r="M1113" s="168">
        <v>0.45555555555555599</v>
      </c>
      <c r="N1113" s="177"/>
    </row>
    <row r="1114" spans="1:14" x14ac:dyDescent="0.25">
      <c r="A1114" s="66">
        <v>45124</v>
      </c>
      <c r="B1114" s="67" t="s">
        <v>64</v>
      </c>
      <c r="C1114" s="129" t="str">
        <f t="shared" si="34"/>
        <v>17.07.2023_WITob</v>
      </c>
      <c r="D1114" s="143">
        <f t="shared" si="35"/>
        <v>0</v>
      </c>
      <c r="E1114" s="157">
        <v>8.17</v>
      </c>
      <c r="F1114" s="165"/>
      <c r="G1114" s="166">
        <v>1222</v>
      </c>
      <c r="H1114" s="167">
        <v>10.7</v>
      </c>
      <c r="I1114" s="165"/>
      <c r="J1114" s="167"/>
      <c r="K1114" s="167">
        <v>17.8</v>
      </c>
      <c r="L1114" s="167">
        <v>2.8</v>
      </c>
      <c r="M1114" s="168">
        <v>0.60416666666666696</v>
      </c>
      <c r="N1114" s="177"/>
    </row>
    <row r="1115" spans="1:14" x14ac:dyDescent="0.25">
      <c r="A1115" s="66">
        <v>45135</v>
      </c>
      <c r="B1115" s="67" t="s">
        <v>22</v>
      </c>
      <c r="C1115" s="129" t="str">
        <f t="shared" si="34"/>
        <v>28.07.2023_BOYkl</v>
      </c>
      <c r="D1115" s="143">
        <f t="shared" si="35"/>
        <v>0</v>
      </c>
      <c r="E1115" s="157">
        <v>8.09</v>
      </c>
      <c r="F1115" s="165"/>
      <c r="G1115" s="166">
        <v>351</v>
      </c>
      <c r="H1115" s="167">
        <v>5.6</v>
      </c>
      <c r="I1115" s="165"/>
      <c r="J1115" s="167"/>
      <c r="K1115" s="167">
        <v>17.899999999999999</v>
      </c>
      <c r="L1115" s="167">
        <v>1.5</v>
      </c>
      <c r="M1115" s="168">
        <v>0.46527777777777801</v>
      </c>
      <c r="N1115" s="67" t="s">
        <v>373</v>
      </c>
    </row>
    <row r="1116" spans="1:14" x14ac:dyDescent="0.25">
      <c r="A1116" s="66">
        <v>45135</v>
      </c>
      <c r="B1116" s="67" t="s">
        <v>25</v>
      </c>
      <c r="C1116" s="129" t="str">
        <f t="shared" si="34"/>
        <v>28.07.2023_BOYohB224</v>
      </c>
      <c r="D1116" s="143">
        <f t="shared" si="35"/>
        <v>0</v>
      </c>
      <c r="E1116" s="157">
        <v>7.74</v>
      </c>
      <c r="F1116" s="165"/>
      <c r="G1116" s="166">
        <v>619</v>
      </c>
      <c r="H1116" s="167">
        <v>7.9</v>
      </c>
      <c r="I1116" s="165"/>
      <c r="J1116" s="167"/>
      <c r="K1116" s="167">
        <v>20.5</v>
      </c>
      <c r="L1116" s="167">
        <v>27.5</v>
      </c>
      <c r="M1116" s="168">
        <v>0.58472222222222203</v>
      </c>
      <c r="N1116" s="177"/>
    </row>
    <row r="1117" spans="1:14" x14ac:dyDescent="0.25">
      <c r="A1117" s="66">
        <v>45135</v>
      </c>
      <c r="B1117" s="67" t="s">
        <v>28</v>
      </c>
      <c r="C1117" s="129" t="str">
        <f t="shared" si="34"/>
        <v>28.07.2023_BOYohBr</v>
      </c>
      <c r="D1117" s="143">
        <f t="shared" si="35"/>
        <v>0</v>
      </c>
      <c r="E1117" s="157">
        <v>7.6</v>
      </c>
      <c r="F1117" s="165"/>
      <c r="G1117" s="166">
        <v>489</v>
      </c>
      <c r="H1117" s="167">
        <v>10.4</v>
      </c>
      <c r="I1117" s="165"/>
      <c r="J1117" s="167"/>
      <c r="K1117" s="167">
        <v>15.9</v>
      </c>
      <c r="L1117" s="167">
        <v>22</v>
      </c>
      <c r="M1117" s="168">
        <v>0.50694444444444398</v>
      </c>
      <c r="N1117" s="177"/>
    </row>
    <row r="1118" spans="1:14" x14ac:dyDescent="0.25">
      <c r="A1118" s="66">
        <v>45135</v>
      </c>
      <c r="B1118" s="67" t="s">
        <v>30</v>
      </c>
      <c r="C1118" s="129" t="str">
        <f t="shared" si="34"/>
        <v>28.07.2023_BOYohKi</v>
      </c>
      <c r="D1118" s="143">
        <f t="shared" si="35"/>
        <v>0</v>
      </c>
      <c r="E1118" s="157">
        <v>7.52</v>
      </c>
      <c r="F1118" s="165"/>
      <c r="G1118" s="166">
        <v>608</v>
      </c>
      <c r="H1118" s="167">
        <v>7.8</v>
      </c>
      <c r="I1118" s="165"/>
      <c r="J1118" s="167"/>
      <c r="K1118" s="167">
        <v>16.7</v>
      </c>
      <c r="L1118" s="167">
        <v>46.5</v>
      </c>
      <c r="M1118" s="168">
        <v>0.389583333333333</v>
      </c>
      <c r="N1118" s="177"/>
    </row>
    <row r="1119" spans="1:14" x14ac:dyDescent="0.25">
      <c r="A1119" s="66">
        <v>45135</v>
      </c>
      <c r="B1119" s="67" t="s">
        <v>32</v>
      </c>
      <c r="C1119" s="129" t="str">
        <f t="shared" si="34"/>
        <v>28.07.2023_BOYohSp</v>
      </c>
      <c r="D1119" s="143">
        <f t="shared" si="35"/>
        <v>0</v>
      </c>
      <c r="E1119" s="157">
        <v>7.66</v>
      </c>
      <c r="F1119" s="165"/>
      <c r="G1119" s="166">
        <v>456</v>
      </c>
      <c r="H1119" s="167">
        <v>6.8</v>
      </c>
      <c r="I1119" s="165"/>
      <c r="J1119" s="167"/>
      <c r="K1119" s="167">
        <v>16.399999999999999</v>
      </c>
      <c r="L1119" s="167">
        <v>21</v>
      </c>
      <c r="M1119" s="168">
        <v>0.52500000000000002</v>
      </c>
      <c r="N1119" s="177"/>
    </row>
    <row r="1120" spans="1:14" x14ac:dyDescent="0.25">
      <c r="A1120" s="66">
        <v>45135</v>
      </c>
      <c r="B1120" s="67" t="s">
        <v>34</v>
      </c>
      <c r="C1120" s="129" t="str">
        <f t="shared" si="34"/>
        <v>28.07.2023_BOYuhHa</v>
      </c>
      <c r="D1120" s="143">
        <f t="shared" si="35"/>
        <v>0</v>
      </c>
      <c r="E1120" s="157">
        <v>7.65</v>
      </c>
      <c r="F1120" s="165"/>
      <c r="G1120" s="166">
        <v>559</v>
      </c>
      <c r="H1120" s="167">
        <v>7.8</v>
      </c>
      <c r="I1120" s="165"/>
      <c r="J1120" s="167"/>
      <c r="K1120" s="167">
        <v>17.399999999999999</v>
      </c>
      <c r="L1120" s="167">
        <v>26.5</v>
      </c>
      <c r="M1120" s="168">
        <v>0.36458333333333298</v>
      </c>
      <c r="N1120" s="177"/>
    </row>
    <row r="1121" spans="1:14" x14ac:dyDescent="0.25">
      <c r="A1121" s="66">
        <v>45135</v>
      </c>
      <c r="B1121" s="67" t="s">
        <v>36</v>
      </c>
      <c r="C1121" s="129" t="str">
        <f t="shared" si="34"/>
        <v>28.07.2023_BOYuhSp</v>
      </c>
      <c r="D1121" s="143">
        <f t="shared" si="35"/>
        <v>0</v>
      </c>
      <c r="E1121" s="157">
        <v>7.68</v>
      </c>
      <c r="F1121" s="165"/>
      <c r="G1121" s="166">
        <v>552</v>
      </c>
      <c r="H1121" s="167">
        <v>9.5</v>
      </c>
      <c r="I1121" s="165"/>
      <c r="J1121" s="167"/>
      <c r="K1121" s="167">
        <v>16.899999999999999</v>
      </c>
      <c r="L1121" s="167">
        <v>23</v>
      </c>
      <c r="M1121" s="168">
        <v>0.51805555555555605</v>
      </c>
      <c r="N1121" s="177"/>
    </row>
    <row r="1122" spans="1:14" x14ac:dyDescent="0.25">
      <c r="A1122" s="66">
        <v>45135</v>
      </c>
      <c r="B1122" s="67" t="s">
        <v>38</v>
      </c>
      <c r="C1122" s="129" t="str">
        <f t="shared" si="34"/>
        <v>28.07.2023_BRAob</v>
      </c>
      <c r="D1122" s="143">
        <f t="shared" si="35"/>
        <v>0</v>
      </c>
      <c r="E1122" s="157">
        <v>7.48</v>
      </c>
      <c r="F1122" s="165"/>
      <c r="G1122" s="166">
        <v>753</v>
      </c>
      <c r="H1122" s="167">
        <v>10.7</v>
      </c>
      <c r="I1122" s="165"/>
      <c r="J1122" s="167"/>
      <c r="K1122" s="167">
        <v>17</v>
      </c>
      <c r="L1122" s="167">
        <v>6.5</v>
      </c>
      <c r="M1122" s="168">
        <v>0.47847222222222202</v>
      </c>
      <c r="N1122" s="177"/>
    </row>
    <row r="1123" spans="1:14" x14ac:dyDescent="0.25">
      <c r="A1123" s="66">
        <v>45135</v>
      </c>
      <c r="B1123" s="67" t="s">
        <v>41</v>
      </c>
      <c r="C1123" s="129" t="str">
        <f t="shared" si="34"/>
        <v>28.07.2023_BRAohBo</v>
      </c>
      <c r="D1123" s="143">
        <f t="shared" si="35"/>
        <v>0</v>
      </c>
      <c r="E1123" s="157">
        <v>7.64</v>
      </c>
      <c r="F1123" s="165"/>
      <c r="G1123" s="166">
        <v>614</v>
      </c>
      <c r="H1123" s="167">
        <v>7.8</v>
      </c>
      <c r="I1123" s="165"/>
      <c r="J1123" s="167"/>
      <c r="K1123" s="167">
        <v>17.600000000000001</v>
      </c>
      <c r="L1123" s="167">
        <v>11</v>
      </c>
      <c r="M1123" s="168">
        <v>0.49097222222222198</v>
      </c>
      <c r="N1123" s="177"/>
    </row>
    <row r="1124" spans="1:14" x14ac:dyDescent="0.25">
      <c r="A1124" s="66">
        <v>45135</v>
      </c>
      <c r="B1124" s="67" t="s">
        <v>43</v>
      </c>
      <c r="C1124" s="129" t="str">
        <f t="shared" si="34"/>
        <v>28.07.2023_HAAob</v>
      </c>
      <c r="D1124" s="143">
        <f t="shared" si="35"/>
        <v>0</v>
      </c>
      <c r="E1124" s="157">
        <v>7.92</v>
      </c>
      <c r="F1124" s="165"/>
      <c r="G1124" s="166">
        <v>614</v>
      </c>
      <c r="H1124" s="167">
        <v>8.6999999999999993</v>
      </c>
      <c r="I1124" s="165"/>
      <c r="J1124" s="167"/>
      <c r="K1124" s="167">
        <v>19.2</v>
      </c>
      <c r="L1124" s="167">
        <v>10.5</v>
      </c>
      <c r="M1124" s="168">
        <v>0.55277777777777803</v>
      </c>
      <c r="N1124" s="177"/>
    </row>
    <row r="1125" spans="1:14" x14ac:dyDescent="0.25">
      <c r="A1125" s="66">
        <v>45135</v>
      </c>
      <c r="B1125" s="67" t="s">
        <v>45</v>
      </c>
      <c r="C1125" s="129" t="str">
        <f t="shared" si="34"/>
        <v>28.07.2023_HAAun</v>
      </c>
      <c r="D1125" s="143">
        <f t="shared" si="35"/>
        <v>0</v>
      </c>
      <c r="E1125" s="157">
        <v>7.8</v>
      </c>
      <c r="F1125" s="165"/>
      <c r="G1125" s="166">
        <v>838</v>
      </c>
      <c r="H1125" s="167">
        <v>7.7</v>
      </c>
      <c r="I1125" s="165"/>
      <c r="J1125" s="167"/>
      <c r="K1125" s="167">
        <v>18.2</v>
      </c>
      <c r="L1125" s="167">
        <v>14</v>
      </c>
      <c r="M1125" s="168">
        <v>0.54444444444444395</v>
      </c>
      <c r="N1125" s="177"/>
    </row>
    <row r="1126" spans="1:14" x14ac:dyDescent="0.25">
      <c r="A1126" s="66">
        <v>45135</v>
      </c>
      <c r="B1126" s="67" t="s">
        <v>47</v>
      </c>
      <c r="C1126" s="129" t="str">
        <f t="shared" si="34"/>
        <v>28.07.2023_KIRob</v>
      </c>
      <c r="D1126" s="143">
        <f t="shared" si="35"/>
        <v>0</v>
      </c>
      <c r="E1126" s="157">
        <v>7.57</v>
      </c>
      <c r="F1126" s="165"/>
      <c r="G1126" s="166">
        <v>924</v>
      </c>
      <c r="H1126" s="167">
        <v>7.2</v>
      </c>
      <c r="I1126" s="165"/>
      <c r="J1126" s="167"/>
      <c r="K1126" s="167">
        <v>15.8</v>
      </c>
      <c r="L1126" s="167">
        <v>12</v>
      </c>
      <c r="M1126" s="168">
        <v>0.41180555555555598</v>
      </c>
      <c r="N1126" s="177"/>
    </row>
    <row r="1127" spans="1:14" x14ac:dyDescent="0.25">
      <c r="A1127" s="66">
        <v>45135</v>
      </c>
      <c r="B1127" s="67" t="s">
        <v>49</v>
      </c>
      <c r="C1127" s="129" t="str">
        <f t="shared" si="34"/>
        <v>28.07.2023_KIRun</v>
      </c>
      <c r="D1127" s="143">
        <f t="shared" si="35"/>
        <v>0</v>
      </c>
      <c r="E1127" s="157">
        <v>7.71</v>
      </c>
      <c r="F1127" s="165" t="s">
        <v>300</v>
      </c>
      <c r="G1127" s="166">
        <v>857</v>
      </c>
      <c r="H1127" s="167">
        <v>11.7</v>
      </c>
      <c r="I1127" s="165" t="s">
        <v>300</v>
      </c>
      <c r="J1127" s="167"/>
      <c r="K1127" s="167">
        <v>15.6</v>
      </c>
      <c r="L1127" s="167">
        <v>14.5</v>
      </c>
      <c r="M1127" s="168">
        <v>0.40347222222222201</v>
      </c>
      <c r="N1127" s="67" t="s">
        <v>301</v>
      </c>
    </row>
    <row r="1128" spans="1:14" x14ac:dyDescent="0.25">
      <c r="A1128" s="66">
        <v>45135</v>
      </c>
      <c r="B1128" s="67" t="s">
        <v>50</v>
      </c>
      <c r="C1128" s="129" t="str">
        <f t="shared" si="34"/>
        <v>28.07.2023_LIEohBo</v>
      </c>
      <c r="D1128" s="143">
        <f t="shared" si="35"/>
        <v>0</v>
      </c>
      <c r="E1128" s="157">
        <v>7.44</v>
      </c>
      <c r="F1128" s="165"/>
      <c r="G1128" s="166">
        <v>593</v>
      </c>
      <c r="H1128" s="167">
        <v>7.8</v>
      </c>
      <c r="I1128" s="165"/>
      <c r="J1128" s="167"/>
      <c r="K1128" s="167">
        <v>17.399999999999999</v>
      </c>
      <c r="L1128" s="167">
        <v>9.5</v>
      </c>
      <c r="M1128" s="168">
        <v>0.37777777777777799</v>
      </c>
      <c r="N1128" s="177"/>
    </row>
    <row r="1129" spans="1:14" x14ac:dyDescent="0.25">
      <c r="A1129" s="66">
        <v>45135</v>
      </c>
      <c r="B1129" s="67" t="s">
        <v>53</v>
      </c>
      <c r="C1129" s="129" t="str">
        <f t="shared" si="34"/>
        <v>28.07.2023_NATohBo</v>
      </c>
      <c r="D1129" s="143">
        <f t="shared" si="35"/>
        <v>0</v>
      </c>
      <c r="E1129" s="157">
        <v>7.56</v>
      </c>
      <c r="F1129" s="165"/>
      <c r="G1129" s="166">
        <v>1227</v>
      </c>
      <c r="H1129" s="167">
        <v>10.1</v>
      </c>
      <c r="I1129" s="165"/>
      <c r="J1129" s="167"/>
      <c r="K1129" s="167">
        <v>18.399999999999999</v>
      </c>
      <c r="L1129" s="167">
        <v>19.5</v>
      </c>
      <c r="M1129" s="168">
        <v>0.57499999999999996</v>
      </c>
      <c r="N1129" s="177"/>
    </row>
    <row r="1130" spans="1:14" x14ac:dyDescent="0.25">
      <c r="A1130" s="66">
        <v>45135</v>
      </c>
      <c r="B1130" s="67" t="s">
        <v>55</v>
      </c>
      <c r="C1130" s="129" t="str">
        <f t="shared" si="34"/>
        <v>28.07.2023_QUAohBo</v>
      </c>
      <c r="D1130" s="143">
        <f t="shared" si="35"/>
        <v>0</v>
      </c>
      <c r="E1130" s="157">
        <v>7.61</v>
      </c>
      <c r="F1130" s="165"/>
      <c r="G1130" s="166">
        <v>665</v>
      </c>
      <c r="H1130" s="167">
        <v>11.1</v>
      </c>
      <c r="I1130" s="165"/>
      <c r="J1130" s="167"/>
      <c r="K1130" s="167">
        <v>17.600000000000001</v>
      </c>
      <c r="L1130" s="167">
        <v>6.5</v>
      </c>
      <c r="M1130" s="168">
        <v>0.53472222222222199</v>
      </c>
      <c r="N1130" s="177"/>
    </row>
    <row r="1131" spans="1:14" x14ac:dyDescent="0.25">
      <c r="A1131" s="66">
        <v>45135</v>
      </c>
      <c r="B1131" s="67" t="s">
        <v>57</v>
      </c>
      <c r="C1131" s="129" t="str">
        <f t="shared" si="34"/>
        <v>28.07.2023_SCHohVo</v>
      </c>
      <c r="D1131" s="143">
        <f t="shared" si="35"/>
        <v>0</v>
      </c>
      <c r="E1131" s="157">
        <v>7.78</v>
      </c>
      <c r="F1131" s="165"/>
      <c r="G1131" s="166">
        <v>507</v>
      </c>
      <c r="H1131" s="167">
        <v>7.9</v>
      </c>
      <c r="I1131" s="165"/>
      <c r="J1131" s="167"/>
      <c r="K1131" s="167">
        <v>16.7</v>
      </c>
      <c r="L1131" s="167">
        <v>5.5</v>
      </c>
      <c r="M1131" s="168">
        <v>0.42569444444444399</v>
      </c>
      <c r="N1131" s="177"/>
    </row>
    <row r="1132" spans="1:14" x14ac:dyDescent="0.25">
      <c r="A1132" s="66">
        <v>45135</v>
      </c>
      <c r="B1132" s="67" t="s">
        <v>60</v>
      </c>
      <c r="C1132" s="129" t="str">
        <f t="shared" si="34"/>
        <v>28.07.2023_VORohBo</v>
      </c>
      <c r="D1132" s="143">
        <f t="shared" si="35"/>
        <v>0</v>
      </c>
      <c r="E1132" s="157">
        <v>7.5</v>
      </c>
      <c r="F1132" s="165"/>
      <c r="G1132" s="166">
        <v>861</v>
      </c>
      <c r="H1132" s="167">
        <v>8.1999999999999993</v>
      </c>
      <c r="I1132" s="165"/>
      <c r="J1132" s="167"/>
      <c r="K1132" s="167">
        <v>15.8</v>
      </c>
      <c r="L1132" s="167">
        <v>20.5</v>
      </c>
      <c r="M1132" s="168">
        <v>0.44722222222222202</v>
      </c>
      <c r="N1132" s="177"/>
    </row>
    <row r="1133" spans="1:14" x14ac:dyDescent="0.25">
      <c r="A1133" s="66">
        <v>45135</v>
      </c>
      <c r="B1133" s="67" t="s">
        <v>62</v>
      </c>
      <c r="C1133" s="129" t="str">
        <f t="shared" si="34"/>
        <v>28.07.2023_VORuhSc</v>
      </c>
      <c r="D1133" s="143">
        <f t="shared" si="35"/>
        <v>0</v>
      </c>
      <c r="E1133" s="157">
        <v>7.3</v>
      </c>
      <c r="F1133" s="165"/>
      <c r="G1133" s="166">
        <v>872</v>
      </c>
      <c r="H1133" s="167">
        <v>9</v>
      </c>
      <c r="I1133" s="165"/>
      <c r="J1133" s="167"/>
      <c r="K1133" s="167">
        <v>16</v>
      </c>
      <c r="L1133" s="167">
        <v>11</v>
      </c>
      <c r="M1133" s="168">
        <v>0.43611111111111101</v>
      </c>
      <c r="N1133" s="67" t="s">
        <v>157</v>
      </c>
    </row>
    <row r="1134" spans="1:14" x14ac:dyDescent="0.25">
      <c r="A1134" s="66">
        <v>45135</v>
      </c>
      <c r="B1134" s="67" t="s">
        <v>64</v>
      </c>
      <c r="C1134" s="129" t="str">
        <f t="shared" si="34"/>
        <v>28.07.2023_WITob</v>
      </c>
      <c r="D1134" s="143">
        <f t="shared" si="35"/>
        <v>0</v>
      </c>
      <c r="E1134" s="157">
        <v>8.11</v>
      </c>
      <c r="F1134" s="165"/>
      <c r="G1134" s="166">
        <v>1078</v>
      </c>
      <c r="H1134" s="167">
        <v>10</v>
      </c>
      <c r="I1134" s="165"/>
      <c r="J1134" s="167"/>
      <c r="K1134" s="167">
        <v>17.8</v>
      </c>
      <c r="L1134" s="167">
        <v>1.5</v>
      </c>
      <c r="M1134" s="168">
        <v>0.563194444444444</v>
      </c>
      <c r="N1134" s="177"/>
    </row>
    <row r="1135" spans="1:14" x14ac:dyDescent="0.25">
      <c r="A1135" s="66">
        <v>45149</v>
      </c>
      <c r="B1135" s="67" t="s">
        <v>22</v>
      </c>
      <c r="C1135" s="129" t="str">
        <f t="shared" si="34"/>
        <v>11.08.2023_BOYkl</v>
      </c>
      <c r="D1135" s="143">
        <f t="shared" si="35"/>
        <v>1</v>
      </c>
      <c r="E1135" s="157">
        <v>7.69</v>
      </c>
      <c r="F1135" s="165"/>
      <c r="G1135" s="166">
        <v>464</v>
      </c>
      <c r="H1135" s="167"/>
      <c r="I1135" s="165" t="s">
        <v>299</v>
      </c>
      <c r="J1135" s="167"/>
      <c r="K1135" s="167">
        <v>16.14</v>
      </c>
      <c r="L1135" s="167">
        <v>9</v>
      </c>
      <c r="M1135" s="168">
        <v>0.45</v>
      </c>
      <c r="N1135" s="67" t="s">
        <v>307</v>
      </c>
    </row>
    <row r="1136" spans="1:14" x14ac:dyDescent="0.25">
      <c r="A1136" s="66">
        <v>45149</v>
      </c>
      <c r="B1136" s="67" t="s">
        <v>25</v>
      </c>
      <c r="C1136" s="129" t="str">
        <f t="shared" si="34"/>
        <v>11.08.2023_BOYohB224</v>
      </c>
      <c r="D1136" s="143">
        <f t="shared" si="35"/>
        <v>0</v>
      </c>
      <c r="E1136" s="157">
        <v>8.1</v>
      </c>
      <c r="F1136" s="165"/>
      <c r="G1136" s="166">
        <v>866</v>
      </c>
      <c r="H1136" s="167">
        <v>8.6300000000000008</v>
      </c>
      <c r="I1136" s="165"/>
      <c r="J1136" s="167"/>
      <c r="K1136" s="167">
        <v>20.3</v>
      </c>
      <c r="L1136" s="167">
        <v>34</v>
      </c>
      <c r="M1136" s="168">
        <v>0.55277777777777803</v>
      </c>
      <c r="N1136" s="177"/>
    </row>
    <row r="1137" spans="1:14" x14ac:dyDescent="0.25">
      <c r="A1137" s="66">
        <v>45149</v>
      </c>
      <c r="B1137" s="67" t="s">
        <v>28</v>
      </c>
      <c r="C1137" s="129" t="str">
        <f t="shared" si="34"/>
        <v>11.08.2023_BOYohBr</v>
      </c>
      <c r="D1137" s="143">
        <f t="shared" si="35"/>
        <v>0</v>
      </c>
      <c r="E1137" s="157">
        <v>7.78</v>
      </c>
      <c r="F1137" s="165"/>
      <c r="G1137" s="166">
        <v>550</v>
      </c>
      <c r="H1137" s="167">
        <v>7.94</v>
      </c>
      <c r="I1137" s="165"/>
      <c r="J1137" s="167"/>
      <c r="K1137" s="167">
        <v>14.83</v>
      </c>
      <c r="L1137" s="167">
        <v>23</v>
      </c>
      <c r="M1137" s="168">
        <v>0.484027777777778</v>
      </c>
      <c r="N1137" s="177"/>
    </row>
    <row r="1138" spans="1:14" x14ac:dyDescent="0.25">
      <c r="A1138" s="66">
        <v>45149</v>
      </c>
      <c r="B1138" s="67" t="s">
        <v>30</v>
      </c>
      <c r="C1138" s="129" t="str">
        <f t="shared" si="34"/>
        <v>11.08.2023_BOYohKi</v>
      </c>
      <c r="D1138" s="143">
        <f t="shared" si="35"/>
        <v>0</v>
      </c>
      <c r="E1138" s="157">
        <v>8</v>
      </c>
      <c r="F1138" s="165"/>
      <c r="G1138" s="166">
        <v>746</v>
      </c>
      <c r="H1138" s="167">
        <v>8.06</v>
      </c>
      <c r="I1138" s="165"/>
      <c r="J1138" s="167"/>
      <c r="K1138" s="167">
        <v>15.43</v>
      </c>
      <c r="L1138" s="167">
        <v>51.5</v>
      </c>
      <c r="M1138" s="168">
        <v>0.38819444444444401</v>
      </c>
      <c r="N1138" s="177"/>
    </row>
    <row r="1139" spans="1:14" x14ac:dyDescent="0.25">
      <c r="A1139" s="66">
        <v>45149</v>
      </c>
      <c r="B1139" s="67" t="s">
        <v>32</v>
      </c>
      <c r="C1139" s="129" t="str">
        <f t="shared" si="34"/>
        <v>11.08.2023_BOYohSp</v>
      </c>
      <c r="D1139" s="143">
        <f t="shared" si="35"/>
        <v>0</v>
      </c>
      <c r="E1139" s="157">
        <v>7.79</v>
      </c>
      <c r="F1139" s="165"/>
      <c r="G1139" s="166">
        <v>666</v>
      </c>
      <c r="H1139" s="167">
        <v>7.58</v>
      </c>
      <c r="I1139" s="165"/>
      <c r="J1139" s="167"/>
      <c r="K1139" s="167">
        <v>15.32</v>
      </c>
      <c r="L1139" s="167">
        <v>19.5</v>
      </c>
      <c r="M1139" s="168">
        <v>0.50277777777777799</v>
      </c>
      <c r="N1139" s="177"/>
    </row>
    <row r="1140" spans="1:14" x14ac:dyDescent="0.25">
      <c r="A1140" s="66">
        <v>45149</v>
      </c>
      <c r="B1140" s="67" t="s">
        <v>34</v>
      </c>
      <c r="C1140" s="129" t="str">
        <f t="shared" si="34"/>
        <v>11.08.2023_BOYuhHa</v>
      </c>
      <c r="D1140" s="143">
        <f t="shared" si="35"/>
        <v>0</v>
      </c>
      <c r="E1140" s="157">
        <v>8.17</v>
      </c>
      <c r="F1140" s="165"/>
      <c r="G1140" s="166">
        <v>895</v>
      </c>
      <c r="H1140" s="167">
        <v>7.97</v>
      </c>
      <c r="I1140" s="165"/>
      <c r="J1140" s="167"/>
      <c r="K1140" s="167">
        <v>15.13</v>
      </c>
      <c r="L1140" s="167">
        <v>25.5</v>
      </c>
      <c r="M1140" s="168">
        <v>0.36944444444444402</v>
      </c>
      <c r="N1140" s="67" t="s">
        <v>158</v>
      </c>
    </row>
    <row r="1141" spans="1:14" x14ac:dyDescent="0.25">
      <c r="A1141" s="66">
        <v>45149</v>
      </c>
      <c r="B1141" s="67" t="s">
        <v>36</v>
      </c>
      <c r="C1141" s="129" t="str">
        <f t="shared" si="34"/>
        <v>11.08.2023_BOYuhSp</v>
      </c>
      <c r="D1141" s="143">
        <f t="shared" si="35"/>
        <v>0</v>
      </c>
      <c r="E1141" s="157">
        <v>7.81</v>
      </c>
      <c r="F1141" s="165"/>
      <c r="G1141" s="166">
        <v>684</v>
      </c>
      <c r="H1141" s="167">
        <v>7.9</v>
      </c>
      <c r="I1141" s="165"/>
      <c r="J1141" s="167"/>
      <c r="K1141" s="167">
        <v>15.76</v>
      </c>
      <c r="L1141" s="167">
        <v>33.5</v>
      </c>
      <c r="M1141" s="168">
        <v>0.49861111111111101</v>
      </c>
      <c r="N1141" s="177"/>
    </row>
    <row r="1142" spans="1:14" x14ac:dyDescent="0.25">
      <c r="A1142" s="66">
        <v>45149</v>
      </c>
      <c r="B1142" s="67" t="s">
        <v>38</v>
      </c>
      <c r="C1142" s="129" t="str">
        <f t="shared" si="34"/>
        <v>11.08.2023_BRAob</v>
      </c>
      <c r="D1142" s="143">
        <f t="shared" si="35"/>
        <v>0</v>
      </c>
      <c r="E1142" s="157">
        <v>7.69</v>
      </c>
      <c r="F1142" s="165"/>
      <c r="G1142" s="166">
        <v>818</v>
      </c>
      <c r="H1142" s="167">
        <v>7.35</v>
      </c>
      <c r="I1142" s="165"/>
      <c r="J1142" s="167"/>
      <c r="K1142" s="167">
        <v>15.68</v>
      </c>
      <c r="L1142" s="167">
        <v>9.5</v>
      </c>
      <c r="M1142" s="168">
        <v>0.46180555555555602</v>
      </c>
      <c r="N1142" s="177"/>
    </row>
    <row r="1143" spans="1:14" x14ac:dyDescent="0.25">
      <c r="A1143" s="66">
        <v>45149</v>
      </c>
      <c r="B1143" s="67" t="s">
        <v>41</v>
      </c>
      <c r="C1143" s="129" t="str">
        <f t="shared" si="34"/>
        <v>11.08.2023_BRAohBo</v>
      </c>
      <c r="D1143" s="143">
        <f t="shared" si="35"/>
        <v>0</v>
      </c>
      <c r="E1143" s="157">
        <v>7.68</v>
      </c>
      <c r="F1143" s="165"/>
      <c r="G1143" s="166">
        <v>710</v>
      </c>
      <c r="H1143" s="167">
        <v>6.49</v>
      </c>
      <c r="I1143" s="165"/>
      <c r="J1143" s="167"/>
      <c r="K1143" s="167">
        <v>15.54</v>
      </c>
      <c r="L1143" s="167">
        <v>20.5</v>
      </c>
      <c r="M1143" s="168">
        <v>0.47361111111111098</v>
      </c>
      <c r="N1143" s="67" t="s">
        <v>160</v>
      </c>
    </row>
    <row r="1144" spans="1:14" x14ac:dyDescent="0.25">
      <c r="A1144" s="66">
        <v>45149</v>
      </c>
      <c r="B1144" s="67" t="s">
        <v>43</v>
      </c>
      <c r="C1144" s="129" t="str">
        <f t="shared" si="34"/>
        <v>11.08.2023_HAAob</v>
      </c>
      <c r="D1144" s="143">
        <f t="shared" si="35"/>
        <v>0</v>
      </c>
      <c r="E1144" s="157">
        <v>8.09</v>
      </c>
      <c r="F1144" s="165"/>
      <c r="G1144" s="166">
        <v>651</v>
      </c>
      <c r="H1144" s="167">
        <v>7.42</v>
      </c>
      <c r="I1144" s="165"/>
      <c r="J1144" s="167"/>
      <c r="K1144" s="167">
        <v>19.07</v>
      </c>
      <c r="L1144" s="167">
        <v>8.5</v>
      </c>
      <c r="M1144" s="168">
        <v>0.52569444444444502</v>
      </c>
      <c r="N1144" s="177"/>
    </row>
    <row r="1145" spans="1:14" x14ac:dyDescent="0.25">
      <c r="A1145" s="66">
        <v>45149</v>
      </c>
      <c r="B1145" s="67" t="s">
        <v>45</v>
      </c>
      <c r="C1145" s="129" t="str">
        <f t="shared" si="34"/>
        <v>11.08.2023_HAAun</v>
      </c>
      <c r="D1145" s="143">
        <f t="shared" si="35"/>
        <v>0</v>
      </c>
      <c r="E1145" s="157">
        <v>7.84</v>
      </c>
      <c r="F1145" s="165"/>
      <c r="G1145" s="166">
        <v>878</v>
      </c>
      <c r="H1145" s="167">
        <v>7.72</v>
      </c>
      <c r="I1145" s="165"/>
      <c r="J1145" s="167"/>
      <c r="K1145" s="167">
        <v>17.22</v>
      </c>
      <c r="L1145" s="167">
        <v>11.5</v>
      </c>
      <c r="M1145" s="168">
        <v>0.51875000000000004</v>
      </c>
      <c r="N1145" s="177"/>
    </row>
    <row r="1146" spans="1:14" x14ac:dyDescent="0.25">
      <c r="A1146" s="66">
        <v>45149</v>
      </c>
      <c r="B1146" s="67" t="s">
        <v>47</v>
      </c>
      <c r="C1146" s="129" t="str">
        <f t="shared" si="34"/>
        <v>11.08.2023_KIRob</v>
      </c>
      <c r="D1146" s="143">
        <f t="shared" si="35"/>
        <v>0</v>
      </c>
      <c r="E1146" s="157">
        <v>7.91</v>
      </c>
      <c r="F1146" s="165"/>
      <c r="G1146" s="166">
        <v>1064</v>
      </c>
      <c r="H1146" s="167">
        <v>6.61</v>
      </c>
      <c r="I1146" s="165"/>
      <c r="J1146" s="167"/>
      <c r="K1146" s="167">
        <v>14.46</v>
      </c>
      <c r="L1146" s="167">
        <v>6.5</v>
      </c>
      <c r="M1146" s="168">
        <v>0.40972222222222199</v>
      </c>
      <c r="N1146" s="177"/>
    </row>
    <row r="1147" spans="1:14" x14ac:dyDescent="0.25">
      <c r="A1147" s="66">
        <v>45149</v>
      </c>
      <c r="B1147" s="67" t="s">
        <v>49</v>
      </c>
      <c r="C1147" s="129" t="str">
        <f t="shared" si="34"/>
        <v>11.08.2023_KIRun</v>
      </c>
      <c r="D1147" s="143">
        <f t="shared" si="35"/>
        <v>0</v>
      </c>
      <c r="E1147" s="157">
        <v>8.1</v>
      </c>
      <c r="F1147" s="165"/>
      <c r="G1147" s="166">
        <v>1000</v>
      </c>
      <c r="H1147" s="167">
        <v>7.99</v>
      </c>
      <c r="I1147" s="165"/>
      <c r="J1147" s="167"/>
      <c r="K1147" s="167">
        <v>14.29</v>
      </c>
      <c r="L1147" s="167">
        <v>14</v>
      </c>
      <c r="M1147" s="168">
        <v>0.39791666666666697</v>
      </c>
      <c r="N1147" s="177"/>
    </row>
    <row r="1148" spans="1:14" x14ac:dyDescent="0.25">
      <c r="A1148" s="66">
        <v>45149</v>
      </c>
      <c r="B1148" s="67" t="s">
        <v>50</v>
      </c>
      <c r="C1148" s="129" t="str">
        <f t="shared" si="34"/>
        <v>11.08.2023_LIEohBo</v>
      </c>
      <c r="D1148" s="143">
        <f t="shared" si="35"/>
        <v>0</v>
      </c>
      <c r="E1148" s="157">
        <v>7.92</v>
      </c>
      <c r="F1148" s="165"/>
      <c r="G1148" s="166">
        <v>746</v>
      </c>
      <c r="H1148" s="167">
        <v>6.42</v>
      </c>
      <c r="I1148" s="165"/>
      <c r="J1148" s="167"/>
      <c r="K1148" s="167">
        <v>15.07</v>
      </c>
      <c r="L1148" s="167">
        <v>8.5</v>
      </c>
      <c r="M1148" s="168">
        <v>0.37986111111111098</v>
      </c>
      <c r="N1148" s="177"/>
    </row>
    <row r="1149" spans="1:14" x14ac:dyDescent="0.25">
      <c r="A1149" s="66">
        <v>45149</v>
      </c>
      <c r="B1149" s="67" t="s">
        <v>53</v>
      </c>
      <c r="C1149" s="129" t="str">
        <f t="shared" si="34"/>
        <v>11.08.2023_NATohBo</v>
      </c>
      <c r="D1149" s="143">
        <f t="shared" si="35"/>
        <v>0</v>
      </c>
      <c r="E1149" s="157">
        <v>7.74</v>
      </c>
      <c r="F1149" s="165"/>
      <c r="G1149" s="166">
        <v>1162</v>
      </c>
      <c r="H1149" s="167">
        <v>7.39</v>
      </c>
      <c r="I1149" s="165"/>
      <c r="J1149" s="167"/>
      <c r="K1149" s="167">
        <v>18.04</v>
      </c>
      <c r="L1149" s="167">
        <v>22.5</v>
      </c>
      <c r="M1149" s="168">
        <v>0.54583333333333295</v>
      </c>
      <c r="N1149" s="177"/>
    </row>
    <row r="1150" spans="1:14" x14ac:dyDescent="0.25">
      <c r="A1150" s="66">
        <v>45149</v>
      </c>
      <c r="B1150" s="67" t="s">
        <v>55</v>
      </c>
      <c r="C1150" s="129" t="str">
        <f t="shared" si="34"/>
        <v>11.08.2023_QUAohBo</v>
      </c>
      <c r="D1150" s="143">
        <f t="shared" si="35"/>
        <v>0</v>
      </c>
      <c r="E1150" s="157">
        <v>7.78</v>
      </c>
      <c r="F1150" s="165"/>
      <c r="G1150" s="166">
        <v>815</v>
      </c>
      <c r="H1150" s="167">
        <v>7.16</v>
      </c>
      <c r="I1150" s="165"/>
      <c r="J1150" s="167"/>
      <c r="K1150" s="167">
        <v>16.23</v>
      </c>
      <c r="L1150" s="167">
        <v>11</v>
      </c>
      <c r="M1150" s="168">
        <v>0.50972222222222197</v>
      </c>
      <c r="N1150" s="177"/>
    </row>
    <row r="1151" spans="1:14" x14ac:dyDescent="0.25">
      <c r="A1151" s="66">
        <v>45149</v>
      </c>
      <c r="B1151" s="67" t="s">
        <v>57</v>
      </c>
      <c r="C1151" s="129" t="str">
        <f t="shared" ref="C1151:C1214" si="36">CONCATENATE(TEXT(A1151,"TT.MM.JJJJ"),"_",B1151)</f>
        <v>11.08.2023_SCHohVo</v>
      </c>
      <c r="D1151" s="143">
        <f t="shared" si="35"/>
        <v>0</v>
      </c>
      <c r="E1151" s="157">
        <v>8.06</v>
      </c>
      <c r="F1151" s="165"/>
      <c r="G1151" s="166">
        <v>515</v>
      </c>
      <c r="H1151" s="167">
        <v>8.2799999999999994</v>
      </c>
      <c r="I1151" s="165"/>
      <c r="J1151" s="167"/>
      <c r="K1151" s="167">
        <v>15.37</v>
      </c>
      <c r="L1151" s="167">
        <v>10</v>
      </c>
      <c r="M1151" s="168">
        <v>0.420833333333333</v>
      </c>
      <c r="N1151" s="177"/>
    </row>
    <row r="1152" spans="1:14" x14ac:dyDescent="0.25">
      <c r="A1152" s="66">
        <v>45149</v>
      </c>
      <c r="B1152" s="67" t="s">
        <v>60</v>
      </c>
      <c r="C1152" s="129" t="str">
        <f t="shared" si="36"/>
        <v>11.08.2023_VORohBo</v>
      </c>
      <c r="D1152" s="143">
        <f t="shared" ref="D1152:D1215" si="37">COUNTBLANK(E1152)+COUNTBLANK(G1152:H1152)+COUNTBLANK(K1152:L1152)</f>
        <v>0</v>
      </c>
      <c r="E1152" s="157">
        <v>7.66</v>
      </c>
      <c r="F1152" s="165"/>
      <c r="G1152" s="166">
        <v>1025</v>
      </c>
      <c r="H1152" s="167">
        <v>6.75</v>
      </c>
      <c r="I1152" s="165"/>
      <c r="J1152" s="167"/>
      <c r="K1152" s="167">
        <v>14.28</v>
      </c>
      <c r="L1152" s="167">
        <v>16.5</v>
      </c>
      <c r="M1152" s="168">
        <v>0.43611111111111101</v>
      </c>
      <c r="N1152" s="177"/>
    </row>
    <row r="1153" spans="1:14" x14ac:dyDescent="0.25">
      <c r="A1153" s="66">
        <v>45149</v>
      </c>
      <c r="B1153" s="67" t="s">
        <v>62</v>
      </c>
      <c r="C1153" s="129" t="str">
        <f t="shared" si="36"/>
        <v>11.08.2023_VORuhSc</v>
      </c>
      <c r="D1153" s="143">
        <f t="shared" si="37"/>
        <v>0</v>
      </c>
      <c r="E1153" s="157">
        <v>7.37</v>
      </c>
      <c r="F1153" s="165"/>
      <c r="G1153" s="166">
        <v>996</v>
      </c>
      <c r="H1153" s="167">
        <v>6.63</v>
      </c>
      <c r="I1153" s="165"/>
      <c r="J1153" s="167"/>
      <c r="K1153" s="167">
        <v>14.26</v>
      </c>
      <c r="L1153" s="167">
        <v>10</v>
      </c>
      <c r="M1153" s="168">
        <v>0.42708333333333298</v>
      </c>
      <c r="N1153" s="67" t="s">
        <v>159</v>
      </c>
    </row>
    <row r="1154" spans="1:14" x14ac:dyDescent="0.25">
      <c r="A1154" s="66">
        <v>45149</v>
      </c>
      <c r="B1154" s="67" t="s">
        <v>64</v>
      </c>
      <c r="C1154" s="129" t="str">
        <f t="shared" si="36"/>
        <v>11.08.2023_WITob</v>
      </c>
      <c r="D1154" s="143">
        <f t="shared" si="37"/>
        <v>0</v>
      </c>
      <c r="E1154" s="157">
        <v>8.3000000000000007</v>
      </c>
      <c r="F1154" s="165"/>
      <c r="G1154" s="166">
        <v>1371</v>
      </c>
      <c r="H1154" s="167">
        <v>8.3000000000000007</v>
      </c>
      <c r="I1154" s="165"/>
      <c r="J1154" s="167"/>
      <c r="K1154" s="167">
        <v>16.84</v>
      </c>
      <c r="L1154" s="167">
        <v>3.5</v>
      </c>
      <c r="M1154" s="168">
        <v>0.53402777777777799</v>
      </c>
      <c r="N1154" s="177"/>
    </row>
    <row r="1155" spans="1:14" x14ac:dyDescent="0.25">
      <c r="A1155" s="66">
        <v>45163</v>
      </c>
      <c r="B1155" s="67" t="s">
        <v>22</v>
      </c>
      <c r="C1155" s="129" t="str">
        <f t="shared" si="36"/>
        <v>25.08.2023_BOYkl</v>
      </c>
      <c r="D1155" s="143">
        <f t="shared" si="37"/>
        <v>0</v>
      </c>
      <c r="E1155" s="157">
        <v>7.9</v>
      </c>
      <c r="F1155" s="165"/>
      <c r="G1155" s="166">
        <v>493</v>
      </c>
      <c r="H1155" s="167">
        <v>8.1999999999999993</v>
      </c>
      <c r="I1155" s="165"/>
      <c r="J1155" s="167"/>
      <c r="K1155" s="167">
        <v>16.8</v>
      </c>
      <c r="L1155" s="167">
        <v>3.5</v>
      </c>
      <c r="M1155" s="168">
        <v>0.42569444444444399</v>
      </c>
      <c r="N1155" s="177"/>
    </row>
    <row r="1156" spans="1:14" x14ac:dyDescent="0.25">
      <c r="A1156" s="66">
        <v>45163</v>
      </c>
      <c r="B1156" s="67" t="s">
        <v>25</v>
      </c>
      <c r="C1156" s="129" t="str">
        <f t="shared" si="36"/>
        <v>25.08.2023_BOYohB224</v>
      </c>
      <c r="D1156" s="143">
        <f t="shared" si="37"/>
        <v>0</v>
      </c>
      <c r="E1156" s="157">
        <v>8.08</v>
      </c>
      <c r="F1156" s="165"/>
      <c r="G1156" s="166">
        <v>960</v>
      </c>
      <c r="H1156" s="167">
        <v>7.9</v>
      </c>
      <c r="I1156" s="165"/>
      <c r="J1156" s="167"/>
      <c r="K1156" s="167">
        <v>16.899999999999999</v>
      </c>
      <c r="L1156" s="167">
        <v>36</v>
      </c>
      <c r="M1156" s="168">
        <v>0.531944444444444</v>
      </c>
      <c r="N1156" s="177"/>
    </row>
    <row r="1157" spans="1:14" x14ac:dyDescent="0.25">
      <c r="A1157" s="66">
        <v>45163</v>
      </c>
      <c r="B1157" s="67" t="s">
        <v>28</v>
      </c>
      <c r="C1157" s="129" t="str">
        <f t="shared" si="36"/>
        <v>25.08.2023_BOYohBr</v>
      </c>
      <c r="D1157" s="143">
        <f t="shared" si="37"/>
        <v>0</v>
      </c>
      <c r="E1157" s="157">
        <v>7.76</v>
      </c>
      <c r="F1157" s="165"/>
      <c r="G1157" s="166">
        <v>588</v>
      </c>
      <c r="H1157" s="167">
        <v>7.7</v>
      </c>
      <c r="I1157" s="165"/>
      <c r="J1157" s="167"/>
      <c r="K1157" s="167">
        <v>15.4</v>
      </c>
      <c r="L1157" s="167">
        <v>18.5</v>
      </c>
      <c r="M1157" s="168">
        <v>0.45972222222222198</v>
      </c>
      <c r="N1157" s="177"/>
    </row>
    <row r="1158" spans="1:14" x14ac:dyDescent="0.25">
      <c r="A1158" s="66">
        <v>45163</v>
      </c>
      <c r="B1158" s="67" t="s">
        <v>30</v>
      </c>
      <c r="C1158" s="129" t="str">
        <f t="shared" si="36"/>
        <v>25.08.2023_BOYohKi</v>
      </c>
      <c r="D1158" s="143">
        <f t="shared" si="37"/>
        <v>0</v>
      </c>
      <c r="E1158" s="157">
        <v>8.0399999999999991</v>
      </c>
      <c r="F1158" s="165"/>
      <c r="G1158" s="166">
        <v>838</v>
      </c>
      <c r="H1158" s="167">
        <v>7.5</v>
      </c>
      <c r="I1158" s="165"/>
      <c r="J1158" s="167"/>
      <c r="K1158" s="167">
        <v>16.3</v>
      </c>
      <c r="L1158" s="167">
        <v>46</v>
      </c>
      <c r="M1158" s="168">
        <v>0.375</v>
      </c>
      <c r="N1158" s="177"/>
    </row>
    <row r="1159" spans="1:14" x14ac:dyDescent="0.25">
      <c r="A1159" s="66">
        <v>45163</v>
      </c>
      <c r="B1159" s="67" t="s">
        <v>32</v>
      </c>
      <c r="C1159" s="129" t="str">
        <f t="shared" si="36"/>
        <v>25.08.2023_BOYohSp</v>
      </c>
      <c r="D1159" s="143">
        <f t="shared" si="37"/>
        <v>0</v>
      </c>
      <c r="E1159" s="157">
        <v>7.8</v>
      </c>
      <c r="F1159" s="165"/>
      <c r="G1159" s="166">
        <v>691</v>
      </c>
      <c r="H1159" s="167">
        <v>7.3</v>
      </c>
      <c r="I1159" s="165"/>
      <c r="J1159" s="167"/>
      <c r="K1159" s="167">
        <v>16.2</v>
      </c>
      <c r="L1159" s="167">
        <v>14</v>
      </c>
      <c r="M1159" s="168">
        <v>0.47708333333333303</v>
      </c>
      <c r="N1159" s="177"/>
    </row>
    <row r="1160" spans="1:14" x14ac:dyDescent="0.25">
      <c r="A1160" s="66">
        <v>45163</v>
      </c>
      <c r="B1160" s="67" t="s">
        <v>34</v>
      </c>
      <c r="C1160" s="129" t="str">
        <f t="shared" si="36"/>
        <v>25.08.2023_BOYuhHa</v>
      </c>
      <c r="D1160" s="143">
        <f t="shared" si="37"/>
        <v>0</v>
      </c>
      <c r="E1160" s="157">
        <v>8.02</v>
      </c>
      <c r="F1160" s="165"/>
      <c r="G1160" s="166">
        <v>1094</v>
      </c>
      <c r="H1160" s="167">
        <v>8.1</v>
      </c>
      <c r="I1160" s="165"/>
      <c r="J1160" s="167"/>
      <c r="K1160" s="167">
        <v>16.8</v>
      </c>
      <c r="L1160" s="167">
        <v>21</v>
      </c>
      <c r="M1160" s="168">
        <v>0.35555555555555601</v>
      </c>
      <c r="N1160" s="177"/>
    </row>
    <row r="1161" spans="1:14" x14ac:dyDescent="0.25">
      <c r="A1161" s="66">
        <v>45163</v>
      </c>
      <c r="B1161" s="67" t="s">
        <v>36</v>
      </c>
      <c r="C1161" s="129" t="str">
        <f t="shared" si="36"/>
        <v>25.08.2023_BOYuhSp</v>
      </c>
      <c r="D1161" s="143">
        <f t="shared" si="37"/>
        <v>0</v>
      </c>
      <c r="E1161" s="157">
        <v>7.8</v>
      </c>
      <c r="F1161" s="165"/>
      <c r="G1161" s="166">
        <v>707</v>
      </c>
      <c r="H1161" s="167">
        <v>7.2</v>
      </c>
      <c r="I1161" s="165"/>
      <c r="J1161" s="167"/>
      <c r="K1161" s="167">
        <v>16.3</v>
      </c>
      <c r="L1161" s="167">
        <v>27.5</v>
      </c>
      <c r="M1161" s="168">
        <v>0.47291666666666698</v>
      </c>
      <c r="N1161" s="177"/>
    </row>
    <row r="1162" spans="1:14" x14ac:dyDescent="0.25">
      <c r="A1162" s="66">
        <v>45163</v>
      </c>
      <c r="B1162" s="67" t="s">
        <v>38</v>
      </c>
      <c r="C1162" s="129" t="str">
        <f t="shared" si="36"/>
        <v>25.08.2023_BRAob</v>
      </c>
      <c r="D1162" s="143">
        <f t="shared" si="37"/>
        <v>0</v>
      </c>
      <c r="E1162" s="157">
        <v>7.9</v>
      </c>
      <c r="F1162" s="165"/>
      <c r="G1162" s="166">
        <v>450</v>
      </c>
      <c r="H1162" s="167">
        <v>7.4</v>
      </c>
      <c r="I1162" s="165"/>
      <c r="J1162" s="167"/>
      <c r="K1162" s="167">
        <v>16.7</v>
      </c>
      <c r="L1162" s="167">
        <v>3</v>
      </c>
      <c r="M1162" s="168">
        <v>0.43611111111111101</v>
      </c>
      <c r="N1162" s="177"/>
    </row>
    <row r="1163" spans="1:14" x14ac:dyDescent="0.25">
      <c r="A1163" s="66">
        <v>45163</v>
      </c>
      <c r="B1163" s="67" t="s">
        <v>41</v>
      </c>
      <c r="C1163" s="129" t="str">
        <f t="shared" si="36"/>
        <v>25.08.2023_BRAohBo</v>
      </c>
      <c r="D1163" s="143">
        <f t="shared" si="37"/>
        <v>0</v>
      </c>
      <c r="E1163" s="157">
        <v>7.03</v>
      </c>
      <c r="F1163" s="165"/>
      <c r="G1163" s="166">
        <v>738</v>
      </c>
      <c r="H1163" s="167">
        <v>7.9</v>
      </c>
      <c r="I1163" s="165"/>
      <c r="J1163" s="167"/>
      <c r="K1163" s="167">
        <v>17.399999999999999</v>
      </c>
      <c r="L1163" s="167">
        <v>13</v>
      </c>
      <c r="M1163" s="168">
        <v>0.44583333333333303</v>
      </c>
      <c r="N1163" s="177"/>
    </row>
    <row r="1164" spans="1:14" x14ac:dyDescent="0.25">
      <c r="A1164" s="66">
        <v>45163</v>
      </c>
      <c r="B1164" s="67" t="s">
        <v>43</v>
      </c>
      <c r="C1164" s="129" t="str">
        <f t="shared" si="36"/>
        <v>25.08.2023_HAAob</v>
      </c>
      <c r="D1164" s="143">
        <f t="shared" si="37"/>
        <v>0</v>
      </c>
      <c r="E1164" s="157">
        <v>7.9</v>
      </c>
      <c r="F1164" s="165"/>
      <c r="G1164" s="166">
        <v>708</v>
      </c>
      <c r="H1164" s="167">
        <v>7</v>
      </c>
      <c r="I1164" s="165"/>
      <c r="J1164" s="167"/>
      <c r="K1164" s="167">
        <v>19.100000000000001</v>
      </c>
      <c r="L1164" s="167">
        <v>13</v>
      </c>
      <c r="M1164" s="168">
        <v>0.50208333333333299</v>
      </c>
      <c r="N1164" s="177"/>
    </row>
    <row r="1165" spans="1:14" x14ac:dyDescent="0.25">
      <c r="A1165" s="66">
        <v>45163</v>
      </c>
      <c r="B1165" s="67" t="s">
        <v>45</v>
      </c>
      <c r="C1165" s="129" t="str">
        <f t="shared" si="36"/>
        <v>25.08.2023_HAAun</v>
      </c>
      <c r="D1165" s="143">
        <f t="shared" si="37"/>
        <v>0</v>
      </c>
      <c r="E1165" s="157">
        <v>7.93</v>
      </c>
      <c r="F1165" s="165"/>
      <c r="G1165" s="166">
        <v>1020</v>
      </c>
      <c r="H1165" s="167">
        <v>7.23</v>
      </c>
      <c r="I1165" s="165"/>
      <c r="J1165" s="167"/>
      <c r="K1165" s="167">
        <v>17.600000000000001</v>
      </c>
      <c r="L1165" s="167">
        <v>12.5</v>
      </c>
      <c r="M1165" s="168">
        <v>0.49375000000000002</v>
      </c>
      <c r="N1165" s="177"/>
    </row>
    <row r="1166" spans="1:14" x14ac:dyDescent="0.25">
      <c r="A1166" s="66">
        <v>45163</v>
      </c>
      <c r="B1166" s="67" t="s">
        <v>47</v>
      </c>
      <c r="C1166" s="129" t="str">
        <f t="shared" si="36"/>
        <v>25.08.2023_KIRob</v>
      </c>
      <c r="D1166" s="143">
        <f t="shared" si="37"/>
        <v>0</v>
      </c>
      <c r="E1166" s="157">
        <v>8.0399999999999991</v>
      </c>
      <c r="F1166" s="165"/>
      <c r="G1166" s="166">
        <v>1111</v>
      </c>
      <c r="H1166" s="167">
        <v>7.2</v>
      </c>
      <c r="I1166" s="165"/>
      <c r="J1166" s="167"/>
      <c r="K1166" s="167">
        <v>15.5</v>
      </c>
      <c r="L1166" s="167">
        <v>10.5</v>
      </c>
      <c r="M1166" s="168">
        <v>0.38888888888888901</v>
      </c>
      <c r="N1166" s="177"/>
    </row>
    <row r="1167" spans="1:14" x14ac:dyDescent="0.25">
      <c r="A1167" s="66">
        <v>45163</v>
      </c>
      <c r="B1167" s="67" t="s">
        <v>49</v>
      </c>
      <c r="C1167" s="129" t="str">
        <f t="shared" si="36"/>
        <v>25.08.2023_KIRun</v>
      </c>
      <c r="D1167" s="143">
        <f t="shared" si="37"/>
        <v>0</v>
      </c>
      <c r="E1167" s="157">
        <v>8.1300000000000008</v>
      </c>
      <c r="F1167" s="165"/>
      <c r="G1167" s="166">
        <v>1019</v>
      </c>
      <c r="H1167" s="167">
        <v>8</v>
      </c>
      <c r="I1167" s="165"/>
      <c r="J1167" s="167"/>
      <c r="K1167" s="167">
        <v>15.4</v>
      </c>
      <c r="L1167" s="167">
        <v>12.5</v>
      </c>
      <c r="M1167" s="168">
        <v>0.38333333333333303</v>
      </c>
      <c r="N1167" s="177"/>
    </row>
    <row r="1168" spans="1:14" x14ac:dyDescent="0.25">
      <c r="A1168" s="66">
        <v>45163</v>
      </c>
      <c r="B1168" s="67" t="s">
        <v>50</v>
      </c>
      <c r="C1168" s="129" t="str">
        <f t="shared" si="36"/>
        <v>25.08.2023_LIEohBo</v>
      </c>
      <c r="D1168" s="143">
        <f t="shared" si="37"/>
        <v>0</v>
      </c>
      <c r="E1168" s="157">
        <v>7.85</v>
      </c>
      <c r="F1168" s="165"/>
      <c r="G1168" s="166">
        <v>782</v>
      </c>
      <c r="H1168" s="167">
        <v>5.6</v>
      </c>
      <c r="I1168" s="165"/>
      <c r="J1168" s="167"/>
      <c r="K1168" s="167">
        <v>16.600000000000001</v>
      </c>
      <c r="L1168" s="167">
        <v>7.5</v>
      </c>
      <c r="M1168" s="168">
        <v>0.36597222222222198</v>
      </c>
      <c r="N1168" s="177"/>
    </row>
    <row r="1169" spans="1:14" x14ac:dyDescent="0.25">
      <c r="A1169" s="66">
        <v>45163</v>
      </c>
      <c r="B1169" s="67" t="s">
        <v>53</v>
      </c>
      <c r="C1169" s="129" t="str">
        <f t="shared" si="36"/>
        <v>25.08.2023_NATohBo</v>
      </c>
      <c r="D1169" s="143">
        <f t="shared" si="37"/>
        <v>0</v>
      </c>
      <c r="E1169" s="157">
        <v>7.7</v>
      </c>
      <c r="F1169" s="165"/>
      <c r="G1169" s="166">
        <v>1862</v>
      </c>
      <c r="H1169" s="167">
        <v>6.5</v>
      </c>
      <c r="I1169" s="165"/>
      <c r="J1169" s="167"/>
      <c r="K1169" s="167">
        <v>17.399999999999999</v>
      </c>
      <c r="L1169" s="167">
        <v>15</v>
      </c>
      <c r="M1169" s="168">
        <v>0.52361111111111103</v>
      </c>
      <c r="N1169" s="177"/>
    </row>
    <row r="1170" spans="1:14" x14ac:dyDescent="0.25">
      <c r="A1170" s="66">
        <v>45163</v>
      </c>
      <c r="B1170" s="67" t="s">
        <v>55</v>
      </c>
      <c r="C1170" s="129" t="str">
        <f t="shared" si="36"/>
        <v>25.08.2023_QUAohBo</v>
      </c>
      <c r="D1170" s="143">
        <f t="shared" si="37"/>
        <v>0</v>
      </c>
      <c r="E1170" s="157">
        <v>7.74</v>
      </c>
      <c r="F1170" s="165"/>
      <c r="G1170" s="166">
        <v>850</v>
      </c>
      <c r="H1170" s="167">
        <v>7.3</v>
      </c>
      <c r="I1170" s="165"/>
      <c r="J1170" s="167"/>
      <c r="K1170" s="167">
        <v>16.7</v>
      </c>
      <c r="L1170" s="167">
        <v>10</v>
      </c>
      <c r="M1170" s="168">
        <v>0.485416666666667</v>
      </c>
      <c r="N1170" s="177"/>
    </row>
    <row r="1171" spans="1:14" x14ac:dyDescent="0.25">
      <c r="A1171" s="66">
        <v>45163</v>
      </c>
      <c r="B1171" s="67" t="s">
        <v>57</v>
      </c>
      <c r="C1171" s="129" t="str">
        <f t="shared" si="36"/>
        <v>25.08.2023_SCHohVo</v>
      </c>
      <c r="D1171" s="143">
        <f t="shared" si="37"/>
        <v>0</v>
      </c>
      <c r="E1171" s="157">
        <v>8.02</v>
      </c>
      <c r="F1171" s="165"/>
      <c r="G1171" s="166">
        <v>421</v>
      </c>
      <c r="H1171" s="167">
        <v>7.8</v>
      </c>
      <c r="I1171" s="165"/>
      <c r="J1171" s="167"/>
      <c r="K1171" s="167">
        <v>17.399999999999999</v>
      </c>
      <c r="L1171" s="167">
        <v>4</v>
      </c>
      <c r="M1171" s="168">
        <v>0.39930555555555602</v>
      </c>
      <c r="N1171" s="177"/>
    </row>
    <row r="1172" spans="1:14" x14ac:dyDescent="0.25">
      <c r="A1172" s="66">
        <v>45163</v>
      </c>
      <c r="B1172" s="67" t="s">
        <v>60</v>
      </c>
      <c r="C1172" s="129" t="str">
        <f t="shared" si="36"/>
        <v>25.08.2023_VORohBo</v>
      </c>
      <c r="D1172" s="143">
        <f t="shared" si="37"/>
        <v>0</v>
      </c>
      <c r="E1172" s="157">
        <v>7.74</v>
      </c>
      <c r="F1172" s="165"/>
      <c r="G1172" s="166">
        <v>1130</v>
      </c>
      <c r="H1172" s="167">
        <v>6.5</v>
      </c>
      <c r="I1172" s="165"/>
      <c r="J1172" s="167"/>
      <c r="K1172" s="167">
        <v>15.5</v>
      </c>
      <c r="L1172" s="167">
        <v>16</v>
      </c>
      <c r="M1172" s="168">
        <v>0.41388888888888897</v>
      </c>
      <c r="N1172" s="177"/>
    </row>
    <row r="1173" spans="1:14" x14ac:dyDescent="0.25">
      <c r="A1173" s="66">
        <v>45163</v>
      </c>
      <c r="B1173" s="67" t="s">
        <v>62</v>
      </c>
      <c r="C1173" s="129" t="str">
        <f t="shared" si="36"/>
        <v>25.08.2023_VORuhSc</v>
      </c>
      <c r="D1173" s="143">
        <f t="shared" si="37"/>
        <v>0</v>
      </c>
      <c r="E1173" s="157">
        <v>7.42</v>
      </c>
      <c r="F1173" s="165"/>
      <c r="G1173" s="166">
        <v>1133</v>
      </c>
      <c r="H1173" s="167">
        <v>6.2</v>
      </c>
      <c r="I1173" s="165"/>
      <c r="J1173" s="167"/>
      <c r="K1173" s="167">
        <v>15.6</v>
      </c>
      <c r="L1173" s="167">
        <v>6.5</v>
      </c>
      <c r="M1173" s="168">
        <v>0.40625</v>
      </c>
      <c r="N1173" s="177"/>
    </row>
    <row r="1174" spans="1:14" x14ac:dyDescent="0.25">
      <c r="A1174" s="66">
        <v>45163</v>
      </c>
      <c r="B1174" s="67" t="s">
        <v>64</v>
      </c>
      <c r="C1174" s="129" t="str">
        <f t="shared" si="36"/>
        <v>25.08.2023_WITob</v>
      </c>
      <c r="D1174" s="143">
        <f t="shared" si="37"/>
        <v>0</v>
      </c>
      <c r="E1174" s="157">
        <v>8</v>
      </c>
      <c r="F1174" s="165"/>
      <c r="G1174" s="166">
        <v>1086</v>
      </c>
      <c r="H1174" s="167">
        <v>7.3</v>
      </c>
      <c r="I1174" s="165"/>
      <c r="J1174" s="167"/>
      <c r="K1174" s="167">
        <v>16.8</v>
      </c>
      <c r="L1174" s="167">
        <v>5.5</v>
      </c>
      <c r="M1174" s="168">
        <v>0.51458333333333295</v>
      </c>
      <c r="N1174" s="177"/>
    </row>
    <row r="1175" spans="1:14" x14ac:dyDescent="0.25">
      <c r="A1175" s="66">
        <v>45177</v>
      </c>
      <c r="B1175" s="67" t="s">
        <v>22</v>
      </c>
      <c r="C1175" s="129" t="str">
        <f t="shared" si="36"/>
        <v>08.09.2023_BOYkl</v>
      </c>
      <c r="D1175" s="143">
        <f t="shared" si="37"/>
        <v>0</v>
      </c>
      <c r="E1175" s="157">
        <v>7.83</v>
      </c>
      <c r="F1175" s="165"/>
      <c r="G1175" s="166">
        <v>488</v>
      </c>
      <c r="H1175" s="167">
        <v>8.1</v>
      </c>
      <c r="I1175" s="165"/>
      <c r="J1175" s="167"/>
      <c r="K1175" s="167">
        <v>15.6</v>
      </c>
      <c r="L1175" s="167">
        <v>8</v>
      </c>
      <c r="M1175" s="168">
        <v>0.436805555555556</v>
      </c>
      <c r="N1175" s="67"/>
    </row>
    <row r="1176" spans="1:14" x14ac:dyDescent="0.25">
      <c r="A1176" s="66">
        <v>45177</v>
      </c>
      <c r="B1176" s="67" t="s">
        <v>25</v>
      </c>
      <c r="C1176" s="129" t="str">
        <f t="shared" si="36"/>
        <v>08.09.2023_BOYohB224</v>
      </c>
      <c r="D1176" s="143">
        <f t="shared" si="37"/>
        <v>0</v>
      </c>
      <c r="E1176" s="157">
        <v>8.31</v>
      </c>
      <c r="F1176" s="165"/>
      <c r="G1176" s="166">
        <v>1002</v>
      </c>
      <c r="H1176" s="167">
        <v>10.66</v>
      </c>
      <c r="I1176" s="165"/>
      <c r="J1176" s="167"/>
      <c r="K1176" s="167">
        <v>16.66</v>
      </c>
      <c r="L1176" s="167">
        <v>36</v>
      </c>
      <c r="M1176" s="168">
        <v>0.55972222222222201</v>
      </c>
      <c r="N1176" s="67"/>
    </row>
    <row r="1177" spans="1:14" x14ac:dyDescent="0.25">
      <c r="A1177" s="66">
        <v>45177</v>
      </c>
      <c r="B1177" s="67" t="s">
        <v>28</v>
      </c>
      <c r="C1177" s="129" t="str">
        <f t="shared" si="36"/>
        <v>08.09.2023_BOYohBr</v>
      </c>
      <c r="D1177" s="143">
        <f t="shared" si="37"/>
        <v>0</v>
      </c>
      <c r="E1177" s="157">
        <v>7.65</v>
      </c>
      <c r="F1177" s="165"/>
      <c r="G1177" s="166">
        <v>585</v>
      </c>
      <c r="H1177" s="167">
        <v>7.6</v>
      </c>
      <c r="I1177" s="165"/>
      <c r="J1177" s="167"/>
      <c r="K1177" s="167">
        <v>15</v>
      </c>
      <c r="L1177" s="167">
        <v>13.5</v>
      </c>
      <c r="M1177" s="168">
        <v>0.47361111111111098</v>
      </c>
      <c r="N1177" s="67"/>
    </row>
    <row r="1178" spans="1:14" x14ac:dyDescent="0.25">
      <c r="A1178" s="66">
        <v>45177</v>
      </c>
      <c r="B1178" s="67" t="s">
        <v>30</v>
      </c>
      <c r="C1178" s="129" t="str">
        <f t="shared" si="36"/>
        <v>08.09.2023_BOYohKi</v>
      </c>
      <c r="D1178" s="143">
        <f t="shared" si="37"/>
        <v>0</v>
      </c>
      <c r="E1178" s="157">
        <v>7.9</v>
      </c>
      <c r="F1178" s="165"/>
      <c r="G1178" s="166">
        <v>840</v>
      </c>
      <c r="H1178" s="167">
        <v>7.8</v>
      </c>
      <c r="I1178" s="165"/>
      <c r="J1178" s="167"/>
      <c r="K1178" s="167">
        <v>14.8</v>
      </c>
      <c r="L1178" s="167">
        <v>61.5</v>
      </c>
      <c r="M1178" s="168">
        <v>0.37291666666666701</v>
      </c>
      <c r="N1178" s="67"/>
    </row>
    <row r="1179" spans="1:14" x14ac:dyDescent="0.25">
      <c r="A1179" s="66">
        <v>45177</v>
      </c>
      <c r="B1179" s="67" t="s">
        <v>32</v>
      </c>
      <c r="C1179" s="129" t="str">
        <f t="shared" si="36"/>
        <v>08.09.2023_BOYohSp</v>
      </c>
      <c r="D1179" s="143">
        <f t="shared" si="37"/>
        <v>0</v>
      </c>
      <c r="E1179" s="157">
        <v>7.8</v>
      </c>
      <c r="F1179" s="165"/>
      <c r="G1179" s="166">
        <v>675</v>
      </c>
      <c r="H1179" s="167">
        <v>7.83</v>
      </c>
      <c r="I1179" s="165"/>
      <c r="J1179" s="167"/>
      <c r="K1179" s="167">
        <v>15.3</v>
      </c>
      <c r="L1179" s="167">
        <v>10.4</v>
      </c>
      <c r="M1179" s="168">
        <v>0.5</v>
      </c>
      <c r="N1179" s="67"/>
    </row>
    <row r="1180" spans="1:14" x14ac:dyDescent="0.25">
      <c r="A1180" s="66">
        <v>45177</v>
      </c>
      <c r="B1180" s="67" t="s">
        <v>34</v>
      </c>
      <c r="C1180" s="129" t="str">
        <f t="shared" si="36"/>
        <v>08.09.2023_BOYuhHa</v>
      </c>
      <c r="D1180" s="143">
        <f t="shared" si="37"/>
        <v>0</v>
      </c>
      <c r="E1180" s="157">
        <v>8.1</v>
      </c>
      <c r="F1180" s="165"/>
      <c r="G1180" s="166">
        <v>1088</v>
      </c>
      <c r="H1180" s="167">
        <v>8.1999999999999993</v>
      </c>
      <c r="I1180" s="165"/>
      <c r="J1180" s="167"/>
      <c r="K1180" s="167">
        <v>15.5</v>
      </c>
      <c r="L1180" s="167">
        <v>19.3</v>
      </c>
      <c r="M1180" s="168">
        <v>0.35069444444444398</v>
      </c>
      <c r="N1180" s="67"/>
    </row>
    <row r="1181" spans="1:14" x14ac:dyDescent="0.25">
      <c r="A1181" s="66">
        <v>45177</v>
      </c>
      <c r="B1181" s="67" t="s">
        <v>36</v>
      </c>
      <c r="C1181" s="129" t="str">
        <f t="shared" si="36"/>
        <v>08.09.2023_BOYuhSp</v>
      </c>
      <c r="D1181" s="143">
        <f t="shared" si="37"/>
        <v>0</v>
      </c>
      <c r="E1181" s="157">
        <v>7.88</v>
      </c>
      <c r="F1181" s="165"/>
      <c r="G1181" s="166">
        <v>690</v>
      </c>
      <c r="H1181" s="167">
        <v>8.65</v>
      </c>
      <c r="I1181" s="165"/>
      <c r="J1181" s="167"/>
      <c r="K1181" s="167">
        <v>16.399999999999999</v>
      </c>
      <c r="L1181" s="167">
        <v>25.6</v>
      </c>
      <c r="M1181" s="168">
        <v>0.48194444444444401</v>
      </c>
      <c r="N1181" s="67" t="s">
        <v>161</v>
      </c>
    </row>
    <row r="1182" spans="1:14" x14ac:dyDescent="0.25">
      <c r="A1182" s="66">
        <v>45177</v>
      </c>
      <c r="B1182" s="67" t="s">
        <v>38</v>
      </c>
      <c r="C1182" s="129" t="str">
        <f t="shared" si="36"/>
        <v>08.09.2023_BRAob</v>
      </c>
      <c r="D1182" s="143">
        <f t="shared" si="37"/>
        <v>0</v>
      </c>
      <c r="E1182" s="157">
        <v>7.9</v>
      </c>
      <c r="F1182" s="165"/>
      <c r="G1182" s="166">
        <v>780</v>
      </c>
      <c r="H1182" s="167">
        <v>7.84</v>
      </c>
      <c r="I1182" s="165"/>
      <c r="J1182" s="167"/>
      <c r="K1182" s="167">
        <v>16</v>
      </c>
      <c r="L1182" s="167">
        <v>3.8</v>
      </c>
      <c r="M1182" s="168">
        <v>0.44652777777777802</v>
      </c>
      <c r="N1182" s="67"/>
    </row>
    <row r="1183" spans="1:14" x14ac:dyDescent="0.25">
      <c r="A1183" s="66">
        <v>45177</v>
      </c>
      <c r="B1183" s="67" t="s">
        <v>41</v>
      </c>
      <c r="C1183" s="129" t="str">
        <f t="shared" si="36"/>
        <v>08.09.2023_BRAohBo</v>
      </c>
      <c r="D1183" s="143">
        <f t="shared" si="37"/>
        <v>0</v>
      </c>
      <c r="E1183" s="157">
        <v>7.92</v>
      </c>
      <c r="F1183" s="165"/>
      <c r="G1183" s="166">
        <v>740</v>
      </c>
      <c r="H1183" s="167">
        <v>7.03</v>
      </c>
      <c r="I1183" s="165"/>
      <c r="J1183" s="167"/>
      <c r="K1183" s="167">
        <v>15.7</v>
      </c>
      <c r="L1183" s="167">
        <v>14.6</v>
      </c>
      <c r="M1183" s="168">
        <v>0.45694444444444399</v>
      </c>
      <c r="N1183" s="67"/>
    </row>
    <row r="1184" spans="1:14" x14ac:dyDescent="0.25">
      <c r="A1184" s="66">
        <v>45177</v>
      </c>
      <c r="B1184" s="67" t="s">
        <v>43</v>
      </c>
      <c r="C1184" s="129" t="str">
        <f t="shared" si="36"/>
        <v>08.09.2023_HAAob</v>
      </c>
      <c r="D1184" s="143">
        <f t="shared" si="37"/>
        <v>0</v>
      </c>
      <c r="E1184" s="157">
        <v>8.09</v>
      </c>
      <c r="F1184" s="165"/>
      <c r="G1184" s="166">
        <v>774</v>
      </c>
      <c r="H1184" s="167">
        <v>7.42</v>
      </c>
      <c r="I1184" s="165"/>
      <c r="J1184" s="167"/>
      <c r="K1184" s="167">
        <v>19.25</v>
      </c>
      <c r="L1184" s="167">
        <v>9</v>
      </c>
      <c r="M1184" s="168">
        <v>0.52430555555555602</v>
      </c>
      <c r="N1184" s="67"/>
    </row>
    <row r="1185" spans="1:14" x14ac:dyDescent="0.25">
      <c r="A1185" s="66">
        <v>45177</v>
      </c>
      <c r="B1185" s="67" t="s">
        <v>45</v>
      </c>
      <c r="C1185" s="129" t="str">
        <f t="shared" si="36"/>
        <v>08.09.2023_HAAun</v>
      </c>
      <c r="D1185" s="143">
        <f t="shared" si="37"/>
        <v>0</v>
      </c>
      <c r="E1185" s="157">
        <v>7.94</v>
      </c>
      <c r="F1185" s="165"/>
      <c r="G1185" s="166">
        <v>1120</v>
      </c>
      <c r="H1185" s="167">
        <v>7.65</v>
      </c>
      <c r="I1185" s="165"/>
      <c r="J1185" s="167"/>
      <c r="K1185" s="167">
        <v>17.47</v>
      </c>
      <c r="L1185" s="167">
        <v>10.5</v>
      </c>
      <c r="M1185" s="168">
        <v>0.51736111111111105</v>
      </c>
      <c r="N1185" s="67"/>
    </row>
    <row r="1186" spans="1:14" x14ac:dyDescent="0.25">
      <c r="A1186" s="66">
        <v>45177</v>
      </c>
      <c r="B1186" s="67" t="s">
        <v>47</v>
      </c>
      <c r="C1186" s="129" t="str">
        <f t="shared" si="36"/>
        <v>08.09.2023_KIRob</v>
      </c>
      <c r="D1186" s="143">
        <f t="shared" si="37"/>
        <v>0</v>
      </c>
      <c r="E1186" s="157">
        <v>8.02</v>
      </c>
      <c r="F1186" s="165"/>
      <c r="G1186" s="166">
        <v>1109</v>
      </c>
      <c r="H1186" s="167">
        <v>7.4</v>
      </c>
      <c r="I1186" s="165"/>
      <c r="J1186" s="167"/>
      <c r="K1186" s="167">
        <v>14.9</v>
      </c>
      <c r="L1186" s="167">
        <v>10.8</v>
      </c>
      <c r="M1186" s="168">
        <v>0.390277777777778</v>
      </c>
      <c r="N1186" s="67"/>
    </row>
    <row r="1187" spans="1:14" x14ac:dyDescent="0.25">
      <c r="A1187" s="66">
        <v>45177</v>
      </c>
      <c r="B1187" s="67" t="s">
        <v>49</v>
      </c>
      <c r="C1187" s="129" t="str">
        <f t="shared" si="36"/>
        <v>08.09.2023_KIRun</v>
      </c>
      <c r="D1187" s="143">
        <f t="shared" si="37"/>
        <v>0</v>
      </c>
      <c r="E1187" s="157">
        <v>8.8000000000000007</v>
      </c>
      <c r="F1187" s="165"/>
      <c r="G1187" s="166">
        <v>1017</v>
      </c>
      <c r="H1187" s="167">
        <v>8.11</v>
      </c>
      <c r="I1187" s="165"/>
      <c r="J1187" s="167"/>
      <c r="K1187" s="167">
        <v>14.7</v>
      </c>
      <c r="L1187" s="167">
        <v>12</v>
      </c>
      <c r="M1187" s="168">
        <v>0.38194444444444398</v>
      </c>
      <c r="N1187" s="67"/>
    </row>
    <row r="1188" spans="1:14" x14ac:dyDescent="0.25">
      <c r="A1188" s="66">
        <v>45177</v>
      </c>
      <c r="B1188" s="67" t="s">
        <v>50</v>
      </c>
      <c r="C1188" s="129" t="str">
        <f t="shared" si="36"/>
        <v>08.09.2023_LIEohBo</v>
      </c>
      <c r="D1188" s="143">
        <f t="shared" si="37"/>
        <v>0</v>
      </c>
      <c r="E1188" s="157">
        <v>7.8</v>
      </c>
      <c r="F1188" s="165"/>
      <c r="G1188" s="166">
        <v>792</v>
      </c>
      <c r="H1188" s="167">
        <v>6.4</v>
      </c>
      <c r="I1188" s="165"/>
      <c r="J1188" s="167"/>
      <c r="K1188" s="167">
        <v>14</v>
      </c>
      <c r="L1188" s="167">
        <v>16.5</v>
      </c>
      <c r="M1188" s="168">
        <v>0.360416666666667</v>
      </c>
      <c r="N1188" s="67"/>
    </row>
    <row r="1189" spans="1:14" x14ac:dyDescent="0.25">
      <c r="A1189" s="66">
        <v>45177</v>
      </c>
      <c r="B1189" s="67" t="s">
        <v>53</v>
      </c>
      <c r="C1189" s="129" t="str">
        <f t="shared" si="36"/>
        <v>08.09.2023_NATohBo</v>
      </c>
      <c r="D1189" s="143">
        <f t="shared" si="37"/>
        <v>0</v>
      </c>
      <c r="E1189" s="157">
        <v>7.65</v>
      </c>
      <c r="F1189" s="165"/>
      <c r="G1189" s="166">
        <v>2013</v>
      </c>
      <c r="H1189" s="167">
        <v>6.7</v>
      </c>
      <c r="I1189" s="165"/>
      <c r="J1189" s="167"/>
      <c r="K1189" s="167">
        <v>17.170000000000002</v>
      </c>
      <c r="L1189" s="167">
        <v>17.8</v>
      </c>
      <c r="M1189" s="168">
        <v>0.55000000000000004</v>
      </c>
      <c r="N1189" s="67"/>
    </row>
    <row r="1190" spans="1:14" x14ac:dyDescent="0.25">
      <c r="A1190" s="66">
        <v>45177</v>
      </c>
      <c r="B1190" s="67" t="s">
        <v>55</v>
      </c>
      <c r="C1190" s="129" t="str">
        <f t="shared" si="36"/>
        <v>08.09.2023_QUAohBo</v>
      </c>
      <c r="D1190" s="143">
        <f t="shared" si="37"/>
        <v>0</v>
      </c>
      <c r="E1190" s="157">
        <v>7.77</v>
      </c>
      <c r="F1190" s="165"/>
      <c r="G1190" s="166">
        <v>856</v>
      </c>
      <c r="H1190" s="167">
        <v>6.77</v>
      </c>
      <c r="I1190" s="165"/>
      <c r="J1190" s="167"/>
      <c r="K1190" s="167">
        <v>16.28</v>
      </c>
      <c r="L1190" s="167">
        <v>8.1999999999999993</v>
      </c>
      <c r="M1190" s="168">
        <v>0.50555555555555598</v>
      </c>
      <c r="N1190" s="67"/>
    </row>
    <row r="1191" spans="1:14" x14ac:dyDescent="0.25">
      <c r="A1191" s="66">
        <v>45177</v>
      </c>
      <c r="B1191" s="67" t="s">
        <v>57</v>
      </c>
      <c r="C1191" s="129" t="str">
        <f t="shared" si="36"/>
        <v>08.09.2023_SCHohVo</v>
      </c>
      <c r="D1191" s="143">
        <f t="shared" si="37"/>
        <v>0</v>
      </c>
      <c r="E1191" s="157">
        <v>8.1999999999999993</v>
      </c>
      <c r="F1191" s="165"/>
      <c r="G1191" s="166">
        <v>783</v>
      </c>
      <c r="H1191" s="167">
        <v>8.15</v>
      </c>
      <c r="I1191" s="165"/>
      <c r="J1191" s="167"/>
      <c r="K1191" s="167">
        <v>16.399999999999999</v>
      </c>
      <c r="L1191" s="167">
        <v>5.8</v>
      </c>
      <c r="M1191" s="168">
        <v>0.40208333333333302</v>
      </c>
      <c r="N1191" s="67"/>
    </row>
    <row r="1192" spans="1:14" x14ac:dyDescent="0.25">
      <c r="A1192" s="66">
        <v>45177</v>
      </c>
      <c r="B1192" s="67" t="s">
        <v>60</v>
      </c>
      <c r="C1192" s="129" t="str">
        <f t="shared" si="36"/>
        <v>08.09.2023_VORohBo</v>
      </c>
      <c r="D1192" s="143">
        <f t="shared" si="37"/>
        <v>0</v>
      </c>
      <c r="E1192" s="157">
        <v>7.62</v>
      </c>
      <c r="F1192" s="165"/>
      <c r="G1192" s="166">
        <v>1131</v>
      </c>
      <c r="H1192" s="167">
        <v>6.37</v>
      </c>
      <c r="I1192" s="165"/>
      <c r="J1192" s="167"/>
      <c r="K1192" s="167">
        <v>14.7</v>
      </c>
      <c r="L1192" s="167">
        <v>16.600000000000001</v>
      </c>
      <c r="M1192" s="168">
        <v>0.420833333333333</v>
      </c>
      <c r="N1192" s="67"/>
    </row>
    <row r="1193" spans="1:14" x14ac:dyDescent="0.25">
      <c r="A1193" s="66">
        <v>45177</v>
      </c>
      <c r="B1193" s="67" t="s">
        <v>62</v>
      </c>
      <c r="C1193" s="129" t="str">
        <f t="shared" si="36"/>
        <v>08.09.2023_VORuhSc</v>
      </c>
      <c r="D1193" s="143">
        <f t="shared" si="37"/>
        <v>0</v>
      </c>
      <c r="E1193" s="157">
        <v>7.35</v>
      </c>
      <c r="F1193" s="165"/>
      <c r="G1193" s="166">
        <v>1137</v>
      </c>
      <c r="H1193" s="167">
        <v>6.6</v>
      </c>
      <c r="I1193" s="165"/>
      <c r="J1193" s="167"/>
      <c r="K1193" s="167">
        <v>14.9</v>
      </c>
      <c r="L1193" s="167">
        <v>10.4</v>
      </c>
      <c r="M1193" s="168">
        <v>0.40972222222222199</v>
      </c>
      <c r="N1193" s="67"/>
    </row>
    <row r="1194" spans="1:14" x14ac:dyDescent="0.25">
      <c r="A1194" s="66">
        <v>45177</v>
      </c>
      <c r="B1194" s="67" t="s">
        <v>64</v>
      </c>
      <c r="C1194" s="129" t="str">
        <f t="shared" si="36"/>
        <v>08.09.2023_WITob</v>
      </c>
      <c r="D1194" s="143">
        <f t="shared" si="37"/>
        <v>0</v>
      </c>
      <c r="E1194" s="157">
        <v>8.3000000000000007</v>
      </c>
      <c r="F1194" s="165"/>
      <c r="G1194" s="166">
        <v>1338</v>
      </c>
      <c r="H1194" s="167">
        <v>8.34</v>
      </c>
      <c r="I1194" s="165"/>
      <c r="J1194" s="167"/>
      <c r="K1194" s="167">
        <v>17.899999999999999</v>
      </c>
      <c r="L1194" s="167">
        <v>3.1</v>
      </c>
      <c r="M1194" s="168">
        <v>0.53472222222222199</v>
      </c>
      <c r="N1194" s="67"/>
    </row>
    <row r="1195" spans="1:14" x14ac:dyDescent="0.25">
      <c r="A1195" s="66">
        <v>45195</v>
      </c>
      <c r="B1195" s="67" t="s">
        <v>22</v>
      </c>
      <c r="C1195" s="129" t="str">
        <f t="shared" si="36"/>
        <v>26.09.2023_BOYkl</v>
      </c>
      <c r="D1195" s="143">
        <f t="shared" si="37"/>
        <v>1</v>
      </c>
      <c r="E1195" s="157">
        <v>7.83</v>
      </c>
      <c r="F1195" s="165"/>
      <c r="G1195" s="166">
        <v>487</v>
      </c>
      <c r="H1195" s="167"/>
      <c r="I1195" s="165" t="s">
        <v>299</v>
      </c>
      <c r="J1195" s="167"/>
      <c r="K1195" s="167">
        <v>14.38</v>
      </c>
      <c r="L1195" s="167">
        <v>13</v>
      </c>
      <c r="M1195" s="168">
        <v>0.43541666666666701</v>
      </c>
      <c r="N1195" s="67" t="s">
        <v>308</v>
      </c>
    </row>
    <row r="1196" spans="1:14" x14ac:dyDescent="0.25">
      <c r="A1196" s="66">
        <v>45195</v>
      </c>
      <c r="B1196" s="67" t="s">
        <v>25</v>
      </c>
      <c r="C1196" s="129" t="str">
        <f t="shared" si="36"/>
        <v>26.09.2023_BOYohB224</v>
      </c>
      <c r="D1196" s="143">
        <f t="shared" si="37"/>
        <v>1</v>
      </c>
      <c r="E1196" s="157">
        <v>8.02</v>
      </c>
      <c r="F1196" s="165"/>
      <c r="G1196" s="166">
        <v>942</v>
      </c>
      <c r="H1196" s="167"/>
      <c r="I1196" s="165" t="s">
        <v>299</v>
      </c>
      <c r="J1196" s="167"/>
      <c r="K1196" s="167">
        <v>16.05</v>
      </c>
      <c r="L1196" s="167">
        <v>27</v>
      </c>
      <c r="M1196" s="168"/>
      <c r="N1196" s="67" t="s">
        <v>309</v>
      </c>
    </row>
    <row r="1197" spans="1:14" x14ac:dyDescent="0.25">
      <c r="A1197" s="66">
        <v>45195</v>
      </c>
      <c r="B1197" s="67" t="s">
        <v>28</v>
      </c>
      <c r="C1197" s="129" t="str">
        <f t="shared" si="36"/>
        <v>26.09.2023_BOYohBr</v>
      </c>
      <c r="D1197" s="143">
        <f t="shared" si="37"/>
        <v>1</v>
      </c>
      <c r="E1197" s="157">
        <v>7.61</v>
      </c>
      <c r="F1197" s="165"/>
      <c r="G1197" s="166">
        <v>586</v>
      </c>
      <c r="H1197" s="167"/>
      <c r="I1197" s="165" t="s">
        <v>299</v>
      </c>
      <c r="J1197" s="167"/>
      <c r="K1197" s="167">
        <v>13.07</v>
      </c>
      <c r="L1197" s="167">
        <v>21</v>
      </c>
      <c r="M1197" s="168">
        <v>0.48611111111111099</v>
      </c>
      <c r="N1197" s="67" t="s">
        <v>310</v>
      </c>
    </row>
    <row r="1198" spans="1:14" x14ac:dyDescent="0.25">
      <c r="A1198" s="66">
        <v>45195</v>
      </c>
      <c r="B1198" s="67" t="s">
        <v>30</v>
      </c>
      <c r="C1198" s="129" t="str">
        <f t="shared" si="36"/>
        <v>26.09.2023_BOYohKi</v>
      </c>
      <c r="D1198" s="143">
        <f t="shared" si="37"/>
        <v>1</v>
      </c>
      <c r="E1198" s="157">
        <v>7.82</v>
      </c>
      <c r="F1198" s="165"/>
      <c r="G1198" s="166">
        <v>795</v>
      </c>
      <c r="H1198" s="167"/>
      <c r="I1198" s="165" t="s">
        <v>299</v>
      </c>
      <c r="J1198" s="167"/>
      <c r="K1198" s="167">
        <v>12.41</v>
      </c>
      <c r="L1198" s="167">
        <v>50</v>
      </c>
      <c r="M1198" s="168">
        <v>0.36944444444444402</v>
      </c>
      <c r="N1198" s="67" t="s">
        <v>311</v>
      </c>
    </row>
    <row r="1199" spans="1:14" x14ac:dyDescent="0.25">
      <c r="A1199" s="66">
        <v>45195</v>
      </c>
      <c r="B1199" s="67" t="s">
        <v>32</v>
      </c>
      <c r="C1199" s="129" t="str">
        <f t="shared" si="36"/>
        <v>26.09.2023_BOYohSp</v>
      </c>
      <c r="D1199" s="143">
        <f t="shared" si="37"/>
        <v>1</v>
      </c>
      <c r="E1199" s="157">
        <v>7.77</v>
      </c>
      <c r="F1199" s="165"/>
      <c r="G1199" s="166">
        <v>681</v>
      </c>
      <c r="H1199" s="167"/>
      <c r="I1199" s="165" t="s">
        <v>299</v>
      </c>
      <c r="J1199" s="167"/>
      <c r="K1199" s="167">
        <v>13.35</v>
      </c>
      <c r="L1199" s="167">
        <v>19.5</v>
      </c>
      <c r="M1199" s="168">
        <v>0.50902777777777797</v>
      </c>
      <c r="N1199" s="67" t="s">
        <v>312</v>
      </c>
    </row>
    <row r="1200" spans="1:14" x14ac:dyDescent="0.25">
      <c r="A1200" s="66">
        <v>45195</v>
      </c>
      <c r="B1200" s="67" t="s">
        <v>34</v>
      </c>
      <c r="C1200" s="129" t="str">
        <f t="shared" si="36"/>
        <v>26.09.2023_BOYuhHa</v>
      </c>
      <c r="D1200" s="143">
        <f t="shared" si="37"/>
        <v>1</v>
      </c>
      <c r="E1200" s="157">
        <v>7.89</v>
      </c>
      <c r="F1200" s="165"/>
      <c r="G1200" s="166">
        <v>997</v>
      </c>
      <c r="H1200" s="167"/>
      <c r="I1200" s="165" t="s">
        <v>299</v>
      </c>
      <c r="J1200" s="167"/>
      <c r="K1200" s="167">
        <v>12.2</v>
      </c>
      <c r="L1200" s="167">
        <v>20.5</v>
      </c>
      <c r="M1200" s="168">
        <v>0.35416666666666702</v>
      </c>
      <c r="N1200" s="67" t="s">
        <v>313</v>
      </c>
    </row>
    <row r="1201" spans="1:17" x14ac:dyDescent="0.25">
      <c r="A1201" s="66">
        <v>45195</v>
      </c>
      <c r="B1201" s="67" t="s">
        <v>36</v>
      </c>
      <c r="C1201" s="129" t="str">
        <f t="shared" si="36"/>
        <v>26.09.2023_BOYuhSp</v>
      </c>
      <c r="D1201" s="143">
        <f t="shared" si="37"/>
        <v>1</v>
      </c>
      <c r="E1201" s="157">
        <v>7.71</v>
      </c>
      <c r="F1201" s="165"/>
      <c r="G1201" s="166">
        <v>693</v>
      </c>
      <c r="H1201" s="167"/>
      <c r="I1201" s="165" t="s">
        <v>299</v>
      </c>
      <c r="J1201" s="167"/>
      <c r="K1201" s="167">
        <v>13.33</v>
      </c>
      <c r="L1201" s="167">
        <v>22</v>
      </c>
      <c r="M1201" s="168">
        <v>0.50208333333333299</v>
      </c>
      <c r="N1201" s="67" t="s">
        <v>314</v>
      </c>
    </row>
    <row r="1202" spans="1:17" x14ac:dyDescent="0.25">
      <c r="A1202" s="66">
        <v>45195</v>
      </c>
      <c r="B1202" s="67" t="s">
        <v>38</v>
      </c>
      <c r="C1202" s="129" t="str">
        <f t="shared" si="36"/>
        <v>26.09.2023_BRAob</v>
      </c>
      <c r="D1202" s="143">
        <f t="shared" si="37"/>
        <v>1</v>
      </c>
      <c r="E1202" s="157">
        <v>7.68</v>
      </c>
      <c r="F1202" s="165"/>
      <c r="G1202" s="166">
        <v>841</v>
      </c>
      <c r="H1202" s="167"/>
      <c r="I1202" s="165" t="s">
        <v>299</v>
      </c>
      <c r="J1202" s="167"/>
      <c r="K1202" s="167">
        <v>13.44</v>
      </c>
      <c r="L1202" s="167">
        <v>5</v>
      </c>
      <c r="M1202" s="168">
        <v>0.44861111111111102</v>
      </c>
      <c r="N1202" s="67" t="s">
        <v>315</v>
      </c>
    </row>
    <row r="1203" spans="1:17" x14ac:dyDescent="0.25">
      <c r="A1203" s="66">
        <v>45195</v>
      </c>
      <c r="B1203" s="67" t="s">
        <v>41</v>
      </c>
      <c r="C1203" s="129" t="str">
        <f t="shared" si="36"/>
        <v>26.09.2023_BRAohBo</v>
      </c>
      <c r="D1203" s="143">
        <f t="shared" si="37"/>
        <v>1</v>
      </c>
      <c r="E1203" s="157">
        <v>7.66</v>
      </c>
      <c r="F1203" s="165"/>
      <c r="G1203" s="166">
        <v>715</v>
      </c>
      <c r="H1203" s="167"/>
      <c r="I1203" s="165" t="s">
        <v>299</v>
      </c>
      <c r="J1203" s="167"/>
      <c r="K1203" s="167">
        <v>12.66</v>
      </c>
      <c r="L1203" s="167">
        <v>8</v>
      </c>
      <c r="M1203" s="168">
        <v>0.46527777777777801</v>
      </c>
      <c r="N1203" s="67" t="s">
        <v>316</v>
      </c>
    </row>
    <row r="1204" spans="1:17" x14ac:dyDescent="0.25">
      <c r="A1204" s="66">
        <v>45195</v>
      </c>
      <c r="B1204" s="67" t="s">
        <v>43</v>
      </c>
      <c r="C1204" s="129" t="str">
        <f t="shared" si="36"/>
        <v>26.09.2023_HAAob</v>
      </c>
      <c r="D1204" s="143">
        <f t="shared" si="37"/>
        <v>1</v>
      </c>
      <c r="E1204" s="157">
        <v>7.99</v>
      </c>
      <c r="F1204" s="165"/>
      <c r="G1204" s="166">
        <v>800</v>
      </c>
      <c r="H1204" s="167"/>
      <c r="I1204" s="165" t="s">
        <v>299</v>
      </c>
      <c r="J1204" s="167"/>
      <c r="K1204" s="167">
        <v>15.74</v>
      </c>
      <c r="L1204" s="167">
        <v>13</v>
      </c>
      <c r="M1204" s="168">
        <v>0.54097222222222197</v>
      </c>
      <c r="N1204" s="67" t="s">
        <v>317</v>
      </c>
    </row>
    <row r="1205" spans="1:17" x14ac:dyDescent="0.25">
      <c r="A1205" s="66">
        <v>45195</v>
      </c>
      <c r="B1205" s="67" t="s">
        <v>45</v>
      </c>
      <c r="C1205" s="129" t="str">
        <f t="shared" si="36"/>
        <v>26.09.2023_HAAun</v>
      </c>
      <c r="D1205" s="143">
        <f t="shared" si="37"/>
        <v>1</v>
      </c>
      <c r="E1205" s="157">
        <v>7.83</v>
      </c>
      <c r="F1205" s="165"/>
      <c r="G1205" s="166">
        <v>1001</v>
      </c>
      <c r="H1205" s="167"/>
      <c r="I1205" s="165" t="s">
        <v>299</v>
      </c>
      <c r="J1205" s="167"/>
      <c r="K1205" s="167">
        <v>14.66</v>
      </c>
      <c r="L1205" s="167">
        <v>29</v>
      </c>
      <c r="M1205" s="168">
        <v>0.53125</v>
      </c>
      <c r="N1205" s="67" t="s">
        <v>311</v>
      </c>
    </row>
    <row r="1206" spans="1:17" x14ac:dyDescent="0.25">
      <c r="A1206" s="66">
        <v>45195</v>
      </c>
      <c r="B1206" s="67" t="s">
        <v>47</v>
      </c>
      <c r="C1206" s="129" t="str">
        <f t="shared" si="36"/>
        <v>26.09.2023_KIRob</v>
      </c>
      <c r="D1206" s="143">
        <f t="shared" si="37"/>
        <v>1</v>
      </c>
      <c r="E1206" s="157">
        <v>7.85</v>
      </c>
      <c r="F1206" s="165"/>
      <c r="G1206" s="166">
        <v>1148</v>
      </c>
      <c r="H1206" s="167"/>
      <c r="I1206" s="165" t="s">
        <v>299</v>
      </c>
      <c r="J1206" s="167"/>
      <c r="K1206" s="167">
        <v>12.51</v>
      </c>
      <c r="L1206" s="167">
        <v>22</v>
      </c>
      <c r="M1206" s="168">
        <v>0.39374999999999999</v>
      </c>
      <c r="N1206" s="67" t="s">
        <v>318</v>
      </c>
    </row>
    <row r="1207" spans="1:17" x14ac:dyDescent="0.25">
      <c r="A1207" s="66">
        <v>45195</v>
      </c>
      <c r="B1207" s="67" t="s">
        <v>49</v>
      </c>
      <c r="C1207" s="129" t="str">
        <f t="shared" si="36"/>
        <v>26.09.2023_KIRun</v>
      </c>
      <c r="D1207" s="143">
        <f t="shared" si="37"/>
        <v>1</v>
      </c>
      <c r="E1207" s="157">
        <v>7.92</v>
      </c>
      <c r="F1207" s="165"/>
      <c r="G1207" s="166">
        <v>1013</v>
      </c>
      <c r="H1207" s="167"/>
      <c r="I1207" s="165" t="s">
        <v>299</v>
      </c>
      <c r="J1207" s="167"/>
      <c r="K1207" s="167">
        <v>12.41</v>
      </c>
      <c r="L1207" s="167">
        <v>13</v>
      </c>
      <c r="M1207" s="168">
        <v>0.38194444444444398</v>
      </c>
      <c r="N1207" s="67" t="s">
        <v>319</v>
      </c>
    </row>
    <row r="1208" spans="1:17" x14ac:dyDescent="0.25">
      <c r="A1208" s="66">
        <v>45195</v>
      </c>
      <c r="B1208" s="67" t="s">
        <v>50</v>
      </c>
      <c r="C1208" s="129" t="str">
        <f t="shared" si="36"/>
        <v>26.09.2023_LIEohBo</v>
      </c>
      <c r="D1208" s="143">
        <f t="shared" si="37"/>
        <v>1</v>
      </c>
      <c r="E1208" s="157">
        <v>7.87</v>
      </c>
      <c r="F1208" s="165"/>
      <c r="G1208" s="166">
        <v>803</v>
      </c>
      <c r="H1208" s="167"/>
      <c r="I1208" s="165" t="s">
        <v>299</v>
      </c>
      <c r="J1208" s="167"/>
      <c r="K1208" s="167">
        <v>10.87</v>
      </c>
      <c r="L1208" s="167">
        <v>15</v>
      </c>
      <c r="M1208" s="168">
        <v>0.36388888888888898</v>
      </c>
      <c r="N1208" s="67" t="s">
        <v>318</v>
      </c>
    </row>
    <row r="1209" spans="1:17" x14ac:dyDescent="0.25">
      <c r="A1209" s="66">
        <v>45195</v>
      </c>
      <c r="B1209" s="67" t="s">
        <v>53</v>
      </c>
      <c r="C1209" s="129" t="str">
        <f t="shared" si="36"/>
        <v>26.09.2023_NATohBo</v>
      </c>
      <c r="D1209" s="143">
        <f t="shared" si="37"/>
        <v>1</v>
      </c>
      <c r="E1209" s="157">
        <v>7.69</v>
      </c>
      <c r="F1209" s="165"/>
      <c r="G1209" s="166">
        <v>1894</v>
      </c>
      <c r="H1209" s="167"/>
      <c r="I1209" s="165" t="s">
        <v>299</v>
      </c>
      <c r="J1209" s="167"/>
      <c r="K1209" s="167">
        <v>14.66</v>
      </c>
      <c r="L1209" s="167">
        <v>19</v>
      </c>
      <c r="M1209" s="168">
        <v>0.56666666666666698</v>
      </c>
      <c r="N1209" s="67" t="s">
        <v>320</v>
      </c>
    </row>
    <row r="1210" spans="1:17" x14ac:dyDescent="0.25">
      <c r="A1210" s="66">
        <v>45195</v>
      </c>
      <c r="B1210" s="67" t="s">
        <v>55</v>
      </c>
      <c r="C1210" s="129" t="str">
        <f t="shared" si="36"/>
        <v>26.09.2023_QUAohBo</v>
      </c>
      <c r="D1210" s="143">
        <f t="shared" si="37"/>
        <v>1</v>
      </c>
      <c r="E1210" s="157">
        <v>7.51</v>
      </c>
      <c r="F1210" s="165"/>
      <c r="G1210" s="166">
        <v>884</v>
      </c>
      <c r="H1210" s="167"/>
      <c r="I1210" s="165" t="s">
        <v>299</v>
      </c>
      <c r="J1210" s="167"/>
      <c r="K1210" s="167">
        <v>13.69</v>
      </c>
      <c r="L1210" s="167">
        <v>17</v>
      </c>
      <c r="M1210" s="168">
        <v>0.51597222222222205</v>
      </c>
      <c r="N1210" s="67" t="s">
        <v>321</v>
      </c>
    </row>
    <row r="1211" spans="1:17" x14ac:dyDescent="0.25">
      <c r="A1211" s="66">
        <v>45195</v>
      </c>
      <c r="B1211" s="67" t="s">
        <v>57</v>
      </c>
      <c r="C1211" s="129" t="str">
        <f t="shared" si="36"/>
        <v>26.09.2023_SCHohVo</v>
      </c>
      <c r="D1211" s="143">
        <f t="shared" si="37"/>
        <v>1</v>
      </c>
      <c r="E1211" s="157">
        <v>8.11</v>
      </c>
      <c r="F1211" s="165"/>
      <c r="G1211" s="166">
        <v>590</v>
      </c>
      <c r="H1211" s="167"/>
      <c r="I1211" s="165" t="s">
        <v>299</v>
      </c>
      <c r="J1211" s="167"/>
      <c r="K1211" s="167">
        <v>12.81</v>
      </c>
      <c r="L1211" s="167">
        <v>6</v>
      </c>
      <c r="M1211" s="168">
        <v>0.40416666666666701</v>
      </c>
      <c r="N1211" s="67" t="s">
        <v>322</v>
      </c>
    </row>
    <row r="1212" spans="1:17" x14ac:dyDescent="0.25">
      <c r="A1212" s="66">
        <v>45195</v>
      </c>
      <c r="B1212" s="67" t="s">
        <v>60</v>
      </c>
      <c r="C1212" s="129" t="str">
        <f t="shared" si="36"/>
        <v>26.09.2023_VORohBo</v>
      </c>
      <c r="D1212" s="143">
        <f t="shared" si="37"/>
        <v>1</v>
      </c>
      <c r="E1212" s="157">
        <v>7.55</v>
      </c>
      <c r="F1212" s="165"/>
      <c r="G1212" s="166">
        <v>1139</v>
      </c>
      <c r="H1212" s="167"/>
      <c r="I1212" s="165" t="s">
        <v>299</v>
      </c>
      <c r="J1212" s="167"/>
      <c r="K1212" s="167">
        <v>12.17</v>
      </c>
      <c r="L1212" s="167">
        <v>18</v>
      </c>
      <c r="M1212" s="168">
        <v>0.421527777777778</v>
      </c>
      <c r="N1212" s="67" t="s">
        <v>323</v>
      </c>
    </row>
    <row r="1213" spans="1:17" x14ac:dyDescent="0.25">
      <c r="A1213" s="66">
        <v>45195</v>
      </c>
      <c r="B1213" s="67" t="s">
        <v>62</v>
      </c>
      <c r="C1213" s="129" t="str">
        <f t="shared" si="36"/>
        <v>26.09.2023_VORuhSc</v>
      </c>
      <c r="D1213" s="143">
        <f t="shared" si="37"/>
        <v>1</v>
      </c>
      <c r="E1213" s="157">
        <v>7.22</v>
      </c>
      <c r="F1213" s="165"/>
      <c r="G1213" s="166">
        <v>1130</v>
      </c>
      <c r="H1213" s="167"/>
      <c r="I1213" s="165" t="s">
        <v>299</v>
      </c>
      <c r="J1213" s="167"/>
      <c r="K1213" s="167">
        <v>12.85</v>
      </c>
      <c r="L1213" s="167">
        <v>12</v>
      </c>
      <c r="M1213" s="168">
        <v>0.41249999999999998</v>
      </c>
      <c r="N1213" s="67" t="s">
        <v>324</v>
      </c>
    </row>
    <row r="1214" spans="1:17" x14ac:dyDescent="0.25">
      <c r="A1214" s="66">
        <v>45195</v>
      </c>
      <c r="B1214" s="67" t="s">
        <v>64</v>
      </c>
      <c r="C1214" s="129" t="str">
        <f t="shared" si="36"/>
        <v>26.09.2023_WITob</v>
      </c>
      <c r="D1214" s="143">
        <f t="shared" si="37"/>
        <v>1</v>
      </c>
      <c r="E1214" s="157">
        <v>8</v>
      </c>
      <c r="F1214" s="165"/>
      <c r="G1214" s="166">
        <v>1333</v>
      </c>
      <c r="H1214" s="167"/>
      <c r="I1214" s="165" t="s">
        <v>299</v>
      </c>
      <c r="J1214" s="167"/>
      <c r="K1214" s="167">
        <v>15.2</v>
      </c>
      <c r="L1214" s="167">
        <v>5</v>
      </c>
      <c r="M1214" s="168">
        <v>0.55000000000000004</v>
      </c>
      <c r="N1214" s="67" t="s">
        <v>325</v>
      </c>
    </row>
    <row r="1215" spans="1:17" s="24" customFormat="1" ht="15" x14ac:dyDescent="0.25">
      <c r="A1215" s="66">
        <v>45205</v>
      </c>
      <c r="B1215" s="67" t="s">
        <v>22</v>
      </c>
      <c r="C1215" s="129" t="str">
        <f t="shared" ref="C1215:C1278" si="38">CONCATENATE(TEXT(A1215,"TT.MM.JJJJ"),"_",B1215)</f>
        <v>06.10.2023_BOYkl</v>
      </c>
      <c r="D1215" s="143">
        <f t="shared" si="37"/>
        <v>0</v>
      </c>
      <c r="E1215" s="157">
        <v>7.95</v>
      </c>
      <c r="F1215" s="165"/>
      <c r="G1215" s="166">
        <v>505</v>
      </c>
      <c r="H1215" s="167">
        <v>8.8000000000000007</v>
      </c>
      <c r="I1215" s="165"/>
      <c r="J1215" s="167"/>
      <c r="K1215" s="167">
        <v>13.8</v>
      </c>
      <c r="L1215" s="167">
        <v>2.2999999999999998</v>
      </c>
      <c r="M1215" s="168">
        <v>0.45486111111111099</v>
      </c>
      <c r="N1215" s="67"/>
      <c r="P1215" s="37"/>
      <c r="Q1215" s="37"/>
    </row>
    <row r="1216" spans="1:17" s="24" customFormat="1" ht="15" x14ac:dyDescent="0.25">
      <c r="A1216" s="66">
        <v>45205</v>
      </c>
      <c r="B1216" s="67" t="s">
        <v>25</v>
      </c>
      <c r="C1216" s="129" t="str">
        <f t="shared" si="38"/>
        <v>06.10.2023_BOYohB224</v>
      </c>
      <c r="D1216" s="143">
        <f t="shared" ref="D1216:D1279" si="39">COUNTBLANK(E1216)+COUNTBLANK(G1216:H1216)+COUNTBLANK(K1216:L1216)</f>
        <v>0</v>
      </c>
      <c r="E1216" s="157">
        <v>8.24</v>
      </c>
      <c r="F1216" s="165"/>
      <c r="G1216" s="166">
        <v>1104</v>
      </c>
      <c r="H1216" s="167">
        <v>10.9</v>
      </c>
      <c r="I1216" s="165"/>
      <c r="J1216" s="167"/>
      <c r="K1216" s="167">
        <v>15.2</v>
      </c>
      <c r="L1216" s="167">
        <v>34.299999999999997</v>
      </c>
      <c r="M1216" s="168">
        <v>0.59236111111111101</v>
      </c>
      <c r="N1216" s="67"/>
      <c r="P1216" s="37"/>
      <c r="Q1216" s="37"/>
    </row>
    <row r="1217" spans="1:17" s="24" customFormat="1" ht="15" x14ac:dyDescent="0.25">
      <c r="A1217" s="66">
        <v>45205</v>
      </c>
      <c r="B1217" s="67" t="s">
        <v>28</v>
      </c>
      <c r="C1217" s="129" t="str">
        <f t="shared" si="38"/>
        <v>06.10.2023_BOYohBr</v>
      </c>
      <c r="D1217" s="143">
        <f t="shared" si="39"/>
        <v>0</v>
      </c>
      <c r="E1217" s="157">
        <v>7.76</v>
      </c>
      <c r="F1217" s="165"/>
      <c r="G1217" s="166">
        <v>594</v>
      </c>
      <c r="H1217" s="167">
        <v>7.7</v>
      </c>
      <c r="I1217" s="165"/>
      <c r="J1217" s="167"/>
      <c r="K1217" s="167">
        <v>13.1</v>
      </c>
      <c r="L1217" s="167">
        <v>19.8</v>
      </c>
      <c r="M1217" s="168">
        <v>0.499305555555556</v>
      </c>
      <c r="N1217" s="67"/>
      <c r="P1217" s="37"/>
      <c r="Q1217" s="37"/>
    </row>
    <row r="1218" spans="1:17" s="24" customFormat="1" ht="15" x14ac:dyDescent="0.25">
      <c r="A1218" s="66">
        <v>45205</v>
      </c>
      <c r="B1218" s="67" t="s">
        <v>30</v>
      </c>
      <c r="C1218" s="129" t="str">
        <f t="shared" si="38"/>
        <v>06.10.2023_BOYohKi</v>
      </c>
      <c r="D1218" s="143">
        <f t="shared" si="39"/>
        <v>0</v>
      </c>
      <c r="E1218" s="157">
        <v>7.94</v>
      </c>
      <c r="F1218" s="165"/>
      <c r="G1218" s="166">
        <v>844</v>
      </c>
      <c r="H1218" s="167">
        <v>7.9</v>
      </c>
      <c r="I1218" s="165"/>
      <c r="J1218" s="167"/>
      <c r="K1218" s="167">
        <v>12.4</v>
      </c>
      <c r="L1218" s="167">
        <v>14.4</v>
      </c>
      <c r="M1218" s="168">
        <v>0.391666666666667</v>
      </c>
      <c r="N1218" s="67"/>
      <c r="P1218" s="37"/>
      <c r="Q1218" s="37"/>
    </row>
    <row r="1219" spans="1:17" s="24" customFormat="1" ht="15" x14ac:dyDescent="0.25">
      <c r="A1219" s="66">
        <v>45205</v>
      </c>
      <c r="B1219" s="67" t="s">
        <v>32</v>
      </c>
      <c r="C1219" s="129" t="str">
        <f t="shared" si="38"/>
        <v>06.10.2023_BOYohSp</v>
      </c>
      <c r="D1219" s="143">
        <f t="shared" si="39"/>
        <v>0</v>
      </c>
      <c r="E1219" s="157">
        <v>7.83</v>
      </c>
      <c r="F1219" s="165"/>
      <c r="G1219" s="166">
        <v>676</v>
      </c>
      <c r="H1219" s="167">
        <v>8</v>
      </c>
      <c r="I1219" s="165"/>
      <c r="J1219" s="167"/>
      <c r="K1219" s="167">
        <v>13.2</v>
      </c>
      <c r="L1219" s="167">
        <v>11</v>
      </c>
      <c r="M1219" s="168">
        <v>0.51666666666666705</v>
      </c>
      <c r="N1219" s="67"/>
      <c r="P1219" s="37"/>
      <c r="Q1219" s="37"/>
    </row>
    <row r="1220" spans="1:17" s="24" customFormat="1" ht="15" x14ac:dyDescent="0.25">
      <c r="A1220" s="66">
        <v>45205</v>
      </c>
      <c r="B1220" s="67" t="s">
        <v>34</v>
      </c>
      <c r="C1220" s="129" t="str">
        <f t="shared" si="38"/>
        <v>06.10.2023_BOYuhHa</v>
      </c>
      <c r="D1220" s="143">
        <f t="shared" si="39"/>
        <v>0</v>
      </c>
      <c r="E1220" s="157">
        <v>8.01</v>
      </c>
      <c r="F1220" s="165"/>
      <c r="G1220" s="166">
        <v>1089</v>
      </c>
      <c r="H1220" s="167">
        <v>9.1</v>
      </c>
      <c r="I1220" s="165"/>
      <c r="J1220" s="167"/>
      <c r="K1220" s="167">
        <v>12.3</v>
      </c>
      <c r="L1220" s="167">
        <v>17.5</v>
      </c>
      <c r="M1220" s="168">
        <v>0.37013888888888902</v>
      </c>
      <c r="N1220" s="67"/>
      <c r="P1220" s="37"/>
      <c r="Q1220" s="37"/>
    </row>
    <row r="1221" spans="1:17" s="24" customFormat="1" ht="15" x14ac:dyDescent="0.25">
      <c r="A1221" s="66">
        <v>45205</v>
      </c>
      <c r="B1221" s="67" t="s">
        <v>36</v>
      </c>
      <c r="C1221" s="129" t="str">
        <f t="shared" si="38"/>
        <v>06.10.2023_BOYuhSp</v>
      </c>
      <c r="D1221" s="143">
        <f t="shared" si="39"/>
        <v>0</v>
      </c>
      <c r="E1221" s="157">
        <v>7.88</v>
      </c>
      <c r="F1221" s="165"/>
      <c r="G1221" s="166">
        <v>690</v>
      </c>
      <c r="H1221" s="167">
        <v>8.8000000000000007</v>
      </c>
      <c r="I1221" s="165"/>
      <c r="J1221" s="167"/>
      <c r="K1221" s="167">
        <v>13.4</v>
      </c>
      <c r="L1221" s="167">
        <v>25</v>
      </c>
      <c r="M1221" s="168">
        <v>0.51249999999999996</v>
      </c>
      <c r="N1221" s="67"/>
      <c r="P1221" s="37"/>
      <c r="Q1221" s="37"/>
    </row>
    <row r="1222" spans="1:17" s="24" customFormat="1" ht="15" x14ac:dyDescent="0.25">
      <c r="A1222" s="66">
        <v>45205</v>
      </c>
      <c r="B1222" s="67" t="s">
        <v>38</v>
      </c>
      <c r="C1222" s="129" t="str">
        <f t="shared" si="38"/>
        <v>06.10.2023_BRAob</v>
      </c>
      <c r="D1222" s="143">
        <f t="shared" si="39"/>
        <v>0</v>
      </c>
      <c r="E1222" s="157">
        <v>7.82</v>
      </c>
      <c r="F1222" s="165"/>
      <c r="G1222" s="166">
        <v>808</v>
      </c>
      <c r="H1222" s="167">
        <v>8.1</v>
      </c>
      <c r="I1222" s="165"/>
      <c r="J1222" s="167"/>
      <c r="K1222" s="167">
        <v>13.3</v>
      </c>
      <c r="L1222" s="167">
        <v>4.5999999999999996</v>
      </c>
      <c r="M1222" s="168">
        <v>0.46597222222222201</v>
      </c>
      <c r="N1222" s="67"/>
      <c r="P1222" s="37"/>
      <c r="Q1222" s="37"/>
    </row>
    <row r="1223" spans="1:17" s="24" customFormat="1" ht="15" x14ac:dyDescent="0.25">
      <c r="A1223" s="66">
        <v>45205</v>
      </c>
      <c r="B1223" s="67" t="s">
        <v>41</v>
      </c>
      <c r="C1223" s="129" t="str">
        <f t="shared" si="38"/>
        <v>06.10.2023_BRAohBo</v>
      </c>
      <c r="D1223" s="143">
        <f t="shared" si="39"/>
        <v>0</v>
      </c>
      <c r="E1223" s="157">
        <v>8.0500000000000007</v>
      </c>
      <c r="F1223" s="165"/>
      <c r="G1223" s="166">
        <v>750</v>
      </c>
      <c r="H1223" s="167">
        <v>7.9</v>
      </c>
      <c r="I1223" s="165"/>
      <c r="J1223" s="167"/>
      <c r="K1223" s="167">
        <v>13</v>
      </c>
      <c r="L1223" s="167">
        <v>12.4</v>
      </c>
      <c r="M1223" s="168">
        <v>0.47499999999999998</v>
      </c>
      <c r="N1223" s="67"/>
      <c r="P1223" s="37"/>
      <c r="Q1223" s="37"/>
    </row>
    <row r="1224" spans="1:17" s="24" customFormat="1" ht="15" x14ac:dyDescent="0.25">
      <c r="A1224" s="66">
        <v>45205</v>
      </c>
      <c r="B1224" s="67" t="s">
        <v>43</v>
      </c>
      <c r="C1224" s="129" t="str">
        <f t="shared" si="38"/>
        <v>06.10.2023_HAAob</v>
      </c>
      <c r="D1224" s="143">
        <f t="shared" si="39"/>
        <v>0</v>
      </c>
      <c r="E1224" s="157">
        <v>8.01</v>
      </c>
      <c r="F1224" s="165"/>
      <c r="G1224" s="166">
        <v>818</v>
      </c>
      <c r="H1224" s="167">
        <v>7.17</v>
      </c>
      <c r="I1224" s="165"/>
      <c r="J1224" s="167"/>
      <c r="K1224" s="167">
        <v>15.16</v>
      </c>
      <c r="L1224" s="167">
        <v>8</v>
      </c>
      <c r="M1224" s="168">
        <v>0.55347222222222203</v>
      </c>
      <c r="N1224" s="67"/>
      <c r="P1224" s="37"/>
      <c r="Q1224" s="37"/>
    </row>
    <row r="1225" spans="1:17" s="24" customFormat="1" ht="15" x14ac:dyDescent="0.25">
      <c r="A1225" s="66">
        <v>45205</v>
      </c>
      <c r="B1225" s="67" t="s">
        <v>45</v>
      </c>
      <c r="C1225" s="129" t="str">
        <f t="shared" si="38"/>
        <v>06.10.2023_HAAun</v>
      </c>
      <c r="D1225" s="143">
        <f t="shared" si="39"/>
        <v>0</v>
      </c>
      <c r="E1225" s="157">
        <v>7.95</v>
      </c>
      <c r="F1225" s="165"/>
      <c r="G1225" s="166">
        <v>1147</v>
      </c>
      <c r="H1225" s="167">
        <v>7.96</v>
      </c>
      <c r="I1225" s="165"/>
      <c r="J1225" s="167"/>
      <c r="K1225" s="167">
        <v>14.31</v>
      </c>
      <c r="L1225" s="167">
        <v>8.6999999999999993</v>
      </c>
      <c r="M1225" s="168">
        <v>0.53819444444444398</v>
      </c>
      <c r="N1225" s="67"/>
      <c r="P1225" s="37"/>
      <c r="Q1225" s="37"/>
    </row>
    <row r="1226" spans="1:17" s="24" customFormat="1" ht="15" x14ac:dyDescent="0.25">
      <c r="A1226" s="66">
        <v>45205</v>
      </c>
      <c r="B1226" s="67" t="s">
        <v>47</v>
      </c>
      <c r="C1226" s="129" t="str">
        <f t="shared" si="38"/>
        <v>06.10.2023_KIRob</v>
      </c>
      <c r="D1226" s="143">
        <f t="shared" si="39"/>
        <v>0</v>
      </c>
      <c r="E1226" s="157">
        <v>7.96</v>
      </c>
      <c r="F1226" s="165"/>
      <c r="G1226" s="166">
        <v>1138</v>
      </c>
      <c r="H1226" s="167">
        <v>7.1</v>
      </c>
      <c r="I1226" s="165"/>
      <c r="J1226" s="167"/>
      <c r="K1226" s="167">
        <v>13.2</v>
      </c>
      <c r="L1226" s="167">
        <v>11.6</v>
      </c>
      <c r="M1226" s="168">
        <v>0.40763888888888899</v>
      </c>
      <c r="N1226" s="67"/>
      <c r="P1226" s="37"/>
      <c r="Q1226" s="37"/>
    </row>
    <row r="1227" spans="1:17" s="24" customFormat="1" ht="15" x14ac:dyDescent="0.25">
      <c r="A1227" s="66">
        <v>45205</v>
      </c>
      <c r="B1227" s="67" t="s">
        <v>49</v>
      </c>
      <c r="C1227" s="129" t="str">
        <f t="shared" si="38"/>
        <v>06.10.2023_KIRun</v>
      </c>
      <c r="D1227" s="143">
        <f t="shared" si="39"/>
        <v>0</v>
      </c>
      <c r="E1227" s="157">
        <v>8.0399999999999991</v>
      </c>
      <c r="F1227" s="165"/>
      <c r="G1227" s="166">
        <v>1033</v>
      </c>
      <c r="H1227" s="167">
        <v>8</v>
      </c>
      <c r="I1227" s="165"/>
      <c r="J1227" s="167"/>
      <c r="K1227" s="167">
        <v>13</v>
      </c>
      <c r="L1227" s="167">
        <v>9.8000000000000007</v>
      </c>
      <c r="M1227" s="168">
        <v>0.4</v>
      </c>
      <c r="N1227" s="67"/>
      <c r="P1227" s="37"/>
      <c r="Q1227" s="37"/>
    </row>
    <row r="1228" spans="1:17" s="24" customFormat="1" ht="15" x14ac:dyDescent="0.25">
      <c r="A1228" s="66">
        <v>45205</v>
      </c>
      <c r="B1228" s="67" t="s">
        <v>50</v>
      </c>
      <c r="C1228" s="129" t="str">
        <f t="shared" si="38"/>
        <v>06.10.2023_LIEohBo</v>
      </c>
      <c r="D1228" s="143">
        <f t="shared" si="39"/>
        <v>0</v>
      </c>
      <c r="E1228" s="157">
        <v>7.93</v>
      </c>
      <c r="F1228" s="165"/>
      <c r="G1228" s="166">
        <v>793</v>
      </c>
      <c r="H1228" s="167">
        <v>7.1</v>
      </c>
      <c r="I1228" s="165"/>
      <c r="J1228" s="167"/>
      <c r="K1228" s="167">
        <v>12</v>
      </c>
      <c r="L1228" s="167">
        <v>17</v>
      </c>
      <c r="M1228" s="168">
        <v>0.37777777777777799</v>
      </c>
      <c r="N1228" s="67"/>
      <c r="P1228" s="37"/>
      <c r="Q1228" s="37"/>
    </row>
    <row r="1229" spans="1:17" s="24" customFormat="1" ht="15" x14ac:dyDescent="0.25">
      <c r="A1229" s="66">
        <v>45205</v>
      </c>
      <c r="B1229" s="67" t="s">
        <v>53</v>
      </c>
      <c r="C1229" s="129" t="str">
        <f t="shared" si="38"/>
        <v>06.10.2023_NATohBo</v>
      </c>
      <c r="D1229" s="143">
        <f t="shared" si="39"/>
        <v>0</v>
      </c>
      <c r="E1229" s="157">
        <v>7.72</v>
      </c>
      <c r="F1229" s="165"/>
      <c r="G1229" s="166">
        <v>2140</v>
      </c>
      <c r="H1229" s="167">
        <v>7.86</v>
      </c>
      <c r="I1229" s="165"/>
      <c r="J1229" s="167"/>
      <c r="K1229" s="167">
        <v>14.5</v>
      </c>
      <c r="L1229" s="167">
        <v>11</v>
      </c>
      <c r="M1229" s="168">
        <v>0.58194444444444504</v>
      </c>
      <c r="N1229" s="67"/>
      <c r="P1229" s="37"/>
      <c r="Q1229" s="37"/>
    </row>
    <row r="1230" spans="1:17" s="24" customFormat="1" ht="15" x14ac:dyDescent="0.25">
      <c r="A1230" s="66">
        <v>45205</v>
      </c>
      <c r="B1230" s="67" t="s">
        <v>55</v>
      </c>
      <c r="C1230" s="129" t="str">
        <f t="shared" si="38"/>
        <v>06.10.2023_QUAohBo</v>
      </c>
      <c r="D1230" s="143">
        <f t="shared" si="39"/>
        <v>0</v>
      </c>
      <c r="E1230" s="157">
        <v>7.73</v>
      </c>
      <c r="F1230" s="165"/>
      <c r="G1230" s="166">
        <v>860</v>
      </c>
      <c r="H1230" s="167">
        <v>6.8</v>
      </c>
      <c r="I1230" s="165"/>
      <c r="J1230" s="167"/>
      <c r="K1230" s="167">
        <v>13.7</v>
      </c>
      <c r="L1230" s="167">
        <v>5.0999999999999996</v>
      </c>
      <c r="M1230" s="168">
        <v>0.52708333333333302</v>
      </c>
      <c r="N1230" s="67"/>
      <c r="P1230" s="37"/>
      <c r="Q1230" s="37"/>
    </row>
    <row r="1231" spans="1:17" s="24" customFormat="1" ht="15" x14ac:dyDescent="0.25">
      <c r="A1231" s="66">
        <v>45205</v>
      </c>
      <c r="B1231" s="67" t="s">
        <v>57</v>
      </c>
      <c r="C1231" s="129" t="str">
        <f t="shared" si="38"/>
        <v>06.10.2023_SCHohVo</v>
      </c>
      <c r="D1231" s="143">
        <f t="shared" si="39"/>
        <v>0</v>
      </c>
      <c r="E1231" s="157">
        <v>8.19</v>
      </c>
      <c r="F1231" s="165"/>
      <c r="G1231" s="166">
        <v>810</v>
      </c>
      <c r="H1231" s="167">
        <v>8.3000000000000007</v>
      </c>
      <c r="I1231" s="165"/>
      <c r="J1231" s="167"/>
      <c r="K1231" s="167">
        <v>12.9</v>
      </c>
      <c r="L1231" s="167">
        <v>2.8</v>
      </c>
      <c r="M1231" s="168">
        <v>0.42013888888888901</v>
      </c>
      <c r="N1231" s="67"/>
      <c r="P1231" s="37"/>
      <c r="Q1231" s="37"/>
    </row>
    <row r="1232" spans="1:17" s="24" customFormat="1" ht="15" x14ac:dyDescent="0.25">
      <c r="A1232" s="66">
        <v>45205</v>
      </c>
      <c r="B1232" s="67" t="s">
        <v>60</v>
      </c>
      <c r="C1232" s="129" t="str">
        <f t="shared" si="38"/>
        <v>06.10.2023_VORohBo</v>
      </c>
      <c r="D1232" s="143">
        <f t="shared" si="39"/>
        <v>0</v>
      </c>
      <c r="E1232" s="157">
        <v>7.62</v>
      </c>
      <c r="F1232" s="165"/>
      <c r="G1232" s="166">
        <v>1145</v>
      </c>
      <c r="H1232" s="167">
        <v>6.5</v>
      </c>
      <c r="I1232" s="165"/>
      <c r="J1232" s="167"/>
      <c r="K1232" s="167">
        <v>12.6</v>
      </c>
      <c r="L1232" s="167">
        <v>15.8</v>
      </c>
      <c r="M1232" s="168">
        <v>0.43958333333333299</v>
      </c>
      <c r="N1232" s="67"/>
      <c r="P1232" s="37"/>
      <c r="Q1232" s="37"/>
    </row>
    <row r="1233" spans="1:17" s="24" customFormat="1" ht="15" x14ac:dyDescent="0.25">
      <c r="A1233" s="66">
        <v>45205</v>
      </c>
      <c r="B1233" s="67" t="s">
        <v>62</v>
      </c>
      <c r="C1233" s="129" t="str">
        <f t="shared" si="38"/>
        <v>06.10.2023_VORuhSc</v>
      </c>
      <c r="D1233" s="143">
        <f t="shared" si="39"/>
        <v>0</v>
      </c>
      <c r="E1233" s="157">
        <v>7.31</v>
      </c>
      <c r="F1233" s="165"/>
      <c r="G1233" s="166">
        <v>1145</v>
      </c>
      <c r="H1233" s="167">
        <v>6</v>
      </c>
      <c r="I1233" s="165"/>
      <c r="J1233" s="167"/>
      <c r="K1233" s="167">
        <v>12.9</v>
      </c>
      <c r="L1233" s="167">
        <v>5.4</v>
      </c>
      <c r="M1233" s="168">
        <v>0.42986111111111103</v>
      </c>
      <c r="N1233" s="67"/>
      <c r="P1233" s="37"/>
      <c r="Q1233" s="37"/>
    </row>
    <row r="1234" spans="1:17" s="24" customFormat="1" ht="15" x14ac:dyDescent="0.25">
      <c r="A1234" s="66">
        <v>45205</v>
      </c>
      <c r="B1234" s="67" t="s">
        <v>64</v>
      </c>
      <c r="C1234" s="129" t="str">
        <f t="shared" si="38"/>
        <v>06.10.2023_WITob</v>
      </c>
      <c r="D1234" s="143">
        <f t="shared" si="39"/>
        <v>0</v>
      </c>
      <c r="E1234" s="157">
        <v>8.15</v>
      </c>
      <c r="F1234" s="165"/>
      <c r="G1234" s="166">
        <v>1338</v>
      </c>
      <c r="H1234" s="167">
        <v>8.68</v>
      </c>
      <c r="I1234" s="165"/>
      <c r="J1234" s="167"/>
      <c r="K1234" s="167">
        <v>14.59</v>
      </c>
      <c r="L1234" s="167">
        <v>3.5</v>
      </c>
      <c r="M1234" s="168">
        <v>0.56666666666666698</v>
      </c>
      <c r="N1234" s="67"/>
      <c r="P1234" s="37"/>
      <c r="Q1234" s="37"/>
    </row>
    <row r="1235" spans="1:17" s="24" customFormat="1" ht="15" x14ac:dyDescent="0.25">
      <c r="A1235" s="66">
        <v>45223</v>
      </c>
      <c r="B1235" s="67" t="s">
        <v>22</v>
      </c>
      <c r="C1235" s="129" t="str">
        <f t="shared" si="38"/>
        <v>24.10.2023_BOYkl</v>
      </c>
      <c r="D1235" s="143">
        <f t="shared" si="39"/>
        <v>0</v>
      </c>
      <c r="E1235" s="157">
        <v>7.23</v>
      </c>
      <c r="F1235" s="165"/>
      <c r="G1235" s="166">
        <v>459</v>
      </c>
      <c r="H1235" s="167">
        <v>7.9</v>
      </c>
      <c r="I1235" s="165"/>
      <c r="J1235" s="167"/>
      <c r="K1235" s="167">
        <v>13.6</v>
      </c>
      <c r="L1235" s="167">
        <v>11.5</v>
      </c>
      <c r="M1235" s="168">
        <v>0.52152777777777803</v>
      </c>
      <c r="N1235" s="67"/>
      <c r="P1235" s="37"/>
      <c r="Q1235" s="37"/>
    </row>
    <row r="1236" spans="1:17" s="24" customFormat="1" ht="15" x14ac:dyDescent="0.25">
      <c r="A1236" s="66">
        <v>45223</v>
      </c>
      <c r="B1236" s="67" t="s">
        <v>25</v>
      </c>
      <c r="C1236" s="129" t="str">
        <f t="shared" si="38"/>
        <v>24.10.2023_BOYohB224</v>
      </c>
      <c r="D1236" s="143">
        <f t="shared" si="39"/>
        <v>1</v>
      </c>
      <c r="E1236" s="157">
        <v>7.82</v>
      </c>
      <c r="F1236" s="165"/>
      <c r="G1236" s="166">
        <v>810</v>
      </c>
      <c r="H1236" s="167">
        <v>8.1999999999999993</v>
      </c>
      <c r="I1236" s="165"/>
      <c r="J1236" s="167"/>
      <c r="K1236" s="167"/>
      <c r="L1236" s="167">
        <v>33</v>
      </c>
      <c r="M1236" s="168">
        <v>0.62986111111111098</v>
      </c>
      <c r="N1236" s="67"/>
      <c r="P1236" s="37"/>
      <c r="Q1236" s="37"/>
    </row>
    <row r="1237" spans="1:17" s="24" customFormat="1" ht="15" x14ac:dyDescent="0.25">
      <c r="A1237" s="66">
        <v>45223</v>
      </c>
      <c r="B1237" s="67" t="s">
        <v>28</v>
      </c>
      <c r="C1237" s="129" t="str">
        <f t="shared" si="38"/>
        <v>24.10.2023_BOYohBr</v>
      </c>
      <c r="D1237" s="143">
        <f t="shared" si="39"/>
        <v>0</v>
      </c>
      <c r="E1237" s="157">
        <v>7.42</v>
      </c>
      <c r="F1237" s="165"/>
      <c r="G1237" s="166">
        <v>535</v>
      </c>
      <c r="H1237" s="167">
        <v>6.3</v>
      </c>
      <c r="I1237" s="165"/>
      <c r="J1237" s="167"/>
      <c r="K1237" s="167">
        <v>12.9</v>
      </c>
      <c r="L1237" s="167">
        <v>30</v>
      </c>
      <c r="M1237" s="168">
        <v>0.55694444444444502</v>
      </c>
      <c r="N1237" s="67"/>
      <c r="P1237" s="37"/>
      <c r="Q1237" s="37"/>
    </row>
    <row r="1238" spans="1:17" s="24" customFormat="1" ht="15" x14ac:dyDescent="0.25">
      <c r="A1238" s="66">
        <v>45223</v>
      </c>
      <c r="B1238" s="67" t="s">
        <v>30</v>
      </c>
      <c r="C1238" s="129" t="str">
        <f t="shared" si="38"/>
        <v>24.10.2023_BOYohKi</v>
      </c>
      <c r="D1238" s="143">
        <f t="shared" si="39"/>
        <v>0</v>
      </c>
      <c r="E1238" s="157">
        <v>7.62</v>
      </c>
      <c r="F1238" s="165"/>
      <c r="G1238" s="166">
        <v>718</v>
      </c>
      <c r="H1238" s="167">
        <v>7.4</v>
      </c>
      <c r="I1238" s="165"/>
      <c r="J1238" s="167"/>
      <c r="K1238" s="167">
        <v>12.6</v>
      </c>
      <c r="L1238" s="167">
        <v>54</v>
      </c>
      <c r="M1238" s="168">
        <v>0.46319444444444402</v>
      </c>
      <c r="N1238" s="67"/>
      <c r="P1238" s="37"/>
      <c r="Q1238" s="37"/>
    </row>
    <row r="1239" spans="1:17" s="24" customFormat="1" ht="15" x14ac:dyDescent="0.25">
      <c r="A1239" s="66">
        <v>45223</v>
      </c>
      <c r="B1239" s="67" t="s">
        <v>32</v>
      </c>
      <c r="C1239" s="129" t="str">
        <f t="shared" si="38"/>
        <v>24.10.2023_BOYohSp</v>
      </c>
      <c r="D1239" s="143">
        <f t="shared" si="39"/>
        <v>0</v>
      </c>
      <c r="E1239" s="157">
        <v>7.44</v>
      </c>
      <c r="F1239" s="165"/>
      <c r="G1239" s="166">
        <v>651</v>
      </c>
      <c r="H1239" s="167">
        <v>6.7</v>
      </c>
      <c r="I1239" s="165"/>
      <c r="J1239" s="167"/>
      <c r="K1239" s="167">
        <v>13</v>
      </c>
      <c r="L1239" s="167">
        <v>21</v>
      </c>
      <c r="M1239" s="168">
        <v>0.57499999999999996</v>
      </c>
      <c r="N1239" s="67"/>
      <c r="P1239" s="37"/>
      <c r="Q1239" s="37"/>
    </row>
    <row r="1240" spans="1:17" s="24" customFormat="1" ht="15" x14ac:dyDescent="0.25">
      <c r="A1240" s="66">
        <v>45223</v>
      </c>
      <c r="B1240" s="67" t="s">
        <v>34</v>
      </c>
      <c r="C1240" s="129" t="str">
        <f t="shared" si="38"/>
        <v>24.10.2023_BOYuhHa</v>
      </c>
      <c r="D1240" s="143">
        <f t="shared" si="39"/>
        <v>0</v>
      </c>
      <c r="E1240" s="157">
        <v>7.82</v>
      </c>
      <c r="F1240" s="165"/>
      <c r="G1240" s="166">
        <v>861</v>
      </c>
      <c r="H1240" s="167">
        <v>8.1</v>
      </c>
      <c r="I1240" s="165"/>
      <c r="J1240" s="167"/>
      <c r="K1240" s="167">
        <v>12.4</v>
      </c>
      <c r="L1240" s="167">
        <v>25</v>
      </c>
      <c r="M1240" s="168">
        <v>0.44583333333333303</v>
      </c>
      <c r="N1240" s="67"/>
      <c r="P1240" s="37"/>
      <c r="Q1240" s="37"/>
    </row>
    <row r="1241" spans="1:17" s="24" customFormat="1" ht="15" x14ac:dyDescent="0.25">
      <c r="A1241" s="66">
        <v>45223</v>
      </c>
      <c r="B1241" s="67" t="s">
        <v>36</v>
      </c>
      <c r="C1241" s="129" t="str">
        <f t="shared" si="38"/>
        <v>24.10.2023_BOYuhSp</v>
      </c>
      <c r="D1241" s="143">
        <f t="shared" si="39"/>
        <v>0</v>
      </c>
      <c r="E1241" s="157">
        <v>7.48</v>
      </c>
      <c r="F1241" s="165"/>
      <c r="G1241" s="166">
        <v>659</v>
      </c>
      <c r="H1241" s="167">
        <v>6.9</v>
      </c>
      <c r="I1241" s="165"/>
      <c r="J1241" s="167"/>
      <c r="K1241" s="167">
        <v>12.9</v>
      </c>
      <c r="L1241" s="167">
        <v>37</v>
      </c>
      <c r="M1241" s="168">
        <v>0.57013888888888897</v>
      </c>
      <c r="N1241" s="67"/>
      <c r="P1241" s="37"/>
      <c r="Q1241" s="37"/>
    </row>
    <row r="1242" spans="1:17" s="24" customFormat="1" ht="15" x14ac:dyDescent="0.25">
      <c r="A1242" s="66">
        <v>45223</v>
      </c>
      <c r="B1242" s="67" t="s">
        <v>38</v>
      </c>
      <c r="C1242" s="129" t="str">
        <f t="shared" si="38"/>
        <v>24.10.2023_BRAob</v>
      </c>
      <c r="D1242" s="143">
        <f t="shared" si="39"/>
        <v>0</v>
      </c>
      <c r="E1242" s="157">
        <v>7.47</v>
      </c>
      <c r="F1242" s="165"/>
      <c r="G1242" s="166">
        <v>967</v>
      </c>
      <c r="H1242" s="167">
        <v>7.1</v>
      </c>
      <c r="I1242" s="165"/>
      <c r="J1242" s="167"/>
      <c r="K1242" s="167">
        <v>12.8</v>
      </c>
      <c r="L1242" s="167">
        <v>13.5</v>
      </c>
      <c r="M1242" s="168">
        <v>0.53472222222222199</v>
      </c>
      <c r="N1242" s="67"/>
      <c r="P1242" s="37"/>
      <c r="Q1242" s="37"/>
    </row>
    <row r="1243" spans="1:17" s="24" customFormat="1" ht="15" x14ac:dyDescent="0.25">
      <c r="A1243" s="66">
        <v>45223</v>
      </c>
      <c r="B1243" s="67" t="s">
        <v>41</v>
      </c>
      <c r="C1243" s="129" t="str">
        <f t="shared" si="38"/>
        <v>24.10.2023_BRAohBo</v>
      </c>
      <c r="D1243" s="143">
        <f t="shared" si="39"/>
        <v>0</v>
      </c>
      <c r="E1243" s="157">
        <v>7.35</v>
      </c>
      <c r="F1243" s="165"/>
      <c r="G1243" s="166">
        <v>711</v>
      </c>
      <c r="H1243" s="167">
        <v>5.0999999999999996</v>
      </c>
      <c r="I1243" s="165"/>
      <c r="J1243" s="167"/>
      <c r="K1243" s="167">
        <v>13</v>
      </c>
      <c r="L1243" s="167">
        <v>19</v>
      </c>
      <c r="M1243" s="168">
        <v>0.54583333333333295</v>
      </c>
      <c r="N1243" s="67"/>
      <c r="P1243" s="37"/>
      <c r="Q1243" s="37"/>
    </row>
    <row r="1244" spans="1:17" s="24" customFormat="1" ht="15" x14ac:dyDescent="0.25">
      <c r="A1244" s="66">
        <v>45223</v>
      </c>
      <c r="B1244" s="67" t="s">
        <v>43</v>
      </c>
      <c r="C1244" s="129" t="str">
        <f t="shared" si="38"/>
        <v>24.10.2023_HAAob</v>
      </c>
      <c r="D1244" s="143">
        <f t="shared" si="39"/>
        <v>0</v>
      </c>
      <c r="E1244" s="157">
        <v>7.84</v>
      </c>
      <c r="F1244" s="165"/>
      <c r="G1244" s="166">
        <v>767</v>
      </c>
      <c r="H1244" s="167">
        <v>7.48</v>
      </c>
      <c r="I1244" s="165"/>
      <c r="J1244" s="167"/>
      <c r="K1244" s="167">
        <v>13.64</v>
      </c>
      <c r="L1244" s="167">
        <v>11</v>
      </c>
      <c r="M1244" s="168">
        <v>0.60416666666666696</v>
      </c>
      <c r="N1244" s="67"/>
      <c r="P1244" s="37"/>
      <c r="Q1244" s="37"/>
    </row>
    <row r="1245" spans="1:17" s="24" customFormat="1" ht="15" x14ac:dyDescent="0.25">
      <c r="A1245" s="66">
        <v>45223</v>
      </c>
      <c r="B1245" s="67" t="s">
        <v>45</v>
      </c>
      <c r="C1245" s="129" t="str">
        <f t="shared" si="38"/>
        <v>24.10.2023_HAAun</v>
      </c>
      <c r="D1245" s="143">
        <f t="shared" si="39"/>
        <v>0</v>
      </c>
      <c r="E1245" s="157">
        <v>7.5</v>
      </c>
      <c r="F1245" s="165"/>
      <c r="G1245" s="166">
        <v>979</v>
      </c>
      <c r="H1245" s="167">
        <v>7.07</v>
      </c>
      <c r="I1245" s="165"/>
      <c r="J1245" s="167"/>
      <c r="K1245" s="167">
        <v>13.35</v>
      </c>
      <c r="L1245" s="167">
        <v>11</v>
      </c>
      <c r="M1245" s="168">
        <v>0.59583333333333299</v>
      </c>
      <c r="N1245" s="67"/>
      <c r="P1245" s="37"/>
      <c r="Q1245" s="37"/>
    </row>
    <row r="1246" spans="1:17" s="24" customFormat="1" ht="15" x14ac:dyDescent="0.25">
      <c r="A1246" s="66">
        <v>45223</v>
      </c>
      <c r="B1246" s="67" t="s">
        <v>47</v>
      </c>
      <c r="C1246" s="129" t="str">
        <f t="shared" si="38"/>
        <v>24.10.2023_KIRob</v>
      </c>
      <c r="D1246" s="143">
        <f t="shared" si="39"/>
        <v>0</v>
      </c>
      <c r="E1246" s="157">
        <v>7.64</v>
      </c>
      <c r="F1246" s="165"/>
      <c r="G1246" s="166">
        <v>1104</v>
      </c>
      <c r="H1246" s="167">
        <v>6.1</v>
      </c>
      <c r="I1246" s="165"/>
      <c r="J1246" s="167"/>
      <c r="K1246" s="167">
        <v>13.1</v>
      </c>
      <c r="L1246" s="167">
        <v>8</v>
      </c>
      <c r="M1246" s="168">
        <v>0.47986111111111102</v>
      </c>
      <c r="N1246" s="67"/>
      <c r="P1246" s="37"/>
      <c r="Q1246" s="37"/>
    </row>
    <row r="1247" spans="1:17" s="24" customFormat="1" ht="15" x14ac:dyDescent="0.25">
      <c r="A1247" s="66">
        <v>45223</v>
      </c>
      <c r="B1247" s="67" t="s">
        <v>49</v>
      </c>
      <c r="C1247" s="129" t="str">
        <f t="shared" si="38"/>
        <v>24.10.2023_KIRun</v>
      </c>
      <c r="D1247" s="143">
        <f t="shared" si="39"/>
        <v>0</v>
      </c>
      <c r="E1247" s="157">
        <v>7.74</v>
      </c>
      <c r="F1247" s="165"/>
      <c r="G1247" s="166">
        <v>993</v>
      </c>
      <c r="H1247" s="167">
        <v>7.4</v>
      </c>
      <c r="I1247" s="165"/>
      <c r="J1247" s="167"/>
      <c r="K1247" s="167">
        <v>12.8</v>
      </c>
      <c r="L1247" s="167">
        <v>14</v>
      </c>
      <c r="M1247" s="168">
        <v>0.47291666666666698</v>
      </c>
      <c r="N1247" s="67"/>
      <c r="P1247" s="37"/>
      <c r="Q1247" s="37"/>
    </row>
    <row r="1248" spans="1:17" s="24" customFormat="1" ht="15" x14ac:dyDescent="0.25">
      <c r="A1248" s="66">
        <v>45223</v>
      </c>
      <c r="B1248" s="67" t="s">
        <v>50</v>
      </c>
      <c r="C1248" s="129" t="str">
        <f t="shared" si="38"/>
        <v>24.10.2023_LIEohBo</v>
      </c>
      <c r="D1248" s="143">
        <f t="shared" si="39"/>
        <v>0</v>
      </c>
      <c r="E1248" s="157">
        <v>7.59</v>
      </c>
      <c r="F1248" s="165"/>
      <c r="G1248" s="166">
        <v>753</v>
      </c>
      <c r="H1248" s="167">
        <v>6.3</v>
      </c>
      <c r="I1248" s="165"/>
      <c r="J1248" s="167"/>
      <c r="K1248" s="167">
        <v>12.3</v>
      </c>
      <c r="L1248" s="167">
        <v>14.5</v>
      </c>
      <c r="M1248" s="168">
        <v>0.454166666666667</v>
      </c>
      <c r="N1248" s="67"/>
      <c r="P1248" s="37"/>
      <c r="Q1248" s="37"/>
    </row>
    <row r="1249" spans="1:17" s="24" customFormat="1" ht="15" x14ac:dyDescent="0.25">
      <c r="A1249" s="66">
        <v>45223</v>
      </c>
      <c r="B1249" s="67" t="s">
        <v>53</v>
      </c>
      <c r="C1249" s="129" t="str">
        <f t="shared" si="38"/>
        <v>24.10.2023_NATohBo</v>
      </c>
      <c r="D1249" s="143">
        <f t="shared" si="39"/>
        <v>0</v>
      </c>
      <c r="E1249" s="157">
        <v>7.52</v>
      </c>
      <c r="F1249" s="165"/>
      <c r="G1249" s="166">
        <v>1291</v>
      </c>
      <c r="H1249" s="167">
        <v>7.31</v>
      </c>
      <c r="I1249" s="165"/>
      <c r="J1249" s="167"/>
      <c r="K1249" s="167">
        <v>13.39</v>
      </c>
      <c r="L1249" s="167">
        <v>25</v>
      </c>
      <c r="M1249" s="168">
        <v>0.62222222222222201</v>
      </c>
      <c r="N1249" s="67"/>
      <c r="P1249" s="37"/>
      <c r="Q1249" s="37"/>
    </row>
    <row r="1250" spans="1:17" s="24" customFormat="1" ht="15" x14ac:dyDescent="0.25">
      <c r="A1250" s="66">
        <v>45223</v>
      </c>
      <c r="B1250" s="67" t="s">
        <v>55</v>
      </c>
      <c r="C1250" s="129" t="str">
        <f t="shared" si="38"/>
        <v>24.10.2023_QUAohBo</v>
      </c>
      <c r="D1250" s="143">
        <f t="shared" si="39"/>
        <v>0</v>
      </c>
      <c r="E1250" s="157">
        <v>7.5</v>
      </c>
      <c r="F1250" s="165"/>
      <c r="G1250" s="166">
        <v>825</v>
      </c>
      <c r="H1250" s="167">
        <v>6.2</v>
      </c>
      <c r="I1250" s="165"/>
      <c r="J1250" s="167"/>
      <c r="K1250" s="167">
        <v>13.3</v>
      </c>
      <c r="L1250" s="167">
        <v>19</v>
      </c>
      <c r="M1250" s="168">
        <v>0.58472222222222203</v>
      </c>
      <c r="N1250" s="67"/>
      <c r="P1250" s="37"/>
      <c r="Q1250" s="37"/>
    </row>
    <row r="1251" spans="1:17" s="24" customFormat="1" ht="15" x14ac:dyDescent="0.25">
      <c r="A1251" s="66">
        <v>45223</v>
      </c>
      <c r="B1251" s="67" t="s">
        <v>57</v>
      </c>
      <c r="C1251" s="129" t="str">
        <f t="shared" si="38"/>
        <v>24.10.2023_SCHohVo</v>
      </c>
      <c r="D1251" s="143">
        <f t="shared" si="39"/>
        <v>0</v>
      </c>
      <c r="E1251" s="157">
        <v>7.69</v>
      </c>
      <c r="F1251" s="165"/>
      <c r="G1251" s="166">
        <v>468</v>
      </c>
      <c r="H1251" s="167">
        <v>7.6</v>
      </c>
      <c r="I1251" s="165"/>
      <c r="J1251" s="167"/>
      <c r="K1251" s="167">
        <v>12.3</v>
      </c>
      <c r="L1251" s="167">
        <v>8</v>
      </c>
      <c r="M1251" s="168">
        <v>0.49097222222222198</v>
      </c>
      <c r="N1251" s="67"/>
      <c r="P1251" s="37"/>
      <c r="Q1251" s="37"/>
    </row>
    <row r="1252" spans="1:17" s="24" customFormat="1" ht="15" x14ac:dyDescent="0.25">
      <c r="A1252" s="66">
        <v>45223</v>
      </c>
      <c r="B1252" s="67" t="s">
        <v>60</v>
      </c>
      <c r="C1252" s="129" t="str">
        <f t="shared" si="38"/>
        <v>24.10.2023_VORohBo</v>
      </c>
      <c r="D1252" s="143">
        <f t="shared" si="39"/>
        <v>0</v>
      </c>
      <c r="E1252" s="157">
        <v>7.33</v>
      </c>
      <c r="F1252" s="165"/>
      <c r="G1252" s="166">
        <v>1038</v>
      </c>
      <c r="H1252" s="167">
        <v>5.8</v>
      </c>
      <c r="I1252" s="165"/>
      <c r="J1252" s="167"/>
      <c r="K1252" s="167">
        <v>12.3</v>
      </c>
      <c r="L1252" s="167">
        <v>17</v>
      </c>
      <c r="M1252" s="168">
        <v>0.50624999999999998</v>
      </c>
      <c r="N1252" s="67"/>
      <c r="P1252" s="37"/>
      <c r="Q1252" s="37"/>
    </row>
    <row r="1253" spans="1:17" s="24" customFormat="1" ht="15" x14ac:dyDescent="0.25">
      <c r="A1253" s="66">
        <v>45223</v>
      </c>
      <c r="B1253" s="67" t="s">
        <v>62</v>
      </c>
      <c r="C1253" s="129" t="str">
        <f t="shared" si="38"/>
        <v>24.10.2023_VORuhSc</v>
      </c>
      <c r="D1253" s="143">
        <f t="shared" si="39"/>
        <v>0</v>
      </c>
      <c r="E1253" s="157">
        <v>7.08</v>
      </c>
      <c r="F1253" s="165"/>
      <c r="G1253" s="166">
        <v>980</v>
      </c>
      <c r="H1253" s="167">
        <v>6</v>
      </c>
      <c r="I1253" s="165"/>
      <c r="J1253" s="167"/>
      <c r="K1253" s="167">
        <v>12.3</v>
      </c>
      <c r="L1253" s="167">
        <v>11</v>
      </c>
      <c r="M1253" s="168">
        <v>0.49722222222222201</v>
      </c>
      <c r="N1253" s="67"/>
      <c r="P1253" s="37"/>
      <c r="Q1253" s="37"/>
    </row>
    <row r="1254" spans="1:17" s="24" customFormat="1" ht="15" x14ac:dyDescent="0.25">
      <c r="A1254" s="66">
        <v>45223</v>
      </c>
      <c r="B1254" s="67" t="s">
        <v>64</v>
      </c>
      <c r="C1254" s="129" t="str">
        <f t="shared" si="38"/>
        <v>24.10.2023_WITob</v>
      </c>
      <c r="D1254" s="143">
        <f t="shared" si="39"/>
        <v>0</v>
      </c>
      <c r="E1254" s="157">
        <v>7.98</v>
      </c>
      <c r="F1254" s="165"/>
      <c r="G1254" s="166">
        <v>1304</v>
      </c>
      <c r="H1254" s="167">
        <v>8.11</v>
      </c>
      <c r="I1254" s="165"/>
      <c r="J1254" s="167"/>
      <c r="K1254" s="167">
        <v>13.15</v>
      </c>
      <c r="L1254" s="167">
        <v>6</v>
      </c>
      <c r="M1254" s="168">
        <v>0.61180555555555605</v>
      </c>
      <c r="N1254" s="67"/>
      <c r="P1254" s="37"/>
      <c r="Q1254" s="37"/>
    </row>
    <row r="1255" spans="1:17" s="24" customFormat="1" ht="15" x14ac:dyDescent="0.25">
      <c r="A1255" s="66">
        <v>45236</v>
      </c>
      <c r="B1255" s="67" t="s">
        <v>22</v>
      </c>
      <c r="C1255" s="129" t="str">
        <f t="shared" si="38"/>
        <v>06.11.2023_BOYkl</v>
      </c>
      <c r="D1255" s="143">
        <f t="shared" si="39"/>
        <v>0</v>
      </c>
      <c r="E1255" s="157">
        <v>7.23</v>
      </c>
      <c r="F1255" s="165"/>
      <c r="G1255" s="166">
        <v>446</v>
      </c>
      <c r="H1255" s="167">
        <v>7.86</v>
      </c>
      <c r="I1255" s="165"/>
      <c r="J1255" s="167"/>
      <c r="K1255" s="167">
        <v>12.19</v>
      </c>
      <c r="L1255" s="167">
        <v>23</v>
      </c>
      <c r="M1255" s="168">
        <v>0.54097222222222197</v>
      </c>
      <c r="N1255" s="67"/>
      <c r="P1255" s="37"/>
      <c r="Q1255" s="37"/>
    </row>
    <row r="1256" spans="1:17" s="24" customFormat="1" ht="15" x14ac:dyDescent="0.25">
      <c r="A1256" s="66">
        <v>45236</v>
      </c>
      <c r="B1256" s="67" t="s">
        <v>25</v>
      </c>
      <c r="C1256" s="129" t="str">
        <f t="shared" si="38"/>
        <v>06.11.2023_BOYohB224</v>
      </c>
      <c r="D1256" s="143">
        <f t="shared" si="39"/>
        <v>0</v>
      </c>
      <c r="E1256" s="157">
        <v>7.66</v>
      </c>
      <c r="F1256" s="165"/>
      <c r="G1256" s="166">
        <v>761</v>
      </c>
      <c r="H1256" s="167">
        <v>8.1300000000000008</v>
      </c>
      <c r="I1256" s="165"/>
      <c r="J1256" s="167"/>
      <c r="K1256" s="167">
        <v>11.3</v>
      </c>
      <c r="L1256" s="167">
        <v>42</v>
      </c>
      <c r="M1256" s="168">
        <v>0.65</v>
      </c>
      <c r="N1256" s="67"/>
      <c r="P1256" s="37"/>
      <c r="Q1256" s="37"/>
    </row>
    <row r="1257" spans="1:17" s="24" customFormat="1" ht="15" x14ac:dyDescent="0.25">
      <c r="A1257" s="66">
        <v>45236</v>
      </c>
      <c r="B1257" s="67" t="s">
        <v>28</v>
      </c>
      <c r="C1257" s="129" t="str">
        <f t="shared" si="38"/>
        <v>06.11.2023_BOYohBr</v>
      </c>
      <c r="D1257" s="143">
        <f t="shared" si="39"/>
        <v>0</v>
      </c>
      <c r="E1257" s="157">
        <v>7.23</v>
      </c>
      <c r="F1257" s="165"/>
      <c r="G1257" s="166">
        <v>522</v>
      </c>
      <c r="H1257" s="167">
        <v>7.33</v>
      </c>
      <c r="I1257" s="165"/>
      <c r="J1257" s="167"/>
      <c r="K1257" s="167">
        <v>11.58</v>
      </c>
      <c r="L1257" s="167">
        <v>34</v>
      </c>
      <c r="M1257" s="168">
        <v>0.57430555555555596</v>
      </c>
      <c r="N1257" s="67"/>
      <c r="P1257" s="37"/>
      <c r="Q1257" s="37"/>
    </row>
    <row r="1258" spans="1:17" s="24" customFormat="1" ht="15" x14ac:dyDescent="0.25">
      <c r="A1258" s="66">
        <v>45236</v>
      </c>
      <c r="B1258" s="67" t="s">
        <v>30</v>
      </c>
      <c r="C1258" s="129" t="str">
        <f t="shared" si="38"/>
        <v>06.11.2023_BOYohKi</v>
      </c>
      <c r="D1258" s="143">
        <f t="shared" si="39"/>
        <v>0</v>
      </c>
      <c r="E1258" s="157">
        <v>7.55</v>
      </c>
      <c r="F1258" s="165"/>
      <c r="G1258" s="166">
        <v>674</v>
      </c>
      <c r="H1258" s="167">
        <v>7.67</v>
      </c>
      <c r="I1258" s="165"/>
      <c r="J1258" s="167"/>
      <c r="K1258" s="167">
        <v>10.96</v>
      </c>
      <c r="L1258" s="167">
        <v>58</v>
      </c>
      <c r="M1258" s="168">
        <v>0.47916666666666702</v>
      </c>
      <c r="N1258" s="67"/>
      <c r="P1258" s="37"/>
      <c r="Q1258" s="37"/>
    </row>
    <row r="1259" spans="1:17" s="24" customFormat="1" ht="15" x14ac:dyDescent="0.25">
      <c r="A1259" s="66">
        <v>45236</v>
      </c>
      <c r="B1259" s="67" t="s">
        <v>32</v>
      </c>
      <c r="C1259" s="129" t="str">
        <f t="shared" si="38"/>
        <v>06.11.2023_BOYohSp</v>
      </c>
      <c r="D1259" s="143">
        <f t="shared" si="39"/>
        <v>0</v>
      </c>
      <c r="E1259" s="157">
        <v>7.33</v>
      </c>
      <c r="F1259" s="165"/>
      <c r="G1259" s="166">
        <v>631</v>
      </c>
      <c r="H1259" s="167">
        <v>6.97</v>
      </c>
      <c r="I1259" s="165"/>
      <c r="J1259" s="167"/>
      <c r="K1259" s="167">
        <v>11.32</v>
      </c>
      <c r="L1259" s="167">
        <v>27</v>
      </c>
      <c r="M1259" s="168">
        <v>0.59236111111111101</v>
      </c>
      <c r="N1259" s="67"/>
      <c r="P1259" s="37"/>
      <c r="Q1259" s="37"/>
    </row>
    <row r="1260" spans="1:17" s="24" customFormat="1" ht="15" x14ac:dyDescent="0.25">
      <c r="A1260" s="66">
        <v>45236</v>
      </c>
      <c r="B1260" s="67" t="s">
        <v>34</v>
      </c>
      <c r="C1260" s="129" t="str">
        <f t="shared" si="38"/>
        <v>06.11.2023_BOYuhHa</v>
      </c>
      <c r="D1260" s="143">
        <f t="shared" si="39"/>
        <v>0</v>
      </c>
      <c r="E1260" s="157">
        <v>7.84</v>
      </c>
      <c r="F1260" s="165"/>
      <c r="G1260" s="166">
        <v>756</v>
      </c>
      <c r="H1260" s="167">
        <v>8.7200000000000006</v>
      </c>
      <c r="I1260" s="165"/>
      <c r="J1260" s="167"/>
      <c r="K1260" s="167">
        <v>10.49</v>
      </c>
      <c r="L1260" s="167">
        <v>24</v>
      </c>
      <c r="M1260" s="168">
        <v>0.46111111111111103</v>
      </c>
      <c r="N1260" s="67"/>
      <c r="P1260" s="37"/>
      <c r="Q1260" s="37"/>
    </row>
    <row r="1261" spans="1:17" s="24" customFormat="1" ht="15" x14ac:dyDescent="0.25">
      <c r="A1261" s="66">
        <v>45236</v>
      </c>
      <c r="B1261" s="67" t="s">
        <v>36</v>
      </c>
      <c r="C1261" s="129" t="str">
        <f t="shared" si="38"/>
        <v>06.11.2023_BOYuhSp</v>
      </c>
      <c r="D1261" s="143">
        <f t="shared" si="39"/>
        <v>0</v>
      </c>
      <c r="E1261" s="157">
        <v>7.31</v>
      </c>
      <c r="F1261" s="165"/>
      <c r="G1261" s="166">
        <v>629</v>
      </c>
      <c r="H1261" s="167">
        <v>7.01</v>
      </c>
      <c r="I1261" s="165"/>
      <c r="J1261" s="167"/>
      <c r="K1261" s="167">
        <v>11.2</v>
      </c>
      <c r="L1261" s="167">
        <v>38</v>
      </c>
      <c r="M1261" s="168">
        <v>0.58680555555555602</v>
      </c>
      <c r="N1261" s="67"/>
      <c r="P1261" s="37"/>
      <c r="Q1261" s="37"/>
    </row>
    <row r="1262" spans="1:17" s="24" customFormat="1" ht="15" x14ac:dyDescent="0.25">
      <c r="A1262" s="66">
        <v>45236</v>
      </c>
      <c r="B1262" s="67" t="s">
        <v>38</v>
      </c>
      <c r="C1262" s="129" t="str">
        <f t="shared" si="38"/>
        <v>06.11.2023_BRAob</v>
      </c>
      <c r="D1262" s="143">
        <f t="shared" si="39"/>
        <v>0</v>
      </c>
      <c r="E1262" s="157">
        <v>7.38</v>
      </c>
      <c r="F1262" s="165"/>
      <c r="G1262" s="166">
        <v>839</v>
      </c>
      <c r="H1262" s="167">
        <v>6.83</v>
      </c>
      <c r="I1262" s="165"/>
      <c r="J1262" s="167"/>
      <c r="K1262" s="167">
        <v>11.13</v>
      </c>
      <c r="L1262" s="167">
        <v>17.5</v>
      </c>
      <c r="M1262" s="168">
        <v>0.55347222222222203</v>
      </c>
      <c r="N1262" s="67"/>
      <c r="P1262" s="37"/>
      <c r="Q1262" s="37"/>
    </row>
    <row r="1263" spans="1:17" s="24" customFormat="1" ht="15" x14ac:dyDescent="0.25">
      <c r="A1263" s="66">
        <v>45236</v>
      </c>
      <c r="B1263" s="67" t="s">
        <v>41</v>
      </c>
      <c r="C1263" s="129" t="str">
        <f t="shared" si="38"/>
        <v>06.11.2023_BRAohBo</v>
      </c>
      <c r="D1263" s="143">
        <f t="shared" si="39"/>
        <v>0</v>
      </c>
      <c r="E1263" s="157">
        <v>7.31</v>
      </c>
      <c r="F1263" s="165"/>
      <c r="G1263" s="166">
        <v>361</v>
      </c>
      <c r="H1263" s="167">
        <v>5.69</v>
      </c>
      <c r="I1263" s="165"/>
      <c r="J1263" s="167"/>
      <c r="K1263" s="167">
        <v>11.12</v>
      </c>
      <c r="L1263" s="167">
        <v>19</v>
      </c>
      <c r="M1263" s="168">
        <v>0.56111111111111101</v>
      </c>
      <c r="N1263" s="67"/>
      <c r="P1263" s="37"/>
      <c r="Q1263" s="37"/>
    </row>
    <row r="1264" spans="1:17" s="24" customFormat="1" ht="15" x14ac:dyDescent="0.25">
      <c r="A1264" s="66">
        <v>45236</v>
      </c>
      <c r="B1264" s="67" t="s">
        <v>43</v>
      </c>
      <c r="C1264" s="129" t="str">
        <f t="shared" si="38"/>
        <v>06.11.2023_HAAob</v>
      </c>
      <c r="D1264" s="143">
        <f t="shared" si="39"/>
        <v>0</v>
      </c>
      <c r="E1264" s="157">
        <v>7.77</v>
      </c>
      <c r="F1264" s="165"/>
      <c r="G1264" s="166">
        <v>818</v>
      </c>
      <c r="H1264" s="167">
        <v>7.7</v>
      </c>
      <c r="I1264" s="165"/>
      <c r="J1264" s="167"/>
      <c r="K1264" s="167">
        <v>11.41</v>
      </c>
      <c r="L1264" s="167">
        <v>17.5</v>
      </c>
      <c r="M1264" s="168">
        <v>0.61666666666666703</v>
      </c>
      <c r="N1264" s="67"/>
      <c r="P1264" s="37"/>
      <c r="Q1264" s="37"/>
    </row>
    <row r="1265" spans="1:17" s="24" customFormat="1" ht="15" x14ac:dyDescent="0.25">
      <c r="A1265" s="66">
        <v>45236</v>
      </c>
      <c r="B1265" s="67" t="s">
        <v>45</v>
      </c>
      <c r="C1265" s="129" t="str">
        <f t="shared" si="38"/>
        <v>06.11.2023_HAAun</v>
      </c>
      <c r="D1265" s="143">
        <f t="shared" si="39"/>
        <v>0</v>
      </c>
      <c r="E1265" s="157">
        <v>7.29</v>
      </c>
      <c r="F1265" s="165"/>
      <c r="G1265" s="166">
        <v>982</v>
      </c>
      <c r="H1265" s="167">
        <v>5.68</v>
      </c>
      <c r="I1265" s="165"/>
      <c r="J1265" s="167"/>
      <c r="K1265" s="167">
        <v>11.46</v>
      </c>
      <c r="L1265" s="167">
        <v>16.5</v>
      </c>
      <c r="M1265" s="168">
        <v>0.60833333333333295</v>
      </c>
      <c r="N1265" s="67"/>
      <c r="P1265" s="37"/>
      <c r="Q1265" s="37"/>
    </row>
    <row r="1266" spans="1:17" s="24" customFormat="1" ht="15" x14ac:dyDescent="0.25">
      <c r="A1266" s="66">
        <v>45236</v>
      </c>
      <c r="B1266" s="67" t="s">
        <v>47</v>
      </c>
      <c r="C1266" s="129" t="str">
        <f t="shared" si="38"/>
        <v>06.11.2023_KIRob</v>
      </c>
      <c r="D1266" s="143">
        <f t="shared" si="39"/>
        <v>0</v>
      </c>
      <c r="E1266" s="157">
        <v>7.56</v>
      </c>
      <c r="F1266" s="165"/>
      <c r="G1266" s="166">
        <v>1069</v>
      </c>
      <c r="H1266" s="167">
        <v>5.72</v>
      </c>
      <c r="I1266" s="165"/>
      <c r="J1266" s="167"/>
      <c r="K1266" s="167">
        <v>11.67</v>
      </c>
      <c r="L1266" s="167">
        <v>12</v>
      </c>
      <c r="M1266" s="168">
        <v>0.49444444444444402</v>
      </c>
      <c r="N1266" s="67"/>
      <c r="P1266" s="37"/>
      <c r="Q1266" s="37"/>
    </row>
    <row r="1267" spans="1:17" s="24" customFormat="1" ht="15" x14ac:dyDescent="0.25">
      <c r="A1267" s="66">
        <v>45236</v>
      </c>
      <c r="B1267" s="67" t="s">
        <v>49</v>
      </c>
      <c r="C1267" s="129" t="str">
        <f t="shared" si="38"/>
        <v>06.11.2023_KIRun</v>
      </c>
      <c r="D1267" s="143">
        <f t="shared" si="39"/>
        <v>0</v>
      </c>
      <c r="E1267" s="157">
        <v>7.64</v>
      </c>
      <c r="F1267" s="165"/>
      <c r="G1267" s="166">
        <v>996</v>
      </c>
      <c r="H1267" s="167">
        <v>7.01</v>
      </c>
      <c r="I1267" s="165"/>
      <c r="J1267" s="167"/>
      <c r="K1267" s="167">
        <v>11.37</v>
      </c>
      <c r="L1267" s="167">
        <v>17</v>
      </c>
      <c r="M1267" s="168">
        <v>0.48819444444444399</v>
      </c>
      <c r="N1267" s="67"/>
      <c r="P1267" s="37"/>
      <c r="Q1267" s="37"/>
    </row>
    <row r="1268" spans="1:17" s="24" customFormat="1" ht="15" x14ac:dyDescent="0.25">
      <c r="A1268" s="66">
        <v>45236</v>
      </c>
      <c r="B1268" s="67" t="s">
        <v>50</v>
      </c>
      <c r="C1268" s="129" t="str">
        <f t="shared" si="38"/>
        <v>06.11.2023_LIEohBo</v>
      </c>
      <c r="D1268" s="143">
        <f t="shared" si="39"/>
        <v>0</v>
      </c>
      <c r="E1268" s="157">
        <v>7.8</v>
      </c>
      <c r="F1268" s="165"/>
      <c r="G1268" s="166">
        <v>739</v>
      </c>
      <c r="H1268" s="167">
        <v>7.76</v>
      </c>
      <c r="I1268" s="165"/>
      <c r="J1268" s="167"/>
      <c r="K1268" s="167">
        <v>10.71</v>
      </c>
      <c r="L1268" s="167">
        <v>14</v>
      </c>
      <c r="M1268" s="168">
        <v>0.469444444444445</v>
      </c>
      <c r="N1268" s="67"/>
      <c r="P1268" s="37"/>
      <c r="Q1268" s="37"/>
    </row>
    <row r="1269" spans="1:17" s="24" customFormat="1" ht="15" x14ac:dyDescent="0.25">
      <c r="A1269" s="66">
        <v>45236</v>
      </c>
      <c r="B1269" s="67" t="s">
        <v>53</v>
      </c>
      <c r="C1269" s="129" t="str">
        <f t="shared" si="38"/>
        <v>06.11.2023_NATohBo</v>
      </c>
      <c r="D1269" s="143">
        <f t="shared" si="39"/>
        <v>0</v>
      </c>
      <c r="E1269" s="157">
        <v>7.48</v>
      </c>
      <c r="F1269" s="165"/>
      <c r="G1269" s="166">
        <v>1037</v>
      </c>
      <c r="H1269" s="167">
        <v>7.35</v>
      </c>
      <c r="I1269" s="165"/>
      <c r="J1269" s="167"/>
      <c r="K1269" s="167">
        <v>11.34</v>
      </c>
      <c r="L1269" s="167">
        <v>31</v>
      </c>
      <c r="M1269" s="168">
        <v>0.64027777777777795</v>
      </c>
      <c r="N1269" s="67"/>
      <c r="P1269" s="37"/>
      <c r="Q1269" s="37"/>
    </row>
    <row r="1270" spans="1:17" s="24" customFormat="1" ht="15" x14ac:dyDescent="0.25">
      <c r="A1270" s="66">
        <v>45236</v>
      </c>
      <c r="B1270" s="67" t="s">
        <v>55</v>
      </c>
      <c r="C1270" s="129" t="str">
        <f t="shared" si="38"/>
        <v>06.11.2023_QUAohBo</v>
      </c>
      <c r="D1270" s="143">
        <f t="shared" si="39"/>
        <v>0</v>
      </c>
      <c r="E1270" s="157">
        <v>7.37</v>
      </c>
      <c r="F1270" s="165"/>
      <c r="G1270" s="166">
        <v>772</v>
      </c>
      <c r="H1270" s="167">
        <v>6.25</v>
      </c>
      <c r="I1270" s="165"/>
      <c r="J1270" s="167"/>
      <c r="K1270" s="167">
        <v>11.75</v>
      </c>
      <c r="L1270" s="167">
        <v>24</v>
      </c>
      <c r="M1270" s="168">
        <v>0.59861111111111098</v>
      </c>
      <c r="N1270" s="67"/>
      <c r="P1270" s="37"/>
      <c r="Q1270" s="37"/>
    </row>
    <row r="1271" spans="1:17" s="24" customFormat="1" ht="15" x14ac:dyDescent="0.25">
      <c r="A1271" s="66">
        <v>45236</v>
      </c>
      <c r="B1271" s="67" t="s">
        <v>57</v>
      </c>
      <c r="C1271" s="129" t="str">
        <f t="shared" si="38"/>
        <v>06.11.2023_SCHohVo</v>
      </c>
      <c r="D1271" s="143">
        <f t="shared" si="39"/>
        <v>0</v>
      </c>
      <c r="E1271" s="157">
        <v>7.55</v>
      </c>
      <c r="F1271" s="165"/>
      <c r="G1271" s="166">
        <v>478</v>
      </c>
      <c r="H1271" s="167">
        <v>7.64</v>
      </c>
      <c r="I1271" s="165"/>
      <c r="J1271" s="167"/>
      <c r="K1271" s="167">
        <v>10.42</v>
      </c>
      <c r="L1271" s="167">
        <v>11</v>
      </c>
      <c r="M1271" s="168">
        <v>0.50347222222222199</v>
      </c>
      <c r="N1271" s="67"/>
      <c r="P1271" s="37"/>
      <c r="Q1271" s="37"/>
    </row>
    <row r="1272" spans="1:17" s="24" customFormat="1" ht="15" x14ac:dyDescent="0.25">
      <c r="A1272" s="66">
        <v>45236</v>
      </c>
      <c r="B1272" s="67" t="s">
        <v>60</v>
      </c>
      <c r="C1272" s="129" t="str">
        <f t="shared" si="38"/>
        <v>06.11.2023_VORohBo</v>
      </c>
      <c r="D1272" s="143">
        <f t="shared" si="39"/>
        <v>0</v>
      </c>
      <c r="E1272" s="157">
        <v>7.24</v>
      </c>
      <c r="F1272" s="165"/>
      <c r="G1272" s="166">
        <v>966</v>
      </c>
      <c r="H1272" s="167">
        <v>5.27</v>
      </c>
      <c r="I1272" s="165"/>
      <c r="J1272" s="167"/>
      <c r="K1272" s="167">
        <v>10.62</v>
      </c>
      <c r="L1272" s="167">
        <v>23</v>
      </c>
      <c r="M1272" s="168">
        <v>0.52569444444444502</v>
      </c>
      <c r="N1272" s="67"/>
      <c r="P1272" s="37"/>
      <c r="Q1272" s="37"/>
    </row>
    <row r="1273" spans="1:17" s="24" customFormat="1" ht="15" x14ac:dyDescent="0.25">
      <c r="A1273" s="66">
        <v>45236</v>
      </c>
      <c r="B1273" s="67" t="s">
        <v>62</v>
      </c>
      <c r="C1273" s="129" t="str">
        <f t="shared" si="38"/>
        <v>06.11.2023_VORuhSc</v>
      </c>
      <c r="D1273" s="143">
        <f t="shared" si="39"/>
        <v>0</v>
      </c>
      <c r="E1273" s="157">
        <v>7.13</v>
      </c>
      <c r="F1273" s="165"/>
      <c r="G1273" s="166">
        <v>902</v>
      </c>
      <c r="H1273" s="167">
        <v>5.66</v>
      </c>
      <c r="I1273" s="165"/>
      <c r="J1273" s="167"/>
      <c r="K1273" s="167">
        <v>10.64</v>
      </c>
      <c r="L1273" s="167">
        <v>15</v>
      </c>
      <c r="M1273" s="168">
        <v>0.51736111111111105</v>
      </c>
      <c r="N1273" s="67"/>
      <c r="P1273" s="37"/>
      <c r="Q1273" s="37"/>
    </row>
    <row r="1274" spans="1:17" s="24" customFormat="1" ht="15" x14ac:dyDescent="0.25">
      <c r="A1274" s="66">
        <v>45236</v>
      </c>
      <c r="B1274" s="67" t="s">
        <v>64</v>
      </c>
      <c r="C1274" s="129" t="str">
        <f t="shared" si="38"/>
        <v>06.11.2023_WITob</v>
      </c>
      <c r="D1274" s="143">
        <f t="shared" si="39"/>
        <v>0</v>
      </c>
      <c r="E1274" s="157">
        <v>7.86</v>
      </c>
      <c r="F1274" s="165"/>
      <c r="G1274" s="166">
        <v>1277</v>
      </c>
      <c r="H1274" s="167">
        <v>7.81</v>
      </c>
      <c r="I1274" s="165"/>
      <c r="J1274" s="167"/>
      <c r="K1274" s="167">
        <v>11.51</v>
      </c>
      <c r="L1274" s="167">
        <v>3</v>
      </c>
      <c r="M1274" s="168">
        <v>0.62777777777777799</v>
      </c>
      <c r="N1274" s="67"/>
      <c r="P1274" s="37"/>
      <c r="Q1274" s="37"/>
    </row>
    <row r="1275" spans="1:17" s="24" customFormat="1" ht="15" x14ac:dyDescent="0.25">
      <c r="A1275" s="66">
        <v>45251</v>
      </c>
      <c r="B1275" s="67" t="s">
        <v>22</v>
      </c>
      <c r="C1275" s="129" t="str">
        <f t="shared" si="38"/>
        <v>21.11.2023_BOYkl</v>
      </c>
      <c r="D1275" s="143">
        <f t="shared" si="39"/>
        <v>0</v>
      </c>
      <c r="E1275" s="157">
        <v>7.26</v>
      </c>
      <c r="F1275" s="165"/>
      <c r="G1275" s="166">
        <v>447</v>
      </c>
      <c r="H1275" s="167">
        <v>8.35</v>
      </c>
      <c r="I1275" s="165"/>
      <c r="J1275" s="167"/>
      <c r="K1275" s="167">
        <v>10.71</v>
      </c>
      <c r="L1275" s="167">
        <v>24.5</v>
      </c>
      <c r="M1275" s="168">
        <v>0.47916666666666702</v>
      </c>
      <c r="N1275" s="67"/>
      <c r="P1275" s="37"/>
      <c r="Q1275" s="37"/>
    </row>
    <row r="1276" spans="1:17" s="24" customFormat="1" ht="15" x14ac:dyDescent="0.25">
      <c r="A1276" s="66">
        <v>45251</v>
      </c>
      <c r="B1276" s="67" t="s">
        <v>25</v>
      </c>
      <c r="C1276" s="129" t="str">
        <f t="shared" si="38"/>
        <v>21.11.2023_BOYohB224</v>
      </c>
      <c r="D1276" s="143">
        <f t="shared" si="39"/>
        <v>0</v>
      </c>
      <c r="E1276" s="157">
        <v>7.62</v>
      </c>
      <c r="F1276" s="165"/>
      <c r="G1276" s="166">
        <v>750</v>
      </c>
      <c r="H1276" s="167">
        <v>7.9</v>
      </c>
      <c r="I1276" s="165"/>
      <c r="J1276" s="167"/>
      <c r="K1276" s="167">
        <v>10.14</v>
      </c>
      <c r="L1276" s="167">
        <v>53.8</v>
      </c>
      <c r="M1276" s="168">
        <v>0.61458333333333304</v>
      </c>
      <c r="N1276" s="67"/>
      <c r="P1276" s="37"/>
      <c r="Q1276" s="37"/>
    </row>
    <row r="1277" spans="1:17" s="24" customFormat="1" ht="15" x14ac:dyDescent="0.25">
      <c r="A1277" s="66">
        <v>45251</v>
      </c>
      <c r="B1277" s="67" t="s">
        <v>28</v>
      </c>
      <c r="C1277" s="129" t="str">
        <f t="shared" si="38"/>
        <v>21.11.2023_BOYohBr</v>
      </c>
      <c r="D1277" s="143">
        <f t="shared" si="39"/>
        <v>0</v>
      </c>
      <c r="E1277" s="157">
        <v>7.32</v>
      </c>
      <c r="F1277" s="165"/>
      <c r="G1277" s="166">
        <v>522</v>
      </c>
      <c r="H1277" s="167">
        <v>7.55</v>
      </c>
      <c r="I1277" s="165"/>
      <c r="J1277" s="167"/>
      <c r="K1277" s="167">
        <v>10.55</v>
      </c>
      <c r="L1277" s="167">
        <v>40</v>
      </c>
      <c r="M1277" s="168">
        <v>0.52500000000000002</v>
      </c>
      <c r="N1277" s="67"/>
      <c r="P1277" s="37"/>
      <c r="Q1277" s="37"/>
    </row>
    <row r="1278" spans="1:17" s="24" customFormat="1" ht="15" x14ac:dyDescent="0.25">
      <c r="A1278" s="66">
        <v>45251</v>
      </c>
      <c r="B1278" s="67" t="s">
        <v>30</v>
      </c>
      <c r="C1278" s="129" t="str">
        <f t="shared" si="38"/>
        <v>21.11.2023_BOYohKi</v>
      </c>
      <c r="D1278" s="143">
        <f t="shared" si="39"/>
        <v>0</v>
      </c>
      <c r="E1278" s="157">
        <v>7.44</v>
      </c>
      <c r="F1278" s="165"/>
      <c r="G1278" s="166">
        <v>669</v>
      </c>
      <c r="H1278" s="167">
        <v>7.71</v>
      </c>
      <c r="I1278" s="165"/>
      <c r="J1278" s="167"/>
      <c r="K1278" s="167">
        <v>9.7100000000000009</v>
      </c>
      <c r="L1278" s="167">
        <v>51</v>
      </c>
      <c r="M1278" s="168">
        <v>0.41527777777777802</v>
      </c>
      <c r="N1278" s="67"/>
      <c r="P1278" s="37"/>
      <c r="Q1278" s="37"/>
    </row>
    <row r="1279" spans="1:17" s="24" customFormat="1" ht="15" x14ac:dyDescent="0.25">
      <c r="A1279" s="66">
        <v>45251</v>
      </c>
      <c r="B1279" s="67" t="s">
        <v>32</v>
      </c>
      <c r="C1279" s="129" t="str">
        <f t="shared" ref="C1279:C1342" si="40">CONCATENATE(TEXT(A1279,"TT.MM.JJJJ"),"_",B1279)</f>
        <v>21.11.2023_BOYohSp</v>
      </c>
      <c r="D1279" s="143">
        <f t="shared" si="39"/>
        <v>0</v>
      </c>
      <c r="E1279" s="157">
        <v>7.26</v>
      </c>
      <c r="F1279" s="165"/>
      <c r="G1279" s="166">
        <v>648</v>
      </c>
      <c r="H1279" s="167">
        <v>7.43</v>
      </c>
      <c r="I1279" s="165"/>
      <c r="J1279" s="167"/>
      <c r="K1279" s="167">
        <v>10.33</v>
      </c>
      <c r="L1279" s="167">
        <v>31.5</v>
      </c>
      <c r="M1279" s="168">
        <v>0.53680555555555598</v>
      </c>
      <c r="N1279" s="67"/>
      <c r="P1279" s="37"/>
      <c r="Q1279" s="37"/>
    </row>
    <row r="1280" spans="1:17" s="24" customFormat="1" ht="15" x14ac:dyDescent="0.25">
      <c r="A1280" s="66">
        <v>45251</v>
      </c>
      <c r="B1280" s="67" t="s">
        <v>34</v>
      </c>
      <c r="C1280" s="129" t="str">
        <f t="shared" si="40"/>
        <v>21.11.2023_BOYuhHa</v>
      </c>
      <c r="D1280" s="143">
        <f t="shared" ref="D1280:D1343" si="41">COUNTBLANK(E1280)+COUNTBLANK(G1280:H1280)+COUNTBLANK(K1280:L1280)</f>
        <v>0</v>
      </c>
      <c r="E1280" s="157">
        <v>7.62</v>
      </c>
      <c r="F1280" s="165"/>
      <c r="G1280" s="166">
        <v>777</v>
      </c>
      <c r="H1280" s="167">
        <v>8.5</v>
      </c>
      <c r="I1280" s="165"/>
      <c r="J1280" s="167"/>
      <c r="K1280" s="167">
        <v>9.4</v>
      </c>
      <c r="L1280" s="167">
        <v>34</v>
      </c>
      <c r="M1280" s="168">
        <v>0.391666666666667</v>
      </c>
      <c r="N1280" s="67"/>
      <c r="P1280" s="37"/>
      <c r="Q1280" s="37"/>
    </row>
    <row r="1281" spans="1:17" s="24" customFormat="1" ht="15" x14ac:dyDescent="0.25">
      <c r="A1281" s="66">
        <v>45251</v>
      </c>
      <c r="B1281" s="67" t="s">
        <v>36</v>
      </c>
      <c r="C1281" s="129" t="str">
        <f t="shared" si="40"/>
        <v>21.11.2023_BOYuhSp</v>
      </c>
      <c r="D1281" s="143">
        <f t="shared" si="41"/>
        <v>0</v>
      </c>
      <c r="E1281" s="157">
        <v>7.32</v>
      </c>
      <c r="F1281" s="165"/>
      <c r="G1281" s="166">
        <v>635</v>
      </c>
      <c r="H1281" s="167">
        <v>7.56</v>
      </c>
      <c r="I1281" s="165"/>
      <c r="J1281" s="167"/>
      <c r="K1281" s="167">
        <v>10.17</v>
      </c>
      <c r="L1281" s="167">
        <v>46</v>
      </c>
      <c r="M1281" s="168">
        <v>0.58333333333333304</v>
      </c>
      <c r="N1281" s="67" t="s">
        <v>162</v>
      </c>
      <c r="P1281" s="37"/>
      <c r="Q1281" s="37"/>
    </row>
    <row r="1282" spans="1:17" s="24" customFormat="1" ht="15" x14ac:dyDescent="0.25">
      <c r="A1282" s="66">
        <v>45251</v>
      </c>
      <c r="B1282" s="67" t="s">
        <v>38</v>
      </c>
      <c r="C1282" s="129" t="str">
        <f t="shared" si="40"/>
        <v>21.11.2023_BRAob</v>
      </c>
      <c r="D1282" s="143">
        <f t="shared" si="41"/>
        <v>0</v>
      </c>
      <c r="E1282" s="157">
        <v>7.39</v>
      </c>
      <c r="F1282" s="165"/>
      <c r="G1282" s="166">
        <v>849</v>
      </c>
      <c r="H1282" s="167">
        <v>7.49</v>
      </c>
      <c r="I1282" s="165"/>
      <c r="J1282" s="167"/>
      <c r="K1282" s="167">
        <v>9.93</v>
      </c>
      <c r="L1282" s="167">
        <v>17.7</v>
      </c>
      <c r="M1282" s="168">
        <v>0.49027777777777798</v>
      </c>
      <c r="N1282" s="67"/>
      <c r="P1282" s="37"/>
      <c r="Q1282" s="37"/>
    </row>
    <row r="1283" spans="1:17" s="24" customFormat="1" ht="15" x14ac:dyDescent="0.25">
      <c r="A1283" s="66">
        <v>45251</v>
      </c>
      <c r="B1283" s="67" t="s">
        <v>41</v>
      </c>
      <c r="C1283" s="129" t="str">
        <f t="shared" si="40"/>
        <v>21.11.2023_BRAohBo</v>
      </c>
      <c r="D1283" s="143">
        <f t="shared" si="41"/>
        <v>0</v>
      </c>
      <c r="E1283" s="157">
        <v>7.02</v>
      </c>
      <c r="F1283" s="165"/>
      <c r="G1283" s="166">
        <v>663</v>
      </c>
      <c r="H1283" s="167">
        <v>6.51</v>
      </c>
      <c r="I1283" s="165"/>
      <c r="J1283" s="167"/>
      <c r="K1283" s="167">
        <v>10.130000000000001</v>
      </c>
      <c r="L1283" s="167">
        <v>25.4</v>
      </c>
      <c r="M1283" s="168">
        <v>0.5</v>
      </c>
      <c r="N1283" s="67"/>
      <c r="P1283" s="37"/>
      <c r="Q1283" s="37"/>
    </row>
    <row r="1284" spans="1:17" s="24" customFormat="1" ht="15" x14ac:dyDescent="0.25">
      <c r="A1284" s="66">
        <v>45251</v>
      </c>
      <c r="B1284" s="67" t="s">
        <v>43</v>
      </c>
      <c r="C1284" s="129" t="str">
        <f t="shared" si="40"/>
        <v>21.11.2023_HAAob</v>
      </c>
      <c r="D1284" s="143">
        <f t="shared" si="41"/>
        <v>0</v>
      </c>
      <c r="E1284" s="157">
        <v>7.82</v>
      </c>
      <c r="F1284" s="165"/>
      <c r="G1284" s="166">
        <v>761</v>
      </c>
      <c r="H1284" s="167">
        <v>8.3000000000000007</v>
      </c>
      <c r="I1284" s="165"/>
      <c r="J1284" s="167"/>
      <c r="K1284" s="167">
        <v>9.8800000000000008</v>
      </c>
      <c r="L1284" s="167">
        <v>16.600000000000001</v>
      </c>
      <c r="M1284" s="168">
        <v>0.57986111111111105</v>
      </c>
      <c r="N1284" s="67"/>
      <c r="P1284" s="37"/>
      <c r="Q1284" s="37"/>
    </row>
    <row r="1285" spans="1:17" s="24" customFormat="1" ht="15" x14ac:dyDescent="0.25">
      <c r="A1285" s="66">
        <v>45251</v>
      </c>
      <c r="B1285" s="67" t="s">
        <v>45</v>
      </c>
      <c r="C1285" s="129" t="str">
        <f t="shared" si="40"/>
        <v>21.11.2023_HAAun</v>
      </c>
      <c r="D1285" s="143">
        <f t="shared" si="41"/>
        <v>0</v>
      </c>
      <c r="E1285" s="157">
        <v>7.35</v>
      </c>
      <c r="F1285" s="165"/>
      <c r="G1285" s="166">
        <v>939</v>
      </c>
      <c r="H1285" s="167">
        <v>7.45</v>
      </c>
      <c r="I1285" s="165"/>
      <c r="J1285" s="167"/>
      <c r="K1285" s="167">
        <v>10.24</v>
      </c>
      <c r="L1285" s="167">
        <v>18.8</v>
      </c>
      <c r="M1285" s="168">
        <v>0.57013888888888897</v>
      </c>
      <c r="N1285" s="67"/>
      <c r="P1285" s="37"/>
      <c r="Q1285" s="37"/>
    </row>
    <row r="1286" spans="1:17" s="24" customFormat="1" ht="15" x14ac:dyDescent="0.25">
      <c r="A1286" s="66">
        <v>45251</v>
      </c>
      <c r="B1286" s="67" t="s">
        <v>47</v>
      </c>
      <c r="C1286" s="129" t="str">
        <f t="shared" si="40"/>
        <v>21.11.2023_KIRob</v>
      </c>
      <c r="D1286" s="143">
        <f t="shared" si="41"/>
        <v>0</v>
      </c>
      <c r="E1286" s="157">
        <v>7.42</v>
      </c>
      <c r="F1286" s="165"/>
      <c r="G1286" s="166">
        <v>1030</v>
      </c>
      <c r="H1286" s="167">
        <v>5.26</v>
      </c>
      <c r="I1286" s="165"/>
      <c r="J1286" s="167"/>
      <c r="K1286" s="167">
        <v>10.91</v>
      </c>
      <c r="L1286" s="167">
        <v>14.7</v>
      </c>
      <c r="M1286" s="168">
        <v>0.43055555555555602</v>
      </c>
      <c r="N1286" s="67"/>
      <c r="P1286" s="37"/>
      <c r="Q1286" s="37"/>
    </row>
    <row r="1287" spans="1:17" s="24" customFormat="1" ht="15" x14ac:dyDescent="0.25">
      <c r="A1287" s="66">
        <v>45251</v>
      </c>
      <c r="B1287" s="67" t="s">
        <v>49</v>
      </c>
      <c r="C1287" s="129" t="str">
        <f t="shared" si="40"/>
        <v>21.11.2023_KIRun</v>
      </c>
      <c r="D1287" s="143">
        <f t="shared" si="41"/>
        <v>0</v>
      </c>
      <c r="E1287" s="157">
        <v>7.6</v>
      </c>
      <c r="F1287" s="165"/>
      <c r="G1287" s="166">
        <v>984</v>
      </c>
      <c r="H1287" s="167">
        <v>6.75</v>
      </c>
      <c r="I1287" s="165"/>
      <c r="J1287" s="167"/>
      <c r="K1287" s="167">
        <v>10.7</v>
      </c>
      <c r="L1287" s="167">
        <v>12.2</v>
      </c>
      <c r="M1287" s="168">
        <v>0.420833333333333</v>
      </c>
      <c r="N1287" s="67"/>
      <c r="P1287" s="37"/>
      <c r="Q1287" s="37"/>
    </row>
    <row r="1288" spans="1:17" s="24" customFormat="1" ht="15" x14ac:dyDescent="0.25">
      <c r="A1288" s="66">
        <v>45251</v>
      </c>
      <c r="B1288" s="67" t="s">
        <v>50</v>
      </c>
      <c r="C1288" s="129" t="str">
        <f t="shared" si="40"/>
        <v>21.11.2023_LIEohBo</v>
      </c>
      <c r="D1288" s="143">
        <f t="shared" si="41"/>
        <v>0</v>
      </c>
      <c r="E1288" s="157">
        <v>7.69</v>
      </c>
      <c r="F1288" s="165"/>
      <c r="G1288" s="166">
        <v>801</v>
      </c>
      <c r="H1288" s="167">
        <v>7.68</v>
      </c>
      <c r="I1288" s="165"/>
      <c r="J1288" s="167"/>
      <c r="K1288" s="167">
        <v>9.6300000000000008</v>
      </c>
      <c r="L1288" s="167">
        <v>16.8</v>
      </c>
      <c r="M1288" s="168">
        <v>0.39930555555555602</v>
      </c>
      <c r="N1288" s="67"/>
      <c r="P1288" s="37"/>
      <c r="Q1288" s="37"/>
    </row>
    <row r="1289" spans="1:17" s="24" customFormat="1" ht="15" x14ac:dyDescent="0.25">
      <c r="A1289" s="66">
        <v>45251</v>
      </c>
      <c r="B1289" s="67" t="s">
        <v>53</v>
      </c>
      <c r="C1289" s="129" t="str">
        <f t="shared" si="40"/>
        <v>21.11.2023_NATohBo</v>
      </c>
      <c r="D1289" s="143">
        <f t="shared" si="41"/>
        <v>0</v>
      </c>
      <c r="E1289" s="157">
        <v>7.52</v>
      </c>
      <c r="F1289" s="165"/>
      <c r="G1289" s="166">
        <v>1099</v>
      </c>
      <c r="H1289" s="167">
        <v>7.07</v>
      </c>
      <c r="I1289" s="165"/>
      <c r="J1289" s="167"/>
      <c r="K1289" s="167">
        <v>10.27</v>
      </c>
      <c r="L1289" s="167">
        <v>34.5</v>
      </c>
      <c r="M1289" s="168">
        <v>0.60277777777777797</v>
      </c>
      <c r="N1289" s="67"/>
      <c r="P1289" s="37"/>
      <c r="Q1289" s="37"/>
    </row>
    <row r="1290" spans="1:17" s="24" customFormat="1" ht="15" x14ac:dyDescent="0.25">
      <c r="A1290" s="66">
        <v>45251</v>
      </c>
      <c r="B1290" s="67" t="s">
        <v>55</v>
      </c>
      <c r="C1290" s="129" t="str">
        <f t="shared" si="40"/>
        <v>21.11.2023_QUAohBo</v>
      </c>
      <c r="D1290" s="143">
        <f t="shared" si="41"/>
        <v>0</v>
      </c>
      <c r="E1290" s="157">
        <v>7.22</v>
      </c>
      <c r="F1290" s="165"/>
      <c r="G1290" s="166">
        <v>814</v>
      </c>
      <c r="H1290" s="167">
        <v>6.65</v>
      </c>
      <c r="I1290" s="165"/>
      <c r="J1290" s="167"/>
      <c r="K1290" s="167">
        <v>10.73</v>
      </c>
      <c r="L1290" s="167">
        <v>20.6</v>
      </c>
      <c r="M1290" s="168">
        <v>0.55972222222222201</v>
      </c>
      <c r="N1290" s="67"/>
      <c r="P1290" s="37"/>
      <c r="Q1290" s="37"/>
    </row>
    <row r="1291" spans="1:17" s="24" customFormat="1" ht="15" x14ac:dyDescent="0.25">
      <c r="A1291" s="66">
        <v>45251</v>
      </c>
      <c r="B1291" s="67" t="s">
        <v>57</v>
      </c>
      <c r="C1291" s="129" t="str">
        <f t="shared" si="40"/>
        <v>21.11.2023_SCHohVo</v>
      </c>
      <c r="D1291" s="143">
        <f t="shared" si="41"/>
        <v>0</v>
      </c>
      <c r="E1291" s="157">
        <v>7.55</v>
      </c>
      <c r="F1291" s="165"/>
      <c r="G1291" s="166">
        <v>410</v>
      </c>
      <c r="H1291" s="167">
        <v>8.2899999999999991</v>
      </c>
      <c r="I1291" s="165"/>
      <c r="J1291" s="167"/>
      <c r="K1291" s="167">
        <v>9.16</v>
      </c>
      <c r="L1291" s="167">
        <v>12.6</v>
      </c>
      <c r="M1291" s="168">
        <v>0.44444444444444398</v>
      </c>
      <c r="N1291" s="67"/>
      <c r="P1291" s="37"/>
      <c r="Q1291" s="37"/>
    </row>
    <row r="1292" spans="1:17" s="24" customFormat="1" ht="15" x14ac:dyDescent="0.25">
      <c r="A1292" s="66">
        <v>45251</v>
      </c>
      <c r="B1292" s="67" t="s">
        <v>60</v>
      </c>
      <c r="C1292" s="129" t="str">
        <f t="shared" si="40"/>
        <v>21.11.2023_VORohBo</v>
      </c>
      <c r="D1292" s="143">
        <f t="shared" si="41"/>
        <v>0</v>
      </c>
      <c r="E1292" s="157">
        <v>7.27</v>
      </c>
      <c r="F1292" s="165"/>
      <c r="G1292" s="166">
        <v>872</v>
      </c>
      <c r="H1292" s="167">
        <v>6.35</v>
      </c>
      <c r="I1292" s="165"/>
      <c r="J1292" s="167"/>
      <c r="K1292" s="167">
        <v>9.5399999999999991</v>
      </c>
      <c r="L1292" s="167">
        <v>25.6</v>
      </c>
      <c r="M1292" s="168">
        <v>0.46250000000000002</v>
      </c>
      <c r="N1292" s="67"/>
      <c r="P1292" s="37"/>
      <c r="Q1292" s="37"/>
    </row>
    <row r="1293" spans="1:17" s="24" customFormat="1" ht="15" x14ac:dyDescent="0.25">
      <c r="A1293" s="66">
        <v>45251</v>
      </c>
      <c r="B1293" s="67" t="s">
        <v>62</v>
      </c>
      <c r="C1293" s="129" t="str">
        <f t="shared" si="40"/>
        <v>21.11.2023_VORuhSc</v>
      </c>
      <c r="D1293" s="143">
        <f t="shared" si="41"/>
        <v>0</v>
      </c>
      <c r="E1293" s="157">
        <v>7.08</v>
      </c>
      <c r="F1293" s="165"/>
      <c r="G1293" s="166">
        <v>780</v>
      </c>
      <c r="H1293" s="167">
        <v>6.62</v>
      </c>
      <c r="I1293" s="165"/>
      <c r="J1293" s="167"/>
      <c r="K1293" s="167">
        <v>9.4600000000000009</v>
      </c>
      <c r="L1293" s="167">
        <v>14.4</v>
      </c>
      <c r="M1293" s="168">
        <v>0.45486111111111099</v>
      </c>
      <c r="N1293" s="67"/>
      <c r="P1293" s="37"/>
      <c r="Q1293" s="37"/>
    </row>
    <row r="1294" spans="1:17" s="24" customFormat="1" ht="15" x14ac:dyDescent="0.25">
      <c r="A1294" s="66">
        <v>45251</v>
      </c>
      <c r="B1294" s="67" t="s">
        <v>64</v>
      </c>
      <c r="C1294" s="129" t="str">
        <f t="shared" si="40"/>
        <v>21.11.2023_WITob</v>
      </c>
      <c r="D1294" s="143">
        <f t="shared" si="41"/>
        <v>0</v>
      </c>
      <c r="E1294" s="157">
        <v>7.44</v>
      </c>
      <c r="F1294" s="165"/>
      <c r="G1294" s="166">
        <v>1371</v>
      </c>
      <c r="H1294" s="167">
        <v>7.05</v>
      </c>
      <c r="I1294" s="165"/>
      <c r="J1294" s="167"/>
      <c r="K1294" s="167">
        <v>10.73</v>
      </c>
      <c r="L1294" s="167">
        <v>3.4</v>
      </c>
      <c r="M1294" s="168">
        <v>0.58958333333333302</v>
      </c>
      <c r="N1294" s="67"/>
      <c r="P1294" s="37"/>
      <c r="Q1294" s="37"/>
    </row>
    <row r="1295" spans="1:17" s="24" customFormat="1" ht="15" x14ac:dyDescent="0.25">
      <c r="A1295" s="66">
        <v>45271</v>
      </c>
      <c r="B1295" s="67" t="s">
        <v>22</v>
      </c>
      <c r="C1295" s="129" t="str">
        <f t="shared" si="40"/>
        <v>11.12.2023_BOYkl</v>
      </c>
      <c r="D1295" s="143">
        <f t="shared" si="41"/>
        <v>1</v>
      </c>
      <c r="E1295" s="157">
        <v>7.26</v>
      </c>
      <c r="F1295" s="165"/>
      <c r="G1295" s="166">
        <v>397</v>
      </c>
      <c r="H1295" s="167"/>
      <c r="I1295" s="165" t="s">
        <v>299</v>
      </c>
      <c r="J1295" s="167"/>
      <c r="K1295" s="167">
        <v>8.3000000000000007</v>
      </c>
      <c r="L1295" s="167">
        <v>25.7</v>
      </c>
      <c r="M1295" s="168">
        <v>0.45555555555555599</v>
      </c>
      <c r="N1295" s="67" t="s">
        <v>302</v>
      </c>
      <c r="P1295" s="37"/>
      <c r="Q1295" s="37"/>
    </row>
    <row r="1296" spans="1:17" s="24" customFormat="1" ht="15" x14ac:dyDescent="0.25">
      <c r="A1296" s="66">
        <v>45271</v>
      </c>
      <c r="B1296" s="67" t="s">
        <v>25</v>
      </c>
      <c r="C1296" s="129" t="str">
        <f t="shared" si="40"/>
        <v>11.12.2023_BOYohB224</v>
      </c>
      <c r="D1296" s="143">
        <f t="shared" si="41"/>
        <v>0</v>
      </c>
      <c r="E1296" s="157">
        <v>7.59</v>
      </c>
      <c r="F1296" s="165"/>
      <c r="G1296" s="166">
        <v>682</v>
      </c>
      <c r="H1296" s="167">
        <v>8.75</v>
      </c>
      <c r="I1296" s="165"/>
      <c r="J1296" s="167"/>
      <c r="K1296" s="167">
        <v>8.65</v>
      </c>
      <c r="L1296" s="167">
        <v>67</v>
      </c>
      <c r="M1296" s="168">
        <v>0.57430555555555596</v>
      </c>
      <c r="N1296" s="67"/>
      <c r="P1296" s="37"/>
      <c r="Q1296" s="37"/>
    </row>
    <row r="1297" spans="1:17" s="24" customFormat="1" ht="15" x14ac:dyDescent="0.25">
      <c r="A1297" s="66">
        <v>45271</v>
      </c>
      <c r="B1297" s="67" t="s">
        <v>28</v>
      </c>
      <c r="C1297" s="129" t="str">
        <f t="shared" si="40"/>
        <v>11.12.2023_BOYohBr</v>
      </c>
      <c r="D1297" s="143">
        <f t="shared" si="41"/>
        <v>0</v>
      </c>
      <c r="E1297" s="157">
        <v>7.3</v>
      </c>
      <c r="F1297" s="165"/>
      <c r="G1297" s="166">
        <v>474</v>
      </c>
      <c r="H1297" s="167">
        <v>8.75</v>
      </c>
      <c r="I1297" s="165"/>
      <c r="J1297" s="167"/>
      <c r="K1297" s="167">
        <v>8.39</v>
      </c>
      <c r="L1297" s="167">
        <v>54.3</v>
      </c>
      <c r="M1297" s="168">
        <v>0.49305555555555602</v>
      </c>
      <c r="N1297" s="67"/>
      <c r="P1297" s="37"/>
      <c r="Q1297" s="37"/>
    </row>
    <row r="1298" spans="1:17" s="24" customFormat="1" ht="15" x14ac:dyDescent="0.25">
      <c r="A1298" s="66">
        <v>45271</v>
      </c>
      <c r="B1298" s="67" t="s">
        <v>30</v>
      </c>
      <c r="C1298" s="129" t="str">
        <f t="shared" si="40"/>
        <v>11.12.2023_BOYohKi</v>
      </c>
      <c r="D1298" s="143">
        <f t="shared" si="41"/>
        <v>0</v>
      </c>
      <c r="E1298" s="157">
        <v>7.48</v>
      </c>
      <c r="F1298" s="165"/>
      <c r="G1298" s="166">
        <v>608</v>
      </c>
      <c r="H1298" s="167">
        <v>8.6199999999999992</v>
      </c>
      <c r="I1298" s="165"/>
      <c r="J1298" s="167"/>
      <c r="K1298" s="167">
        <v>8.1199999999999992</v>
      </c>
      <c r="L1298" s="167">
        <v>73.5</v>
      </c>
      <c r="M1298" s="168">
        <v>0.390972222222222</v>
      </c>
      <c r="N1298" s="67"/>
      <c r="P1298" s="37"/>
      <c r="Q1298" s="37"/>
    </row>
    <row r="1299" spans="1:17" s="24" customFormat="1" ht="15" x14ac:dyDescent="0.25">
      <c r="A1299" s="66">
        <v>45271</v>
      </c>
      <c r="B1299" s="67" t="s">
        <v>32</v>
      </c>
      <c r="C1299" s="129" t="str">
        <f t="shared" si="40"/>
        <v>11.12.2023_BOYohSp</v>
      </c>
      <c r="D1299" s="143">
        <f t="shared" si="41"/>
        <v>0</v>
      </c>
      <c r="E1299" s="157">
        <v>7.35</v>
      </c>
      <c r="F1299" s="165"/>
      <c r="G1299" s="166">
        <v>594</v>
      </c>
      <c r="H1299" s="167">
        <v>8.8000000000000007</v>
      </c>
      <c r="I1299" s="165"/>
      <c r="J1299" s="167"/>
      <c r="K1299" s="167">
        <v>8.42</v>
      </c>
      <c r="L1299" s="167">
        <v>32.5</v>
      </c>
      <c r="M1299" s="168">
        <v>0.51249999999999996</v>
      </c>
      <c r="N1299" s="67"/>
      <c r="P1299" s="37"/>
      <c r="Q1299" s="37"/>
    </row>
    <row r="1300" spans="1:17" s="24" customFormat="1" ht="15" x14ac:dyDescent="0.25">
      <c r="A1300" s="66">
        <v>45271</v>
      </c>
      <c r="B1300" s="67" t="s">
        <v>34</v>
      </c>
      <c r="C1300" s="129" t="str">
        <f t="shared" si="40"/>
        <v>11.12.2023_BOYuhHa</v>
      </c>
      <c r="D1300" s="143">
        <f t="shared" si="41"/>
        <v>0</v>
      </c>
      <c r="E1300" s="157">
        <v>7.78</v>
      </c>
      <c r="F1300" s="165"/>
      <c r="G1300" s="166">
        <v>706</v>
      </c>
      <c r="H1300" s="167">
        <v>9.5</v>
      </c>
      <c r="I1300" s="165"/>
      <c r="J1300" s="167"/>
      <c r="K1300" s="167">
        <v>8</v>
      </c>
      <c r="L1300" s="167">
        <v>46</v>
      </c>
      <c r="M1300" s="168">
        <v>0.36805555555555602</v>
      </c>
      <c r="N1300" s="67"/>
      <c r="P1300" s="37"/>
      <c r="Q1300" s="37"/>
    </row>
    <row r="1301" spans="1:17" s="24" customFormat="1" ht="15" x14ac:dyDescent="0.25">
      <c r="A1301" s="66">
        <v>45271</v>
      </c>
      <c r="B1301" s="67" t="s">
        <v>36</v>
      </c>
      <c r="C1301" s="129" t="str">
        <f t="shared" si="40"/>
        <v>11.12.2023_BOYuhSp</v>
      </c>
      <c r="D1301" s="143">
        <f t="shared" si="41"/>
        <v>0</v>
      </c>
      <c r="E1301" s="157">
        <v>7.34</v>
      </c>
      <c r="F1301" s="165"/>
      <c r="G1301" s="166">
        <v>582</v>
      </c>
      <c r="H1301" s="167">
        <v>8.5</v>
      </c>
      <c r="I1301" s="165"/>
      <c r="J1301" s="167"/>
      <c r="K1301" s="167">
        <v>8.33</v>
      </c>
      <c r="L1301" s="167">
        <v>56</v>
      </c>
      <c r="M1301" s="168">
        <v>0.50486111111111098</v>
      </c>
      <c r="N1301" s="67" t="s">
        <v>122</v>
      </c>
      <c r="P1301" s="37"/>
      <c r="Q1301" s="37"/>
    </row>
    <row r="1302" spans="1:17" s="24" customFormat="1" ht="15" x14ac:dyDescent="0.25">
      <c r="A1302" s="66">
        <v>45271</v>
      </c>
      <c r="B1302" s="67" t="s">
        <v>38</v>
      </c>
      <c r="C1302" s="129" t="str">
        <f t="shared" si="40"/>
        <v>11.12.2023_BRAob</v>
      </c>
      <c r="D1302" s="143">
        <f t="shared" si="41"/>
        <v>0</v>
      </c>
      <c r="E1302" s="157">
        <v>7.48</v>
      </c>
      <c r="F1302" s="165"/>
      <c r="G1302" s="166">
        <v>742</v>
      </c>
      <c r="H1302" s="167">
        <v>8.5299999999999994</v>
      </c>
      <c r="I1302" s="165"/>
      <c r="J1302" s="167"/>
      <c r="K1302" s="167">
        <v>8.4499999999999993</v>
      </c>
      <c r="L1302" s="167">
        <v>20.2</v>
      </c>
      <c r="M1302" s="168">
        <v>0.468055555555556</v>
      </c>
      <c r="N1302" s="67"/>
      <c r="P1302" s="37"/>
      <c r="Q1302" s="37"/>
    </row>
    <row r="1303" spans="1:17" s="24" customFormat="1" ht="15" x14ac:dyDescent="0.25">
      <c r="A1303" s="66">
        <v>45271</v>
      </c>
      <c r="B1303" s="67" t="s">
        <v>41</v>
      </c>
      <c r="C1303" s="129" t="str">
        <f t="shared" si="40"/>
        <v>11.12.2023_BRAohBo</v>
      </c>
      <c r="D1303" s="143">
        <f t="shared" si="41"/>
        <v>0</v>
      </c>
      <c r="E1303" s="157">
        <v>7.33</v>
      </c>
      <c r="F1303" s="165"/>
      <c r="G1303" s="166">
        <v>608</v>
      </c>
      <c r="H1303" s="167">
        <v>7.61</v>
      </c>
      <c r="I1303" s="165"/>
      <c r="J1303" s="167"/>
      <c r="K1303" s="167">
        <v>8.23</v>
      </c>
      <c r="L1303" s="167">
        <v>18</v>
      </c>
      <c r="M1303" s="168">
        <v>0.47847222222222202</v>
      </c>
      <c r="N1303" s="67"/>
      <c r="P1303" s="37"/>
      <c r="Q1303" s="37"/>
    </row>
    <row r="1304" spans="1:17" s="24" customFormat="1" ht="15" x14ac:dyDescent="0.25">
      <c r="A1304" s="66">
        <v>45271</v>
      </c>
      <c r="B1304" s="67" t="s">
        <v>43</v>
      </c>
      <c r="C1304" s="129" t="str">
        <f t="shared" si="40"/>
        <v>11.12.2023_HAAob</v>
      </c>
      <c r="D1304" s="143">
        <f t="shared" si="41"/>
        <v>1</v>
      </c>
      <c r="E1304" s="157">
        <v>8.1300000000000008</v>
      </c>
      <c r="F1304" s="165"/>
      <c r="G1304" s="166">
        <v>757</v>
      </c>
      <c r="H1304" s="167"/>
      <c r="I1304" s="165" t="s">
        <v>299</v>
      </c>
      <c r="J1304" s="167"/>
      <c r="K1304" s="167">
        <v>7.59</v>
      </c>
      <c r="L1304" s="167">
        <v>17</v>
      </c>
      <c r="M1304" s="168">
        <v>0.54166666666666696</v>
      </c>
      <c r="N1304" s="67" t="s">
        <v>303</v>
      </c>
      <c r="P1304" s="37"/>
      <c r="Q1304" s="37"/>
    </row>
    <row r="1305" spans="1:17" s="24" customFormat="1" ht="15" x14ac:dyDescent="0.25">
      <c r="A1305" s="66">
        <v>45271</v>
      </c>
      <c r="B1305" s="67" t="s">
        <v>45</v>
      </c>
      <c r="C1305" s="129" t="str">
        <f t="shared" si="40"/>
        <v>11.12.2023_HAAun</v>
      </c>
      <c r="D1305" s="143">
        <f t="shared" si="41"/>
        <v>0</v>
      </c>
      <c r="E1305" s="157">
        <v>7.48</v>
      </c>
      <c r="F1305" s="165"/>
      <c r="G1305" s="166">
        <v>894</v>
      </c>
      <c r="H1305" s="167">
        <v>7.89</v>
      </c>
      <c r="I1305" s="165"/>
      <c r="J1305" s="167"/>
      <c r="K1305" s="167">
        <v>8.35</v>
      </c>
      <c r="L1305" s="167">
        <v>21.5</v>
      </c>
      <c r="M1305" s="168">
        <v>0.53333333333333299</v>
      </c>
      <c r="N1305" s="67"/>
      <c r="P1305" s="37"/>
      <c r="Q1305" s="37"/>
    </row>
    <row r="1306" spans="1:17" s="24" customFormat="1" ht="15" x14ac:dyDescent="0.25">
      <c r="A1306" s="66">
        <v>45271</v>
      </c>
      <c r="B1306" s="67" t="s">
        <v>47</v>
      </c>
      <c r="C1306" s="129" t="str">
        <f t="shared" si="40"/>
        <v>11.12.2023_KIRob</v>
      </c>
      <c r="D1306" s="143">
        <f t="shared" si="41"/>
        <v>0</v>
      </c>
      <c r="E1306" s="157">
        <v>7.67</v>
      </c>
      <c r="F1306" s="165"/>
      <c r="G1306" s="166">
        <v>1004</v>
      </c>
      <c r="H1306" s="167">
        <v>5.92</v>
      </c>
      <c r="I1306" s="165"/>
      <c r="J1306" s="167"/>
      <c r="K1306" s="167">
        <v>10.35</v>
      </c>
      <c r="L1306" s="167">
        <v>10.1</v>
      </c>
      <c r="M1306" s="168">
        <v>0.41111111111111098</v>
      </c>
      <c r="N1306" s="67"/>
      <c r="P1306" s="37"/>
      <c r="Q1306" s="37"/>
    </row>
    <row r="1307" spans="1:17" s="24" customFormat="1" ht="15" x14ac:dyDescent="0.25">
      <c r="A1307" s="66">
        <v>45271</v>
      </c>
      <c r="B1307" s="67" t="s">
        <v>49</v>
      </c>
      <c r="C1307" s="129" t="str">
        <f t="shared" si="40"/>
        <v>11.12.2023_KIRun</v>
      </c>
      <c r="D1307" s="143">
        <f t="shared" si="41"/>
        <v>0</v>
      </c>
      <c r="E1307" s="157">
        <v>7.78</v>
      </c>
      <c r="F1307" s="165"/>
      <c r="G1307" s="166">
        <v>944</v>
      </c>
      <c r="H1307" s="167">
        <v>7.6</v>
      </c>
      <c r="I1307" s="165"/>
      <c r="J1307" s="167"/>
      <c r="K1307" s="167">
        <v>10.14</v>
      </c>
      <c r="L1307" s="167">
        <v>17.3</v>
      </c>
      <c r="M1307" s="168">
        <v>0.40277777777777801</v>
      </c>
      <c r="N1307" s="67"/>
      <c r="P1307" s="37"/>
      <c r="Q1307" s="37"/>
    </row>
    <row r="1308" spans="1:17" s="24" customFormat="1" ht="15" x14ac:dyDescent="0.25">
      <c r="A1308" s="66">
        <v>45271</v>
      </c>
      <c r="B1308" s="67" t="s">
        <v>50</v>
      </c>
      <c r="C1308" s="129" t="str">
        <f t="shared" si="40"/>
        <v>11.12.2023_LIEohBo</v>
      </c>
      <c r="D1308" s="143">
        <f t="shared" si="41"/>
        <v>0</v>
      </c>
      <c r="E1308" s="157">
        <v>8.1999999999999993</v>
      </c>
      <c r="F1308" s="165"/>
      <c r="G1308" s="166">
        <v>760</v>
      </c>
      <c r="H1308" s="167">
        <v>8.7799999999999994</v>
      </c>
      <c r="I1308" s="165"/>
      <c r="J1308" s="167"/>
      <c r="K1308" s="167">
        <v>8.9</v>
      </c>
      <c r="L1308" s="167">
        <v>21.2</v>
      </c>
      <c r="M1308" s="168">
        <v>0.37916666666666698</v>
      </c>
      <c r="N1308" s="67"/>
      <c r="P1308" s="37"/>
      <c r="Q1308" s="37"/>
    </row>
    <row r="1309" spans="1:17" s="24" customFormat="1" ht="15" x14ac:dyDescent="0.25">
      <c r="A1309" s="66">
        <v>45271</v>
      </c>
      <c r="B1309" s="67" t="s">
        <v>53</v>
      </c>
      <c r="C1309" s="129" t="str">
        <f t="shared" si="40"/>
        <v>11.12.2023_NATohBo</v>
      </c>
      <c r="D1309" s="143">
        <f t="shared" si="41"/>
        <v>0</v>
      </c>
      <c r="E1309" s="157">
        <v>7.67</v>
      </c>
      <c r="F1309" s="165"/>
      <c r="G1309" s="166">
        <v>1060</v>
      </c>
      <c r="H1309" s="167">
        <v>8.6199999999999992</v>
      </c>
      <c r="I1309" s="165"/>
      <c r="J1309" s="167"/>
      <c r="K1309" s="167">
        <v>8.52</v>
      </c>
      <c r="L1309" s="167">
        <v>36.4</v>
      </c>
      <c r="M1309" s="168">
        <v>0.56458333333333299</v>
      </c>
      <c r="N1309" s="67"/>
      <c r="P1309" s="37"/>
      <c r="Q1309" s="37"/>
    </row>
    <row r="1310" spans="1:17" s="24" customFormat="1" ht="15" x14ac:dyDescent="0.25">
      <c r="A1310" s="66">
        <v>45271</v>
      </c>
      <c r="B1310" s="67" t="s">
        <v>55</v>
      </c>
      <c r="C1310" s="129" t="str">
        <f t="shared" si="40"/>
        <v>11.12.2023_QUAohBo</v>
      </c>
      <c r="D1310" s="143">
        <f t="shared" si="41"/>
        <v>0</v>
      </c>
      <c r="E1310" s="157">
        <v>7.48</v>
      </c>
      <c r="F1310" s="165"/>
      <c r="G1310" s="166">
        <v>780</v>
      </c>
      <c r="H1310" s="167">
        <v>8.48</v>
      </c>
      <c r="I1310" s="165"/>
      <c r="J1310" s="167"/>
      <c r="K1310" s="167">
        <v>8.6999999999999993</v>
      </c>
      <c r="L1310" s="167">
        <v>23.4</v>
      </c>
      <c r="M1310" s="168">
        <v>0.52291666666666703</v>
      </c>
      <c r="N1310" s="67"/>
      <c r="P1310" s="37"/>
      <c r="Q1310" s="37"/>
    </row>
    <row r="1311" spans="1:17" s="24" customFormat="1" ht="15" x14ac:dyDescent="0.25">
      <c r="A1311" s="66">
        <v>45271</v>
      </c>
      <c r="B1311" s="67" t="s">
        <v>57</v>
      </c>
      <c r="C1311" s="129" t="str">
        <f t="shared" si="40"/>
        <v>11.12.2023_SCHohVo</v>
      </c>
      <c r="D1311" s="143">
        <f t="shared" si="41"/>
        <v>0</v>
      </c>
      <c r="E1311" s="157">
        <v>7.44</v>
      </c>
      <c r="F1311" s="165"/>
      <c r="G1311" s="166">
        <v>420</v>
      </c>
      <c r="H1311" s="167">
        <v>9.16</v>
      </c>
      <c r="I1311" s="165"/>
      <c r="J1311" s="167"/>
      <c r="K1311" s="167">
        <v>7.9</v>
      </c>
      <c r="L1311" s="167">
        <v>13.6</v>
      </c>
      <c r="M1311" s="168">
        <v>0.422916666666667</v>
      </c>
      <c r="N1311" s="67"/>
      <c r="P1311" s="37"/>
      <c r="Q1311" s="37"/>
    </row>
    <row r="1312" spans="1:17" s="24" customFormat="1" ht="15" x14ac:dyDescent="0.25">
      <c r="A1312" s="66">
        <v>45271</v>
      </c>
      <c r="B1312" s="67" t="s">
        <v>60</v>
      </c>
      <c r="C1312" s="129" t="str">
        <f t="shared" si="40"/>
        <v>11.12.2023_VORohBo</v>
      </c>
      <c r="D1312" s="143">
        <f t="shared" si="41"/>
        <v>0</v>
      </c>
      <c r="E1312" s="157">
        <v>7.38</v>
      </c>
      <c r="F1312" s="165"/>
      <c r="G1312" s="166">
        <v>803</v>
      </c>
      <c r="H1312" s="167">
        <v>7.85</v>
      </c>
      <c r="I1312" s="165"/>
      <c r="J1312" s="167"/>
      <c r="K1312" s="167">
        <v>8.73</v>
      </c>
      <c r="L1312" s="167">
        <v>26</v>
      </c>
      <c r="M1312" s="168">
        <v>0.44097222222222199</v>
      </c>
      <c r="N1312" s="67"/>
      <c r="P1312" s="37"/>
      <c r="Q1312" s="37"/>
    </row>
    <row r="1313" spans="1:17" s="24" customFormat="1" ht="15" x14ac:dyDescent="0.25">
      <c r="A1313" s="66">
        <v>45271</v>
      </c>
      <c r="B1313" s="67" t="s">
        <v>62</v>
      </c>
      <c r="C1313" s="129" t="str">
        <f t="shared" si="40"/>
        <v>11.12.2023_VORuhSc</v>
      </c>
      <c r="D1313" s="143">
        <f t="shared" si="41"/>
        <v>0</v>
      </c>
      <c r="E1313" s="157">
        <v>7.27</v>
      </c>
      <c r="F1313" s="165"/>
      <c r="G1313" s="166">
        <v>713</v>
      </c>
      <c r="H1313" s="167">
        <v>7.9</v>
      </c>
      <c r="I1313" s="165"/>
      <c r="J1313" s="167"/>
      <c r="K1313" s="167">
        <v>8.4</v>
      </c>
      <c r="L1313" s="167">
        <v>17.7</v>
      </c>
      <c r="M1313" s="168">
        <v>0.43125000000000002</v>
      </c>
      <c r="N1313" s="67"/>
      <c r="P1313" s="37"/>
      <c r="Q1313" s="37"/>
    </row>
    <row r="1314" spans="1:17" s="24" customFormat="1" ht="15" x14ac:dyDescent="0.25">
      <c r="A1314" s="66">
        <v>45271</v>
      </c>
      <c r="B1314" s="67" t="s">
        <v>64</v>
      </c>
      <c r="C1314" s="129" t="str">
        <f t="shared" si="40"/>
        <v>11.12.2023_WITob</v>
      </c>
      <c r="D1314" s="143">
        <f t="shared" si="41"/>
        <v>0</v>
      </c>
      <c r="E1314" s="157">
        <v>8.06</v>
      </c>
      <c r="F1314" s="165"/>
      <c r="G1314" s="166">
        <v>1267</v>
      </c>
      <c r="H1314" s="167">
        <v>9.1300000000000008</v>
      </c>
      <c r="I1314" s="165"/>
      <c r="J1314" s="167"/>
      <c r="K1314" s="167">
        <v>9.93</v>
      </c>
      <c r="L1314" s="167">
        <v>3.4</v>
      </c>
      <c r="M1314" s="168">
        <v>0.55277777777777803</v>
      </c>
      <c r="N1314" s="67"/>
      <c r="P1314" s="37"/>
      <c r="Q1314" s="37"/>
    </row>
    <row r="1315" spans="1:17" s="24" customFormat="1" ht="15" x14ac:dyDescent="0.25">
      <c r="A1315" s="66">
        <v>45278</v>
      </c>
      <c r="B1315" s="67" t="s">
        <v>22</v>
      </c>
      <c r="C1315" s="129" t="str">
        <f t="shared" si="40"/>
        <v>18.12.2023_BOYkl</v>
      </c>
      <c r="D1315" s="143">
        <f t="shared" si="41"/>
        <v>0</v>
      </c>
      <c r="E1315" s="157">
        <v>7.6</v>
      </c>
      <c r="F1315" s="165"/>
      <c r="G1315" s="166">
        <v>466</v>
      </c>
      <c r="H1315" s="167">
        <v>10.45</v>
      </c>
      <c r="I1315" s="165"/>
      <c r="J1315" s="167"/>
      <c r="K1315" s="167">
        <v>7.8</v>
      </c>
      <c r="L1315" s="167">
        <v>17.5</v>
      </c>
      <c r="M1315" s="168">
        <v>0.48888888888888898</v>
      </c>
      <c r="N1315" s="67"/>
      <c r="P1315" s="37"/>
      <c r="Q1315" s="37"/>
    </row>
    <row r="1316" spans="1:17" s="24" customFormat="1" ht="15" x14ac:dyDescent="0.25">
      <c r="A1316" s="66">
        <v>45278</v>
      </c>
      <c r="B1316" s="67" t="s">
        <v>25</v>
      </c>
      <c r="C1316" s="129" t="str">
        <f t="shared" si="40"/>
        <v>18.12.2023_BOYohB224</v>
      </c>
      <c r="D1316" s="143">
        <f t="shared" si="41"/>
        <v>0</v>
      </c>
      <c r="E1316" s="157">
        <v>7.74</v>
      </c>
      <c r="F1316" s="165"/>
      <c r="G1316" s="166">
        <v>836</v>
      </c>
      <c r="H1316" s="167">
        <v>9.81</v>
      </c>
      <c r="I1316" s="165"/>
      <c r="J1316" s="167"/>
      <c r="K1316" s="167">
        <v>7.48</v>
      </c>
      <c r="L1316" s="167">
        <v>56.5</v>
      </c>
      <c r="M1316" s="168">
        <v>0.61875000000000002</v>
      </c>
      <c r="N1316" s="67"/>
      <c r="P1316" s="37"/>
      <c r="Q1316" s="37"/>
    </row>
    <row r="1317" spans="1:17" s="24" customFormat="1" ht="15" x14ac:dyDescent="0.25">
      <c r="A1317" s="66">
        <v>45278</v>
      </c>
      <c r="B1317" s="67" t="s">
        <v>28</v>
      </c>
      <c r="C1317" s="129" t="str">
        <f t="shared" si="40"/>
        <v>18.12.2023_BOYohBr</v>
      </c>
      <c r="D1317" s="143">
        <f t="shared" si="41"/>
        <v>0</v>
      </c>
      <c r="E1317" s="157">
        <v>7.36</v>
      </c>
      <c r="F1317" s="165"/>
      <c r="G1317" s="166">
        <v>550</v>
      </c>
      <c r="H1317" s="167">
        <v>8.15</v>
      </c>
      <c r="I1317" s="165"/>
      <c r="J1317" s="167"/>
      <c r="K1317" s="167">
        <v>8.11</v>
      </c>
      <c r="L1317" s="167">
        <v>27.4</v>
      </c>
      <c r="M1317" s="168">
        <v>0.52361111111111103</v>
      </c>
      <c r="N1317" s="67"/>
      <c r="P1317" s="37"/>
      <c r="Q1317" s="37"/>
    </row>
    <row r="1318" spans="1:17" s="24" customFormat="1" ht="15" x14ac:dyDescent="0.25">
      <c r="A1318" s="66">
        <v>45278</v>
      </c>
      <c r="B1318" s="67" t="s">
        <v>30</v>
      </c>
      <c r="C1318" s="129" t="str">
        <f t="shared" si="40"/>
        <v>18.12.2023_BOYohKi</v>
      </c>
      <c r="D1318" s="143">
        <f t="shared" si="41"/>
        <v>0</v>
      </c>
      <c r="E1318" s="157">
        <v>7.65</v>
      </c>
      <c r="F1318" s="165"/>
      <c r="G1318" s="166">
        <v>734</v>
      </c>
      <c r="H1318" s="167">
        <v>9.5500000000000007</v>
      </c>
      <c r="I1318" s="165"/>
      <c r="J1318" s="167"/>
      <c r="K1318" s="167">
        <v>7.33</v>
      </c>
      <c r="L1318" s="167">
        <v>58.6</v>
      </c>
      <c r="M1318" s="168">
        <v>0.41666666666666702</v>
      </c>
      <c r="N1318" s="67"/>
      <c r="P1318" s="37"/>
      <c r="Q1318" s="37"/>
    </row>
    <row r="1319" spans="1:17" s="24" customFormat="1" ht="15" x14ac:dyDescent="0.25">
      <c r="A1319" s="66">
        <v>45278</v>
      </c>
      <c r="B1319" s="67" t="s">
        <v>32</v>
      </c>
      <c r="C1319" s="129" t="str">
        <f t="shared" si="40"/>
        <v>18.12.2023_BOYohSp</v>
      </c>
      <c r="D1319" s="143">
        <f t="shared" si="41"/>
        <v>0</v>
      </c>
      <c r="E1319" s="157">
        <v>7.54</v>
      </c>
      <c r="F1319" s="165"/>
      <c r="G1319" s="166">
        <v>673</v>
      </c>
      <c r="H1319" s="167">
        <v>8.61</v>
      </c>
      <c r="I1319" s="165"/>
      <c r="J1319" s="167"/>
      <c r="K1319" s="167">
        <v>7.81</v>
      </c>
      <c r="L1319" s="167">
        <v>47</v>
      </c>
      <c r="M1319" s="168">
        <v>0.53472222222222199</v>
      </c>
      <c r="N1319" s="67"/>
      <c r="P1319" s="37"/>
      <c r="Q1319" s="37"/>
    </row>
    <row r="1320" spans="1:17" s="24" customFormat="1" ht="15" x14ac:dyDescent="0.25">
      <c r="A1320" s="66">
        <v>45278</v>
      </c>
      <c r="B1320" s="67" t="s">
        <v>34</v>
      </c>
      <c r="C1320" s="129" t="str">
        <f t="shared" si="40"/>
        <v>18.12.2023_BOYuhHa</v>
      </c>
      <c r="D1320" s="143">
        <f t="shared" si="41"/>
        <v>0</v>
      </c>
      <c r="E1320" s="157">
        <v>7.93</v>
      </c>
      <c r="F1320" s="165"/>
      <c r="G1320" s="166">
        <v>903</v>
      </c>
      <c r="H1320" s="167">
        <v>10.58</v>
      </c>
      <c r="I1320" s="165"/>
      <c r="J1320" s="167"/>
      <c r="K1320" s="167">
        <v>7.06</v>
      </c>
      <c r="L1320" s="167">
        <v>33.200000000000003</v>
      </c>
      <c r="M1320" s="168">
        <v>0.39583333333333298</v>
      </c>
      <c r="N1320" s="67"/>
      <c r="P1320" s="37"/>
      <c r="Q1320" s="37"/>
    </row>
    <row r="1321" spans="1:17" s="24" customFormat="1" ht="15" x14ac:dyDescent="0.25">
      <c r="A1321" s="66">
        <v>45278</v>
      </c>
      <c r="B1321" s="67" t="s">
        <v>36</v>
      </c>
      <c r="C1321" s="129" t="str">
        <f t="shared" si="40"/>
        <v>18.12.2023_BOYuhSp</v>
      </c>
      <c r="D1321" s="143">
        <f t="shared" si="41"/>
        <v>0</v>
      </c>
      <c r="E1321" s="157">
        <v>7.44</v>
      </c>
      <c r="F1321" s="165"/>
      <c r="G1321" s="166">
        <v>673</v>
      </c>
      <c r="H1321" s="167">
        <v>8.9</v>
      </c>
      <c r="I1321" s="165"/>
      <c r="J1321" s="167"/>
      <c r="K1321" s="167">
        <v>7.65</v>
      </c>
      <c r="L1321" s="167">
        <v>41.3</v>
      </c>
      <c r="M1321" s="168">
        <v>0.54652777777777795</v>
      </c>
      <c r="N1321" s="67"/>
      <c r="P1321" s="37"/>
      <c r="Q1321" s="37"/>
    </row>
    <row r="1322" spans="1:17" s="24" customFormat="1" ht="15" x14ac:dyDescent="0.25">
      <c r="A1322" s="66">
        <v>45278</v>
      </c>
      <c r="B1322" s="67" t="s">
        <v>38</v>
      </c>
      <c r="C1322" s="129" t="str">
        <f t="shared" si="40"/>
        <v>18.12.2023_BRAob</v>
      </c>
      <c r="D1322" s="143">
        <f t="shared" si="41"/>
        <v>0</v>
      </c>
      <c r="E1322" s="157">
        <v>7.57</v>
      </c>
      <c r="F1322" s="165"/>
      <c r="G1322" s="166">
        <v>858</v>
      </c>
      <c r="H1322" s="167">
        <v>9</v>
      </c>
      <c r="I1322" s="165"/>
      <c r="J1322" s="167"/>
      <c r="K1322" s="167">
        <v>7.46</v>
      </c>
      <c r="L1322" s="167">
        <v>8.1</v>
      </c>
      <c r="M1322" s="168">
        <v>0.500694444444444</v>
      </c>
      <c r="N1322" s="67" t="s">
        <v>163</v>
      </c>
      <c r="P1322" s="37"/>
      <c r="Q1322" s="37"/>
    </row>
    <row r="1323" spans="1:17" s="24" customFormat="1" ht="15" x14ac:dyDescent="0.25">
      <c r="A1323" s="66">
        <v>45278</v>
      </c>
      <c r="B1323" s="67" t="s">
        <v>41</v>
      </c>
      <c r="C1323" s="129" t="str">
        <f t="shared" si="40"/>
        <v>18.12.2023_BRAohBo</v>
      </c>
      <c r="D1323" s="143">
        <f t="shared" si="41"/>
        <v>0</v>
      </c>
      <c r="E1323" s="157">
        <v>7.51</v>
      </c>
      <c r="F1323" s="165"/>
      <c r="G1323" s="166">
        <v>744</v>
      </c>
      <c r="H1323" s="167">
        <v>7.9</v>
      </c>
      <c r="I1323" s="165"/>
      <c r="J1323" s="167"/>
      <c r="K1323" s="167">
        <v>7.05</v>
      </c>
      <c r="L1323" s="167">
        <v>38.799999999999997</v>
      </c>
      <c r="M1323" s="168">
        <v>0.51041666666666696</v>
      </c>
      <c r="N1323" s="67"/>
      <c r="P1323" s="37"/>
      <c r="Q1323" s="37"/>
    </row>
    <row r="1324" spans="1:17" s="24" customFormat="1" ht="15" x14ac:dyDescent="0.25">
      <c r="A1324" s="66">
        <v>45278</v>
      </c>
      <c r="B1324" s="67" t="s">
        <v>43</v>
      </c>
      <c r="C1324" s="129" t="str">
        <f t="shared" si="40"/>
        <v>18.12.2023_HAAob</v>
      </c>
      <c r="D1324" s="143">
        <f t="shared" si="41"/>
        <v>0</v>
      </c>
      <c r="E1324" s="157">
        <v>7.99</v>
      </c>
      <c r="F1324" s="165"/>
      <c r="G1324" s="166">
        <v>807</v>
      </c>
      <c r="H1324" s="167">
        <v>9.9600000000000009</v>
      </c>
      <c r="I1324" s="165"/>
      <c r="J1324" s="167"/>
      <c r="K1324" s="167">
        <v>7.26</v>
      </c>
      <c r="L1324" s="167">
        <v>16.399999999999999</v>
      </c>
      <c r="M1324" s="168">
        <v>0.59027777777777801</v>
      </c>
      <c r="N1324" s="67"/>
      <c r="P1324" s="37"/>
      <c r="Q1324" s="37"/>
    </row>
    <row r="1325" spans="1:17" s="24" customFormat="1" ht="15" x14ac:dyDescent="0.25">
      <c r="A1325" s="66">
        <v>45278</v>
      </c>
      <c r="B1325" s="67" t="s">
        <v>45</v>
      </c>
      <c r="C1325" s="129" t="str">
        <f t="shared" si="40"/>
        <v>18.12.2023_HAAun</v>
      </c>
      <c r="D1325" s="143">
        <f t="shared" si="41"/>
        <v>0</v>
      </c>
      <c r="E1325" s="157">
        <v>7.46</v>
      </c>
      <c r="F1325" s="165"/>
      <c r="G1325" s="166">
        <v>998</v>
      </c>
      <c r="H1325" s="167">
        <v>8.9600000000000009</v>
      </c>
      <c r="I1325" s="165"/>
      <c r="J1325" s="167"/>
      <c r="K1325" s="167">
        <v>7.94</v>
      </c>
      <c r="L1325" s="167">
        <v>23.8</v>
      </c>
      <c r="M1325" s="168">
        <v>0.58194444444444504</v>
      </c>
      <c r="N1325" s="67"/>
      <c r="P1325" s="37"/>
      <c r="Q1325" s="37"/>
    </row>
    <row r="1326" spans="1:17" s="24" customFormat="1" ht="15" x14ac:dyDescent="0.25">
      <c r="A1326" s="66">
        <v>45278</v>
      </c>
      <c r="B1326" s="67" t="s">
        <v>47</v>
      </c>
      <c r="C1326" s="129" t="str">
        <f t="shared" si="40"/>
        <v>18.12.2023_KIRob</v>
      </c>
      <c r="D1326" s="143">
        <f t="shared" si="41"/>
        <v>0</v>
      </c>
      <c r="E1326" s="157">
        <v>7.65</v>
      </c>
      <c r="F1326" s="165"/>
      <c r="G1326" s="166">
        <v>1080</v>
      </c>
      <c r="H1326" s="167">
        <v>10.35</v>
      </c>
      <c r="I1326" s="165"/>
      <c r="J1326" s="167"/>
      <c r="K1326" s="167">
        <v>9.1</v>
      </c>
      <c r="L1326" s="167">
        <v>16.8</v>
      </c>
      <c r="M1326" s="168">
        <v>0.44097222222222199</v>
      </c>
      <c r="N1326" s="67"/>
      <c r="P1326" s="37"/>
      <c r="Q1326" s="37"/>
    </row>
    <row r="1327" spans="1:17" s="24" customFormat="1" ht="15" x14ac:dyDescent="0.25">
      <c r="A1327" s="66">
        <v>45278</v>
      </c>
      <c r="B1327" s="67" t="s">
        <v>49</v>
      </c>
      <c r="C1327" s="129" t="str">
        <f t="shared" si="40"/>
        <v>18.12.2023_KIRun</v>
      </c>
      <c r="D1327" s="143">
        <f t="shared" si="41"/>
        <v>0</v>
      </c>
      <c r="E1327" s="157">
        <v>7.82</v>
      </c>
      <c r="F1327" s="165"/>
      <c r="G1327" s="166">
        <v>1014</v>
      </c>
      <c r="H1327" s="167">
        <v>9.41</v>
      </c>
      <c r="I1327" s="165"/>
      <c r="J1327" s="167"/>
      <c r="K1327" s="167">
        <v>8.9600000000000009</v>
      </c>
      <c r="L1327" s="167">
        <v>16.899999999999999</v>
      </c>
      <c r="M1327" s="168">
        <v>0.43333333333333302</v>
      </c>
      <c r="N1327" s="67"/>
      <c r="P1327" s="37"/>
      <c r="Q1327" s="37"/>
    </row>
    <row r="1328" spans="1:17" s="24" customFormat="1" ht="15" x14ac:dyDescent="0.25">
      <c r="A1328" s="66">
        <v>45278</v>
      </c>
      <c r="B1328" s="67" t="s">
        <v>50</v>
      </c>
      <c r="C1328" s="129" t="str">
        <f t="shared" si="40"/>
        <v>18.12.2023_LIEohBo</v>
      </c>
      <c r="D1328" s="143">
        <f t="shared" si="41"/>
        <v>0</v>
      </c>
      <c r="E1328" s="157">
        <v>8.15</v>
      </c>
      <c r="F1328" s="165"/>
      <c r="G1328" s="166">
        <v>847</v>
      </c>
      <c r="H1328" s="167">
        <v>9.8000000000000007</v>
      </c>
      <c r="I1328" s="165"/>
      <c r="J1328" s="167"/>
      <c r="K1328" s="167">
        <v>7.24</v>
      </c>
      <c r="L1328" s="167">
        <v>16.8</v>
      </c>
      <c r="M1328" s="168">
        <v>0.406944444444445</v>
      </c>
      <c r="N1328" s="67"/>
      <c r="P1328" s="37"/>
      <c r="Q1328" s="37"/>
    </row>
    <row r="1329" spans="1:17" s="24" customFormat="1" ht="15" x14ac:dyDescent="0.25">
      <c r="A1329" s="66">
        <v>45278</v>
      </c>
      <c r="B1329" s="67" t="s">
        <v>53</v>
      </c>
      <c r="C1329" s="129" t="str">
        <f t="shared" si="40"/>
        <v>18.12.2023_NATohBo</v>
      </c>
      <c r="D1329" s="143">
        <f t="shared" si="41"/>
        <v>0</v>
      </c>
      <c r="E1329" s="157">
        <v>7.4</v>
      </c>
      <c r="F1329" s="165"/>
      <c r="G1329" s="166">
        <v>1420</v>
      </c>
      <c r="H1329" s="167">
        <v>8.86</v>
      </c>
      <c r="I1329" s="165"/>
      <c r="J1329" s="167"/>
      <c r="K1329" s="167">
        <v>8.0500000000000007</v>
      </c>
      <c r="L1329" s="167">
        <v>29.9</v>
      </c>
      <c r="M1329" s="168">
        <v>0.61041666666666705</v>
      </c>
      <c r="N1329" s="67"/>
      <c r="P1329" s="37"/>
      <c r="Q1329" s="37"/>
    </row>
    <row r="1330" spans="1:17" s="24" customFormat="1" ht="15" x14ac:dyDescent="0.25">
      <c r="A1330" s="66">
        <v>45278</v>
      </c>
      <c r="B1330" s="67" t="s">
        <v>55</v>
      </c>
      <c r="C1330" s="129" t="str">
        <f t="shared" si="40"/>
        <v>18.12.2023_QUAohBo</v>
      </c>
      <c r="D1330" s="143">
        <f t="shared" si="41"/>
        <v>0</v>
      </c>
      <c r="E1330" s="157">
        <v>7.6</v>
      </c>
      <c r="F1330" s="165"/>
      <c r="G1330" s="166">
        <v>868</v>
      </c>
      <c r="H1330" s="167">
        <v>8.35</v>
      </c>
      <c r="I1330" s="165"/>
      <c r="J1330" s="167"/>
      <c r="K1330" s="167">
        <v>7.97</v>
      </c>
      <c r="L1330" s="167">
        <v>21.1</v>
      </c>
      <c r="M1330" s="168">
        <v>0.57222222222222197</v>
      </c>
      <c r="N1330" s="67"/>
      <c r="P1330" s="37"/>
      <c r="Q1330" s="37"/>
    </row>
    <row r="1331" spans="1:17" s="24" customFormat="1" ht="15" x14ac:dyDescent="0.25">
      <c r="A1331" s="66">
        <v>45278</v>
      </c>
      <c r="B1331" s="67" t="s">
        <v>57</v>
      </c>
      <c r="C1331" s="129" t="str">
        <f t="shared" si="40"/>
        <v>18.12.2023_SCHohVo</v>
      </c>
      <c r="D1331" s="143">
        <f t="shared" si="41"/>
        <v>0</v>
      </c>
      <c r="E1331" s="157">
        <v>7.61</v>
      </c>
      <c r="F1331" s="165"/>
      <c r="G1331" s="166">
        <v>442</v>
      </c>
      <c r="H1331" s="167">
        <v>10.3</v>
      </c>
      <c r="I1331" s="165"/>
      <c r="J1331" s="167"/>
      <c r="K1331" s="167">
        <v>6.6</v>
      </c>
      <c r="L1331" s="167">
        <v>10.1</v>
      </c>
      <c r="M1331" s="168">
        <v>0.45486111111111099</v>
      </c>
      <c r="N1331" s="67"/>
      <c r="P1331" s="37"/>
      <c r="Q1331" s="37"/>
    </row>
    <row r="1332" spans="1:17" s="24" customFormat="1" ht="15" x14ac:dyDescent="0.25">
      <c r="A1332" s="66">
        <v>45278</v>
      </c>
      <c r="B1332" s="67" t="s">
        <v>60</v>
      </c>
      <c r="C1332" s="129" t="str">
        <f t="shared" si="40"/>
        <v>18.12.2023_VORohBo</v>
      </c>
      <c r="D1332" s="143">
        <f t="shared" si="41"/>
        <v>0</v>
      </c>
      <c r="E1332" s="157">
        <v>7.41</v>
      </c>
      <c r="F1332" s="165"/>
      <c r="G1332" s="166">
        <v>898</v>
      </c>
      <c r="H1332" s="167">
        <v>7.8</v>
      </c>
      <c r="I1332" s="165"/>
      <c r="J1332" s="167"/>
      <c r="K1332" s="167">
        <v>8</v>
      </c>
      <c r="L1332" s="167">
        <v>26.8</v>
      </c>
      <c r="M1332" s="168">
        <v>0.47361111111111098</v>
      </c>
      <c r="N1332" s="67"/>
      <c r="P1332" s="37"/>
      <c r="Q1332" s="37"/>
    </row>
    <row r="1333" spans="1:17" s="24" customFormat="1" ht="15" x14ac:dyDescent="0.25">
      <c r="A1333" s="66">
        <v>45278</v>
      </c>
      <c r="B1333" s="67" t="s">
        <v>62</v>
      </c>
      <c r="C1333" s="129" t="str">
        <f t="shared" si="40"/>
        <v>18.12.2023_VORuhSc</v>
      </c>
      <c r="D1333" s="143">
        <f t="shared" si="41"/>
        <v>0</v>
      </c>
      <c r="E1333" s="157">
        <v>7.23</v>
      </c>
      <c r="F1333" s="165"/>
      <c r="G1333" s="166">
        <v>797</v>
      </c>
      <c r="H1333" s="167">
        <v>8.1999999999999993</v>
      </c>
      <c r="I1333" s="165"/>
      <c r="J1333" s="167"/>
      <c r="K1333" s="167">
        <v>7.33</v>
      </c>
      <c r="L1333" s="167">
        <v>16.899999999999999</v>
      </c>
      <c r="M1333" s="168">
        <v>0.46458333333333302</v>
      </c>
      <c r="N1333" s="67"/>
      <c r="P1333" s="37"/>
      <c r="Q1333" s="37"/>
    </row>
    <row r="1334" spans="1:17" s="24" customFormat="1" ht="15" x14ac:dyDescent="0.25">
      <c r="A1334" s="66">
        <v>45278</v>
      </c>
      <c r="B1334" s="67" t="s">
        <v>64</v>
      </c>
      <c r="C1334" s="129" t="str">
        <f t="shared" si="40"/>
        <v>18.12.2023_WITob</v>
      </c>
      <c r="D1334" s="143">
        <f t="shared" si="41"/>
        <v>0</v>
      </c>
      <c r="E1334" s="157">
        <v>8.01</v>
      </c>
      <c r="F1334" s="165"/>
      <c r="G1334" s="166">
        <v>1390</v>
      </c>
      <c r="H1334" s="167">
        <v>9.8800000000000008</v>
      </c>
      <c r="I1334" s="165"/>
      <c r="J1334" s="167"/>
      <c r="K1334" s="167">
        <v>8.0500000000000007</v>
      </c>
      <c r="L1334" s="167">
        <v>3.7</v>
      </c>
      <c r="M1334" s="168">
        <v>0.6</v>
      </c>
      <c r="N1334" s="67"/>
      <c r="P1334" s="37"/>
      <c r="Q1334" s="37"/>
    </row>
    <row r="1335" spans="1:17" s="24" customFormat="1" ht="15" x14ac:dyDescent="0.25">
      <c r="A1335" s="66">
        <v>45289</v>
      </c>
      <c r="B1335" s="67" t="s">
        <v>22</v>
      </c>
      <c r="C1335" s="129" t="str">
        <f t="shared" si="40"/>
        <v>29.12.2023_BOYkl</v>
      </c>
      <c r="D1335" s="143">
        <f t="shared" si="41"/>
        <v>0</v>
      </c>
      <c r="E1335" s="157">
        <v>7.05</v>
      </c>
      <c r="F1335" s="165"/>
      <c r="G1335" s="166">
        <v>388</v>
      </c>
      <c r="H1335" s="167">
        <v>9.5</v>
      </c>
      <c r="I1335" s="165"/>
      <c r="J1335" s="167"/>
      <c r="K1335" s="167">
        <v>9</v>
      </c>
      <c r="L1335" s="167">
        <v>22.4</v>
      </c>
      <c r="M1335" s="168">
        <v>0.485416666666667</v>
      </c>
      <c r="N1335" s="67"/>
      <c r="P1335" s="37"/>
      <c r="Q1335" s="37"/>
    </row>
    <row r="1336" spans="1:17" s="24" customFormat="1" ht="15" x14ac:dyDescent="0.25">
      <c r="A1336" s="66">
        <v>45289</v>
      </c>
      <c r="B1336" s="67" t="s">
        <v>25</v>
      </c>
      <c r="C1336" s="129" t="str">
        <f t="shared" si="40"/>
        <v>29.12.2023_BOYohB224</v>
      </c>
      <c r="D1336" s="143">
        <f t="shared" si="41"/>
        <v>0</v>
      </c>
      <c r="E1336" s="157">
        <v>7.39</v>
      </c>
      <c r="F1336" s="165"/>
      <c r="G1336" s="166">
        <v>756</v>
      </c>
      <c r="H1336" s="167">
        <v>7.9</v>
      </c>
      <c r="I1336" s="165"/>
      <c r="J1336" s="167"/>
      <c r="K1336" s="167">
        <v>9.4</v>
      </c>
      <c r="L1336" s="167">
        <v>69.5</v>
      </c>
      <c r="M1336" s="168">
        <v>0.64375000000000004</v>
      </c>
      <c r="N1336" s="67"/>
      <c r="P1336" s="37"/>
      <c r="Q1336" s="37"/>
    </row>
    <row r="1337" spans="1:17" s="24" customFormat="1" ht="15" x14ac:dyDescent="0.25">
      <c r="A1337" s="66">
        <v>45289</v>
      </c>
      <c r="B1337" s="67" t="s">
        <v>28</v>
      </c>
      <c r="C1337" s="129" t="str">
        <f t="shared" si="40"/>
        <v>29.12.2023_BOYohBr</v>
      </c>
      <c r="D1337" s="143">
        <f t="shared" si="41"/>
        <v>0</v>
      </c>
      <c r="E1337" s="157">
        <v>7.25</v>
      </c>
      <c r="F1337" s="165"/>
      <c r="G1337" s="166">
        <v>474</v>
      </c>
      <c r="H1337" s="167">
        <v>8.4</v>
      </c>
      <c r="I1337" s="165"/>
      <c r="J1337" s="167"/>
      <c r="K1337" s="167">
        <v>9.1</v>
      </c>
      <c r="L1337" s="167">
        <v>44.4</v>
      </c>
      <c r="M1337" s="168">
        <v>0.53680555555555598</v>
      </c>
      <c r="N1337" s="67"/>
      <c r="P1337" s="37"/>
      <c r="Q1337" s="37"/>
    </row>
    <row r="1338" spans="1:17" s="24" customFormat="1" ht="15" x14ac:dyDescent="0.25">
      <c r="A1338" s="66">
        <v>45289</v>
      </c>
      <c r="B1338" s="67" t="s">
        <v>30</v>
      </c>
      <c r="C1338" s="129" t="str">
        <f t="shared" si="40"/>
        <v>29.12.2023_BOYohKi</v>
      </c>
      <c r="D1338" s="143">
        <f t="shared" si="41"/>
        <v>0</v>
      </c>
      <c r="E1338" s="157">
        <v>7.43</v>
      </c>
      <c r="F1338" s="165"/>
      <c r="G1338" s="166">
        <v>621</v>
      </c>
      <c r="H1338" s="167">
        <v>8.6999999999999993</v>
      </c>
      <c r="I1338" s="165"/>
      <c r="J1338" s="167"/>
      <c r="K1338" s="167">
        <v>8.9</v>
      </c>
      <c r="L1338" s="167">
        <v>84.2</v>
      </c>
      <c r="M1338" s="168">
        <v>0.421527777777778</v>
      </c>
      <c r="N1338" s="67"/>
      <c r="P1338" s="37"/>
      <c r="Q1338" s="37"/>
    </row>
    <row r="1339" spans="1:17" s="24" customFormat="1" ht="15" x14ac:dyDescent="0.25">
      <c r="A1339" s="66">
        <v>45289</v>
      </c>
      <c r="B1339" s="67" t="s">
        <v>32</v>
      </c>
      <c r="C1339" s="129" t="str">
        <f t="shared" si="40"/>
        <v>29.12.2023_BOYohSp</v>
      </c>
      <c r="D1339" s="143">
        <f t="shared" si="41"/>
        <v>0</v>
      </c>
      <c r="E1339" s="157">
        <v>7.28</v>
      </c>
      <c r="F1339" s="165"/>
      <c r="G1339" s="166">
        <v>575</v>
      </c>
      <c r="H1339" s="167">
        <v>8.4</v>
      </c>
      <c r="I1339" s="165"/>
      <c r="J1339" s="167"/>
      <c r="K1339" s="167">
        <v>9.1999999999999993</v>
      </c>
      <c r="L1339" s="167">
        <v>55</v>
      </c>
      <c r="M1339" s="168">
        <v>0.57569444444444395</v>
      </c>
      <c r="N1339" s="67" t="s">
        <v>283</v>
      </c>
      <c r="P1339" s="37"/>
      <c r="Q1339" s="37"/>
    </row>
    <row r="1340" spans="1:17" s="24" customFormat="1" ht="15" x14ac:dyDescent="0.25">
      <c r="A1340" s="66">
        <v>45289</v>
      </c>
      <c r="B1340" s="67" t="s">
        <v>34</v>
      </c>
      <c r="C1340" s="129" t="str">
        <f t="shared" si="40"/>
        <v>29.12.2023_BOYuhHa</v>
      </c>
      <c r="D1340" s="143">
        <f t="shared" si="41"/>
        <v>0</v>
      </c>
      <c r="E1340" s="157">
        <v>7.51</v>
      </c>
      <c r="F1340" s="165"/>
      <c r="G1340" s="166">
        <v>853</v>
      </c>
      <c r="H1340" s="167">
        <v>8.3000000000000007</v>
      </c>
      <c r="I1340" s="165"/>
      <c r="J1340" s="167"/>
      <c r="K1340" s="167">
        <v>9.1</v>
      </c>
      <c r="L1340" s="167">
        <v>47.7</v>
      </c>
      <c r="M1340" s="168">
        <v>0.40277777777777801</v>
      </c>
      <c r="N1340" s="67"/>
      <c r="P1340" s="37"/>
      <c r="Q1340" s="37"/>
    </row>
    <row r="1341" spans="1:17" s="24" customFormat="1" ht="15" x14ac:dyDescent="0.25">
      <c r="A1341" s="66">
        <v>45289</v>
      </c>
      <c r="B1341" s="67" t="s">
        <v>36</v>
      </c>
      <c r="C1341" s="129" t="str">
        <f t="shared" si="40"/>
        <v>29.12.2023_BOYuhSp</v>
      </c>
      <c r="D1341" s="143">
        <f t="shared" si="41"/>
        <v>0</v>
      </c>
      <c r="E1341" s="157">
        <v>7.21</v>
      </c>
      <c r="F1341" s="165"/>
      <c r="G1341" s="166">
        <v>577</v>
      </c>
      <c r="H1341" s="167">
        <v>8.6</v>
      </c>
      <c r="I1341" s="165"/>
      <c r="J1341" s="167"/>
      <c r="K1341" s="167">
        <v>9.1</v>
      </c>
      <c r="L1341" s="167">
        <v>56.4</v>
      </c>
      <c r="M1341" s="168">
        <v>0.55833333333333302</v>
      </c>
      <c r="N1341" s="67" t="s">
        <v>282</v>
      </c>
      <c r="P1341" s="37"/>
      <c r="Q1341" s="37"/>
    </row>
    <row r="1342" spans="1:17" s="24" customFormat="1" ht="15" x14ac:dyDescent="0.25">
      <c r="A1342" s="66">
        <v>45289</v>
      </c>
      <c r="B1342" s="67" t="s">
        <v>38</v>
      </c>
      <c r="C1342" s="129" t="str">
        <f t="shared" si="40"/>
        <v>29.12.2023_BRAob</v>
      </c>
      <c r="D1342" s="143">
        <f t="shared" si="41"/>
        <v>0</v>
      </c>
      <c r="E1342" s="157">
        <v>7.32</v>
      </c>
      <c r="F1342" s="165"/>
      <c r="G1342" s="166">
        <v>691</v>
      </c>
      <c r="H1342" s="167">
        <v>8.6</v>
      </c>
      <c r="I1342" s="165"/>
      <c r="J1342" s="167"/>
      <c r="K1342" s="167">
        <v>9.1</v>
      </c>
      <c r="L1342" s="167">
        <v>20.2</v>
      </c>
      <c r="M1342" s="168">
        <v>0.49791666666666701</v>
      </c>
      <c r="N1342" s="67" t="s">
        <v>280</v>
      </c>
      <c r="P1342" s="37"/>
      <c r="Q1342" s="37"/>
    </row>
    <row r="1343" spans="1:17" s="24" customFormat="1" ht="15" x14ac:dyDescent="0.25">
      <c r="A1343" s="66">
        <v>45289</v>
      </c>
      <c r="B1343" s="67" t="s">
        <v>41</v>
      </c>
      <c r="C1343" s="129" t="str">
        <f t="shared" ref="C1343:C1406" si="42">CONCATENATE(TEXT(A1343,"TT.MM.JJJJ"),"_",B1343)</f>
        <v>29.12.2023_BRAohBo</v>
      </c>
      <c r="D1343" s="143">
        <f t="shared" si="41"/>
        <v>0</v>
      </c>
      <c r="E1343" s="157">
        <v>7.12</v>
      </c>
      <c r="F1343" s="165"/>
      <c r="G1343" s="166">
        <v>572</v>
      </c>
      <c r="H1343" s="167">
        <v>7.5</v>
      </c>
      <c r="I1343" s="165"/>
      <c r="J1343" s="167"/>
      <c r="K1343" s="167">
        <v>9</v>
      </c>
      <c r="L1343" s="167">
        <v>50.8</v>
      </c>
      <c r="M1343" s="168">
        <v>0.51180555555555596</v>
      </c>
      <c r="N1343" s="67" t="s">
        <v>281</v>
      </c>
      <c r="P1343" s="37"/>
      <c r="Q1343" s="37"/>
    </row>
    <row r="1344" spans="1:17" s="24" customFormat="1" ht="15" x14ac:dyDescent="0.25">
      <c r="A1344" s="66">
        <v>45289</v>
      </c>
      <c r="B1344" s="67" t="s">
        <v>43</v>
      </c>
      <c r="C1344" s="129" t="str">
        <f t="shared" si="42"/>
        <v>29.12.2023_HAAob</v>
      </c>
      <c r="D1344" s="143">
        <f t="shared" ref="D1344:D1407" si="43">COUNTBLANK(E1344)+COUNTBLANK(G1344:H1344)+COUNTBLANK(K1344:L1344)</f>
        <v>0</v>
      </c>
      <c r="E1344" s="157">
        <v>7.77</v>
      </c>
      <c r="F1344" s="165"/>
      <c r="G1344" s="166">
        <v>689</v>
      </c>
      <c r="H1344" s="167">
        <v>9.69</v>
      </c>
      <c r="I1344" s="165"/>
      <c r="J1344" s="167"/>
      <c r="K1344" s="167">
        <v>8.8800000000000008</v>
      </c>
      <c r="L1344" s="167">
        <v>20.8</v>
      </c>
      <c r="M1344" s="168">
        <v>0.61041666666666705</v>
      </c>
      <c r="N1344" s="67" t="s">
        <v>168</v>
      </c>
      <c r="P1344" s="37"/>
      <c r="Q1344" s="37"/>
    </row>
    <row r="1345" spans="1:17" s="24" customFormat="1" ht="15" x14ac:dyDescent="0.25">
      <c r="A1345" s="66">
        <v>45289</v>
      </c>
      <c r="B1345" s="67" t="s">
        <v>45</v>
      </c>
      <c r="C1345" s="129" t="str">
        <f t="shared" si="42"/>
        <v>29.12.2023_HAAun</v>
      </c>
      <c r="D1345" s="143">
        <f t="shared" si="43"/>
        <v>0</v>
      </c>
      <c r="E1345" s="157">
        <v>7.33</v>
      </c>
      <c r="F1345" s="165"/>
      <c r="G1345" s="166">
        <v>930</v>
      </c>
      <c r="H1345" s="167">
        <v>8.84</v>
      </c>
      <c r="I1345" s="165"/>
      <c r="J1345" s="167"/>
      <c r="K1345" s="167">
        <v>9.5399999999999991</v>
      </c>
      <c r="L1345" s="167">
        <v>29.5</v>
      </c>
      <c r="M1345" s="168">
        <v>0.60069444444444398</v>
      </c>
      <c r="N1345" s="67" t="s">
        <v>168</v>
      </c>
      <c r="P1345" s="37"/>
      <c r="Q1345" s="37"/>
    </row>
    <row r="1346" spans="1:17" s="24" customFormat="1" ht="15" x14ac:dyDescent="0.25">
      <c r="A1346" s="66">
        <v>45289</v>
      </c>
      <c r="B1346" s="67" t="s">
        <v>47</v>
      </c>
      <c r="C1346" s="129" t="str">
        <f t="shared" si="42"/>
        <v>29.12.2023_KIRob</v>
      </c>
      <c r="D1346" s="143">
        <f t="shared" si="43"/>
        <v>0</v>
      </c>
      <c r="E1346" s="157">
        <v>7.44</v>
      </c>
      <c r="F1346" s="165"/>
      <c r="G1346" s="166">
        <v>985</v>
      </c>
      <c r="H1346" s="167">
        <v>6.8</v>
      </c>
      <c r="I1346" s="165"/>
      <c r="J1346" s="167"/>
      <c r="K1346" s="167">
        <v>10.5</v>
      </c>
      <c r="L1346" s="167">
        <v>21</v>
      </c>
      <c r="M1346" s="168">
        <v>0.43958333333333299</v>
      </c>
      <c r="N1346" s="67" t="s">
        <v>168</v>
      </c>
      <c r="P1346" s="37"/>
      <c r="Q1346" s="37"/>
    </row>
    <row r="1347" spans="1:17" s="24" customFormat="1" ht="15" x14ac:dyDescent="0.25">
      <c r="A1347" s="66">
        <v>45289</v>
      </c>
      <c r="B1347" s="67" t="s">
        <v>49</v>
      </c>
      <c r="C1347" s="129" t="str">
        <f t="shared" si="42"/>
        <v>29.12.2023_KIRun</v>
      </c>
      <c r="D1347" s="143">
        <f t="shared" si="43"/>
        <v>0</v>
      </c>
      <c r="E1347" s="157">
        <v>7.61</v>
      </c>
      <c r="F1347" s="165"/>
      <c r="G1347" s="166">
        <v>924</v>
      </c>
      <c r="H1347" s="167">
        <v>8</v>
      </c>
      <c r="I1347" s="165"/>
      <c r="J1347" s="167"/>
      <c r="K1347" s="167">
        <v>10.5</v>
      </c>
      <c r="L1347" s="167">
        <v>18.100000000000001</v>
      </c>
      <c r="M1347" s="168">
        <v>0.42986111111111103</v>
      </c>
      <c r="N1347" s="67" t="s">
        <v>168</v>
      </c>
      <c r="P1347" s="37"/>
      <c r="Q1347" s="37"/>
    </row>
    <row r="1348" spans="1:17" s="24" customFormat="1" ht="15" x14ac:dyDescent="0.25">
      <c r="A1348" s="66">
        <v>45289</v>
      </c>
      <c r="B1348" s="67" t="s">
        <v>50</v>
      </c>
      <c r="C1348" s="129" t="str">
        <f t="shared" si="42"/>
        <v>29.12.2023_LIEohBo</v>
      </c>
      <c r="D1348" s="143">
        <f t="shared" si="43"/>
        <v>0</v>
      </c>
      <c r="E1348" s="157">
        <v>7.92</v>
      </c>
      <c r="F1348" s="165"/>
      <c r="G1348" s="166">
        <v>815</v>
      </c>
      <c r="H1348" s="167">
        <v>9.3000000000000007</v>
      </c>
      <c r="I1348" s="165"/>
      <c r="J1348" s="167"/>
      <c r="K1348" s="167">
        <v>9.6</v>
      </c>
      <c r="L1348" s="167">
        <v>18.100000000000001</v>
      </c>
      <c r="M1348" s="168">
        <v>0.41388888888888897</v>
      </c>
      <c r="N1348" s="67"/>
      <c r="P1348" s="37"/>
      <c r="Q1348" s="37"/>
    </row>
    <row r="1349" spans="1:17" s="24" customFormat="1" ht="15" x14ac:dyDescent="0.25">
      <c r="A1349" s="66">
        <v>45289</v>
      </c>
      <c r="B1349" s="67" t="s">
        <v>53</v>
      </c>
      <c r="C1349" s="129" t="str">
        <f t="shared" si="42"/>
        <v>29.12.2023_NATohBo</v>
      </c>
      <c r="D1349" s="143">
        <f t="shared" si="43"/>
        <v>0</v>
      </c>
      <c r="E1349" s="157">
        <v>7.27</v>
      </c>
      <c r="F1349" s="165"/>
      <c r="G1349" s="166">
        <v>990</v>
      </c>
      <c r="H1349" s="167">
        <v>8.73</v>
      </c>
      <c r="I1349" s="165"/>
      <c r="J1349" s="167"/>
      <c r="K1349" s="167">
        <v>9.4499999999999993</v>
      </c>
      <c r="L1349" s="167">
        <v>54</v>
      </c>
      <c r="M1349" s="168">
        <v>0.63333333333333297</v>
      </c>
      <c r="N1349" s="67"/>
      <c r="P1349" s="37"/>
      <c r="Q1349" s="37"/>
    </row>
    <row r="1350" spans="1:17" s="24" customFormat="1" ht="15" x14ac:dyDescent="0.25">
      <c r="A1350" s="66">
        <v>45289</v>
      </c>
      <c r="B1350" s="67" t="s">
        <v>55</v>
      </c>
      <c r="C1350" s="129" t="str">
        <f t="shared" si="42"/>
        <v>29.12.2023_QUAohBo</v>
      </c>
      <c r="D1350" s="143">
        <f t="shared" si="43"/>
        <v>0</v>
      </c>
      <c r="E1350" s="157">
        <v>7.22</v>
      </c>
      <c r="F1350" s="165"/>
      <c r="G1350" s="166">
        <v>713</v>
      </c>
      <c r="H1350" s="167">
        <v>8.4</v>
      </c>
      <c r="I1350" s="165"/>
      <c r="J1350" s="167"/>
      <c r="K1350" s="167">
        <v>9.5</v>
      </c>
      <c r="L1350" s="167">
        <v>41.9</v>
      </c>
      <c r="M1350" s="168">
        <v>0.59097222222222201</v>
      </c>
      <c r="N1350" s="67" t="s">
        <v>164</v>
      </c>
      <c r="P1350" s="37"/>
      <c r="Q1350" s="37"/>
    </row>
    <row r="1351" spans="1:17" s="24" customFormat="1" ht="15" x14ac:dyDescent="0.25">
      <c r="A1351" s="66">
        <v>45289</v>
      </c>
      <c r="B1351" s="67" t="s">
        <v>57</v>
      </c>
      <c r="C1351" s="129" t="str">
        <f t="shared" si="42"/>
        <v>29.12.2023_SCHohVo</v>
      </c>
      <c r="D1351" s="143">
        <f t="shared" si="43"/>
        <v>0</v>
      </c>
      <c r="E1351" s="157">
        <v>7.41</v>
      </c>
      <c r="F1351" s="165"/>
      <c r="G1351" s="166">
        <v>422</v>
      </c>
      <c r="H1351" s="167">
        <v>9.3000000000000007</v>
      </c>
      <c r="I1351" s="165"/>
      <c r="J1351" s="167"/>
      <c r="K1351" s="167">
        <v>8.9</v>
      </c>
      <c r="L1351" s="167">
        <v>18.600000000000001</v>
      </c>
      <c r="M1351" s="168">
        <v>0.45069444444444401</v>
      </c>
      <c r="N1351" s="67" t="s">
        <v>168</v>
      </c>
      <c r="P1351" s="37"/>
      <c r="Q1351" s="37"/>
    </row>
    <row r="1352" spans="1:17" s="24" customFormat="1" ht="15" x14ac:dyDescent="0.25">
      <c r="A1352" s="66">
        <v>45289</v>
      </c>
      <c r="B1352" s="67" t="s">
        <v>60</v>
      </c>
      <c r="C1352" s="129" t="str">
        <f t="shared" si="42"/>
        <v>29.12.2023_VORohBo</v>
      </c>
      <c r="D1352" s="143">
        <f t="shared" si="43"/>
        <v>0</v>
      </c>
      <c r="E1352" s="157">
        <v>7.26</v>
      </c>
      <c r="F1352" s="165"/>
      <c r="G1352" s="166">
        <v>812</v>
      </c>
      <c r="H1352" s="167">
        <v>8</v>
      </c>
      <c r="I1352" s="165"/>
      <c r="J1352" s="167"/>
      <c r="K1352" s="167">
        <v>9.4</v>
      </c>
      <c r="L1352" s="167">
        <v>31.9</v>
      </c>
      <c r="M1352" s="168">
        <v>0.469444444444445</v>
      </c>
      <c r="N1352" s="67" t="s">
        <v>168</v>
      </c>
      <c r="P1352" s="37"/>
      <c r="Q1352" s="37"/>
    </row>
    <row r="1353" spans="1:17" s="24" customFormat="1" ht="15" x14ac:dyDescent="0.25">
      <c r="A1353" s="66">
        <v>45289</v>
      </c>
      <c r="B1353" s="67" t="s">
        <v>62</v>
      </c>
      <c r="C1353" s="129" t="str">
        <f t="shared" si="42"/>
        <v>29.12.2023_VORuhSc</v>
      </c>
      <c r="D1353" s="143">
        <f t="shared" si="43"/>
        <v>0</v>
      </c>
      <c r="E1353" s="157">
        <v>7.09</v>
      </c>
      <c r="F1353" s="165"/>
      <c r="G1353" s="166">
        <v>694</v>
      </c>
      <c r="H1353" s="167">
        <v>8.1999999999999993</v>
      </c>
      <c r="I1353" s="165"/>
      <c r="J1353" s="167"/>
      <c r="K1353" s="167">
        <v>9.1999999999999993</v>
      </c>
      <c r="L1353" s="167">
        <v>33.4</v>
      </c>
      <c r="M1353" s="168">
        <v>0.45972222222222198</v>
      </c>
      <c r="N1353" s="67" t="s">
        <v>168</v>
      </c>
      <c r="P1353" s="37"/>
      <c r="Q1353" s="37"/>
    </row>
    <row r="1354" spans="1:17" s="24" customFormat="1" ht="15" x14ac:dyDescent="0.25">
      <c r="A1354" s="66">
        <v>45289</v>
      </c>
      <c r="B1354" s="67" t="s">
        <v>64</v>
      </c>
      <c r="C1354" s="129" t="str">
        <f t="shared" si="42"/>
        <v>29.12.2023_WITob</v>
      </c>
      <c r="D1354" s="143">
        <f t="shared" si="43"/>
        <v>0</v>
      </c>
      <c r="E1354" s="157">
        <v>7.68</v>
      </c>
      <c r="F1354" s="165"/>
      <c r="G1354" s="166">
        <v>1356</v>
      </c>
      <c r="H1354" s="167">
        <v>9.2899999999999991</v>
      </c>
      <c r="I1354" s="165"/>
      <c r="J1354" s="167"/>
      <c r="K1354" s="167">
        <v>10</v>
      </c>
      <c r="L1354" s="167">
        <v>4.5</v>
      </c>
      <c r="M1354" s="168">
        <v>0.62222222222222201</v>
      </c>
      <c r="N1354" s="67"/>
      <c r="P1354" s="37"/>
      <c r="Q1354" s="37"/>
    </row>
    <row r="1355" spans="1:17" s="24" customFormat="1" ht="15" x14ac:dyDescent="0.25">
      <c r="A1355" s="66">
        <v>45306</v>
      </c>
      <c r="B1355" s="67" t="s">
        <v>22</v>
      </c>
      <c r="C1355" s="129" t="str">
        <f t="shared" si="42"/>
        <v>15.01.2024_BOYkl</v>
      </c>
      <c r="D1355" s="143">
        <f t="shared" si="43"/>
        <v>0</v>
      </c>
      <c r="E1355" s="157">
        <v>7.65</v>
      </c>
      <c r="F1355" s="165"/>
      <c r="G1355" s="166">
        <v>412</v>
      </c>
      <c r="H1355" s="167">
        <v>11.06</v>
      </c>
      <c r="I1355" s="165"/>
      <c r="J1355" s="167"/>
      <c r="K1355" s="167">
        <v>5.07</v>
      </c>
      <c r="L1355" s="167">
        <v>20.3</v>
      </c>
      <c r="M1355" s="168">
        <v>0.52500000000000002</v>
      </c>
      <c r="N1355" s="67"/>
      <c r="P1355" s="37"/>
      <c r="Q1355" s="37"/>
    </row>
    <row r="1356" spans="1:17" s="24" customFormat="1" ht="15" x14ac:dyDescent="0.25">
      <c r="A1356" s="66">
        <v>45306</v>
      </c>
      <c r="B1356" s="67" t="s">
        <v>25</v>
      </c>
      <c r="C1356" s="129" t="str">
        <f t="shared" si="42"/>
        <v>15.01.2024_BOYohB224</v>
      </c>
      <c r="D1356" s="143">
        <f t="shared" si="43"/>
        <v>0</v>
      </c>
      <c r="E1356" s="157">
        <v>7.51</v>
      </c>
      <c r="F1356" s="165"/>
      <c r="G1356" s="166">
        <v>878</v>
      </c>
      <c r="H1356" s="167">
        <v>10.27</v>
      </c>
      <c r="I1356" s="165"/>
      <c r="J1356" s="167"/>
      <c r="K1356" s="167">
        <v>4.46</v>
      </c>
      <c r="L1356" s="167">
        <v>57</v>
      </c>
      <c r="M1356" s="168">
        <v>0.63819444444444395</v>
      </c>
      <c r="N1356" s="67"/>
      <c r="P1356" s="37"/>
      <c r="Q1356" s="37"/>
    </row>
    <row r="1357" spans="1:17" s="24" customFormat="1" ht="15" x14ac:dyDescent="0.25">
      <c r="A1357" s="66">
        <v>45306</v>
      </c>
      <c r="B1357" s="67" t="s">
        <v>28</v>
      </c>
      <c r="C1357" s="129" t="str">
        <f t="shared" si="42"/>
        <v>15.01.2024_BOYohBr</v>
      </c>
      <c r="D1357" s="143">
        <f t="shared" si="43"/>
        <v>0</v>
      </c>
      <c r="E1357" s="157">
        <v>7.47</v>
      </c>
      <c r="F1357" s="165"/>
      <c r="G1357" s="166">
        <v>539</v>
      </c>
      <c r="H1357" s="167">
        <v>10.029999999999999</v>
      </c>
      <c r="I1357" s="165"/>
      <c r="J1357" s="167"/>
      <c r="K1357" s="167">
        <v>5.0999999999999996</v>
      </c>
      <c r="L1357" s="167">
        <v>21.2</v>
      </c>
      <c r="M1357" s="168">
        <v>0.561805555555556</v>
      </c>
      <c r="N1357" s="67"/>
      <c r="P1357" s="37"/>
      <c r="Q1357" s="37"/>
    </row>
    <row r="1358" spans="1:17" s="24" customFormat="1" ht="15" x14ac:dyDescent="0.25">
      <c r="A1358" s="66">
        <v>45306</v>
      </c>
      <c r="B1358" s="67" t="s">
        <v>30</v>
      </c>
      <c r="C1358" s="129" t="str">
        <f t="shared" si="42"/>
        <v>15.01.2024_BOYohKi</v>
      </c>
      <c r="D1358" s="143">
        <f t="shared" si="43"/>
        <v>0</v>
      </c>
      <c r="E1358" s="157">
        <v>7.7</v>
      </c>
      <c r="F1358" s="165"/>
      <c r="G1358" s="166">
        <v>744</v>
      </c>
      <c r="H1358" s="167">
        <v>10.050000000000001</v>
      </c>
      <c r="I1358" s="165"/>
      <c r="J1358" s="167"/>
      <c r="K1358" s="167">
        <v>4.25</v>
      </c>
      <c r="L1358" s="167">
        <v>65.2</v>
      </c>
      <c r="M1358" s="168">
        <v>0.40138888888888902</v>
      </c>
      <c r="N1358" s="67"/>
      <c r="P1358" s="37"/>
      <c r="Q1358" s="37"/>
    </row>
    <row r="1359" spans="1:17" s="24" customFormat="1" ht="15" x14ac:dyDescent="0.25">
      <c r="A1359" s="66">
        <v>45306</v>
      </c>
      <c r="B1359" s="67" t="s">
        <v>32</v>
      </c>
      <c r="C1359" s="129" t="str">
        <f t="shared" si="42"/>
        <v>15.01.2024_BOYohSp</v>
      </c>
      <c r="D1359" s="143">
        <f t="shared" si="43"/>
        <v>0</v>
      </c>
      <c r="E1359" s="157">
        <v>7.45</v>
      </c>
      <c r="F1359" s="165"/>
      <c r="G1359" s="166">
        <v>714</v>
      </c>
      <c r="H1359" s="167">
        <v>9.85</v>
      </c>
      <c r="I1359" s="165"/>
      <c r="J1359" s="167"/>
      <c r="K1359" s="167">
        <v>4.7</v>
      </c>
      <c r="L1359" s="167">
        <v>36.4</v>
      </c>
      <c r="M1359" s="168">
        <v>0.58680555555555602</v>
      </c>
      <c r="N1359" s="67"/>
      <c r="P1359" s="37"/>
      <c r="Q1359" s="37"/>
    </row>
    <row r="1360" spans="1:17" s="24" customFormat="1" ht="15" x14ac:dyDescent="0.25">
      <c r="A1360" s="66">
        <v>45306</v>
      </c>
      <c r="B1360" s="67" t="s">
        <v>34</v>
      </c>
      <c r="C1360" s="129" t="str">
        <f t="shared" si="42"/>
        <v>15.01.2024_BOYuhHa</v>
      </c>
      <c r="D1360" s="143">
        <f t="shared" si="43"/>
        <v>0</v>
      </c>
      <c r="E1360" s="157">
        <v>7.6</v>
      </c>
      <c r="F1360" s="165"/>
      <c r="G1360" s="166">
        <v>1002</v>
      </c>
      <c r="H1360" s="167">
        <v>10.35</v>
      </c>
      <c r="I1360" s="165"/>
      <c r="J1360" s="167"/>
      <c r="K1360" s="167">
        <v>4.22</v>
      </c>
      <c r="L1360" s="167">
        <v>34.5</v>
      </c>
      <c r="M1360" s="168">
        <v>0.38263888888888897</v>
      </c>
      <c r="N1360" s="67"/>
      <c r="P1360" s="37"/>
      <c r="Q1360" s="37"/>
    </row>
    <row r="1361" spans="1:17" s="24" customFormat="1" ht="15" x14ac:dyDescent="0.25">
      <c r="A1361" s="66">
        <v>45306</v>
      </c>
      <c r="B1361" s="67" t="s">
        <v>36</v>
      </c>
      <c r="C1361" s="129" t="str">
        <f t="shared" si="42"/>
        <v>15.01.2024_BOYuhSp</v>
      </c>
      <c r="D1361" s="143">
        <f t="shared" si="43"/>
        <v>0</v>
      </c>
      <c r="E1361" s="157">
        <v>7.3</v>
      </c>
      <c r="F1361" s="165"/>
      <c r="G1361" s="166">
        <v>711</v>
      </c>
      <c r="H1361" s="167">
        <v>10.050000000000001</v>
      </c>
      <c r="I1361" s="165"/>
      <c r="J1361" s="167"/>
      <c r="K1361" s="167">
        <v>4.38</v>
      </c>
      <c r="L1361" s="167">
        <v>51</v>
      </c>
      <c r="M1361" s="168">
        <v>0.57430555555555596</v>
      </c>
      <c r="N1361" s="67"/>
      <c r="P1361" s="37"/>
      <c r="Q1361" s="37"/>
    </row>
    <row r="1362" spans="1:17" s="24" customFormat="1" ht="15" x14ac:dyDescent="0.25">
      <c r="A1362" s="66">
        <v>45306</v>
      </c>
      <c r="B1362" s="67" t="s">
        <v>38</v>
      </c>
      <c r="C1362" s="129" t="str">
        <f t="shared" si="42"/>
        <v>15.01.2024_BRAob</v>
      </c>
      <c r="D1362" s="143">
        <f t="shared" si="43"/>
        <v>0</v>
      </c>
      <c r="E1362" s="157">
        <v>7.41</v>
      </c>
      <c r="F1362" s="165"/>
      <c r="G1362" s="166">
        <v>748</v>
      </c>
      <c r="H1362" s="167">
        <v>10.1</v>
      </c>
      <c r="I1362" s="165"/>
      <c r="J1362" s="167"/>
      <c r="K1362" s="167">
        <v>4.54</v>
      </c>
      <c r="L1362" s="167">
        <v>16.5</v>
      </c>
      <c r="M1362" s="168">
        <v>0.53611111111111098</v>
      </c>
      <c r="N1362" s="67"/>
      <c r="P1362" s="37"/>
      <c r="Q1362" s="37"/>
    </row>
    <row r="1363" spans="1:17" s="24" customFormat="1" ht="15" x14ac:dyDescent="0.25">
      <c r="A1363" s="66">
        <v>45306</v>
      </c>
      <c r="B1363" s="67" t="s">
        <v>41</v>
      </c>
      <c r="C1363" s="129" t="str">
        <f t="shared" si="42"/>
        <v>15.01.2024_BRAohBo</v>
      </c>
      <c r="D1363" s="143">
        <f t="shared" si="43"/>
        <v>0</v>
      </c>
      <c r="E1363" s="157">
        <v>7.39</v>
      </c>
      <c r="F1363" s="165"/>
      <c r="G1363" s="166">
        <v>667</v>
      </c>
      <c r="H1363" s="167">
        <v>8.77</v>
      </c>
      <c r="I1363" s="165"/>
      <c r="J1363" s="167"/>
      <c r="K1363" s="167">
        <v>3.97</v>
      </c>
      <c r="L1363" s="167">
        <v>55.7</v>
      </c>
      <c r="M1363" s="168">
        <v>0.54652777777777795</v>
      </c>
      <c r="N1363" s="67"/>
      <c r="P1363" s="37"/>
      <c r="Q1363" s="37"/>
    </row>
    <row r="1364" spans="1:17" s="24" customFormat="1" ht="15" x14ac:dyDescent="0.25">
      <c r="A1364" s="66">
        <v>45306</v>
      </c>
      <c r="B1364" s="67" t="s">
        <v>43</v>
      </c>
      <c r="C1364" s="129" t="str">
        <f t="shared" si="42"/>
        <v>15.01.2024_HAAob</v>
      </c>
      <c r="D1364" s="143">
        <f t="shared" si="43"/>
        <v>0</v>
      </c>
      <c r="E1364" s="157">
        <v>7.92</v>
      </c>
      <c r="F1364" s="165"/>
      <c r="G1364" s="166">
        <v>806</v>
      </c>
      <c r="H1364" s="167">
        <v>11.24</v>
      </c>
      <c r="I1364" s="165"/>
      <c r="J1364" s="167"/>
      <c r="K1364" s="167">
        <v>4.0599999999999996</v>
      </c>
      <c r="L1364" s="167">
        <v>16.7</v>
      </c>
      <c r="M1364" s="168">
        <v>0.61041666666666705</v>
      </c>
      <c r="N1364" s="67"/>
      <c r="P1364" s="37"/>
      <c r="Q1364" s="37"/>
    </row>
    <row r="1365" spans="1:17" s="24" customFormat="1" ht="15" x14ac:dyDescent="0.25">
      <c r="A1365" s="66">
        <v>45306</v>
      </c>
      <c r="B1365" s="67" t="s">
        <v>45</v>
      </c>
      <c r="C1365" s="129" t="str">
        <f t="shared" si="42"/>
        <v>15.01.2024_HAAun</v>
      </c>
      <c r="D1365" s="143">
        <f t="shared" si="43"/>
        <v>0</v>
      </c>
      <c r="E1365" s="157">
        <v>7.47</v>
      </c>
      <c r="F1365" s="165"/>
      <c r="G1365" s="166">
        <v>1002</v>
      </c>
      <c r="H1365" s="167">
        <v>10.199999999999999</v>
      </c>
      <c r="I1365" s="165"/>
      <c r="J1365" s="167"/>
      <c r="K1365" s="167">
        <v>5.01</v>
      </c>
      <c r="L1365" s="167">
        <v>23.4</v>
      </c>
      <c r="M1365" s="168">
        <v>0.60347222222222197</v>
      </c>
      <c r="N1365" s="67"/>
      <c r="P1365" s="37"/>
      <c r="Q1365" s="37"/>
    </row>
    <row r="1366" spans="1:17" s="24" customFormat="1" ht="15" x14ac:dyDescent="0.25">
      <c r="A1366" s="66">
        <v>45306</v>
      </c>
      <c r="B1366" s="67" t="s">
        <v>47</v>
      </c>
      <c r="C1366" s="129" t="str">
        <f t="shared" si="42"/>
        <v>15.01.2024_KIRob</v>
      </c>
      <c r="D1366" s="143">
        <f t="shared" si="43"/>
        <v>0</v>
      </c>
      <c r="E1366" s="157">
        <v>7.53</v>
      </c>
      <c r="F1366" s="165"/>
      <c r="G1366" s="166">
        <v>1023</v>
      </c>
      <c r="H1366" s="167">
        <v>9.56</v>
      </c>
      <c r="I1366" s="165"/>
      <c r="J1366" s="167"/>
      <c r="K1366" s="167">
        <v>6.81</v>
      </c>
      <c r="L1366" s="167">
        <v>16.600000000000001</v>
      </c>
      <c r="M1366" s="168">
        <v>0.48263888888888901</v>
      </c>
      <c r="N1366" s="67"/>
      <c r="P1366" s="37"/>
      <c r="Q1366" s="37"/>
    </row>
    <row r="1367" spans="1:17" s="24" customFormat="1" ht="15" x14ac:dyDescent="0.25">
      <c r="A1367" s="66">
        <v>45306</v>
      </c>
      <c r="B1367" s="67" t="s">
        <v>49</v>
      </c>
      <c r="C1367" s="129" t="str">
        <f t="shared" si="42"/>
        <v>15.01.2024_KIRun</v>
      </c>
      <c r="D1367" s="143">
        <f t="shared" si="43"/>
        <v>0</v>
      </c>
      <c r="E1367" s="157">
        <v>7.81</v>
      </c>
      <c r="F1367" s="165"/>
      <c r="G1367" s="166">
        <v>984</v>
      </c>
      <c r="H1367" s="167">
        <v>9.44</v>
      </c>
      <c r="I1367" s="165"/>
      <c r="J1367" s="167"/>
      <c r="K1367" s="167">
        <v>6.94</v>
      </c>
      <c r="L1367" s="167">
        <v>14.5</v>
      </c>
      <c r="M1367" s="168">
        <v>0.41111111111111098</v>
      </c>
      <c r="N1367" s="67"/>
      <c r="P1367" s="37"/>
      <c r="Q1367" s="37"/>
    </row>
    <row r="1368" spans="1:17" s="24" customFormat="1" ht="15" x14ac:dyDescent="0.25">
      <c r="A1368" s="66">
        <v>45306</v>
      </c>
      <c r="B1368" s="67" t="s">
        <v>50</v>
      </c>
      <c r="C1368" s="129" t="str">
        <f t="shared" si="42"/>
        <v>15.01.2024_LIEohBo</v>
      </c>
      <c r="D1368" s="143">
        <f t="shared" si="43"/>
        <v>0</v>
      </c>
      <c r="E1368" s="157">
        <v>8.08</v>
      </c>
      <c r="F1368" s="165"/>
      <c r="G1368" s="166">
        <v>853</v>
      </c>
      <c r="H1368" s="167">
        <v>10.1</v>
      </c>
      <c r="I1368" s="165"/>
      <c r="J1368" s="167"/>
      <c r="K1368" s="167">
        <v>4.43</v>
      </c>
      <c r="L1368" s="167">
        <v>14.3</v>
      </c>
      <c r="M1368" s="168">
        <v>0.391666666666667</v>
      </c>
      <c r="N1368" s="67"/>
      <c r="P1368" s="37"/>
      <c r="Q1368" s="37"/>
    </row>
    <row r="1369" spans="1:17" s="24" customFormat="1" ht="15" x14ac:dyDescent="0.25">
      <c r="A1369" s="66">
        <v>45306</v>
      </c>
      <c r="B1369" s="67" t="s">
        <v>53</v>
      </c>
      <c r="C1369" s="129" t="str">
        <f t="shared" si="42"/>
        <v>15.01.2024_NATohBo</v>
      </c>
      <c r="D1369" s="143">
        <f t="shared" si="43"/>
        <v>0</v>
      </c>
      <c r="E1369" s="157">
        <v>7.39</v>
      </c>
      <c r="F1369" s="165"/>
      <c r="G1369" s="166">
        <v>1660</v>
      </c>
      <c r="H1369" s="167">
        <v>9.7799999999999994</v>
      </c>
      <c r="I1369" s="165"/>
      <c r="J1369" s="167"/>
      <c r="K1369" s="167">
        <v>5.59</v>
      </c>
      <c r="L1369" s="167">
        <v>26.4</v>
      </c>
      <c r="M1369" s="168">
        <v>0.63055555555555598</v>
      </c>
      <c r="N1369" s="67"/>
      <c r="P1369" s="37"/>
      <c r="Q1369" s="37"/>
    </row>
    <row r="1370" spans="1:17" s="24" customFormat="1" ht="15" x14ac:dyDescent="0.25">
      <c r="A1370" s="66">
        <v>45306</v>
      </c>
      <c r="B1370" s="67" t="s">
        <v>55</v>
      </c>
      <c r="C1370" s="129" t="str">
        <f t="shared" si="42"/>
        <v>15.01.2024_QUAohBo</v>
      </c>
      <c r="D1370" s="143">
        <f t="shared" si="43"/>
        <v>0</v>
      </c>
      <c r="E1370" s="157">
        <v>7.47</v>
      </c>
      <c r="F1370" s="165"/>
      <c r="G1370" s="166">
        <v>916</v>
      </c>
      <c r="H1370" s="167">
        <v>10.33</v>
      </c>
      <c r="I1370" s="165"/>
      <c r="J1370" s="167"/>
      <c r="K1370" s="167">
        <v>5.35</v>
      </c>
      <c r="L1370" s="167">
        <v>30.1</v>
      </c>
      <c r="M1370" s="168">
        <v>0.593055555555556</v>
      </c>
      <c r="N1370" s="67"/>
      <c r="P1370" s="37"/>
      <c r="Q1370" s="37"/>
    </row>
    <row r="1371" spans="1:17" s="24" customFormat="1" ht="15" x14ac:dyDescent="0.25">
      <c r="A1371" s="66">
        <v>45306</v>
      </c>
      <c r="B1371" s="67" t="s">
        <v>57</v>
      </c>
      <c r="C1371" s="129" t="str">
        <f t="shared" si="42"/>
        <v>15.01.2024_SCHohVo</v>
      </c>
      <c r="D1371" s="143">
        <f t="shared" si="43"/>
        <v>0</v>
      </c>
      <c r="E1371" s="157">
        <v>7.53</v>
      </c>
      <c r="F1371" s="165"/>
      <c r="G1371" s="166">
        <v>401</v>
      </c>
      <c r="H1371" s="167">
        <v>10.83</v>
      </c>
      <c r="I1371" s="165"/>
      <c r="J1371" s="167"/>
      <c r="K1371" s="167">
        <v>3.54</v>
      </c>
      <c r="L1371" s="167">
        <v>15.8</v>
      </c>
      <c r="M1371" s="168">
        <v>0.49166666666666697</v>
      </c>
      <c r="N1371" s="67"/>
      <c r="P1371" s="37"/>
      <c r="Q1371" s="37"/>
    </row>
    <row r="1372" spans="1:17" s="24" customFormat="1" ht="15" x14ac:dyDescent="0.25">
      <c r="A1372" s="66">
        <v>45306</v>
      </c>
      <c r="B1372" s="67" t="s">
        <v>60</v>
      </c>
      <c r="C1372" s="129" t="str">
        <f t="shared" si="42"/>
        <v>15.01.2024_VORohBo</v>
      </c>
      <c r="D1372" s="143">
        <f t="shared" si="43"/>
        <v>0</v>
      </c>
      <c r="E1372" s="157">
        <v>7.21</v>
      </c>
      <c r="F1372" s="165"/>
      <c r="G1372" s="166">
        <v>860</v>
      </c>
      <c r="H1372" s="167">
        <v>9.11</v>
      </c>
      <c r="I1372" s="165"/>
      <c r="J1372" s="167"/>
      <c r="K1372" s="167">
        <v>4.79</v>
      </c>
      <c r="L1372" s="167">
        <v>26</v>
      </c>
      <c r="M1372" s="168">
        <v>0.51041666666666696</v>
      </c>
      <c r="N1372" s="67"/>
      <c r="P1372" s="37"/>
      <c r="Q1372" s="37"/>
    </row>
    <row r="1373" spans="1:17" s="24" customFormat="1" ht="15" x14ac:dyDescent="0.25">
      <c r="A1373" s="66">
        <v>45306</v>
      </c>
      <c r="B1373" s="67" t="s">
        <v>62</v>
      </c>
      <c r="C1373" s="129" t="str">
        <f t="shared" si="42"/>
        <v>15.01.2024_VORuhSc</v>
      </c>
      <c r="D1373" s="143">
        <f t="shared" si="43"/>
        <v>0</v>
      </c>
      <c r="E1373" s="157">
        <v>7.01</v>
      </c>
      <c r="F1373" s="165"/>
      <c r="G1373" s="166">
        <v>733</v>
      </c>
      <c r="H1373" s="167">
        <v>9.5500000000000007</v>
      </c>
      <c r="I1373" s="165"/>
      <c r="J1373" s="167"/>
      <c r="K1373" s="167">
        <v>4.3499999999999996</v>
      </c>
      <c r="L1373" s="167">
        <v>16</v>
      </c>
      <c r="M1373" s="168">
        <v>0.50277777777777799</v>
      </c>
      <c r="N1373" s="67"/>
      <c r="P1373" s="37"/>
      <c r="Q1373" s="37"/>
    </row>
    <row r="1374" spans="1:17" s="24" customFormat="1" ht="15" x14ac:dyDescent="0.25">
      <c r="A1374" s="66">
        <v>45306</v>
      </c>
      <c r="B1374" s="67" t="s">
        <v>64</v>
      </c>
      <c r="C1374" s="129" t="str">
        <f t="shared" si="42"/>
        <v>15.01.2024_WITob</v>
      </c>
      <c r="D1374" s="143">
        <f t="shared" si="43"/>
        <v>0</v>
      </c>
      <c r="E1374" s="157">
        <v>7.8</v>
      </c>
      <c r="F1374" s="165"/>
      <c r="G1374" s="166">
        <v>1415</v>
      </c>
      <c r="H1374" s="167">
        <v>10.41</v>
      </c>
      <c r="I1374" s="165"/>
      <c r="J1374" s="167"/>
      <c r="K1374" s="167">
        <v>6.43</v>
      </c>
      <c r="L1374" s="167">
        <v>4.7</v>
      </c>
      <c r="M1374" s="168">
        <v>0.61805555555555602</v>
      </c>
      <c r="N1374" s="67"/>
      <c r="P1374" s="37"/>
      <c r="Q1374" s="37"/>
    </row>
    <row r="1375" spans="1:17" s="24" customFormat="1" ht="15" x14ac:dyDescent="0.25">
      <c r="A1375" s="66">
        <v>45322</v>
      </c>
      <c r="B1375" s="67" t="s">
        <v>22</v>
      </c>
      <c r="C1375" s="129" t="str">
        <f t="shared" si="42"/>
        <v>31.01.2024_BOYkl</v>
      </c>
      <c r="D1375" s="143">
        <f t="shared" si="43"/>
        <v>0</v>
      </c>
      <c r="E1375" s="157">
        <v>7.55</v>
      </c>
      <c r="F1375" s="165"/>
      <c r="G1375" s="166">
        <v>440</v>
      </c>
      <c r="H1375" s="167">
        <v>11.5</v>
      </c>
      <c r="I1375" s="165"/>
      <c r="J1375" s="167"/>
      <c r="K1375" s="167">
        <v>6.5</v>
      </c>
      <c r="L1375" s="167">
        <v>10.7</v>
      </c>
      <c r="M1375" s="168">
        <v>0.483333333333333</v>
      </c>
      <c r="N1375" s="67"/>
      <c r="P1375" s="37"/>
      <c r="Q1375" s="37"/>
    </row>
    <row r="1376" spans="1:17" s="24" customFormat="1" ht="15" x14ac:dyDescent="0.25">
      <c r="A1376" s="66">
        <v>45322</v>
      </c>
      <c r="B1376" s="67" t="s">
        <v>25</v>
      </c>
      <c r="C1376" s="129" t="str">
        <f t="shared" si="42"/>
        <v>31.01.2024_BOYohB224</v>
      </c>
      <c r="D1376" s="143">
        <f t="shared" si="43"/>
        <v>0</v>
      </c>
      <c r="E1376" s="157">
        <v>7.75</v>
      </c>
      <c r="F1376" s="165"/>
      <c r="G1376" s="166">
        <v>911</v>
      </c>
      <c r="H1376" s="167">
        <v>10.66</v>
      </c>
      <c r="I1376" s="165"/>
      <c r="J1376" s="167"/>
      <c r="K1376" s="167">
        <v>7.8</v>
      </c>
      <c r="L1376" s="167">
        <v>53.6</v>
      </c>
      <c r="M1376" s="168">
        <v>0.61944444444444502</v>
      </c>
      <c r="N1376" s="67"/>
      <c r="P1376" s="37"/>
      <c r="Q1376" s="37"/>
    </row>
    <row r="1377" spans="1:17" s="24" customFormat="1" ht="15" x14ac:dyDescent="0.25">
      <c r="A1377" s="66">
        <v>45322</v>
      </c>
      <c r="B1377" s="67" t="s">
        <v>28</v>
      </c>
      <c r="C1377" s="129" t="str">
        <f t="shared" si="42"/>
        <v>31.01.2024_BOYohBr</v>
      </c>
      <c r="D1377" s="143">
        <f t="shared" si="43"/>
        <v>0</v>
      </c>
      <c r="E1377" s="157">
        <v>7.61</v>
      </c>
      <c r="F1377" s="165"/>
      <c r="G1377" s="166">
        <v>547</v>
      </c>
      <c r="H1377" s="167">
        <v>10.11</v>
      </c>
      <c r="I1377" s="165"/>
      <c r="J1377" s="167"/>
      <c r="K1377" s="167">
        <v>7.6</v>
      </c>
      <c r="L1377" s="167">
        <v>26.8</v>
      </c>
      <c r="M1377" s="168">
        <v>0.52986111111111101</v>
      </c>
      <c r="N1377" s="67"/>
      <c r="P1377" s="37"/>
      <c r="Q1377" s="37"/>
    </row>
    <row r="1378" spans="1:17" s="24" customFormat="1" ht="15" x14ac:dyDescent="0.25">
      <c r="A1378" s="66">
        <v>45322</v>
      </c>
      <c r="B1378" s="67" t="s">
        <v>30</v>
      </c>
      <c r="C1378" s="129" t="str">
        <f t="shared" si="42"/>
        <v>31.01.2024_BOYohKi</v>
      </c>
      <c r="D1378" s="143">
        <f t="shared" si="43"/>
        <v>0</v>
      </c>
      <c r="E1378" s="157">
        <v>7.61</v>
      </c>
      <c r="F1378" s="165"/>
      <c r="G1378" s="166">
        <v>783</v>
      </c>
      <c r="H1378" s="167">
        <v>10.63</v>
      </c>
      <c r="I1378" s="165"/>
      <c r="J1378" s="167"/>
      <c r="K1378" s="167">
        <v>7.1</v>
      </c>
      <c r="L1378" s="167">
        <v>55.5</v>
      </c>
      <c r="M1378" s="168">
        <v>0.41944444444444401</v>
      </c>
      <c r="N1378" s="67"/>
      <c r="P1378" s="37"/>
      <c r="Q1378" s="37"/>
    </row>
    <row r="1379" spans="1:17" s="24" customFormat="1" ht="15" x14ac:dyDescent="0.25">
      <c r="A1379" s="66">
        <v>45322</v>
      </c>
      <c r="B1379" s="67" t="s">
        <v>32</v>
      </c>
      <c r="C1379" s="129" t="str">
        <f t="shared" si="42"/>
        <v>31.01.2024_BOYohSp</v>
      </c>
      <c r="D1379" s="143">
        <f t="shared" si="43"/>
        <v>0</v>
      </c>
      <c r="E1379" s="157">
        <v>6.94</v>
      </c>
      <c r="F1379" s="165"/>
      <c r="G1379" s="166">
        <v>707</v>
      </c>
      <c r="H1379" s="167">
        <v>10.15</v>
      </c>
      <c r="I1379" s="165"/>
      <c r="J1379" s="167"/>
      <c r="K1379" s="167">
        <v>7.2</v>
      </c>
      <c r="L1379" s="167">
        <v>37</v>
      </c>
      <c r="M1379" s="168">
        <v>0.54861111111111105</v>
      </c>
      <c r="N1379" s="67"/>
      <c r="P1379" s="37"/>
      <c r="Q1379" s="37"/>
    </row>
    <row r="1380" spans="1:17" s="24" customFormat="1" ht="15" x14ac:dyDescent="0.25">
      <c r="A1380" s="66">
        <v>45322</v>
      </c>
      <c r="B1380" s="67" t="s">
        <v>34</v>
      </c>
      <c r="C1380" s="129" t="str">
        <f t="shared" si="42"/>
        <v>31.01.2024_BOYuhHa</v>
      </c>
      <c r="D1380" s="143">
        <f t="shared" si="43"/>
        <v>0</v>
      </c>
      <c r="E1380" s="157">
        <v>7.73</v>
      </c>
      <c r="F1380" s="165"/>
      <c r="G1380" s="166">
        <v>985</v>
      </c>
      <c r="H1380" s="167">
        <v>11.56</v>
      </c>
      <c r="I1380" s="165"/>
      <c r="J1380" s="167"/>
      <c r="K1380" s="167">
        <v>7.24</v>
      </c>
      <c r="L1380" s="167">
        <v>31.2</v>
      </c>
      <c r="M1380" s="168">
        <v>0.39583333333333298</v>
      </c>
      <c r="N1380" s="67"/>
      <c r="P1380" s="37"/>
      <c r="Q1380" s="37"/>
    </row>
    <row r="1381" spans="1:17" s="24" customFormat="1" ht="15" x14ac:dyDescent="0.25">
      <c r="A1381" s="66">
        <v>45322</v>
      </c>
      <c r="B1381" s="67" t="s">
        <v>36</v>
      </c>
      <c r="C1381" s="129" t="str">
        <f t="shared" si="42"/>
        <v>31.01.2024_BOYuhSp</v>
      </c>
      <c r="D1381" s="143">
        <f t="shared" si="43"/>
        <v>0</v>
      </c>
      <c r="E1381" s="157">
        <v>6.71</v>
      </c>
      <c r="F1381" s="165"/>
      <c r="G1381" s="166">
        <v>744</v>
      </c>
      <c r="H1381" s="167">
        <v>10.59</v>
      </c>
      <c r="I1381" s="165"/>
      <c r="J1381" s="167"/>
      <c r="K1381" s="167">
        <v>7.1</v>
      </c>
      <c r="L1381" s="167">
        <v>44</v>
      </c>
      <c r="M1381" s="168">
        <v>0.54444444444444395</v>
      </c>
      <c r="N1381" s="67"/>
      <c r="P1381" s="37"/>
      <c r="Q1381" s="37"/>
    </row>
    <row r="1382" spans="1:17" s="24" customFormat="1" ht="15" x14ac:dyDescent="0.25">
      <c r="A1382" s="66">
        <v>45322</v>
      </c>
      <c r="B1382" s="67" t="s">
        <v>38</v>
      </c>
      <c r="C1382" s="129" t="str">
        <f t="shared" si="42"/>
        <v>31.01.2024_BRAob</v>
      </c>
      <c r="D1382" s="143">
        <f t="shared" si="43"/>
        <v>0</v>
      </c>
      <c r="E1382" s="157">
        <v>7.09</v>
      </c>
      <c r="F1382" s="165"/>
      <c r="G1382" s="166">
        <v>794</v>
      </c>
      <c r="H1382" s="167">
        <v>10.34</v>
      </c>
      <c r="I1382" s="165"/>
      <c r="J1382" s="167"/>
      <c r="K1382" s="167">
        <v>7.01</v>
      </c>
      <c r="L1382" s="167">
        <v>14.9</v>
      </c>
      <c r="M1382" s="168">
        <v>0.49305555555555602</v>
      </c>
      <c r="N1382" s="67"/>
      <c r="P1382" s="37"/>
      <c r="Q1382" s="37"/>
    </row>
    <row r="1383" spans="1:17" s="24" customFormat="1" ht="15" x14ac:dyDescent="0.25">
      <c r="A1383" s="66">
        <v>45322</v>
      </c>
      <c r="B1383" s="67" t="s">
        <v>41</v>
      </c>
      <c r="C1383" s="129" t="str">
        <f t="shared" si="42"/>
        <v>31.01.2024_BRAohBo</v>
      </c>
      <c r="D1383" s="143">
        <f t="shared" si="43"/>
        <v>0</v>
      </c>
      <c r="E1383" s="157">
        <v>7.4</v>
      </c>
      <c r="F1383" s="165"/>
      <c r="G1383" s="166">
        <v>588</v>
      </c>
      <c r="H1383" s="167">
        <v>9.11</v>
      </c>
      <c r="I1383" s="165"/>
      <c r="J1383" s="167"/>
      <c r="K1383" s="167">
        <v>6.26</v>
      </c>
      <c r="L1383" s="167">
        <v>44.6</v>
      </c>
      <c r="M1383" s="168">
        <v>0.50555555555555598</v>
      </c>
      <c r="N1383" s="67"/>
      <c r="P1383" s="37"/>
      <c r="Q1383" s="37"/>
    </row>
    <row r="1384" spans="1:17" s="24" customFormat="1" ht="15" x14ac:dyDescent="0.25">
      <c r="A1384" s="66">
        <v>45322</v>
      </c>
      <c r="B1384" s="67" t="s">
        <v>43</v>
      </c>
      <c r="C1384" s="129" t="str">
        <f t="shared" si="42"/>
        <v>31.01.2024_HAAob</v>
      </c>
      <c r="D1384" s="143">
        <f t="shared" si="43"/>
        <v>0</v>
      </c>
      <c r="E1384" s="157">
        <v>7.96</v>
      </c>
      <c r="F1384" s="165"/>
      <c r="G1384" s="166">
        <v>832</v>
      </c>
      <c r="H1384" s="167">
        <v>11.35</v>
      </c>
      <c r="I1384" s="165"/>
      <c r="J1384" s="167"/>
      <c r="K1384" s="167">
        <v>7.19</v>
      </c>
      <c r="L1384" s="167">
        <v>12.9</v>
      </c>
      <c r="M1384" s="168">
        <v>0.58541666666666703</v>
      </c>
      <c r="N1384" s="67"/>
      <c r="P1384" s="37"/>
      <c r="Q1384" s="37"/>
    </row>
    <row r="1385" spans="1:17" s="24" customFormat="1" ht="15" x14ac:dyDescent="0.25">
      <c r="A1385" s="66">
        <v>45322</v>
      </c>
      <c r="B1385" s="67" t="s">
        <v>45</v>
      </c>
      <c r="C1385" s="129" t="str">
        <f t="shared" si="42"/>
        <v>31.01.2024_HAAun</v>
      </c>
      <c r="D1385" s="143">
        <f t="shared" si="43"/>
        <v>0</v>
      </c>
      <c r="E1385" s="157">
        <v>7.72</v>
      </c>
      <c r="F1385" s="165"/>
      <c r="G1385" s="166">
        <v>1060</v>
      </c>
      <c r="H1385" s="167">
        <v>10.52</v>
      </c>
      <c r="I1385" s="165"/>
      <c r="J1385" s="167"/>
      <c r="K1385" s="167">
        <v>7.77</v>
      </c>
      <c r="L1385" s="167">
        <v>19.2</v>
      </c>
      <c r="M1385" s="168">
        <v>0.57777777777777795</v>
      </c>
      <c r="N1385" s="67"/>
      <c r="P1385" s="37"/>
      <c r="Q1385" s="37"/>
    </row>
    <row r="1386" spans="1:17" s="24" customFormat="1" ht="15" x14ac:dyDescent="0.25">
      <c r="A1386" s="66">
        <v>45322</v>
      </c>
      <c r="B1386" s="67" t="s">
        <v>47</v>
      </c>
      <c r="C1386" s="129" t="str">
        <f t="shared" si="42"/>
        <v>31.01.2024_KIRob</v>
      </c>
      <c r="D1386" s="143">
        <f t="shared" si="43"/>
        <v>0</v>
      </c>
      <c r="E1386" s="157">
        <v>7.57</v>
      </c>
      <c r="F1386" s="165"/>
      <c r="G1386" s="166">
        <v>1106</v>
      </c>
      <c r="H1386" s="167">
        <v>8.6999999999999993</v>
      </c>
      <c r="I1386" s="165"/>
      <c r="J1386" s="167"/>
      <c r="K1386" s="167">
        <v>9.15</v>
      </c>
      <c r="L1386" s="167">
        <v>13</v>
      </c>
      <c r="M1386" s="168">
        <v>0.43888888888888899</v>
      </c>
      <c r="N1386" s="67"/>
      <c r="P1386" s="37"/>
      <c r="Q1386" s="37"/>
    </row>
    <row r="1387" spans="1:17" s="24" customFormat="1" ht="15" x14ac:dyDescent="0.25">
      <c r="A1387" s="66">
        <v>45322</v>
      </c>
      <c r="B1387" s="67" t="s">
        <v>49</v>
      </c>
      <c r="C1387" s="129" t="str">
        <f t="shared" si="42"/>
        <v>31.01.2024_KIRun</v>
      </c>
      <c r="D1387" s="143">
        <f t="shared" si="43"/>
        <v>0</v>
      </c>
      <c r="E1387" s="157">
        <v>7.53</v>
      </c>
      <c r="F1387" s="165"/>
      <c r="G1387" s="166">
        <v>1020</v>
      </c>
      <c r="H1387" s="167">
        <v>9.49</v>
      </c>
      <c r="I1387" s="165"/>
      <c r="J1387" s="167"/>
      <c r="K1387" s="167">
        <v>9.2799999999999994</v>
      </c>
      <c r="L1387" s="167">
        <v>13.2</v>
      </c>
      <c r="M1387" s="168">
        <v>0.42986111111111103</v>
      </c>
      <c r="N1387" s="67"/>
      <c r="P1387" s="37"/>
      <c r="Q1387" s="37"/>
    </row>
    <row r="1388" spans="1:17" s="24" customFormat="1" ht="15" x14ac:dyDescent="0.25">
      <c r="A1388" s="66">
        <v>45322</v>
      </c>
      <c r="B1388" s="67" t="s">
        <v>50</v>
      </c>
      <c r="C1388" s="129" t="str">
        <f t="shared" si="42"/>
        <v>31.01.2024_LIEohBo</v>
      </c>
      <c r="D1388" s="143">
        <f t="shared" si="43"/>
        <v>0</v>
      </c>
      <c r="E1388" s="157">
        <v>8.0500000000000007</v>
      </c>
      <c r="F1388" s="165"/>
      <c r="G1388" s="166">
        <v>839</v>
      </c>
      <c r="H1388" s="167">
        <v>11.27</v>
      </c>
      <c r="I1388" s="165"/>
      <c r="J1388" s="167"/>
      <c r="K1388" s="167">
        <v>7.11</v>
      </c>
      <c r="L1388" s="167">
        <v>10.8</v>
      </c>
      <c r="M1388" s="168">
        <v>0.40763888888888899</v>
      </c>
      <c r="N1388" s="67"/>
      <c r="P1388" s="37"/>
      <c r="Q1388" s="37"/>
    </row>
    <row r="1389" spans="1:17" s="24" customFormat="1" ht="15" x14ac:dyDescent="0.25">
      <c r="A1389" s="66">
        <v>45322</v>
      </c>
      <c r="B1389" s="67" t="s">
        <v>53</v>
      </c>
      <c r="C1389" s="129" t="str">
        <f t="shared" si="42"/>
        <v>31.01.2024_NATohBo</v>
      </c>
      <c r="D1389" s="143">
        <f t="shared" si="43"/>
        <v>0</v>
      </c>
      <c r="E1389" s="157">
        <v>7.61</v>
      </c>
      <c r="F1389" s="165"/>
      <c r="G1389" s="166">
        <v>1633</v>
      </c>
      <c r="H1389" s="167">
        <v>9.98</v>
      </c>
      <c r="I1389" s="165"/>
      <c r="J1389" s="167"/>
      <c r="K1389" s="167">
        <v>8.4700000000000006</v>
      </c>
      <c r="L1389" s="167">
        <v>21.7</v>
      </c>
      <c r="M1389" s="168">
        <v>0.60902777777777795</v>
      </c>
      <c r="N1389" s="67"/>
      <c r="P1389" s="37"/>
      <c r="Q1389" s="37"/>
    </row>
    <row r="1390" spans="1:17" s="24" customFormat="1" ht="15" x14ac:dyDescent="0.25">
      <c r="A1390" s="66">
        <v>45322</v>
      </c>
      <c r="B1390" s="67" t="s">
        <v>55</v>
      </c>
      <c r="C1390" s="129" t="str">
        <f t="shared" si="42"/>
        <v>31.01.2024_QUAohBo</v>
      </c>
      <c r="D1390" s="143">
        <f t="shared" si="43"/>
        <v>0</v>
      </c>
      <c r="E1390" s="157">
        <v>7.26</v>
      </c>
      <c r="F1390" s="165"/>
      <c r="G1390" s="166">
        <v>859</v>
      </c>
      <c r="H1390" s="167">
        <v>10.210000000000001</v>
      </c>
      <c r="I1390" s="165"/>
      <c r="J1390" s="167"/>
      <c r="K1390" s="167">
        <v>7.39</v>
      </c>
      <c r="L1390" s="167">
        <v>26.3</v>
      </c>
      <c r="M1390" s="168">
        <v>0.55902777777777801</v>
      </c>
      <c r="N1390" s="67"/>
      <c r="P1390" s="37"/>
      <c r="Q1390" s="37"/>
    </row>
    <row r="1391" spans="1:17" s="24" customFormat="1" ht="15" x14ac:dyDescent="0.25">
      <c r="A1391" s="66">
        <v>45322</v>
      </c>
      <c r="B1391" s="67" t="s">
        <v>57</v>
      </c>
      <c r="C1391" s="129" t="str">
        <f t="shared" si="42"/>
        <v>31.01.2024_SCHohVo</v>
      </c>
      <c r="D1391" s="143">
        <f t="shared" si="43"/>
        <v>0</v>
      </c>
      <c r="E1391" s="157">
        <v>7.64</v>
      </c>
      <c r="F1391" s="165"/>
      <c r="G1391" s="166">
        <v>375</v>
      </c>
      <c r="H1391" s="167">
        <v>11.26</v>
      </c>
      <c r="I1391" s="165"/>
      <c r="J1391" s="167"/>
      <c r="K1391" s="167">
        <v>6.31</v>
      </c>
      <c r="L1391" s="167">
        <v>10.8</v>
      </c>
      <c r="M1391" s="168">
        <v>0.45069444444444401</v>
      </c>
      <c r="N1391" s="67"/>
      <c r="P1391" s="37"/>
      <c r="Q1391" s="37"/>
    </row>
    <row r="1392" spans="1:17" s="24" customFormat="1" ht="15" x14ac:dyDescent="0.25">
      <c r="A1392" s="66">
        <v>45322</v>
      </c>
      <c r="B1392" s="67" t="s">
        <v>60</v>
      </c>
      <c r="C1392" s="129" t="str">
        <f t="shared" si="42"/>
        <v>31.01.2024_VORohBo</v>
      </c>
      <c r="D1392" s="143">
        <f t="shared" si="43"/>
        <v>0</v>
      </c>
      <c r="E1392" s="157">
        <v>7.39</v>
      </c>
      <c r="F1392" s="165"/>
      <c r="G1392" s="166">
        <v>893</v>
      </c>
      <c r="H1392" s="167">
        <v>9.34</v>
      </c>
      <c r="I1392" s="165"/>
      <c r="J1392" s="167"/>
      <c r="K1392" s="167">
        <v>7.75</v>
      </c>
      <c r="L1392" s="167">
        <v>23.5</v>
      </c>
      <c r="M1392" s="168">
        <v>0.46736111111111101</v>
      </c>
      <c r="N1392" s="67"/>
      <c r="P1392" s="37"/>
      <c r="Q1392" s="37"/>
    </row>
    <row r="1393" spans="1:17" s="24" customFormat="1" ht="15" x14ac:dyDescent="0.25">
      <c r="A1393" s="66">
        <v>45322</v>
      </c>
      <c r="B1393" s="67" t="s">
        <v>62</v>
      </c>
      <c r="C1393" s="129" t="str">
        <f t="shared" si="42"/>
        <v>31.01.2024_VORuhSc</v>
      </c>
      <c r="D1393" s="143">
        <f t="shared" si="43"/>
        <v>0</v>
      </c>
      <c r="E1393" s="157">
        <v>7.15</v>
      </c>
      <c r="F1393" s="165"/>
      <c r="G1393" s="166">
        <v>762</v>
      </c>
      <c r="H1393" s="167">
        <v>9.56</v>
      </c>
      <c r="I1393" s="165"/>
      <c r="J1393" s="167"/>
      <c r="K1393" s="167">
        <v>7.35</v>
      </c>
      <c r="L1393" s="167">
        <v>15</v>
      </c>
      <c r="M1393" s="168">
        <v>0.45763888888888898</v>
      </c>
      <c r="N1393" s="67"/>
      <c r="P1393" s="37"/>
      <c r="Q1393" s="37"/>
    </row>
    <row r="1394" spans="1:17" s="24" customFormat="1" ht="15" x14ac:dyDescent="0.25">
      <c r="A1394" s="66">
        <v>45322</v>
      </c>
      <c r="B1394" s="67" t="s">
        <v>64</v>
      </c>
      <c r="C1394" s="129" t="str">
        <f t="shared" si="42"/>
        <v>31.01.2024_WITob</v>
      </c>
      <c r="D1394" s="143">
        <f t="shared" si="43"/>
        <v>0</v>
      </c>
      <c r="E1394" s="157">
        <v>7.95</v>
      </c>
      <c r="F1394" s="165"/>
      <c r="G1394" s="166">
        <v>1411</v>
      </c>
      <c r="H1394" s="167">
        <v>10.78</v>
      </c>
      <c r="I1394" s="165"/>
      <c r="J1394" s="167"/>
      <c r="K1394" s="167">
        <v>8.81</v>
      </c>
      <c r="L1394" s="167">
        <v>3.5</v>
      </c>
      <c r="M1394" s="168">
        <v>0.59513888888888899</v>
      </c>
      <c r="N1394" s="67"/>
      <c r="P1394" s="37"/>
      <c r="Q1394" s="37"/>
    </row>
    <row r="1395" spans="1:17" s="24" customFormat="1" ht="15" x14ac:dyDescent="0.25">
      <c r="A1395" s="66">
        <v>45338</v>
      </c>
      <c r="B1395" s="67" t="s">
        <v>22</v>
      </c>
      <c r="C1395" s="129" t="str">
        <f t="shared" si="42"/>
        <v>16.02.2024_BOYkl</v>
      </c>
      <c r="D1395" s="143">
        <f t="shared" si="43"/>
        <v>0</v>
      </c>
      <c r="E1395" s="157">
        <v>7.74</v>
      </c>
      <c r="F1395" s="165"/>
      <c r="G1395" s="166">
        <v>378</v>
      </c>
      <c r="H1395" s="167">
        <v>10.25</v>
      </c>
      <c r="I1395" s="165"/>
      <c r="J1395" s="167"/>
      <c r="K1395" s="167">
        <v>9.09</v>
      </c>
      <c r="L1395" s="167">
        <v>17.3</v>
      </c>
      <c r="M1395" s="168">
        <v>0.47083333333333299</v>
      </c>
      <c r="N1395" s="67"/>
      <c r="P1395" s="37"/>
      <c r="Q1395" s="37"/>
    </row>
    <row r="1396" spans="1:17" s="24" customFormat="1" ht="15" x14ac:dyDescent="0.25">
      <c r="A1396" s="66">
        <v>45338</v>
      </c>
      <c r="B1396" s="67" t="s">
        <v>25</v>
      </c>
      <c r="C1396" s="129" t="str">
        <f t="shared" si="42"/>
        <v>16.02.2024_BOYohB224</v>
      </c>
      <c r="D1396" s="143">
        <f t="shared" si="43"/>
        <v>0</v>
      </c>
      <c r="E1396" s="157">
        <v>6.95</v>
      </c>
      <c r="F1396" s="165"/>
      <c r="G1396" s="166">
        <v>753</v>
      </c>
      <c r="H1396" s="167">
        <v>9.6300000000000008</v>
      </c>
      <c r="I1396" s="165"/>
      <c r="J1396" s="167"/>
      <c r="K1396" s="167">
        <v>10.51</v>
      </c>
      <c r="L1396" s="167">
        <v>64.400000000000006</v>
      </c>
      <c r="M1396" s="168">
        <v>0.57847222222222205</v>
      </c>
      <c r="N1396" s="67"/>
      <c r="P1396" s="37"/>
      <c r="Q1396" s="37"/>
    </row>
    <row r="1397" spans="1:17" s="24" customFormat="1" ht="15" x14ac:dyDescent="0.25">
      <c r="A1397" s="66">
        <v>45338</v>
      </c>
      <c r="B1397" s="67" t="s">
        <v>28</v>
      </c>
      <c r="C1397" s="129" t="str">
        <f t="shared" si="42"/>
        <v>16.02.2024_BOYohBr</v>
      </c>
      <c r="D1397" s="143">
        <f t="shared" si="43"/>
        <v>0</v>
      </c>
      <c r="E1397" s="157">
        <v>7.65</v>
      </c>
      <c r="F1397" s="165"/>
      <c r="G1397" s="166">
        <v>465</v>
      </c>
      <c r="H1397" s="167">
        <v>10.18</v>
      </c>
      <c r="I1397" s="165"/>
      <c r="J1397" s="167"/>
      <c r="K1397" s="167">
        <v>9.6999999999999993</v>
      </c>
      <c r="L1397" s="167">
        <v>39.9</v>
      </c>
      <c r="M1397" s="168">
        <v>0.50694444444444398</v>
      </c>
      <c r="N1397" s="67"/>
      <c r="P1397" s="37"/>
      <c r="Q1397" s="37"/>
    </row>
    <row r="1398" spans="1:17" s="24" customFormat="1" ht="15" x14ac:dyDescent="0.25">
      <c r="A1398" s="66">
        <v>45338</v>
      </c>
      <c r="B1398" s="67" t="s">
        <v>30</v>
      </c>
      <c r="C1398" s="129" t="str">
        <f t="shared" si="42"/>
        <v>16.02.2024_BOYohKi</v>
      </c>
      <c r="D1398" s="143">
        <f t="shared" si="43"/>
        <v>0</v>
      </c>
      <c r="E1398" s="157">
        <v>7.41</v>
      </c>
      <c r="F1398" s="165"/>
      <c r="G1398" s="166">
        <v>633</v>
      </c>
      <c r="H1398" s="167">
        <v>9.65</v>
      </c>
      <c r="I1398" s="165"/>
      <c r="J1398" s="167"/>
      <c r="K1398" s="167">
        <v>9.48</v>
      </c>
      <c r="L1398" s="167">
        <v>60</v>
      </c>
      <c r="M1398" s="168">
        <v>0.40833333333333299</v>
      </c>
      <c r="N1398" s="67"/>
      <c r="P1398" s="37"/>
      <c r="Q1398" s="37"/>
    </row>
    <row r="1399" spans="1:17" s="24" customFormat="1" ht="15" x14ac:dyDescent="0.25">
      <c r="A1399" s="66">
        <v>45338</v>
      </c>
      <c r="B1399" s="67" t="s">
        <v>32</v>
      </c>
      <c r="C1399" s="129" t="str">
        <f t="shared" si="42"/>
        <v>16.02.2024_BOYohSp</v>
      </c>
      <c r="D1399" s="143">
        <f t="shared" si="43"/>
        <v>0</v>
      </c>
      <c r="E1399" s="157">
        <v>7.52</v>
      </c>
      <c r="F1399" s="165"/>
      <c r="G1399" s="166">
        <v>585</v>
      </c>
      <c r="H1399" s="167">
        <v>9.2799999999999994</v>
      </c>
      <c r="I1399" s="165"/>
      <c r="J1399" s="167"/>
      <c r="K1399" s="167">
        <v>9.86</v>
      </c>
      <c r="L1399" s="167">
        <v>29.8</v>
      </c>
      <c r="M1399" s="168">
        <v>0.52500000000000002</v>
      </c>
      <c r="N1399" s="67"/>
      <c r="P1399" s="37"/>
      <c r="Q1399" s="37"/>
    </row>
    <row r="1400" spans="1:17" s="24" customFormat="1" ht="15" x14ac:dyDescent="0.25">
      <c r="A1400" s="66">
        <v>45338</v>
      </c>
      <c r="B1400" s="67" t="s">
        <v>34</v>
      </c>
      <c r="C1400" s="129" t="str">
        <f t="shared" si="42"/>
        <v>16.02.2024_BOYuhHa</v>
      </c>
      <c r="D1400" s="143">
        <f t="shared" si="43"/>
        <v>0</v>
      </c>
      <c r="E1400" s="157">
        <v>7.7</v>
      </c>
      <c r="F1400" s="165"/>
      <c r="G1400" s="166">
        <v>793</v>
      </c>
      <c r="H1400" s="167">
        <v>10.06</v>
      </c>
      <c r="I1400" s="165"/>
      <c r="J1400" s="167"/>
      <c r="K1400" s="167">
        <v>9.52</v>
      </c>
      <c r="L1400" s="167">
        <v>39.799999999999997</v>
      </c>
      <c r="M1400" s="168">
        <v>0.390972222222222</v>
      </c>
      <c r="N1400" s="67"/>
      <c r="P1400" s="37"/>
      <c r="Q1400" s="37"/>
    </row>
    <row r="1401" spans="1:17" s="24" customFormat="1" ht="15" x14ac:dyDescent="0.25">
      <c r="A1401" s="66">
        <v>45338</v>
      </c>
      <c r="B1401" s="67" t="s">
        <v>36</v>
      </c>
      <c r="C1401" s="129" t="str">
        <f t="shared" si="42"/>
        <v>16.02.2024_BOYuhSp</v>
      </c>
      <c r="D1401" s="143">
        <f t="shared" si="43"/>
        <v>0</v>
      </c>
      <c r="E1401" s="157">
        <v>7.6</v>
      </c>
      <c r="F1401" s="165"/>
      <c r="G1401" s="166">
        <v>607</v>
      </c>
      <c r="H1401" s="167">
        <v>9.24</v>
      </c>
      <c r="I1401" s="165"/>
      <c r="J1401" s="167"/>
      <c r="K1401" s="167">
        <v>9.82</v>
      </c>
      <c r="L1401" s="167">
        <v>51.3</v>
      </c>
      <c r="M1401" s="168">
        <v>0.52083333333333304</v>
      </c>
      <c r="N1401" s="67"/>
      <c r="P1401" s="37"/>
      <c r="Q1401" s="37"/>
    </row>
    <row r="1402" spans="1:17" s="24" customFormat="1" ht="15" x14ac:dyDescent="0.25">
      <c r="A1402" s="66">
        <v>45338</v>
      </c>
      <c r="B1402" s="67" t="s">
        <v>38</v>
      </c>
      <c r="C1402" s="129" t="str">
        <f t="shared" si="42"/>
        <v>16.02.2024_BRAob</v>
      </c>
      <c r="D1402" s="143">
        <f t="shared" si="43"/>
        <v>0</v>
      </c>
      <c r="E1402" s="157">
        <v>7.62</v>
      </c>
      <c r="F1402" s="165"/>
      <c r="G1402" s="166">
        <v>718</v>
      </c>
      <c r="H1402" s="167">
        <v>9.39</v>
      </c>
      <c r="I1402" s="165"/>
      <c r="J1402" s="167"/>
      <c r="K1402" s="167">
        <v>10.08</v>
      </c>
      <c r="L1402" s="167">
        <v>18.600000000000001</v>
      </c>
      <c r="M1402" s="168">
        <v>0.48125000000000001</v>
      </c>
      <c r="N1402" s="67"/>
      <c r="P1402" s="37"/>
      <c r="Q1402" s="37"/>
    </row>
    <row r="1403" spans="1:17" s="24" customFormat="1" ht="15" x14ac:dyDescent="0.25">
      <c r="A1403" s="66">
        <v>45338</v>
      </c>
      <c r="B1403" s="67" t="s">
        <v>41</v>
      </c>
      <c r="C1403" s="129" t="str">
        <f t="shared" si="42"/>
        <v>16.02.2024_BRAohBo</v>
      </c>
      <c r="D1403" s="143">
        <f t="shared" si="43"/>
        <v>0</v>
      </c>
      <c r="E1403" s="157">
        <v>7.55</v>
      </c>
      <c r="F1403" s="165"/>
      <c r="G1403" s="166">
        <v>600</v>
      </c>
      <c r="H1403" s="167">
        <v>8.43</v>
      </c>
      <c r="I1403" s="165"/>
      <c r="J1403" s="167"/>
      <c r="K1403" s="167">
        <v>9.9</v>
      </c>
      <c r="L1403" s="167">
        <v>46.6</v>
      </c>
      <c r="M1403" s="168">
        <v>0.49166666666666697</v>
      </c>
      <c r="N1403" s="67"/>
      <c r="P1403" s="37"/>
      <c r="Q1403" s="37"/>
    </row>
    <row r="1404" spans="1:17" s="24" customFormat="1" ht="15" x14ac:dyDescent="0.25">
      <c r="A1404" s="66">
        <v>45338</v>
      </c>
      <c r="B1404" s="67" t="s">
        <v>43</v>
      </c>
      <c r="C1404" s="129" t="str">
        <f t="shared" si="42"/>
        <v>16.02.2024_HAAob</v>
      </c>
      <c r="D1404" s="143">
        <f t="shared" si="43"/>
        <v>0</v>
      </c>
      <c r="E1404" s="157">
        <v>8.1199999999999992</v>
      </c>
      <c r="F1404" s="165"/>
      <c r="G1404" s="166">
        <v>802</v>
      </c>
      <c r="H1404" s="167">
        <v>10.039999999999999</v>
      </c>
      <c r="I1404" s="165"/>
      <c r="J1404" s="167"/>
      <c r="K1404" s="167">
        <v>10.31</v>
      </c>
      <c r="L1404" s="167">
        <v>12.5</v>
      </c>
      <c r="M1404" s="168">
        <v>0.55069444444444504</v>
      </c>
      <c r="N1404" s="67"/>
      <c r="P1404" s="37"/>
      <c r="Q1404" s="37"/>
    </row>
    <row r="1405" spans="1:17" s="24" customFormat="1" ht="15" x14ac:dyDescent="0.25">
      <c r="A1405" s="66">
        <v>45338</v>
      </c>
      <c r="B1405" s="67" t="s">
        <v>45</v>
      </c>
      <c r="C1405" s="129" t="str">
        <f t="shared" si="42"/>
        <v>16.02.2024_HAAun</v>
      </c>
      <c r="D1405" s="143">
        <f t="shared" si="43"/>
        <v>0</v>
      </c>
      <c r="E1405" s="157">
        <v>7.61</v>
      </c>
      <c r="F1405" s="165"/>
      <c r="G1405" s="166">
        <v>936</v>
      </c>
      <c r="H1405" s="167">
        <v>9.16</v>
      </c>
      <c r="I1405" s="165"/>
      <c r="J1405" s="167"/>
      <c r="K1405" s="167">
        <v>10.35</v>
      </c>
      <c r="L1405" s="167">
        <v>22.5</v>
      </c>
      <c r="M1405" s="168">
        <v>0.54305555555555596</v>
      </c>
      <c r="N1405" s="67"/>
      <c r="P1405" s="37"/>
      <c r="Q1405" s="37"/>
    </row>
    <row r="1406" spans="1:17" s="24" customFormat="1" ht="15" x14ac:dyDescent="0.25">
      <c r="A1406" s="66">
        <v>45338</v>
      </c>
      <c r="B1406" s="67" t="s">
        <v>47</v>
      </c>
      <c r="C1406" s="129" t="str">
        <f t="shared" si="42"/>
        <v>16.02.2024_KIRob</v>
      </c>
      <c r="D1406" s="143">
        <f t="shared" si="43"/>
        <v>0</v>
      </c>
      <c r="E1406" s="157">
        <v>7.68</v>
      </c>
      <c r="F1406" s="165"/>
      <c r="G1406" s="166">
        <v>1068</v>
      </c>
      <c r="H1406" s="167">
        <v>8.17</v>
      </c>
      <c r="I1406" s="165"/>
      <c r="J1406" s="167"/>
      <c r="K1406" s="167">
        <v>11.32</v>
      </c>
      <c r="L1406" s="167">
        <v>14.7</v>
      </c>
      <c r="M1406" s="168">
        <v>0.42499999999999999</v>
      </c>
      <c r="N1406" s="67"/>
      <c r="P1406" s="37"/>
      <c r="Q1406" s="37"/>
    </row>
    <row r="1407" spans="1:17" s="24" customFormat="1" ht="15" x14ac:dyDescent="0.25">
      <c r="A1407" s="66">
        <v>45338</v>
      </c>
      <c r="B1407" s="67" t="s">
        <v>49</v>
      </c>
      <c r="C1407" s="129" t="str">
        <f t="shared" ref="C1407:C1470" si="44">CONCATENATE(TEXT(A1407,"TT.MM.JJJJ"),"_",B1407)</f>
        <v>16.02.2024_KIRun</v>
      </c>
      <c r="D1407" s="143">
        <f t="shared" si="43"/>
        <v>0</v>
      </c>
      <c r="E1407" s="157">
        <v>7.88</v>
      </c>
      <c r="F1407" s="165"/>
      <c r="G1407" s="166">
        <v>1006</v>
      </c>
      <c r="H1407" s="167">
        <v>8.77</v>
      </c>
      <c r="I1407" s="165"/>
      <c r="J1407" s="167"/>
      <c r="K1407" s="167">
        <v>11.32</v>
      </c>
      <c r="L1407" s="167">
        <v>12.9</v>
      </c>
      <c r="M1407" s="168">
        <v>0.41805555555555601</v>
      </c>
      <c r="N1407" s="67"/>
      <c r="P1407" s="37"/>
      <c r="Q1407" s="37"/>
    </row>
    <row r="1408" spans="1:17" s="24" customFormat="1" ht="15" x14ac:dyDescent="0.25">
      <c r="A1408" s="66">
        <v>45338</v>
      </c>
      <c r="B1408" s="67" t="s">
        <v>50</v>
      </c>
      <c r="C1408" s="129" t="str">
        <f t="shared" si="44"/>
        <v>16.02.2024_LIEohBo</v>
      </c>
      <c r="D1408" s="143">
        <f t="shared" ref="D1408:D1471" si="45">COUNTBLANK(E1408)+COUNTBLANK(G1408:H1408)+COUNTBLANK(K1408:L1408)</f>
        <v>0</v>
      </c>
      <c r="E1408" s="157">
        <v>8.25</v>
      </c>
      <c r="F1408" s="165"/>
      <c r="G1408" s="166">
        <v>796</v>
      </c>
      <c r="H1408" s="167">
        <v>10.78</v>
      </c>
      <c r="I1408" s="165"/>
      <c r="J1408" s="167"/>
      <c r="K1408" s="167">
        <v>10.220000000000001</v>
      </c>
      <c r="L1408" s="167">
        <v>9</v>
      </c>
      <c r="M1408" s="168">
        <v>0.39791666666666697</v>
      </c>
      <c r="N1408" s="67"/>
      <c r="P1408" s="37"/>
      <c r="Q1408" s="37"/>
    </row>
    <row r="1409" spans="1:17" s="24" customFormat="1" ht="15" x14ac:dyDescent="0.25">
      <c r="A1409" s="66">
        <v>45338</v>
      </c>
      <c r="B1409" s="67" t="s">
        <v>53</v>
      </c>
      <c r="C1409" s="129" t="str">
        <f t="shared" si="44"/>
        <v>16.02.2024_NATohBo</v>
      </c>
      <c r="D1409" s="143">
        <f t="shared" si="45"/>
        <v>0</v>
      </c>
      <c r="E1409" s="157">
        <v>7.77</v>
      </c>
      <c r="F1409" s="165"/>
      <c r="G1409" s="166">
        <v>1300</v>
      </c>
      <c r="H1409" s="167">
        <v>9.5399999999999991</v>
      </c>
      <c r="I1409" s="165"/>
      <c r="J1409" s="167"/>
      <c r="K1409" s="167">
        <v>10.82</v>
      </c>
      <c r="L1409" s="167">
        <v>24</v>
      </c>
      <c r="M1409" s="168">
        <v>0.57013888888888897</v>
      </c>
      <c r="N1409" s="67"/>
      <c r="P1409" s="37"/>
      <c r="Q1409" s="37"/>
    </row>
    <row r="1410" spans="1:17" s="24" customFormat="1" ht="15" x14ac:dyDescent="0.25">
      <c r="A1410" s="66">
        <v>45338</v>
      </c>
      <c r="B1410" s="67" t="s">
        <v>55</v>
      </c>
      <c r="C1410" s="129" t="str">
        <f t="shared" si="44"/>
        <v>16.02.2024_QUAohBo</v>
      </c>
      <c r="D1410" s="143">
        <f t="shared" si="45"/>
        <v>0</v>
      </c>
      <c r="E1410" s="157">
        <v>7.63</v>
      </c>
      <c r="F1410" s="165"/>
      <c r="G1410" s="166">
        <v>755</v>
      </c>
      <c r="H1410" s="167">
        <v>9.06</v>
      </c>
      <c r="I1410" s="165"/>
      <c r="J1410" s="167"/>
      <c r="K1410" s="167">
        <v>10.37</v>
      </c>
      <c r="L1410" s="167">
        <v>41.2</v>
      </c>
      <c r="M1410" s="168">
        <v>0.50277777777777799</v>
      </c>
      <c r="N1410" s="67"/>
      <c r="P1410" s="37"/>
      <c r="Q1410" s="37"/>
    </row>
    <row r="1411" spans="1:17" s="24" customFormat="1" ht="15" x14ac:dyDescent="0.25">
      <c r="A1411" s="66">
        <v>45338</v>
      </c>
      <c r="B1411" s="67" t="s">
        <v>57</v>
      </c>
      <c r="C1411" s="129" t="str">
        <f t="shared" si="44"/>
        <v>16.02.2024_SCHohVo</v>
      </c>
      <c r="D1411" s="143">
        <f t="shared" si="45"/>
        <v>0</v>
      </c>
      <c r="E1411" s="157">
        <v>7.77</v>
      </c>
      <c r="F1411" s="165"/>
      <c r="G1411" s="166">
        <v>397</v>
      </c>
      <c r="H1411" s="167">
        <v>9.7899999999999991</v>
      </c>
      <c r="I1411" s="165"/>
      <c r="J1411" s="167"/>
      <c r="K1411" s="167">
        <v>9.7200000000000006</v>
      </c>
      <c r="L1411" s="167">
        <v>10</v>
      </c>
      <c r="M1411" s="168">
        <v>0.43541666666666701</v>
      </c>
      <c r="N1411" s="67"/>
      <c r="P1411" s="37"/>
      <c r="Q1411" s="37"/>
    </row>
    <row r="1412" spans="1:17" s="24" customFormat="1" ht="15" x14ac:dyDescent="0.25">
      <c r="A1412" s="66">
        <v>45338</v>
      </c>
      <c r="B1412" s="67" t="s">
        <v>60</v>
      </c>
      <c r="C1412" s="129" t="str">
        <f t="shared" si="44"/>
        <v>16.02.2024_VORohBo</v>
      </c>
      <c r="D1412" s="143">
        <f t="shared" si="45"/>
        <v>0</v>
      </c>
      <c r="E1412" s="157">
        <v>7.14</v>
      </c>
      <c r="F1412" s="165"/>
      <c r="G1412" s="166">
        <v>822</v>
      </c>
      <c r="H1412" s="167">
        <v>8.23</v>
      </c>
      <c r="I1412" s="165"/>
      <c r="J1412" s="167"/>
      <c r="K1412" s="167">
        <v>10.4</v>
      </c>
      <c r="L1412" s="167">
        <v>25.5</v>
      </c>
      <c r="M1412" s="168">
        <v>0.454166666666667</v>
      </c>
      <c r="N1412" s="67"/>
      <c r="P1412" s="37"/>
      <c r="Q1412" s="37"/>
    </row>
    <row r="1413" spans="1:17" s="24" customFormat="1" ht="15" x14ac:dyDescent="0.25">
      <c r="A1413" s="66">
        <v>45338</v>
      </c>
      <c r="B1413" s="67" t="s">
        <v>62</v>
      </c>
      <c r="C1413" s="129" t="str">
        <f t="shared" si="44"/>
        <v>16.02.2024_VORuhSc</v>
      </c>
      <c r="D1413" s="143">
        <f t="shared" si="45"/>
        <v>0</v>
      </c>
      <c r="E1413" s="157">
        <v>7.37</v>
      </c>
      <c r="F1413" s="165"/>
      <c r="G1413" s="166">
        <v>717</v>
      </c>
      <c r="H1413" s="167">
        <v>8.64</v>
      </c>
      <c r="I1413" s="165"/>
      <c r="J1413" s="167"/>
      <c r="K1413" s="167">
        <v>10.039999999999999</v>
      </c>
      <c r="L1413" s="167">
        <v>22.4</v>
      </c>
      <c r="M1413" s="168">
        <v>0.44444444444444398</v>
      </c>
      <c r="N1413" s="67"/>
      <c r="P1413" s="37"/>
      <c r="Q1413" s="37"/>
    </row>
    <row r="1414" spans="1:17" s="24" customFormat="1" ht="15" x14ac:dyDescent="0.25">
      <c r="A1414" s="66">
        <v>45338</v>
      </c>
      <c r="B1414" s="67" t="s">
        <v>64</v>
      </c>
      <c r="C1414" s="129" t="str">
        <f t="shared" si="44"/>
        <v>16.02.2024_WITob</v>
      </c>
      <c r="D1414" s="143">
        <f t="shared" si="45"/>
        <v>0</v>
      </c>
      <c r="E1414" s="157">
        <v>8.0399999999999991</v>
      </c>
      <c r="F1414" s="165"/>
      <c r="G1414" s="166">
        <v>1451</v>
      </c>
      <c r="H1414" s="167">
        <v>9.64</v>
      </c>
      <c r="I1414" s="165"/>
      <c r="J1414" s="167"/>
      <c r="K1414" s="167">
        <v>11.66</v>
      </c>
      <c r="L1414" s="167">
        <v>2</v>
      </c>
      <c r="M1414" s="168">
        <v>0.55902777777777801</v>
      </c>
      <c r="N1414" s="67"/>
      <c r="P1414" s="37"/>
      <c r="Q1414" s="37"/>
    </row>
    <row r="1415" spans="1:17" s="24" customFormat="1" ht="15" x14ac:dyDescent="0.25">
      <c r="A1415" s="66">
        <v>45348</v>
      </c>
      <c r="B1415" s="67" t="s">
        <v>22</v>
      </c>
      <c r="C1415" s="129" t="str">
        <f t="shared" si="44"/>
        <v>26.02.2024_BOYkl</v>
      </c>
      <c r="D1415" s="143">
        <f t="shared" si="45"/>
        <v>0</v>
      </c>
      <c r="E1415" s="157">
        <v>7.82</v>
      </c>
      <c r="F1415" s="165"/>
      <c r="G1415" s="166">
        <v>364</v>
      </c>
      <c r="H1415" s="167">
        <v>10.58</v>
      </c>
      <c r="I1415" s="165"/>
      <c r="J1415" s="167"/>
      <c r="K1415" s="167">
        <v>7.42</v>
      </c>
      <c r="L1415" s="167">
        <v>20</v>
      </c>
      <c r="M1415" s="168">
        <v>0.49027777777777798</v>
      </c>
      <c r="N1415" s="67"/>
      <c r="P1415" s="37"/>
      <c r="Q1415" s="37"/>
    </row>
    <row r="1416" spans="1:17" s="24" customFormat="1" ht="15" x14ac:dyDescent="0.25">
      <c r="A1416" s="66">
        <v>45348</v>
      </c>
      <c r="B1416" s="67" t="s">
        <v>25</v>
      </c>
      <c r="C1416" s="129" t="str">
        <f t="shared" si="44"/>
        <v>26.02.2024_BOYohB224</v>
      </c>
      <c r="D1416" s="143">
        <f t="shared" si="45"/>
        <v>1</v>
      </c>
      <c r="E1416" s="157"/>
      <c r="F1416" s="165"/>
      <c r="G1416" s="166">
        <v>755</v>
      </c>
      <c r="H1416" s="167">
        <v>10.78</v>
      </c>
      <c r="I1416" s="165"/>
      <c r="J1416" s="167"/>
      <c r="K1416" s="167">
        <v>7.99</v>
      </c>
      <c r="L1416" s="167">
        <v>69</v>
      </c>
      <c r="M1416" s="168">
        <v>0.61319444444444504</v>
      </c>
      <c r="N1416" s="67"/>
      <c r="P1416" s="37"/>
      <c r="Q1416" s="37"/>
    </row>
    <row r="1417" spans="1:17" s="24" customFormat="1" ht="15" x14ac:dyDescent="0.25">
      <c r="A1417" s="66">
        <v>45348</v>
      </c>
      <c r="B1417" s="67" t="s">
        <v>28</v>
      </c>
      <c r="C1417" s="129" t="str">
        <f t="shared" si="44"/>
        <v>26.02.2024_BOYohBr</v>
      </c>
      <c r="D1417" s="143">
        <f t="shared" si="45"/>
        <v>0</v>
      </c>
      <c r="E1417" s="157">
        <v>7.84</v>
      </c>
      <c r="F1417" s="165"/>
      <c r="G1417" s="166">
        <v>482</v>
      </c>
      <c r="H1417" s="167">
        <v>10.29</v>
      </c>
      <c r="I1417" s="165"/>
      <c r="J1417" s="167"/>
      <c r="K1417" s="167">
        <v>7.75</v>
      </c>
      <c r="L1417" s="167">
        <v>32.5</v>
      </c>
      <c r="M1417" s="168">
        <v>0.54652777777777795</v>
      </c>
      <c r="N1417" s="67"/>
      <c r="P1417" s="37"/>
      <c r="Q1417" s="37"/>
    </row>
    <row r="1418" spans="1:17" s="24" customFormat="1" ht="15" x14ac:dyDescent="0.25">
      <c r="A1418" s="66">
        <v>45348</v>
      </c>
      <c r="B1418" s="67" t="s">
        <v>30</v>
      </c>
      <c r="C1418" s="129" t="str">
        <f t="shared" si="44"/>
        <v>26.02.2024_BOYohKi</v>
      </c>
      <c r="D1418" s="143">
        <f t="shared" si="45"/>
        <v>0</v>
      </c>
      <c r="E1418" s="157">
        <v>7.86</v>
      </c>
      <c r="F1418" s="165"/>
      <c r="G1418" s="166">
        <v>663</v>
      </c>
      <c r="H1418" s="167">
        <v>10.3</v>
      </c>
      <c r="I1418" s="165"/>
      <c r="J1418" s="167"/>
      <c r="K1418" s="167">
        <v>7.22</v>
      </c>
      <c r="L1418" s="167">
        <v>63.5</v>
      </c>
      <c r="M1418" s="168">
        <v>0.43055555555555602</v>
      </c>
      <c r="N1418" s="67"/>
      <c r="P1418" s="37"/>
      <c r="Q1418" s="37"/>
    </row>
    <row r="1419" spans="1:17" s="24" customFormat="1" ht="15" x14ac:dyDescent="0.25">
      <c r="A1419" s="66">
        <v>45348</v>
      </c>
      <c r="B1419" s="67" t="s">
        <v>32</v>
      </c>
      <c r="C1419" s="129" t="str">
        <f t="shared" si="44"/>
        <v>26.02.2024_BOYohSp</v>
      </c>
      <c r="D1419" s="143">
        <f t="shared" si="45"/>
        <v>0</v>
      </c>
      <c r="E1419" s="157">
        <v>7.64</v>
      </c>
      <c r="F1419" s="165"/>
      <c r="G1419" s="166">
        <v>588</v>
      </c>
      <c r="H1419" s="167">
        <v>9.76</v>
      </c>
      <c r="I1419" s="165"/>
      <c r="J1419" s="167"/>
      <c r="K1419" s="167">
        <v>7.57</v>
      </c>
      <c r="L1419" s="167">
        <v>54</v>
      </c>
      <c r="M1419" s="168">
        <v>0.56458333333333299</v>
      </c>
      <c r="N1419" s="67"/>
      <c r="P1419" s="37"/>
      <c r="Q1419" s="37"/>
    </row>
    <row r="1420" spans="1:17" s="24" customFormat="1" ht="15" x14ac:dyDescent="0.25">
      <c r="A1420" s="66">
        <v>45348</v>
      </c>
      <c r="B1420" s="67" t="s">
        <v>34</v>
      </c>
      <c r="C1420" s="129" t="str">
        <f t="shared" si="44"/>
        <v>26.02.2024_BOYuhHa</v>
      </c>
      <c r="D1420" s="143">
        <f t="shared" si="45"/>
        <v>0</v>
      </c>
      <c r="E1420" s="157">
        <v>7.81</v>
      </c>
      <c r="F1420" s="165"/>
      <c r="G1420" s="166">
        <v>860</v>
      </c>
      <c r="H1420" s="167">
        <v>10.6</v>
      </c>
      <c r="I1420" s="165"/>
      <c r="J1420" s="167"/>
      <c r="K1420" s="167">
        <v>7.18</v>
      </c>
      <c r="L1420" s="167">
        <v>36</v>
      </c>
      <c r="M1420" s="168">
        <v>0.41458333333333303</v>
      </c>
      <c r="N1420" s="67"/>
      <c r="P1420" s="37"/>
      <c r="Q1420" s="37"/>
    </row>
    <row r="1421" spans="1:17" s="24" customFormat="1" ht="15" x14ac:dyDescent="0.25">
      <c r="A1421" s="66">
        <v>45348</v>
      </c>
      <c r="B1421" s="67" t="s">
        <v>36</v>
      </c>
      <c r="C1421" s="129" t="str">
        <f t="shared" si="44"/>
        <v>26.02.2024_BOYuhSp</v>
      </c>
      <c r="D1421" s="143">
        <f t="shared" si="45"/>
        <v>0</v>
      </c>
      <c r="E1421" s="157">
        <v>7.67</v>
      </c>
      <c r="F1421" s="165"/>
      <c r="G1421" s="166">
        <v>614</v>
      </c>
      <c r="H1421" s="167">
        <v>9.74</v>
      </c>
      <c r="I1421" s="165"/>
      <c r="J1421" s="167"/>
      <c r="K1421" s="167">
        <v>7.43</v>
      </c>
      <c r="L1421" s="167">
        <v>64</v>
      </c>
      <c r="M1421" s="168">
        <v>0.55972222222222201</v>
      </c>
      <c r="N1421" s="67"/>
      <c r="P1421" s="37"/>
      <c r="Q1421" s="37"/>
    </row>
    <row r="1422" spans="1:17" s="24" customFormat="1" ht="15" x14ac:dyDescent="0.25">
      <c r="A1422" s="66">
        <v>45348</v>
      </c>
      <c r="B1422" s="67" t="s">
        <v>38</v>
      </c>
      <c r="C1422" s="129" t="str">
        <f t="shared" si="44"/>
        <v>26.02.2024_BRAob</v>
      </c>
      <c r="D1422" s="143">
        <f t="shared" si="45"/>
        <v>0</v>
      </c>
      <c r="E1422" s="157">
        <v>7.65</v>
      </c>
      <c r="F1422" s="165"/>
      <c r="G1422" s="166">
        <v>705</v>
      </c>
      <c r="H1422" s="167">
        <v>9.89</v>
      </c>
      <c r="I1422" s="165"/>
      <c r="J1422" s="167"/>
      <c r="K1422" s="167">
        <v>7.2</v>
      </c>
      <c r="L1422" s="167">
        <v>18</v>
      </c>
      <c r="M1422" s="168">
        <v>0.5</v>
      </c>
      <c r="N1422" s="67"/>
      <c r="P1422" s="37"/>
      <c r="Q1422" s="37"/>
    </row>
    <row r="1423" spans="1:17" s="24" customFormat="1" ht="15" x14ac:dyDescent="0.25">
      <c r="A1423" s="66">
        <v>45348</v>
      </c>
      <c r="B1423" s="67" t="s">
        <v>41</v>
      </c>
      <c r="C1423" s="129" t="str">
        <f t="shared" si="44"/>
        <v>26.02.2024_BRAohBo</v>
      </c>
      <c r="D1423" s="143">
        <f t="shared" si="45"/>
        <v>0</v>
      </c>
      <c r="E1423" s="157">
        <v>7.74</v>
      </c>
      <c r="F1423" s="165"/>
      <c r="G1423" s="166">
        <v>454</v>
      </c>
      <c r="H1423" s="167">
        <v>10.39</v>
      </c>
      <c r="I1423" s="165"/>
      <c r="J1423" s="167"/>
      <c r="K1423" s="167">
        <v>6.95</v>
      </c>
      <c r="L1423" s="167">
        <v>64</v>
      </c>
      <c r="M1423" s="168">
        <v>0.50902777777777797</v>
      </c>
      <c r="N1423" s="67"/>
      <c r="P1423" s="37"/>
      <c r="Q1423" s="37"/>
    </row>
    <row r="1424" spans="1:17" s="24" customFormat="1" ht="15" x14ac:dyDescent="0.25">
      <c r="A1424" s="66">
        <v>45348</v>
      </c>
      <c r="B1424" s="67" t="s">
        <v>43</v>
      </c>
      <c r="C1424" s="129" t="str">
        <f t="shared" si="44"/>
        <v>26.02.2024_HAAob</v>
      </c>
      <c r="D1424" s="143">
        <f t="shared" si="45"/>
        <v>0</v>
      </c>
      <c r="E1424" s="157">
        <v>7.94</v>
      </c>
      <c r="F1424" s="165"/>
      <c r="G1424" s="166">
        <v>800</v>
      </c>
      <c r="H1424" s="167">
        <v>10.66</v>
      </c>
      <c r="I1424" s="165"/>
      <c r="J1424" s="167"/>
      <c r="K1424" s="167">
        <v>7.94</v>
      </c>
      <c r="L1424" s="167">
        <v>16</v>
      </c>
      <c r="M1424" s="168">
        <v>0.58819444444444502</v>
      </c>
      <c r="N1424" s="67"/>
      <c r="P1424" s="37"/>
      <c r="Q1424" s="37"/>
    </row>
    <row r="1425" spans="1:17" s="24" customFormat="1" ht="15" x14ac:dyDescent="0.25">
      <c r="A1425" s="66">
        <v>45348</v>
      </c>
      <c r="B1425" s="67" t="s">
        <v>45</v>
      </c>
      <c r="C1425" s="129" t="str">
        <f t="shared" si="44"/>
        <v>26.02.2024_HAAun</v>
      </c>
      <c r="D1425" s="143">
        <f t="shared" si="45"/>
        <v>0</v>
      </c>
      <c r="E1425" s="157">
        <v>7.58</v>
      </c>
      <c r="F1425" s="165"/>
      <c r="G1425" s="166">
        <v>940</v>
      </c>
      <c r="H1425" s="167">
        <v>9.77</v>
      </c>
      <c r="I1425" s="165"/>
      <c r="J1425" s="167"/>
      <c r="K1425" s="167">
        <v>8.34</v>
      </c>
      <c r="L1425" s="167">
        <v>24</v>
      </c>
      <c r="M1425" s="168">
        <v>0.58125000000000004</v>
      </c>
      <c r="N1425" s="67"/>
      <c r="P1425" s="37"/>
      <c r="Q1425" s="37"/>
    </row>
    <row r="1426" spans="1:17" s="24" customFormat="1" ht="15" x14ac:dyDescent="0.25">
      <c r="A1426" s="66">
        <v>45348</v>
      </c>
      <c r="B1426" s="67" t="s">
        <v>47</v>
      </c>
      <c r="C1426" s="129" t="str">
        <f t="shared" si="44"/>
        <v>26.02.2024_KIRob</v>
      </c>
      <c r="D1426" s="143">
        <f t="shared" si="45"/>
        <v>0</v>
      </c>
      <c r="E1426" s="157">
        <v>7.88</v>
      </c>
      <c r="F1426" s="165"/>
      <c r="G1426" s="166">
        <v>911</v>
      </c>
      <c r="H1426" s="167">
        <v>8.5</v>
      </c>
      <c r="I1426" s="165"/>
      <c r="J1426" s="167"/>
      <c r="K1426" s="167">
        <v>8.82</v>
      </c>
      <c r="L1426" s="167">
        <v>17</v>
      </c>
      <c r="M1426" s="168">
        <v>0.44583333333333303</v>
      </c>
      <c r="N1426" s="67"/>
      <c r="P1426" s="37"/>
      <c r="Q1426" s="37"/>
    </row>
    <row r="1427" spans="1:17" s="24" customFormat="1" ht="15" x14ac:dyDescent="0.25">
      <c r="A1427" s="66">
        <v>45348</v>
      </c>
      <c r="B1427" s="67" t="s">
        <v>49</v>
      </c>
      <c r="C1427" s="129" t="str">
        <f t="shared" si="44"/>
        <v>26.02.2024_KIRun</v>
      </c>
      <c r="D1427" s="143">
        <f t="shared" si="45"/>
        <v>0</v>
      </c>
      <c r="E1427" s="157">
        <v>7.91</v>
      </c>
      <c r="F1427" s="165"/>
      <c r="G1427" s="166">
        <v>1006</v>
      </c>
      <c r="H1427" s="167">
        <v>9.19</v>
      </c>
      <c r="I1427" s="165"/>
      <c r="J1427" s="167"/>
      <c r="K1427" s="167">
        <v>8.07</v>
      </c>
      <c r="L1427" s="167">
        <v>16.5</v>
      </c>
      <c r="M1427" s="168">
        <v>0.43888888888888899</v>
      </c>
      <c r="N1427" s="67"/>
      <c r="P1427" s="37"/>
      <c r="Q1427" s="37"/>
    </row>
    <row r="1428" spans="1:17" s="24" customFormat="1" ht="15" x14ac:dyDescent="0.25">
      <c r="A1428" s="66">
        <v>45348</v>
      </c>
      <c r="B1428" s="67" t="s">
        <v>50</v>
      </c>
      <c r="C1428" s="129" t="str">
        <f t="shared" si="44"/>
        <v>26.02.2024_LIEohBo</v>
      </c>
      <c r="D1428" s="143">
        <f t="shared" si="45"/>
        <v>0</v>
      </c>
      <c r="E1428" s="157">
        <v>8.3000000000000007</v>
      </c>
      <c r="F1428" s="165"/>
      <c r="G1428" s="166">
        <v>755</v>
      </c>
      <c r="H1428" s="167">
        <v>11.52</v>
      </c>
      <c r="I1428" s="165"/>
      <c r="J1428" s="167"/>
      <c r="K1428" s="167">
        <v>7.35</v>
      </c>
      <c r="L1428" s="167">
        <v>18.2</v>
      </c>
      <c r="M1428" s="168">
        <v>0.422222222222222</v>
      </c>
      <c r="N1428" s="67"/>
      <c r="P1428" s="37"/>
      <c r="Q1428" s="37"/>
    </row>
    <row r="1429" spans="1:17" s="24" customFormat="1" ht="15" x14ac:dyDescent="0.25">
      <c r="A1429" s="66">
        <v>45348</v>
      </c>
      <c r="B1429" s="67" t="s">
        <v>53</v>
      </c>
      <c r="C1429" s="129" t="str">
        <f t="shared" si="44"/>
        <v>26.02.2024_NATohBo</v>
      </c>
      <c r="D1429" s="143">
        <f t="shared" si="45"/>
        <v>0</v>
      </c>
      <c r="E1429" s="157">
        <v>7.65</v>
      </c>
      <c r="F1429" s="165"/>
      <c r="G1429" s="166">
        <v>1332</v>
      </c>
      <c r="H1429" s="167">
        <v>10.14</v>
      </c>
      <c r="I1429" s="165"/>
      <c r="J1429" s="167"/>
      <c r="K1429" s="167">
        <v>8.5500000000000007</v>
      </c>
      <c r="L1429" s="167">
        <v>24</v>
      </c>
      <c r="M1429" s="168">
        <v>0.60555555555555596</v>
      </c>
      <c r="N1429" s="67"/>
      <c r="P1429" s="37"/>
      <c r="Q1429" s="37"/>
    </row>
    <row r="1430" spans="1:17" s="24" customFormat="1" ht="15" x14ac:dyDescent="0.25">
      <c r="A1430" s="66">
        <v>45348</v>
      </c>
      <c r="B1430" s="67" t="s">
        <v>55</v>
      </c>
      <c r="C1430" s="129" t="str">
        <f t="shared" si="44"/>
        <v>26.02.2024_QUAohBo</v>
      </c>
      <c r="D1430" s="143">
        <f t="shared" si="45"/>
        <v>0</v>
      </c>
      <c r="E1430" s="157">
        <v>7.55</v>
      </c>
      <c r="F1430" s="165"/>
      <c r="G1430" s="166">
        <v>703</v>
      </c>
      <c r="H1430" s="167">
        <v>9.3000000000000007</v>
      </c>
      <c r="I1430" s="165"/>
      <c r="J1430" s="167"/>
      <c r="K1430" s="167">
        <v>8.0299999999999994</v>
      </c>
      <c r="L1430" s="167">
        <v>41</v>
      </c>
      <c r="M1430" s="168">
        <v>0.57291666666666696</v>
      </c>
      <c r="N1430" s="67"/>
      <c r="P1430" s="37"/>
      <c r="Q1430" s="37"/>
    </row>
    <row r="1431" spans="1:17" s="24" customFormat="1" ht="15" x14ac:dyDescent="0.25">
      <c r="A1431" s="66">
        <v>45348</v>
      </c>
      <c r="B1431" s="67" t="s">
        <v>57</v>
      </c>
      <c r="C1431" s="129" t="str">
        <f t="shared" si="44"/>
        <v>26.02.2024_SCHohVo</v>
      </c>
      <c r="D1431" s="143">
        <f t="shared" si="45"/>
        <v>0</v>
      </c>
      <c r="E1431" s="157">
        <v>7.99</v>
      </c>
      <c r="F1431" s="165"/>
      <c r="G1431" s="166">
        <v>404</v>
      </c>
      <c r="H1431" s="167">
        <v>10.42</v>
      </c>
      <c r="I1431" s="165"/>
      <c r="J1431" s="167"/>
      <c r="K1431" s="167">
        <v>6.87</v>
      </c>
      <c r="L1431" s="167">
        <v>12.5</v>
      </c>
      <c r="M1431" s="168">
        <v>0.46111111111111103</v>
      </c>
      <c r="N1431" s="67"/>
      <c r="P1431" s="37"/>
      <c r="Q1431" s="37"/>
    </row>
    <row r="1432" spans="1:17" s="24" customFormat="1" ht="15" x14ac:dyDescent="0.25">
      <c r="A1432" s="66">
        <v>45348</v>
      </c>
      <c r="B1432" s="67" t="s">
        <v>60</v>
      </c>
      <c r="C1432" s="129" t="str">
        <f t="shared" si="44"/>
        <v>26.02.2024_VORohBo</v>
      </c>
      <c r="D1432" s="143">
        <f t="shared" si="45"/>
        <v>0</v>
      </c>
      <c r="E1432" s="157">
        <v>7.5</v>
      </c>
      <c r="F1432" s="165"/>
      <c r="G1432" s="166">
        <v>798</v>
      </c>
      <c r="H1432" s="167">
        <v>8.6999999999999993</v>
      </c>
      <c r="I1432" s="165"/>
      <c r="J1432" s="167"/>
      <c r="K1432" s="167">
        <v>7.65</v>
      </c>
      <c r="L1432" s="167">
        <v>28.5</v>
      </c>
      <c r="M1432" s="168">
        <v>0.47777777777777802</v>
      </c>
      <c r="N1432" s="67"/>
      <c r="P1432" s="37"/>
      <c r="Q1432" s="37"/>
    </row>
    <row r="1433" spans="1:17" s="24" customFormat="1" ht="15" x14ac:dyDescent="0.25">
      <c r="A1433" s="66">
        <v>45348</v>
      </c>
      <c r="B1433" s="67" t="s">
        <v>62</v>
      </c>
      <c r="C1433" s="129" t="str">
        <f t="shared" si="44"/>
        <v>26.02.2024_VORuhSc</v>
      </c>
      <c r="D1433" s="143">
        <f t="shared" si="45"/>
        <v>0</v>
      </c>
      <c r="E1433" s="157">
        <v>7.58</v>
      </c>
      <c r="F1433" s="165"/>
      <c r="G1433" s="166">
        <v>706</v>
      </c>
      <c r="H1433" s="167">
        <v>9.57</v>
      </c>
      <c r="I1433" s="165"/>
      <c r="J1433" s="167"/>
      <c r="K1433" s="167">
        <v>7.3</v>
      </c>
      <c r="L1433" s="167">
        <v>26</v>
      </c>
      <c r="M1433" s="168">
        <v>0.46736111111111101</v>
      </c>
      <c r="N1433" s="67"/>
      <c r="P1433" s="37"/>
      <c r="Q1433" s="37"/>
    </row>
    <row r="1434" spans="1:17" s="24" customFormat="1" ht="15" x14ac:dyDescent="0.25">
      <c r="A1434" s="66">
        <v>45348</v>
      </c>
      <c r="B1434" s="67" t="s">
        <v>64</v>
      </c>
      <c r="C1434" s="129" t="str">
        <f t="shared" si="44"/>
        <v>26.02.2024_WITob</v>
      </c>
      <c r="D1434" s="143">
        <f t="shared" si="45"/>
        <v>0</v>
      </c>
      <c r="E1434" s="157">
        <v>8.0500000000000007</v>
      </c>
      <c r="F1434" s="165"/>
      <c r="G1434" s="166">
        <v>1397</v>
      </c>
      <c r="H1434" s="167">
        <v>10.47</v>
      </c>
      <c r="I1434" s="165"/>
      <c r="J1434" s="167"/>
      <c r="K1434" s="167">
        <v>8.7899999999999991</v>
      </c>
      <c r="L1434" s="167">
        <v>4.5</v>
      </c>
      <c r="M1434" s="168">
        <v>0.59583333333333299</v>
      </c>
      <c r="N1434" s="67"/>
      <c r="P1434" s="37"/>
      <c r="Q1434" s="37"/>
    </row>
    <row r="1435" spans="1:17" s="24" customFormat="1" ht="15" x14ac:dyDescent="0.25">
      <c r="A1435" s="66">
        <v>45363</v>
      </c>
      <c r="B1435" s="67" t="s">
        <v>22</v>
      </c>
      <c r="C1435" s="129" t="str">
        <f t="shared" si="44"/>
        <v>12.03.2024_BOYkl</v>
      </c>
      <c r="D1435" s="143">
        <f t="shared" si="45"/>
        <v>0</v>
      </c>
      <c r="E1435" s="157">
        <v>7.44</v>
      </c>
      <c r="F1435" s="165"/>
      <c r="G1435" s="166">
        <v>396</v>
      </c>
      <c r="H1435" s="167">
        <v>13.77</v>
      </c>
      <c r="I1435" s="165"/>
      <c r="J1435" s="167"/>
      <c r="K1435" s="167">
        <v>8.14</v>
      </c>
      <c r="L1435" s="167">
        <v>15</v>
      </c>
      <c r="M1435" s="168">
        <v>0.50486111111111098</v>
      </c>
      <c r="N1435" s="67"/>
      <c r="P1435" s="37"/>
      <c r="Q1435" s="37"/>
    </row>
    <row r="1436" spans="1:17" s="24" customFormat="1" ht="15" x14ac:dyDescent="0.25">
      <c r="A1436" s="66">
        <v>45363</v>
      </c>
      <c r="B1436" s="67" t="s">
        <v>25</v>
      </c>
      <c r="C1436" s="129" t="str">
        <f t="shared" si="44"/>
        <v>12.03.2024_BOYohB224</v>
      </c>
      <c r="D1436" s="143">
        <f t="shared" si="45"/>
        <v>1</v>
      </c>
      <c r="E1436" s="157">
        <v>7.71</v>
      </c>
      <c r="F1436" s="165"/>
      <c r="G1436" s="166">
        <v>795</v>
      </c>
      <c r="H1436" s="167">
        <v>13.85</v>
      </c>
      <c r="I1436" s="165"/>
      <c r="J1436" s="167"/>
      <c r="K1436" s="167"/>
      <c r="L1436" s="167">
        <v>59</v>
      </c>
      <c r="M1436" s="168">
        <v>0.67291666666666705</v>
      </c>
      <c r="N1436" s="67"/>
      <c r="P1436" s="37"/>
      <c r="Q1436" s="37"/>
    </row>
    <row r="1437" spans="1:17" s="24" customFormat="1" ht="15" x14ac:dyDescent="0.25">
      <c r="A1437" s="66">
        <v>45363</v>
      </c>
      <c r="B1437" s="67" t="s">
        <v>28</v>
      </c>
      <c r="C1437" s="129" t="str">
        <f t="shared" si="44"/>
        <v>12.03.2024_BOYohBr</v>
      </c>
      <c r="D1437" s="143">
        <f t="shared" si="45"/>
        <v>0</v>
      </c>
      <c r="E1437" s="157">
        <v>7.42</v>
      </c>
      <c r="F1437" s="165"/>
      <c r="G1437" s="166">
        <v>491</v>
      </c>
      <c r="H1437" s="167">
        <v>12.84</v>
      </c>
      <c r="I1437" s="165"/>
      <c r="J1437" s="167"/>
      <c r="K1437" s="167">
        <v>8.7899999999999991</v>
      </c>
      <c r="L1437" s="167">
        <v>27.5</v>
      </c>
      <c r="M1437" s="168">
        <v>0.58402777777777803</v>
      </c>
      <c r="N1437" s="67"/>
      <c r="P1437" s="37"/>
      <c r="Q1437" s="37"/>
    </row>
    <row r="1438" spans="1:17" s="24" customFormat="1" ht="15" x14ac:dyDescent="0.25">
      <c r="A1438" s="66">
        <v>45363</v>
      </c>
      <c r="B1438" s="67" t="s">
        <v>30</v>
      </c>
      <c r="C1438" s="129" t="str">
        <f t="shared" si="44"/>
        <v>12.03.2024_BOYohKi</v>
      </c>
      <c r="D1438" s="143">
        <f t="shared" si="45"/>
        <v>0</v>
      </c>
      <c r="E1438" s="157">
        <v>7.52</v>
      </c>
      <c r="F1438" s="165"/>
      <c r="G1438" s="166">
        <v>691</v>
      </c>
      <c r="H1438" s="167">
        <v>13.34</v>
      </c>
      <c r="I1438" s="165"/>
      <c r="J1438" s="167"/>
      <c r="K1438" s="167">
        <v>8.3000000000000007</v>
      </c>
      <c r="L1438" s="167">
        <v>54</v>
      </c>
      <c r="M1438" s="168">
        <v>0.44305555555555598</v>
      </c>
      <c r="N1438" s="67" t="s">
        <v>165</v>
      </c>
      <c r="P1438" s="37"/>
      <c r="Q1438" s="37"/>
    </row>
    <row r="1439" spans="1:17" s="24" customFormat="1" ht="15" x14ac:dyDescent="0.25">
      <c r="A1439" s="66">
        <v>45363</v>
      </c>
      <c r="B1439" s="67" t="s">
        <v>32</v>
      </c>
      <c r="C1439" s="129" t="str">
        <f t="shared" si="44"/>
        <v>12.03.2024_BOYohSp</v>
      </c>
      <c r="D1439" s="143">
        <f t="shared" si="45"/>
        <v>0</v>
      </c>
      <c r="E1439" s="157">
        <v>7.41</v>
      </c>
      <c r="F1439" s="165"/>
      <c r="G1439" s="166">
        <v>609</v>
      </c>
      <c r="H1439" s="167">
        <v>12.91</v>
      </c>
      <c r="I1439" s="165"/>
      <c r="J1439" s="167"/>
      <c r="K1439" s="167">
        <v>8.7100000000000009</v>
      </c>
      <c r="L1439" s="167">
        <v>52</v>
      </c>
      <c r="M1439" s="168">
        <v>0.61388888888888904</v>
      </c>
      <c r="N1439" s="67"/>
      <c r="P1439" s="37"/>
      <c r="Q1439" s="37"/>
    </row>
    <row r="1440" spans="1:17" s="24" customFormat="1" ht="15" x14ac:dyDescent="0.25">
      <c r="A1440" s="66">
        <v>45363</v>
      </c>
      <c r="B1440" s="67" t="s">
        <v>34</v>
      </c>
      <c r="C1440" s="129" t="str">
        <f t="shared" si="44"/>
        <v>12.03.2024_BOYuhHa</v>
      </c>
      <c r="D1440" s="143">
        <f t="shared" si="45"/>
        <v>0</v>
      </c>
      <c r="E1440" s="157">
        <v>7.55</v>
      </c>
      <c r="F1440" s="165"/>
      <c r="G1440" s="166">
        <v>855</v>
      </c>
      <c r="H1440" s="167">
        <v>13.58</v>
      </c>
      <c r="I1440" s="165"/>
      <c r="J1440" s="167"/>
      <c r="K1440" s="167">
        <v>8.15</v>
      </c>
      <c r="L1440" s="167">
        <v>32</v>
      </c>
      <c r="M1440" s="168">
        <v>0.41805555555555601</v>
      </c>
      <c r="N1440" s="67"/>
      <c r="P1440" s="37"/>
      <c r="Q1440" s="37"/>
    </row>
    <row r="1441" spans="1:17" s="24" customFormat="1" ht="15" x14ac:dyDescent="0.25">
      <c r="A1441" s="66">
        <v>45363</v>
      </c>
      <c r="B1441" s="67" t="s">
        <v>36</v>
      </c>
      <c r="C1441" s="129" t="str">
        <f t="shared" si="44"/>
        <v>12.03.2024_BOYuhSp</v>
      </c>
      <c r="D1441" s="143">
        <f t="shared" si="45"/>
        <v>0</v>
      </c>
      <c r="E1441" s="157">
        <v>7.49</v>
      </c>
      <c r="F1441" s="165"/>
      <c r="G1441" s="166">
        <v>647</v>
      </c>
      <c r="H1441" s="167">
        <v>13.25</v>
      </c>
      <c r="I1441" s="165"/>
      <c r="J1441" s="167"/>
      <c r="K1441" s="167">
        <v>8.56</v>
      </c>
      <c r="L1441" s="167">
        <v>46</v>
      </c>
      <c r="M1441" s="168">
        <v>0.62013888888888902</v>
      </c>
      <c r="N1441" s="67"/>
      <c r="P1441" s="37"/>
      <c r="Q1441" s="37"/>
    </row>
    <row r="1442" spans="1:17" s="24" customFormat="1" ht="15" x14ac:dyDescent="0.25">
      <c r="A1442" s="66">
        <v>45363</v>
      </c>
      <c r="B1442" s="67" t="s">
        <v>38</v>
      </c>
      <c r="C1442" s="129" t="str">
        <f t="shared" si="44"/>
        <v>12.03.2024_BRAob</v>
      </c>
      <c r="D1442" s="143">
        <f t="shared" si="45"/>
        <v>0</v>
      </c>
      <c r="E1442" s="157">
        <v>7.42</v>
      </c>
      <c r="F1442" s="165"/>
      <c r="G1442" s="166">
        <v>729</v>
      </c>
      <c r="H1442" s="167">
        <v>12.97</v>
      </c>
      <c r="I1442" s="165"/>
      <c r="J1442" s="167"/>
      <c r="K1442" s="167">
        <v>8.7799999999999994</v>
      </c>
      <c r="L1442" s="167">
        <v>10</v>
      </c>
      <c r="M1442" s="168">
        <v>0.56111111111111101</v>
      </c>
      <c r="N1442" s="67"/>
      <c r="P1442" s="37"/>
      <c r="Q1442" s="37"/>
    </row>
    <row r="1443" spans="1:17" s="24" customFormat="1" ht="15" x14ac:dyDescent="0.25">
      <c r="A1443" s="66">
        <v>45363</v>
      </c>
      <c r="B1443" s="67" t="s">
        <v>41</v>
      </c>
      <c r="C1443" s="129" t="str">
        <f t="shared" si="44"/>
        <v>12.03.2024_BRAohBo</v>
      </c>
      <c r="D1443" s="143">
        <f t="shared" si="45"/>
        <v>0</v>
      </c>
      <c r="E1443" s="157">
        <v>7.35</v>
      </c>
      <c r="F1443" s="165"/>
      <c r="G1443" s="166">
        <v>631</v>
      </c>
      <c r="H1443" s="167">
        <v>12.66</v>
      </c>
      <c r="I1443" s="165"/>
      <c r="J1443" s="167"/>
      <c r="K1443" s="167">
        <v>8.5399999999999991</v>
      </c>
      <c r="L1443" s="167">
        <v>50</v>
      </c>
      <c r="M1443" s="168">
        <v>0.57083333333333297</v>
      </c>
      <c r="N1443" s="67"/>
      <c r="P1443" s="37"/>
      <c r="Q1443" s="37"/>
    </row>
    <row r="1444" spans="1:17" s="24" customFormat="1" ht="15" x14ac:dyDescent="0.25">
      <c r="A1444" s="66">
        <v>45363</v>
      </c>
      <c r="B1444" s="67" t="s">
        <v>43</v>
      </c>
      <c r="C1444" s="129" t="str">
        <f t="shared" si="44"/>
        <v>12.03.2024_HAAob</v>
      </c>
      <c r="D1444" s="143">
        <f t="shared" si="45"/>
        <v>0</v>
      </c>
      <c r="E1444" s="157">
        <v>7.9</v>
      </c>
      <c r="F1444" s="165"/>
      <c r="G1444" s="166">
        <v>789</v>
      </c>
      <c r="H1444" s="167">
        <v>13.66</v>
      </c>
      <c r="I1444" s="165"/>
      <c r="J1444" s="167"/>
      <c r="K1444" s="167">
        <v>9.2200000000000006</v>
      </c>
      <c r="L1444" s="167">
        <v>12</v>
      </c>
      <c r="M1444" s="168">
        <v>0.64513888888888904</v>
      </c>
      <c r="N1444" s="67" t="s">
        <v>285</v>
      </c>
      <c r="P1444" s="37"/>
      <c r="Q1444" s="37"/>
    </row>
    <row r="1445" spans="1:17" s="24" customFormat="1" ht="15" x14ac:dyDescent="0.25">
      <c r="A1445" s="66">
        <v>45363</v>
      </c>
      <c r="B1445" s="67" t="s">
        <v>45</v>
      </c>
      <c r="C1445" s="129" t="str">
        <f t="shared" si="44"/>
        <v>12.03.2024_HAAun</v>
      </c>
      <c r="D1445" s="143">
        <f t="shared" si="45"/>
        <v>0</v>
      </c>
      <c r="E1445" s="157">
        <v>7.47</v>
      </c>
      <c r="F1445" s="165"/>
      <c r="G1445" s="166">
        <v>1004</v>
      </c>
      <c r="H1445" s="167">
        <v>12.85</v>
      </c>
      <c r="I1445" s="165"/>
      <c r="J1445" s="167"/>
      <c r="K1445" s="167">
        <v>9.41</v>
      </c>
      <c r="L1445" s="167">
        <v>17</v>
      </c>
      <c r="M1445" s="168">
        <v>0.63819444444444395</v>
      </c>
      <c r="N1445" s="67"/>
      <c r="P1445" s="37"/>
      <c r="Q1445" s="37"/>
    </row>
    <row r="1446" spans="1:17" s="24" customFormat="1" ht="15" x14ac:dyDescent="0.25">
      <c r="A1446" s="66">
        <v>45363</v>
      </c>
      <c r="B1446" s="67" t="s">
        <v>47</v>
      </c>
      <c r="C1446" s="129" t="str">
        <f t="shared" si="44"/>
        <v>12.03.2024_KIRob</v>
      </c>
      <c r="D1446" s="143">
        <f t="shared" si="45"/>
        <v>0</v>
      </c>
      <c r="E1446" s="157">
        <v>7.48</v>
      </c>
      <c r="F1446" s="165"/>
      <c r="G1446" s="166">
        <v>1020</v>
      </c>
      <c r="H1446" s="167">
        <v>11.62</v>
      </c>
      <c r="I1446" s="165"/>
      <c r="J1446" s="167"/>
      <c r="K1446" s="167">
        <v>9.86</v>
      </c>
      <c r="L1446" s="167">
        <v>17</v>
      </c>
      <c r="M1446" s="168">
        <v>0.45833333333333298</v>
      </c>
      <c r="N1446" s="67"/>
      <c r="P1446" s="37"/>
      <c r="Q1446" s="37"/>
    </row>
    <row r="1447" spans="1:17" s="24" customFormat="1" ht="15" x14ac:dyDescent="0.25">
      <c r="A1447" s="66">
        <v>45363</v>
      </c>
      <c r="B1447" s="67" t="s">
        <v>49</v>
      </c>
      <c r="C1447" s="129" t="str">
        <f t="shared" si="44"/>
        <v>12.03.2024_KIRun</v>
      </c>
      <c r="D1447" s="143">
        <f t="shared" si="45"/>
        <v>0</v>
      </c>
      <c r="E1447" s="157">
        <v>7.56</v>
      </c>
      <c r="F1447" s="165"/>
      <c r="G1447" s="166">
        <v>1004</v>
      </c>
      <c r="H1447" s="167">
        <v>12.35</v>
      </c>
      <c r="I1447" s="165"/>
      <c r="J1447" s="167"/>
      <c r="K1447" s="167">
        <v>9.9700000000000006</v>
      </c>
      <c r="L1447" s="167">
        <v>13</v>
      </c>
      <c r="M1447" s="168">
        <v>0.45138888888888901</v>
      </c>
      <c r="N1447" s="67" t="s">
        <v>284</v>
      </c>
      <c r="P1447" s="37"/>
      <c r="Q1447" s="37"/>
    </row>
    <row r="1448" spans="1:17" s="24" customFormat="1" ht="15" x14ac:dyDescent="0.25">
      <c r="A1448" s="66">
        <v>45363</v>
      </c>
      <c r="B1448" s="67" t="s">
        <v>50</v>
      </c>
      <c r="C1448" s="129" t="str">
        <f t="shared" si="44"/>
        <v>12.03.2024_LIEohBo</v>
      </c>
      <c r="D1448" s="143">
        <f t="shared" si="45"/>
        <v>0</v>
      </c>
      <c r="E1448" s="157">
        <v>8.0500000000000007</v>
      </c>
      <c r="F1448" s="165"/>
      <c r="G1448" s="166">
        <v>779</v>
      </c>
      <c r="H1448" s="167">
        <v>14.38</v>
      </c>
      <c r="I1448" s="165"/>
      <c r="J1448" s="167"/>
      <c r="K1448" s="167">
        <v>8.6</v>
      </c>
      <c r="L1448" s="167">
        <v>11</v>
      </c>
      <c r="M1448" s="168">
        <v>0.43194444444444402</v>
      </c>
      <c r="N1448" s="67"/>
      <c r="P1448" s="37"/>
      <c r="Q1448" s="37"/>
    </row>
    <row r="1449" spans="1:17" s="24" customFormat="1" ht="15" x14ac:dyDescent="0.25">
      <c r="A1449" s="66">
        <v>45363</v>
      </c>
      <c r="B1449" s="67" t="s">
        <v>53</v>
      </c>
      <c r="C1449" s="129" t="str">
        <f t="shared" si="44"/>
        <v>12.03.2024_NATohBo</v>
      </c>
      <c r="D1449" s="143">
        <f t="shared" si="45"/>
        <v>0</v>
      </c>
      <c r="E1449" s="157">
        <v>7.41</v>
      </c>
      <c r="F1449" s="165"/>
      <c r="G1449" s="166">
        <v>1381</v>
      </c>
      <c r="H1449" s="167">
        <v>13.01</v>
      </c>
      <c r="I1449" s="165"/>
      <c r="J1449" s="167"/>
      <c r="K1449" s="167">
        <v>9.92</v>
      </c>
      <c r="L1449" s="167">
        <v>20</v>
      </c>
      <c r="M1449" s="168">
        <v>0.66388888888888897</v>
      </c>
      <c r="N1449" s="67"/>
      <c r="P1449" s="37"/>
      <c r="Q1449" s="37"/>
    </row>
    <row r="1450" spans="1:17" s="24" customFormat="1" ht="15" x14ac:dyDescent="0.25">
      <c r="A1450" s="66">
        <v>45363</v>
      </c>
      <c r="B1450" s="67" t="s">
        <v>55</v>
      </c>
      <c r="C1450" s="129" t="str">
        <f t="shared" si="44"/>
        <v>12.03.2024_QUAohBo</v>
      </c>
      <c r="D1450" s="143">
        <f t="shared" si="45"/>
        <v>0</v>
      </c>
      <c r="E1450" s="157">
        <v>7.46</v>
      </c>
      <c r="F1450" s="165"/>
      <c r="G1450" s="166">
        <v>795</v>
      </c>
      <c r="H1450" s="167">
        <v>12.66</v>
      </c>
      <c r="I1450" s="165"/>
      <c r="J1450" s="167"/>
      <c r="K1450" s="167">
        <v>9.06</v>
      </c>
      <c r="L1450" s="167">
        <v>44</v>
      </c>
      <c r="M1450" s="168">
        <v>0.62847222222222199</v>
      </c>
      <c r="N1450" s="67"/>
      <c r="P1450" s="37"/>
      <c r="Q1450" s="37"/>
    </row>
    <row r="1451" spans="1:17" s="24" customFormat="1" ht="15" x14ac:dyDescent="0.25">
      <c r="A1451" s="66">
        <v>45363</v>
      </c>
      <c r="B1451" s="67" t="s">
        <v>57</v>
      </c>
      <c r="C1451" s="129" t="str">
        <f t="shared" si="44"/>
        <v>12.03.2024_SCHohVo</v>
      </c>
      <c r="D1451" s="143">
        <f t="shared" si="45"/>
        <v>0</v>
      </c>
      <c r="E1451" s="157">
        <v>7.38</v>
      </c>
      <c r="F1451" s="165"/>
      <c r="G1451" s="166">
        <v>380</v>
      </c>
      <c r="H1451" s="167">
        <v>13.62</v>
      </c>
      <c r="I1451" s="165"/>
      <c r="J1451" s="167"/>
      <c r="K1451" s="167">
        <v>7.95</v>
      </c>
      <c r="L1451" s="167">
        <v>10</v>
      </c>
      <c r="M1451" s="168">
        <v>0.47430555555555598</v>
      </c>
      <c r="N1451" s="67"/>
      <c r="P1451" s="37"/>
      <c r="Q1451" s="37"/>
    </row>
    <row r="1452" spans="1:17" s="24" customFormat="1" ht="15" x14ac:dyDescent="0.25">
      <c r="A1452" s="66">
        <v>45363</v>
      </c>
      <c r="B1452" s="67" t="s">
        <v>60</v>
      </c>
      <c r="C1452" s="129" t="str">
        <f t="shared" si="44"/>
        <v>12.03.2024_VORohBo</v>
      </c>
      <c r="D1452" s="143">
        <f t="shared" si="45"/>
        <v>0</v>
      </c>
      <c r="E1452" s="157">
        <v>7.22</v>
      </c>
      <c r="F1452" s="165"/>
      <c r="G1452" s="166">
        <v>802</v>
      </c>
      <c r="H1452" s="167">
        <v>12.28</v>
      </c>
      <c r="I1452" s="165"/>
      <c r="J1452" s="167"/>
      <c r="K1452" s="167">
        <v>8.82</v>
      </c>
      <c r="L1452" s="167">
        <v>22</v>
      </c>
      <c r="M1452" s="168">
        <v>0.49027777777777798</v>
      </c>
      <c r="N1452" s="67"/>
      <c r="P1452" s="37"/>
      <c r="Q1452" s="37"/>
    </row>
    <row r="1453" spans="1:17" s="24" customFormat="1" ht="15" x14ac:dyDescent="0.25">
      <c r="A1453" s="66">
        <v>45363</v>
      </c>
      <c r="B1453" s="67" t="s">
        <v>62</v>
      </c>
      <c r="C1453" s="129" t="str">
        <f t="shared" si="44"/>
        <v>12.03.2024_VORuhSc</v>
      </c>
      <c r="D1453" s="143">
        <f t="shared" si="45"/>
        <v>0</v>
      </c>
      <c r="E1453" s="157">
        <v>7.15</v>
      </c>
      <c r="F1453" s="165"/>
      <c r="G1453" s="166">
        <v>694</v>
      </c>
      <c r="H1453" s="167">
        <v>12.45</v>
      </c>
      <c r="I1453" s="165"/>
      <c r="J1453" s="167"/>
      <c r="K1453" s="167">
        <v>8.5399999999999991</v>
      </c>
      <c r="L1453" s="167">
        <v>16</v>
      </c>
      <c r="M1453" s="168">
        <v>0.48125000000000001</v>
      </c>
      <c r="N1453" s="67"/>
      <c r="P1453" s="37"/>
      <c r="Q1453" s="37"/>
    </row>
    <row r="1454" spans="1:17" s="24" customFormat="1" ht="15" x14ac:dyDescent="0.25">
      <c r="A1454" s="66">
        <v>45363</v>
      </c>
      <c r="B1454" s="67" t="s">
        <v>64</v>
      </c>
      <c r="C1454" s="129" t="str">
        <f t="shared" si="44"/>
        <v>12.03.2024_WITob</v>
      </c>
      <c r="D1454" s="143">
        <f t="shared" si="45"/>
        <v>0</v>
      </c>
      <c r="E1454" s="157">
        <v>7.85</v>
      </c>
      <c r="F1454" s="165"/>
      <c r="G1454" s="166">
        <v>1422</v>
      </c>
      <c r="H1454" s="167">
        <v>13.43</v>
      </c>
      <c r="I1454" s="165"/>
      <c r="J1454" s="167"/>
      <c r="K1454" s="167">
        <v>9.94</v>
      </c>
      <c r="L1454" s="167">
        <v>3</v>
      </c>
      <c r="M1454" s="168">
        <v>0.65277777777777801</v>
      </c>
      <c r="N1454" s="67"/>
      <c r="P1454" s="37"/>
      <c r="Q1454" s="37"/>
    </row>
    <row r="1455" spans="1:17" x14ac:dyDescent="0.25">
      <c r="A1455" s="66">
        <v>45390</v>
      </c>
      <c r="B1455" s="67" t="s">
        <v>22</v>
      </c>
      <c r="C1455" s="129" t="str">
        <f t="shared" si="44"/>
        <v>08.04.2024_BOYkl</v>
      </c>
      <c r="D1455" s="143">
        <f t="shared" si="45"/>
        <v>0</v>
      </c>
      <c r="E1455" s="157">
        <v>7.62</v>
      </c>
      <c r="F1455" s="165"/>
      <c r="G1455" s="166">
        <v>377</v>
      </c>
      <c r="H1455" s="167">
        <v>12.06</v>
      </c>
      <c r="I1455" s="165"/>
      <c r="J1455" s="167"/>
      <c r="K1455" s="167">
        <v>13.68</v>
      </c>
      <c r="L1455" s="167">
        <v>10</v>
      </c>
      <c r="M1455" s="168">
        <v>0.52986111111111101</v>
      </c>
      <c r="N1455" s="67"/>
    </row>
    <row r="1456" spans="1:17" x14ac:dyDescent="0.25">
      <c r="A1456" s="66">
        <v>45390</v>
      </c>
      <c r="B1456" s="67" t="s">
        <v>25</v>
      </c>
      <c r="C1456" s="129" t="str">
        <f t="shared" si="44"/>
        <v>08.04.2024_BOYohB224</v>
      </c>
      <c r="D1456" s="143">
        <f t="shared" si="45"/>
        <v>1</v>
      </c>
      <c r="E1456" s="157">
        <v>7.79</v>
      </c>
      <c r="F1456" s="165"/>
      <c r="G1456" s="166">
        <v>772</v>
      </c>
      <c r="H1456" s="167">
        <v>10.88</v>
      </c>
      <c r="I1456" s="165"/>
      <c r="J1456" s="167"/>
      <c r="K1456" s="167"/>
      <c r="L1456" s="167">
        <v>57</v>
      </c>
      <c r="M1456" s="168">
        <v>0.67569444444444404</v>
      </c>
      <c r="N1456" s="67"/>
    </row>
    <row r="1457" spans="1:14" x14ac:dyDescent="0.25">
      <c r="A1457" s="66">
        <v>45390</v>
      </c>
      <c r="B1457" s="67" t="s">
        <v>28</v>
      </c>
      <c r="C1457" s="129" t="str">
        <f t="shared" si="44"/>
        <v>08.04.2024_BOYohBr</v>
      </c>
      <c r="D1457" s="143">
        <f t="shared" si="45"/>
        <v>0</v>
      </c>
      <c r="E1457" s="157">
        <v>7.37</v>
      </c>
      <c r="F1457" s="165"/>
      <c r="G1457" s="166">
        <v>458</v>
      </c>
      <c r="H1457" s="167">
        <v>11.33</v>
      </c>
      <c r="I1457" s="165"/>
      <c r="J1457" s="167"/>
      <c r="K1457" s="167">
        <v>13.74</v>
      </c>
      <c r="L1457" s="167">
        <v>24</v>
      </c>
      <c r="M1457" s="168">
        <v>0.60138888888888897</v>
      </c>
      <c r="N1457" s="67"/>
    </row>
    <row r="1458" spans="1:14" x14ac:dyDescent="0.25">
      <c r="A1458" s="66">
        <v>45390</v>
      </c>
      <c r="B1458" s="67" t="s">
        <v>30</v>
      </c>
      <c r="C1458" s="129" t="str">
        <f t="shared" si="44"/>
        <v>08.04.2024_BOYohKi</v>
      </c>
      <c r="D1458" s="143">
        <f t="shared" si="45"/>
        <v>0</v>
      </c>
      <c r="E1458" s="157">
        <v>7.73</v>
      </c>
      <c r="F1458" s="165"/>
      <c r="G1458" s="166">
        <v>662</v>
      </c>
      <c r="H1458" s="167">
        <v>11.84</v>
      </c>
      <c r="I1458" s="165"/>
      <c r="J1458" s="167"/>
      <c r="K1458" s="167">
        <v>13.71</v>
      </c>
      <c r="L1458" s="167">
        <v>54</v>
      </c>
      <c r="M1458" s="168">
        <v>0.46319444444444402</v>
      </c>
      <c r="N1458" s="67"/>
    </row>
    <row r="1459" spans="1:14" x14ac:dyDescent="0.25">
      <c r="A1459" s="66">
        <v>45390</v>
      </c>
      <c r="B1459" s="67" t="s">
        <v>32</v>
      </c>
      <c r="C1459" s="129" t="str">
        <f t="shared" si="44"/>
        <v>08.04.2024_BOYohSp</v>
      </c>
      <c r="D1459" s="143">
        <f t="shared" si="45"/>
        <v>0</v>
      </c>
      <c r="E1459" s="157">
        <v>7.58</v>
      </c>
      <c r="F1459" s="165"/>
      <c r="G1459" s="166">
        <v>582</v>
      </c>
      <c r="H1459" s="167">
        <v>10.43</v>
      </c>
      <c r="I1459" s="165"/>
      <c r="J1459" s="167"/>
      <c r="K1459" s="167">
        <v>14.58</v>
      </c>
      <c r="L1459" s="167">
        <v>34</v>
      </c>
      <c r="M1459" s="168">
        <v>0.61944444444444502</v>
      </c>
      <c r="N1459" s="67"/>
    </row>
    <row r="1460" spans="1:14" x14ac:dyDescent="0.25">
      <c r="A1460" s="66">
        <v>45390</v>
      </c>
      <c r="B1460" s="67" t="s">
        <v>34</v>
      </c>
      <c r="C1460" s="129" t="str">
        <f t="shared" si="44"/>
        <v>08.04.2024_BOYuhHa</v>
      </c>
      <c r="D1460" s="143">
        <f t="shared" si="45"/>
        <v>0</v>
      </c>
      <c r="E1460" s="157">
        <v>7.62</v>
      </c>
      <c r="F1460" s="165"/>
      <c r="G1460" s="166">
        <v>849</v>
      </c>
      <c r="H1460" s="167">
        <v>11.83</v>
      </c>
      <c r="I1460" s="165"/>
      <c r="J1460" s="167"/>
      <c r="K1460" s="167">
        <v>13.57</v>
      </c>
      <c r="L1460" s="167">
        <v>33</v>
      </c>
      <c r="M1460" s="168">
        <v>0.44236111111111098</v>
      </c>
      <c r="N1460" s="67"/>
    </row>
    <row r="1461" spans="1:14" x14ac:dyDescent="0.25">
      <c r="A1461" s="66">
        <v>45390</v>
      </c>
      <c r="B1461" s="67" t="s">
        <v>36</v>
      </c>
      <c r="C1461" s="129" t="str">
        <f t="shared" si="44"/>
        <v>08.04.2024_BOYuhSp</v>
      </c>
      <c r="D1461" s="143">
        <f t="shared" si="45"/>
        <v>0</v>
      </c>
      <c r="E1461" s="157">
        <v>7.54</v>
      </c>
      <c r="F1461" s="165"/>
      <c r="G1461" s="166">
        <v>628</v>
      </c>
      <c r="H1461" s="167">
        <v>10.63</v>
      </c>
      <c r="I1461" s="165"/>
      <c r="J1461" s="167"/>
      <c r="K1461" s="167">
        <v>14.47</v>
      </c>
      <c r="L1461" s="167">
        <v>52</v>
      </c>
      <c r="M1461" s="168">
        <v>0.61388888888888904</v>
      </c>
      <c r="N1461" s="67"/>
    </row>
    <row r="1462" spans="1:14" x14ac:dyDescent="0.25">
      <c r="A1462" s="66">
        <v>45390</v>
      </c>
      <c r="B1462" s="67" t="s">
        <v>38</v>
      </c>
      <c r="C1462" s="129" t="str">
        <f t="shared" si="44"/>
        <v>08.04.2024_BRAob</v>
      </c>
      <c r="D1462" s="143">
        <f t="shared" si="45"/>
        <v>0</v>
      </c>
      <c r="E1462" s="157">
        <v>7.54</v>
      </c>
      <c r="F1462" s="165"/>
      <c r="G1462" s="166">
        <v>699</v>
      </c>
      <c r="H1462" s="167">
        <v>10.5</v>
      </c>
      <c r="I1462" s="165"/>
      <c r="J1462" s="167"/>
      <c r="K1462" s="167">
        <v>15.64</v>
      </c>
      <c r="L1462" s="167">
        <v>11</v>
      </c>
      <c r="M1462" s="168">
        <v>0.57638888888888895</v>
      </c>
      <c r="N1462" s="67"/>
    </row>
    <row r="1463" spans="1:14" x14ac:dyDescent="0.25">
      <c r="A1463" s="66">
        <v>45390</v>
      </c>
      <c r="B1463" s="67" t="s">
        <v>41</v>
      </c>
      <c r="C1463" s="129" t="str">
        <f t="shared" si="44"/>
        <v>08.04.2024_BRAohBo</v>
      </c>
      <c r="D1463" s="143">
        <f t="shared" si="45"/>
        <v>0</v>
      </c>
      <c r="E1463" s="157">
        <v>7.67</v>
      </c>
      <c r="F1463" s="165"/>
      <c r="G1463" s="166">
        <v>597</v>
      </c>
      <c r="H1463" s="167">
        <v>11.81</v>
      </c>
      <c r="I1463" s="165"/>
      <c r="J1463" s="167"/>
      <c r="K1463" s="167">
        <v>15.39</v>
      </c>
      <c r="L1463" s="167">
        <v>37</v>
      </c>
      <c r="M1463" s="168">
        <v>0.58472222222222203</v>
      </c>
      <c r="N1463" s="67"/>
    </row>
    <row r="1464" spans="1:14" x14ac:dyDescent="0.25">
      <c r="A1464" s="66">
        <v>45390</v>
      </c>
      <c r="B1464" s="67" t="s">
        <v>43</v>
      </c>
      <c r="C1464" s="129" t="str">
        <f t="shared" si="44"/>
        <v>08.04.2024_HAAob</v>
      </c>
      <c r="D1464" s="143">
        <f t="shared" si="45"/>
        <v>0</v>
      </c>
      <c r="E1464" s="157">
        <v>7.97</v>
      </c>
      <c r="F1464" s="165"/>
      <c r="G1464" s="166">
        <v>706</v>
      </c>
      <c r="H1464" s="167">
        <v>10.220000000000001</v>
      </c>
      <c r="I1464" s="165"/>
      <c r="J1464" s="167"/>
      <c r="K1464" s="167">
        <v>16.309999999999999</v>
      </c>
      <c r="L1464" s="167">
        <v>16</v>
      </c>
      <c r="M1464" s="168">
        <v>0.64722222222222203</v>
      </c>
      <c r="N1464" s="67"/>
    </row>
    <row r="1465" spans="1:14" x14ac:dyDescent="0.25">
      <c r="A1465" s="66">
        <v>45390</v>
      </c>
      <c r="B1465" s="67" t="s">
        <v>45</v>
      </c>
      <c r="C1465" s="129" t="str">
        <f t="shared" si="44"/>
        <v>08.04.2024_HAAun</v>
      </c>
      <c r="D1465" s="143">
        <f t="shared" si="45"/>
        <v>0</v>
      </c>
      <c r="E1465" s="157">
        <v>7.47</v>
      </c>
      <c r="F1465" s="165"/>
      <c r="G1465" s="166">
        <v>898</v>
      </c>
      <c r="H1465" s="167">
        <v>10.15</v>
      </c>
      <c r="I1465" s="165"/>
      <c r="J1465" s="167"/>
      <c r="K1465" s="167">
        <v>14.72</v>
      </c>
      <c r="L1465" s="167">
        <v>19</v>
      </c>
      <c r="M1465" s="168">
        <v>0.63958333333333295</v>
      </c>
      <c r="N1465" s="67"/>
    </row>
    <row r="1466" spans="1:14" x14ac:dyDescent="0.25">
      <c r="A1466" s="66">
        <v>45390</v>
      </c>
      <c r="B1466" s="67" t="s">
        <v>47</v>
      </c>
      <c r="C1466" s="129" t="str">
        <f t="shared" si="44"/>
        <v>08.04.2024_KIRob</v>
      </c>
      <c r="D1466" s="143">
        <f t="shared" si="45"/>
        <v>0</v>
      </c>
      <c r="E1466" s="157">
        <v>7.55</v>
      </c>
      <c r="F1466" s="165"/>
      <c r="G1466" s="166">
        <v>988</v>
      </c>
      <c r="H1466" s="167">
        <v>9.4600000000000009</v>
      </c>
      <c r="I1466" s="165"/>
      <c r="J1466" s="167"/>
      <c r="K1466" s="167">
        <v>13.63</v>
      </c>
      <c r="L1466" s="167">
        <v>15</v>
      </c>
      <c r="M1466" s="168">
        <v>0.47777777777777802</v>
      </c>
      <c r="N1466" s="67"/>
    </row>
    <row r="1467" spans="1:14" x14ac:dyDescent="0.25">
      <c r="A1467" s="66">
        <v>45390</v>
      </c>
      <c r="B1467" s="67" t="s">
        <v>49</v>
      </c>
      <c r="C1467" s="129" t="str">
        <f t="shared" si="44"/>
        <v>08.04.2024_KIRun</v>
      </c>
      <c r="D1467" s="143">
        <f t="shared" si="45"/>
        <v>0</v>
      </c>
      <c r="E1467" s="157">
        <v>7.68</v>
      </c>
      <c r="F1467" s="165"/>
      <c r="G1467" s="166">
        <v>912</v>
      </c>
      <c r="H1467" s="167">
        <v>10.44</v>
      </c>
      <c r="I1467" s="165"/>
      <c r="J1467" s="167"/>
      <c r="K1467" s="167">
        <v>13.73</v>
      </c>
      <c r="L1467" s="167">
        <v>12</v>
      </c>
      <c r="M1467" s="168">
        <v>0.47083333333333299</v>
      </c>
      <c r="N1467" s="67"/>
    </row>
    <row r="1468" spans="1:14" x14ac:dyDescent="0.25">
      <c r="A1468" s="66">
        <v>45390</v>
      </c>
      <c r="B1468" s="67" t="s">
        <v>50</v>
      </c>
      <c r="C1468" s="129" t="str">
        <f t="shared" si="44"/>
        <v>08.04.2024_LIEohBo</v>
      </c>
      <c r="D1468" s="143">
        <f t="shared" si="45"/>
        <v>0</v>
      </c>
      <c r="E1468" s="157">
        <v>8.2100000000000009</v>
      </c>
      <c r="F1468" s="165"/>
      <c r="G1468" s="166">
        <v>371</v>
      </c>
      <c r="H1468" s="167">
        <v>8.2100000000000009</v>
      </c>
      <c r="I1468" s="165"/>
      <c r="J1468" s="167"/>
      <c r="K1468" s="167">
        <v>15.48</v>
      </c>
      <c r="L1468" s="167">
        <v>5.5</v>
      </c>
      <c r="M1468" s="168">
        <v>0.45486111111111099</v>
      </c>
      <c r="N1468" s="67"/>
    </row>
    <row r="1469" spans="1:14" x14ac:dyDescent="0.25">
      <c r="A1469" s="66">
        <v>45390</v>
      </c>
      <c r="B1469" s="67" t="s">
        <v>53</v>
      </c>
      <c r="C1469" s="129" t="str">
        <f t="shared" si="44"/>
        <v>08.04.2024_NATohBo</v>
      </c>
      <c r="D1469" s="143">
        <f t="shared" si="45"/>
        <v>0</v>
      </c>
      <c r="E1469" s="157">
        <v>7.44</v>
      </c>
      <c r="F1469" s="165"/>
      <c r="G1469" s="166">
        <v>1364</v>
      </c>
      <c r="H1469" s="167">
        <v>9.98</v>
      </c>
      <c r="I1469" s="165"/>
      <c r="J1469" s="167"/>
      <c r="K1469" s="167">
        <v>16.16</v>
      </c>
      <c r="L1469" s="167">
        <v>22</v>
      </c>
      <c r="M1469" s="168">
        <v>0.66666666666666696</v>
      </c>
      <c r="N1469" s="67"/>
    </row>
    <row r="1470" spans="1:14" x14ac:dyDescent="0.25">
      <c r="A1470" s="66">
        <v>45390</v>
      </c>
      <c r="B1470" s="67" t="s">
        <v>55</v>
      </c>
      <c r="C1470" s="129" t="str">
        <f t="shared" si="44"/>
        <v>08.04.2024_QUAohBo</v>
      </c>
      <c r="D1470" s="143">
        <f t="shared" si="45"/>
        <v>0</v>
      </c>
      <c r="E1470" s="157">
        <v>7.55</v>
      </c>
      <c r="F1470" s="165"/>
      <c r="G1470" s="166">
        <v>726</v>
      </c>
      <c r="H1470" s="167">
        <v>9.16</v>
      </c>
      <c r="I1470" s="165"/>
      <c r="J1470" s="167"/>
      <c r="K1470" s="167">
        <v>16</v>
      </c>
      <c r="L1470" s="167">
        <v>25</v>
      </c>
      <c r="M1470" s="168">
        <v>0.625</v>
      </c>
      <c r="N1470" s="67"/>
    </row>
    <row r="1471" spans="1:14" x14ac:dyDescent="0.25">
      <c r="A1471" s="66">
        <v>45390</v>
      </c>
      <c r="B1471" s="67" t="s">
        <v>57</v>
      </c>
      <c r="C1471" s="129" t="str">
        <f t="shared" ref="C1471:C1534" si="46">CONCATENATE(TEXT(A1471,"TT.MM.JJJJ"),"_",B1471)</f>
        <v>08.04.2024_SCHohVo</v>
      </c>
      <c r="D1471" s="143">
        <f t="shared" si="45"/>
        <v>0</v>
      </c>
      <c r="E1471" s="157">
        <v>7.66</v>
      </c>
      <c r="F1471" s="165"/>
      <c r="G1471" s="166">
        <v>415</v>
      </c>
      <c r="H1471" s="167">
        <v>11.07</v>
      </c>
      <c r="I1471" s="165"/>
      <c r="J1471" s="167"/>
      <c r="K1471" s="167">
        <v>14.22</v>
      </c>
      <c r="L1471" s="167">
        <v>11</v>
      </c>
      <c r="M1471" s="168">
        <v>0.49861111111111101</v>
      </c>
      <c r="N1471" s="67"/>
    </row>
    <row r="1472" spans="1:14" x14ac:dyDescent="0.25">
      <c r="A1472" s="66">
        <v>45390</v>
      </c>
      <c r="B1472" s="67" t="s">
        <v>60</v>
      </c>
      <c r="C1472" s="129" t="str">
        <f t="shared" si="46"/>
        <v>08.04.2024_VORohBo</v>
      </c>
      <c r="D1472" s="143">
        <f t="shared" ref="D1472:D1535" si="47">COUNTBLANK(E1472)+COUNTBLANK(G1472:H1472)+COUNTBLANK(K1472:L1472)</f>
        <v>0</v>
      </c>
      <c r="E1472" s="157">
        <v>7.27</v>
      </c>
      <c r="F1472" s="165"/>
      <c r="G1472" s="166">
        <v>826</v>
      </c>
      <c r="H1472" s="167">
        <v>9.9499999999999993</v>
      </c>
      <c r="I1472" s="165"/>
      <c r="J1472" s="167"/>
      <c r="K1472" s="167">
        <v>13.44</v>
      </c>
      <c r="L1472" s="167">
        <v>22</v>
      </c>
      <c r="M1472" s="168">
        <v>0.51597222222222205</v>
      </c>
      <c r="N1472" s="67"/>
    </row>
    <row r="1473" spans="1:14" x14ac:dyDescent="0.25">
      <c r="A1473" s="66">
        <v>45390</v>
      </c>
      <c r="B1473" s="67" t="s">
        <v>62</v>
      </c>
      <c r="C1473" s="129" t="str">
        <f t="shared" si="46"/>
        <v>08.04.2024_VORuhSc</v>
      </c>
      <c r="D1473" s="143">
        <f t="shared" si="47"/>
        <v>0</v>
      </c>
      <c r="E1473" s="157">
        <v>7.25</v>
      </c>
      <c r="F1473" s="165"/>
      <c r="G1473" s="166">
        <v>7.28</v>
      </c>
      <c r="H1473" s="167">
        <v>10.06</v>
      </c>
      <c r="I1473" s="165"/>
      <c r="J1473" s="167"/>
      <c r="K1473" s="167">
        <v>13.45</v>
      </c>
      <c r="L1473" s="167">
        <v>15.5</v>
      </c>
      <c r="M1473" s="168">
        <v>0.50763888888888897</v>
      </c>
      <c r="N1473" s="67"/>
    </row>
    <row r="1474" spans="1:14" x14ac:dyDescent="0.25">
      <c r="A1474" s="66">
        <v>45390</v>
      </c>
      <c r="B1474" s="67" t="s">
        <v>64</v>
      </c>
      <c r="C1474" s="129" t="str">
        <f t="shared" si="46"/>
        <v>08.04.2024_WITob</v>
      </c>
      <c r="D1474" s="143">
        <f t="shared" si="47"/>
        <v>0</v>
      </c>
      <c r="E1474" s="157">
        <v>7.91</v>
      </c>
      <c r="F1474" s="165"/>
      <c r="G1474" s="166">
        <v>1276</v>
      </c>
      <c r="H1474" s="167">
        <v>10.46</v>
      </c>
      <c r="I1474" s="165"/>
      <c r="J1474" s="167"/>
      <c r="K1474" s="167">
        <v>15.31</v>
      </c>
      <c r="L1474" s="167">
        <v>4</v>
      </c>
      <c r="M1474" s="168">
        <v>0.65486111111111101</v>
      </c>
      <c r="N1474" s="67"/>
    </row>
    <row r="1475" spans="1:14" x14ac:dyDescent="0.25">
      <c r="A1475" s="66">
        <v>45404</v>
      </c>
      <c r="B1475" s="67" t="s">
        <v>22</v>
      </c>
      <c r="C1475" s="129" t="str">
        <f t="shared" si="46"/>
        <v>22.04.2024_BOYkl</v>
      </c>
      <c r="D1475" s="143">
        <f t="shared" si="47"/>
        <v>0</v>
      </c>
      <c r="E1475" s="157">
        <v>7.43</v>
      </c>
      <c r="F1475" s="165"/>
      <c r="G1475" s="166">
        <v>372</v>
      </c>
      <c r="H1475" s="167">
        <v>10.51</v>
      </c>
      <c r="I1475" s="165"/>
      <c r="J1475" s="167"/>
      <c r="K1475" s="167">
        <v>9.67</v>
      </c>
      <c r="L1475" s="167">
        <v>13.8</v>
      </c>
      <c r="M1475" s="168">
        <v>0.52777777777777801</v>
      </c>
      <c r="N1475" s="67"/>
    </row>
    <row r="1476" spans="1:14" x14ac:dyDescent="0.25">
      <c r="A1476" s="66">
        <v>45404</v>
      </c>
      <c r="B1476" s="67" t="s">
        <v>25</v>
      </c>
      <c r="C1476" s="129" t="str">
        <f t="shared" si="46"/>
        <v>22.04.2024_BOYohB224</v>
      </c>
      <c r="D1476" s="143">
        <f t="shared" si="47"/>
        <v>0</v>
      </c>
      <c r="E1476" s="157">
        <v>7.88</v>
      </c>
      <c r="F1476" s="165"/>
      <c r="G1476" s="166">
        <v>746</v>
      </c>
      <c r="H1476" s="167">
        <v>10.96</v>
      </c>
      <c r="I1476" s="165"/>
      <c r="J1476" s="167"/>
      <c r="K1476" s="167">
        <v>10.99</v>
      </c>
      <c r="L1476" s="167">
        <v>48</v>
      </c>
      <c r="M1476" s="168">
        <v>0.71875</v>
      </c>
      <c r="N1476" s="67"/>
    </row>
    <row r="1477" spans="1:14" x14ac:dyDescent="0.25">
      <c r="A1477" s="66">
        <v>45404</v>
      </c>
      <c r="B1477" s="67" t="s">
        <v>28</v>
      </c>
      <c r="C1477" s="129" t="str">
        <f t="shared" si="46"/>
        <v>22.04.2024_BOYohBr</v>
      </c>
      <c r="D1477" s="143">
        <f t="shared" si="47"/>
        <v>0</v>
      </c>
      <c r="E1477" s="157">
        <v>7.51</v>
      </c>
      <c r="F1477" s="165"/>
      <c r="G1477" s="166">
        <v>463</v>
      </c>
      <c r="H1477" s="167">
        <v>9.99</v>
      </c>
      <c r="I1477" s="165"/>
      <c r="J1477" s="167"/>
      <c r="K1477" s="167">
        <v>9.84</v>
      </c>
      <c r="L1477" s="167">
        <v>29.5</v>
      </c>
      <c r="M1477" s="168">
        <v>0.62361111111111101</v>
      </c>
      <c r="N1477" s="67"/>
    </row>
    <row r="1478" spans="1:14" x14ac:dyDescent="0.25">
      <c r="A1478" s="66">
        <v>45404</v>
      </c>
      <c r="B1478" s="67" t="s">
        <v>30</v>
      </c>
      <c r="C1478" s="129" t="str">
        <f t="shared" si="46"/>
        <v>22.04.2024_BOYohKi</v>
      </c>
      <c r="D1478" s="143">
        <f t="shared" si="47"/>
        <v>0</v>
      </c>
      <c r="E1478" s="157">
        <v>7.78</v>
      </c>
      <c r="F1478" s="165"/>
      <c r="G1478" s="166">
        <v>621</v>
      </c>
      <c r="H1478" s="167">
        <v>10.65</v>
      </c>
      <c r="I1478" s="165"/>
      <c r="J1478" s="167"/>
      <c r="K1478" s="167">
        <v>9.5500000000000007</v>
      </c>
      <c r="L1478" s="167">
        <v>56.5</v>
      </c>
      <c r="M1478" s="168">
        <v>0.46250000000000002</v>
      </c>
      <c r="N1478" s="67" t="s">
        <v>167</v>
      </c>
    </row>
    <row r="1479" spans="1:14" x14ac:dyDescent="0.25">
      <c r="A1479" s="66">
        <v>45404</v>
      </c>
      <c r="B1479" s="67" t="s">
        <v>32</v>
      </c>
      <c r="C1479" s="129" t="str">
        <f t="shared" si="46"/>
        <v>22.04.2024_BOYohSp</v>
      </c>
      <c r="D1479" s="143">
        <f t="shared" si="47"/>
        <v>0</v>
      </c>
      <c r="E1479" s="157">
        <v>7.58</v>
      </c>
      <c r="F1479" s="165"/>
      <c r="G1479" s="166">
        <v>557</v>
      </c>
      <c r="H1479" s="167">
        <v>9.57</v>
      </c>
      <c r="I1479" s="165"/>
      <c r="J1479" s="167"/>
      <c r="K1479" s="167">
        <v>9.76</v>
      </c>
      <c r="L1479" s="167">
        <v>32</v>
      </c>
      <c r="M1479" s="168">
        <v>0.63749999999999996</v>
      </c>
      <c r="N1479" s="67"/>
    </row>
    <row r="1480" spans="1:14" x14ac:dyDescent="0.25">
      <c r="A1480" s="66">
        <v>45404</v>
      </c>
      <c r="B1480" s="67" t="s">
        <v>34</v>
      </c>
      <c r="C1480" s="129" t="str">
        <f t="shared" si="46"/>
        <v>22.04.2024_BOYuhHa</v>
      </c>
      <c r="D1480" s="143">
        <f t="shared" si="47"/>
        <v>0</v>
      </c>
      <c r="E1480" s="157">
        <v>7.86</v>
      </c>
      <c r="F1480" s="165"/>
      <c r="G1480" s="166">
        <v>782</v>
      </c>
      <c r="H1480" s="167">
        <v>10.97</v>
      </c>
      <c r="I1480" s="165"/>
      <c r="J1480" s="167"/>
      <c r="K1480" s="167">
        <v>8.9700000000000006</v>
      </c>
      <c r="L1480" s="167">
        <v>31.5</v>
      </c>
      <c r="M1480" s="168">
        <v>0.44444444444444398</v>
      </c>
      <c r="N1480" s="67" t="s">
        <v>166</v>
      </c>
    </row>
    <row r="1481" spans="1:14" x14ac:dyDescent="0.25">
      <c r="A1481" s="66">
        <v>45404</v>
      </c>
      <c r="B1481" s="67" t="s">
        <v>36</v>
      </c>
      <c r="C1481" s="129" t="str">
        <f t="shared" si="46"/>
        <v>22.04.2024_BOYuhSp</v>
      </c>
      <c r="D1481" s="143">
        <f t="shared" si="47"/>
        <v>0</v>
      </c>
      <c r="E1481" s="157">
        <v>7.61</v>
      </c>
      <c r="F1481" s="165"/>
      <c r="G1481" s="166">
        <v>606</v>
      </c>
      <c r="H1481" s="167">
        <v>9.8000000000000007</v>
      </c>
      <c r="I1481" s="165"/>
      <c r="J1481" s="167"/>
      <c r="K1481" s="167">
        <v>9.4600000000000009</v>
      </c>
      <c r="L1481" s="167">
        <v>49</v>
      </c>
      <c r="M1481" s="168">
        <v>0.64444444444444504</v>
      </c>
      <c r="N1481" s="67"/>
    </row>
    <row r="1482" spans="1:14" x14ac:dyDescent="0.25">
      <c r="A1482" s="66">
        <v>45404</v>
      </c>
      <c r="B1482" s="67" t="s">
        <v>38</v>
      </c>
      <c r="C1482" s="129" t="str">
        <f t="shared" si="46"/>
        <v>22.04.2024_BRAob</v>
      </c>
      <c r="D1482" s="143">
        <f t="shared" si="47"/>
        <v>0</v>
      </c>
      <c r="E1482" s="157">
        <v>7.65</v>
      </c>
      <c r="F1482" s="165"/>
      <c r="G1482" s="166">
        <v>688</v>
      </c>
      <c r="H1482" s="167">
        <v>9.75</v>
      </c>
      <c r="I1482" s="165"/>
      <c r="J1482" s="167"/>
      <c r="K1482" s="167">
        <v>9.92</v>
      </c>
      <c r="L1482" s="167">
        <v>7.5</v>
      </c>
      <c r="M1482" s="168">
        <v>0.58958333333333302</v>
      </c>
      <c r="N1482" s="67"/>
    </row>
    <row r="1483" spans="1:14" x14ac:dyDescent="0.25">
      <c r="A1483" s="66">
        <v>45404</v>
      </c>
      <c r="B1483" s="67" t="s">
        <v>41</v>
      </c>
      <c r="C1483" s="129" t="str">
        <f t="shared" si="46"/>
        <v>22.04.2024_BRAohBo</v>
      </c>
      <c r="D1483" s="143">
        <f t="shared" si="47"/>
        <v>0</v>
      </c>
      <c r="E1483" s="157">
        <v>7.52</v>
      </c>
      <c r="F1483" s="165"/>
      <c r="G1483" s="166">
        <v>619</v>
      </c>
      <c r="H1483" s="167">
        <v>9.15</v>
      </c>
      <c r="I1483" s="165"/>
      <c r="J1483" s="167"/>
      <c r="K1483" s="167">
        <v>10.07</v>
      </c>
      <c r="L1483" s="167">
        <v>36.5</v>
      </c>
      <c r="M1483" s="168">
        <v>0.60138888888888897</v>
      </c>
      <c r="N1483" s="67"/>
    </row>
    <row r="1484" spans="1:14" x14ac:dyDescent="0.25">
      <c r="A1484" s="66">
        <v>45404</v>
      </c>
      <c r="B1484" s="67" t="s">
        <v>43</v>
      </c>
      <c r="C1484" s="129" t="str">
        <f t="shared" si="46"/>
        <v>22.04.2024_HAAob</v>
      </c>
      <c r="D1484" s="143">
        <f t="shared" si="47"/>
        <v>0</v>
      </c>
      <c r="E1484" s="157">
        <v>8.08</v>
      </c>
      <c r="F1484" s="165"/>
      <c r="G1484" s="166">
        <v>672</v>
      </c>
      <c r="H1484" s="167">
        <v>10.26</v>
      </c>
      <c r="I1484" s="165"/>
      <c r="J1484" s="167"/>
      <c r="K1484" s="167">
        <v>11.25</v>
      </c>
      <c r="L1484" s="167">
        <v>12.5</v>
      </c>
      <c r="M1484" s="168">
        <v>0.6875</v>
      </c>
      <c r="N1484" s="67"/>
    </row>
    <row r="1485" spans="1:14" x14ac:dyDescent="0.25">
      <c r="A1485" s="66">
        <v>45404</v>
      </c>
      <c r="B1485" s="67" t="s">
        <v>45</v>
      </c>
      <c r="C1485" s="129" t="str">
        <f t="shared" si="46"/>
        <v>22.04.2024_HAAun</v>
      </c>
      <c r="D1485" s="143">
        <f t="shared" si="47"/>
        <v>0</v>
      </c>
      <c r="E1485" s="157">
        <v>7.48</v>
      </c>
      <c r="F1485" s="165"/>
      <c r="G1485" s="166">
        <v>842</v>
      </c>
      <c r="H1485" s="167">
        <v>8.8800000000000008</v>
      </c>
      <c r="I1485" s="165"/>
      <c r="J1485" s="167"/>
      <c r="K1485" s="167">
        <v>10.28</v>
      </c>
      <c r="L1485" s="167">
        <v>18.3</v>
      </c>
      <c r="M1485" s="168">
        <v>0.67361111111111105</v>
      </c>
      <c r="N1485" s="67"/>
    </row>
    <row r="1486" spans="1:14" x14ac:dyDescent="0.25">
      <c r="A1486" s="66">
        <v>45404</v>
      </c>
      <c r="B1486" s="67" t="s">
        <v>47</v>
      </c>
      <c r="C1486" s="129" t="str">
        <f t="shared" si="46"/>
        <v>22.04.2024_KIRob</v>
      </c>
      <c r="D1486" s="143">
        <f t="shared" si="47"/>
        <v>0</v>
      </c>
      <c r="E1486" s="157">
        <v>7.74</v>
      </c>
      <c r="F1486" s="165"/>
      <c r="G1486" s="166">
        <v>980</v>
      </c>
      <c r="H1486" s="167">
        <v>8.42</v>
      </c>
      <c r="I1486" s="165"/>
      <c r="J1486" s="167"/>
      <c r="K1486" s="167">
        <v>9.74</v>
      </c>
      <c r="L1486" s="167">
        <v>17</v>
      </c>
      <c r="M1486" s="168">
        <v>0.48055555555555601</v>
      </c>
      <c r="N1486" s="67"/>
    </row>
    <row r="1487" spans="1:14" x14ac:dyDescent="0.25">
      <c r="A1487" s="66">
        <v>45404</v>
      </c>
      <c r="B1487" s="67" t="s">
        <v>49</v>
      </c>
      <c r="C1487" s="129" t="str">
        <f t="shared" si="46"/>
        <v>22.04.2024_KIRun</v>
      </c>
      <c r="D1487" s="143">
        <f t="shared" si="47"/>
        <v>0</v>
      </c>
      <c r="E1487" s="157">
        <v>7.86</v>
      </c>
      <c r="F1487" s="165"/>
      <c r="G1487" s="166">
        <v>917</v>
      </c>
      <c r="H1487" s="167">
        <v>9.66</v>
      </c>
      <c r="I1487" s="165"/>
      <c r="J1487" s="167"/>
      <c r="K1487" s="167">
        <v>9.75</v>
      </c>
      <c r="L1487" s="167">
        <v>13.2</v>
      </c>
      <c r="M1487" s="168">
        <v>0.47361111111111098</v>
      </c>
      <c r="N1487" s="67"/>
    </row>
    <row r="1488" spans="1:14" x14ac:dyDescent="0.25">
      <c r="A1488" s="66">
        <v>45404</v>
      </c>
      <c r="B1488" s="67" t="s">
        <v>50</v>
      </c>
      <c r="C1488" s="129" t="str">
        <f t="shared" si="46"/>
        <v>22.04.2024_LIEohBo</v>
      </c>
      <c r="D1488" s="143">
        <f t="shared" si="47"/>
        <v>0</v>
      </c>
      <c r="E1488" s="157">
        <v>8.27</v>
      </c>
      <c r="F1488" s="165"/>
      <c r="G1488" s="166">
        <v>700</v>
      </c>
      <c r="H1488" s="167">
        <v>11.2</v>
      </c>
      <c r="I1488" s="165"/>
      <c r="J1488" s="167"/>
      <c r="K1488" s="167">
        <v>10.41</v>
      </c>
      <c r="L1488" s="167">
        <v>9.1999999999999993</v>
      </c>
      <c r="M1488" s="168">
        <v>0.454166666666667</v>
      </c>
      <c r="N1488" s="67"/>
    </row>
    <row r="1489" spans="1:14" x14ac:dyDescent="0.25">
      <c r="A1489" s="66">
        <v>45404</v>
      </c>
      <c r="B1489" s="67" t="s">
        <v>53</v>
      </c>
      <c r="C1489" s="129" t="str">
        <f t="shared" si="46"/>
        <v>22.04.2024_NATohBo</v>
      </c>
      <c r="D1489" s="143">
        <f t="shared" si="47"/>
        <v>0</v>
      </c>
      <c r="E1489" s="157">
        <v>7.65</v>
      </c>
      <c r="F1489" s="165"/>
      <c r="G1489" s="166">
        <v>1220</v>
      </c>
      <c r="H1489" s="167">
        <v>10.7</v>
      </c>
      <c r="I1489" s="165"/>
      <c r="J1489" s="167"/>
      <c r="K1489" s="167">
        <v>11.1</v>
      </c>
      <c r="L1489" s="167">
        <v>27.2</v>
      </c>
      <c r="M1489" s="168">
        <v>0.71041666666666703</v>
      </c>
      <c r="N1489" s="67"/>
    </row>
    <row r="1490" spans="1:14" x14ac:dyDescent="0.25">
      <c r="A1490" s="66">
        <v>45404</v>
      </c>
      <c r="B1490" s="67" t="s">
        <v>55</v>
      </c>
      <c r="C1490" s="129" t="str">
        <f t="shared" si="46"/>
        <v>22.04.2024_QUAohBo</v>
      </c>
      <c r="D1490" s="143">
        <f t="shared" si="47"/>
        <v>0</v>
      </c>
      <c r="E1490" s="157">
        <v>7.67</v>
      </c>
      <c r="F1490" s="165"/>
      <c r="G1490" s="166">
        <v>725</v>
      </c>
      <c r="H1490" s="167">
        <v>8.99</v>
      </c>
      <c r="I1490" s="165"/>
      <c r="J1490" s="167"/>
      <c r="K1490" s="167">
        <v>10.5</v>
      </c>
      <c r="L1490" s="167">
        <v>15.2</v>
      </c>
      <c r="M1490" s="168">
        <v>0.65972222222222199</v>
      </c>
      <c r="N1490" s="67"/>
    </row>
    <row r="1491" spans="1:14" x14ac:dyDescent="0.25">
      <c r="A1491" s="66">
        <v>45404</v>
      </c>
      <c r="B1491" s="67" t="s">
        <v>57</v>
      </c>
      <c r="C1491" s="129" t="str">
        <f t="shared" si="46"/>
        <v>22.04.2024_SCHohVo</v>
      </c>
      <c r="D1491" s="143">
        <f t="shared" si="47"/>
        <v>0</v>
      </c>
      <c r="E1491" s="157">
        <v>7.65</v>
      </c>
      <c r="F1491" s="165"/>
      <c r="G1491" s="166">
        <v>377</v>
      </c>
      <c r="H1491" s="167">
        <v>10.51</v>
      </c>
      <c r="I1491" s="165"/>
      <c r="J1491" s="167"/>
      <c r="K1491" s="167">
        <v>8.64</v>
      </c>
      <c r="L1491" s="167">
        <v>9.8000000000000007</v>
      </c>
      <c r="M1491" s="168">
        <v>0.49166666666666697</v>
      </c>
      <c r="N1491" s="67" t="s">
        <v>286</v>
      </c>
    </row>
    <row r="1492" spans="1:14" x14ac:dyDescent="0.25">
      <c r="A1492" s="66">
        <v>45404</v>
      </c>
      <c r="B1492" s="67" t="s">
        <v>60</v>
      </c>
      <c r="C1492" s="129" t="str">
        <f t="shared" si="46"/>
        <v>22.04.2024_VORohBo</v>
      </c>
      <c r="D1492" s="143">
        <f t="shared" si="47"/>
        <v>0</v>
      </c>
      <c r="E1492" s="157">
        <v>7.45</v>
      </c>
      <c r="F1492" s="165"/>
      <c r="G1492" s="166">
        <v>785</v>
      </c>
      <c r="H1492" s="167">
        <v>9.09</v>
      </c>
      <c r="I1492" s="165"/>
      <c r="J1492" s="167"/>
      <c r="K1492" s="167">
        <v>8.65</v>
      </c>
      <c r="L1492" s="167">
        <v>23.4</v>
      </c>
      <c r="M1492" s="168">
        <v>0.51180555555555596</v>
      </c>
      <c r="N1492" s="67"/>
    </row>
    <row r="1493" spans="1:14" x14ac:dyDescent="0.25">
      <c r="A1493" s="66">
        <v>45404</v>
      </c>
      <c r="B1493" s="67" t="s">
        <v>62</v>
      </c>
      <c r="C1493" s="129" t="str">
        <f t="shared" si="46"/>
        <v>22.04.2024_VORuhSc</v>
      </c>
      <c r="D1493" s="143">
        <f t="shared" si="47"/>
        <v>0</v>
      </c>
      <c r="E1493" s="157">
        <v>7.32</v>
      </c>
      <c r="F1493" s="165"/>
      <c r="G1493" s="166">
        <v>680</v>
      </c>
      <c r="H1493" s="167">
        <v>9.17</v>
      </c>
      <c r="I1493" s="165"/>
      <c r="J1493" s="167"/>
      <c r="K1493" s="167">
        <v>8.69</v>
      </c>
      <c r="L1493" s="167">
        <v>17.100000000000001</v>
      </c>
      <c r="M1493" s="168">
        <v>0.50138888888888899</v>
      </c>
      <c r="N1493" s="67" t="s">
        <v>80</v>
      </c>
    </row>
    <row r="1494" spans="1:14" x14ac:dyDescent="0.25">
      <c r="A1494" s="66">
        <v>45404</v>
      </c>
      <c r="B1494" s="67" t="s">
        <v>64</v>
      </c>
      <c r="C1494" s="129" t="str">
        <f t="shared" si="46"/>
        <v>22.04.2024_WITob</v>
      </c>
      <c r="D1494" s="143">
        <f t="shared" si="47"/>
        <v>0</v>
      </c>
      <c r="E1494" s="157">
        <v>8.08</v>
      </c>
      <c r="F1494" s="165"/>
      <c r="G1494" s="166">
        <v>1273</v>
      </c>
      <c r="H1494" s="167">
        <v>10.86</v>
      </c>
      <c r="I1494" s="165"/>
      <c r="J1494" s="167"/>
      <c r="K1494" s="167">
        <v>9.76</v>
      </c>
      <c r="L1494" s="167">
        <v>2</v>
      </c>
      <c r="M1494" s="168">
        <v>0.69930555555555596</v>
      </c>
      <c r="N1494" s="67"/>
    </row>
    <row r="1495" spans="1:14" x14ac:dyDescent="0.25">
      <c r="A1495" s="66">
        <v>45418</v>
      </c>
      <c r="B1495" s="67" t="s">
        <v>22</v>
      </c>
      <c r="C1495" s="129" t="str">
        <f t="shared" si="46"/>
        <v>06.05.2024_BOYkl</v>
      </c>
      <c r="D1495" s="143">
        <f t="shared" si="47"/>
        <v>0</v>
      </c>
      <c r="E1495" s="157">
        <v>7.57</v>
      </c>
      <c r="F1495" s="165"/>
      <c r="G1495" s="166">
        <v>358</v>
      </c>
      <c r="H1495" s="167">
        <v>9.99</v>
      </c>
      <c r="I1495" s="165"/>
      <c r="J1495" s="167"/>
      <c r="K1495" s="167">
        <v>12.51</v>
      </c>
      <c r="L1495" s="167">
        <v>11.7</v>
      </c>
      <c r="M1495" s="168">
        <v>0.47083333333333299</v>
      </c>
      <c r="N1495" s="67"/>
    </row>
    <row r="1496" spans="1:14" x14ac:dyDescent="0.25">
      <c r="A1496" s="66">
        <v>45418</v>
      </c>
      <c r="B1496" s="67" t="s">
        <v>25</v>
      </c>
      <c r="C1496" s="129" t="str">
        <f t="shared" si="46"/>
        <v>06.05.2024_BOYohB224</v>
      </c>
      <c r="D1496" s="143">
        <f t="shared" si="47"/>
        <v>1</v>
      </c>
      <c r="E1496" s="157">
        <v>7.8</v>
      </c>
      <c r="F1496" s="165"/>
      <c r="G1496" s="166">
        <v>750</v>
      </c>
      <c r="H1496" s="167">
        <v>9.83</v>
      </c>
      <c r="I1496" s="165"/>
      <c r="J1496" s="167"/>
      <c r="K1496" s="167"/>
      <c r="L1496" s="167">
        <v>46</v>
      </c>
      <c r="M1496" s="168">
        <v>0.61805555555555602</v>
      </c>
      <c r="N1496" s="67"/>
    </row>
    <row r="1497" spans="1:14" x14ac:dyDescent="0.25">
      <c r="A1497" s="66">
        <v>45418</v>
      </c>
      <c r="B1497" s="67" t="s">
        <v>28</v>
      </c>
      <c r="C1497" s="129" t="str">
        <f t="shared" si="46"/>
        <v>06.05.2024_BOYohBr</v>
      </c>
      <c r="D1497" s="143">
        <f t="shared" si="47"/>
        <v>0</v>
      </c>
      <c r="E1497" s="157">
        <v>7.38</v>
      </c>
      <c r="F1497" s="165"/>
      <c r="G1497" s="166">
        <v>447</v>
      </c>
      <c r="H1497" s="167">
        <v>8.7899999999999991</v>
      </c>
      <c r="I1497" s="165"/>
      <c r="J1497" s="167"/>
      <c r="K1497" s="167">
        <v>12.81</v>
      </c>
      <c r="L1497" s="167">
        <v>25</v>
      </c>
      <c r="M1497" s="168">
        <v>0.54027777777777797</v>
      </c>
      <c r="N1497" s="67"/>
    </row>
    <row r="1498" spans="1:14" x14ac:dyDescent="0.25">
      <c r="A1498" s="66">
        <v>45418</v>
      </c>
      <c r="B1498" s="67" t="s">
        <v>30</v>
      </c>
      <c r="C1498" s="129" t="str">
        <f t="shared" si="46"/>
        <v>06.05.2024_BOYohKi</v>
      </c>
      <c r="D1498" s="143">
        <f t="shared" si="47"/>
        <v>0</v>
      </c>
      <c r="E1498" s="157">
        <v>7.48</v>
      </c>
      <c r="F1498" s="165"/>
      <c r="G1498" s="166">
        <v>641</v>
      </c>
      <c r="H1498" s="167">
        <v>9.39</v>
      </c>
      <c r="I1498" s="165"/>
      <c r="J1498" s="167"/>
      <c r="K1498" s="167">
        <v>11.95</v>
      </c>
      <c r="L1498" s="167">
        <v>47</v>
      </c>
      <c r="M1498" s="168">
        <v>0.40208333333333302</v>
      </c>
      <c r="N1498" s="67"/>
    </row>
    <row r="1499" spans="1:14" x14ac:dyDescent="0.25">
      <c r="A1499" s="66">
        <v>45418</v>
      </c>
      <c r="B1499" s="67" t="s">
        <v>32</v>
      </c>
      <c r="C1499" s="129" t="str">
        <f t="shared" si="46"/>
        <v>06.05.2024_BOYohSp</v>
      </c>
      <c r="D1499" s="143">
        <f t="shared" si="47"/>
        <v>0</v>
      </c>
      <c r="E1499" s="157">
        <v>7.43</v>
      </c>
      <c r="F1499" s="165"/>
      <c r="G1499" s="166">
        <v>569</v>
      </c>
      <c r="H1499" s="167">
        <v>8.82</v>
      </c>
      <c r="I1499" s="165"/>
      <c r="J1499" s="167"/>
      <c r="K1499" s="167">
        <v>12.98</v>
      </c>
      <c r="L1499" s="167">
        <v>18</v>
      </c>
      <c r="M1499" s="168">
        <v>0.55763888888888902</v>
      </c>
      <c r="N1499" s="67"/>
    </row>
    <row r="1500" spans="1:14" x14ac:dyDescent="0.25">
      <c r="A1500" s="66">
        <v>45418</v>
      </c>
      <c r="B1500" s="67" t="s">
        <v>34</v>
      </c>
      <c r="C1500" s="129" t="str">
        <f t="shared" si="46"/>
        <v>06.05.2024_BOYuhHa</v>
      </c>
      <c r="D1500" s="143">
        <f t="shared" si="47"/>
        <v>0</v>
      </c>
      <c r="E1500" s="157">
        <v>7.3</v>
      </c>
      <c r="F1500" s="165"/>
      <c r="G1500" s="166">
        <v>803</v>
      </c>
      <c r="H1500" s="167">
        <v>9.66</v>
      </c>
      <c r="I1500" s="165"/>
      <c r="J1500" s="167"/>
      <c r="K1500" s="167">
        <v>12.14</v>
      </c>
      <c r="L1500" s="167">
        <v>28.5</v>
      </c>
      <c r="M1500" s="168">
        <v>0.38472222222222202</v>
      </c>
      <c r="N1500" s="67"/>
    </row>
    <row r="1501" spans="1:14" x14ac:dyDescent="0.25">
      <c r="A1501" s="66">
        <v>45418</v>
      </c>
      <c r="B1501" s="67" t="s">
        <v>36</v>
      </c>
      <c r="C1501" s="129" t="str">
        <f t="shared" si="46"/>
        <v>06.05.2024_BOYuhSp</v>
      </c>
      <c r="D1501" s="143">
        <f t="shared" si="47"/>
        <v>0</v>
      </c>
      <c r="E1501" s="157">
        <v>7.46</v>
      </c>
      <c r="F1501" s="165"/>
      <c r="G1501" s="166">
        <v>593</v>
      </c>
      <c r="H1501" s="167">
        <v>9.14</v>
      </c>
      <c r="I1501" s="165"/>
      <c r="J1501" s="167"/>
      <c r="K1501" s="167">
        <v>12.7</v>
      </c>
      <c r="L1501" s="167">
        <v>40</v>
      </c>
      <c r="M1501" s="168">
        <v>0.55277777777777803</v>
      </c>
      <c r="N1501" s="67"/>
    </row>
    <row r="1502" spans="1:14" x14ac:dyDescent="0.25">
      <c r="A1502" s="66">
        <v>45418</v>
      </c>
      <c r="B1502" s="67" t="s">
        <v>38</v>
      </c>
      <c r="C1502" s="129" t="str">
        <f t="shared" si="46"/>
        <v>06.05.2024_BRAob</v>
      </c>
      <c r="D1502" s="143">
        <f t="shared" si="47"/>
        <v>0</v>
      </c>
      <c r="E1502" s="157">
        <v>7.54</v>
      </c>
      <c r="F1502" s="165"/>
      <c r="G1502" s="166">
        <v>703</v>
      </c>
      <c r="H1502" s="167">
        <v>9.31</v>
      </c>
      <c r="I1502" s="165"/>
      <c r="J1502" s="167"/>
      <c r="K1502" s="167">
        <v>13.25</v>
      </c>
      <c r="L1502" s="167">
        <v>7</v>
      </c>
      <c r="M1502" s="168">
        <v>0.51458333333333295</v>
      </c>
      <c r="N1502" s="67"/>
    </row>
    <row r="1503" spans="1:14" x14ac:dyDescent="0.25">
      <c r="A1503" s="66">
        <v>45418</v>
      </c>
      <c r="B1503" s="67" t="s">
        <v>41</v>
      </c>
      <c r="C1503" s="129" t="str">
        <f t="shared" si="46"/>
        <v>06.05.2024_BRAohBo</v>
      </c>
      <c r="D1503" s="143">
        <f t="shared" si="47"/>
        <v>0</v>
      </c>
      <c r="E1503" s="157">
        <v>7.43</v>
      </c>
      <c r="F1503" s="165"/>
      <c r="G1503" s="166">
        <v>613</v>
      </c>
      <c r="H1503" s="167">
        <v>9.0299999999999994</v>
      </c>
      <c r="I1503" s="165"/>
      <c r="J1503" s="167"/>
      <c r="K1503" s="167">
        <v>13.75</v>
      </c>
      <c r="L1503" s="167">
        <v>7</v>
      </c>
      <c r="M1503" s="168">
        <v>0.52500000000000002</v>
      </c>
      <c r="N1503" s="67"/>
    </row>
    <row r="1504" spans="1:14" x14ac:dyDescent="0.25">
      <c r="A1504" s="66">
        <v>45418</v>
      </c>
      <c r="B1504" s="67" t="s">
        <v>43</v>
      </c>
      <c r="C1504" s="129" t="str">
        <f t="shared" si="46"/>
        <v>06.05.2024_HAAob</v>
      </c>
      <c r="D1504" s="143">
        <f t="shared" si="47"/>
        <v>0</v>
      </c>
      <c r="E1504" s="157">
        <v>7.94</v>
      </c>
      <c r="F1504" s="165"/>
      <c r="G1504" s="166">
        <v>646</v>
      </c>
      <c r="H1504" s="167">
        <v>8.9700000000000006</v>
      </c>
      <c r="I1504" s="165"/>
      <c r="J1504" s="167"/>
      <c r="K1504" s="167">
        <v>16.2</v>
      </c>
      <c r="L1504" s="167">
        <v>9.5</v>
      </c>
      <c r="M1504" s="168">
        <v>0.58819444444444502</v>
      </c>
      <c r="N1504" s="67"/>
    </row>
    <row r="1505" spans="1:14" x14ac:dyDescent="0.25">
      <c r="A1505" s="66">
        <v>45418</v>
      </c>
      <c r="B1505" s="67" t="s">
        <v>45</v>
      </c>
      <c r="C1505" s="129" t="str">
        <f t="shared" si="46"/>
        <v>06.05.2024_HAAun</v>
      </c>
      <c r="D1505" s="143">
        <f t="shared" si="47"/>
        <v>0</v>
      </c>
      <c r="E1505" s="157">
        <v>7.42</v>
      </c>
      <c r="F1505" s="165"/>
      <c r="G1505" s="166">
        <v>848</v>
      </c>
      <c r="H1505" s="167">
        <v>8.9</v>
      </c>
      <c r="I1505" s="165"/>
      <c r="J1505" s="167"/>
      <c r="K1505" s="167">
        <v>14.31</v>
      </c>
      <c r="L1505" s="167">
        <v>10</v>
      </c>
      <c r="M1505" s="168">
        <v>0.58125000000000004</v>
      </c>
      <c r="N1505" s="67"/>
    </row>
    <row r="1506" spans="1:14" x14ac:dyDescent="0.25">
      <c r="A1506" s="66">
        <v>45418</v>
      </c>
      <c r="B1506" s="67" t="s">
        <v>47</v>
      </c>
      <c r="C1506" s="129" t="str">
        <f t="shared" si="46"/>
        <v>06.05.2024_KIRob</v>
      </c>
      <c r="D1506" s="143">
        <f t="shared" si="47"/>
        <v>0</v>
      </c>
      <c r="E1506" s="157">
        <v>7.56</v>
      </c>
      <c r="F1506" s="165"/>
      <c r="G1506" s="166">
        <v>971</v>
      </c>
      <c r="H1506" s="167">
        <v>7.73</v>
      </c>
      <c r="I1506" s="165"/>
      <c r="J1506" s="167"/>
      <c r="K1506" s="167">
        <v>12.09</v>
      </c>
      <c r="L1506" s="167">
        <v>20.5</v>
      </c>
      <c r="M1506" s="168">
        <v>0.42013888888888901</v>
      </c>
      <c r="N1506" s="67"/>
    </row>
    <row r="1507" spans="1:14" x14ac:dyDescent="0.25">
      <c r="A1507" s="66">
        <v>45418</v>
      </c>
      <c r="B1507" s="67" t="s">
        <v>49</v>
      </c>
      <c r="C1507" s="129" t="str">
        <f t="shared" si="46"/>
        <v>06.05.2024_KIRun</v>
      </c>
      <c r="D1507" s="143">
        <f t="shared" si="47"/>
        <v>0</v>
      </c>
      <c r="E1507" s="157">
        <v>7.58</v>
      </c>
      <c r="F1507" s="165"/>
      <c r="G1507" s="166">
        <v>916</v>
      </c>
      <c r="H1507" s="167">
        <v>8.91</v>
      </c>
      <c r="I1507" s="165"/>
      <c r="J1507" s="167"/>
      <c r="K1507" s="167">
        <v>12.24</v>
      </c>
      <c r="L1507" s="167">
        <v>13</v>
      </c>
      <c r="M1507" s="168">
        <v>0.41180555555555598</v>
      </c>
      <c r="N1507" s="67"/>
    </row>
    <row r="1508" spans="1:14" x14ac:dyDescent="0.25">
      <c r="A1508" s="66">
        <v>45418</v>
      </c>
      <c r="B1508" s="67" t="s">
        <v>50</v>
      </c>
      <c r="C1508" s="129" t="str">
        <f t="shared" si="46"/>
        <v>06.05.2024_LIEohBo</v>
      </c>
      <c r="D1508" s="143">
        <f t="shared" si="47"/>
        <v>0</v>
      </c>
      <c r="E1508" s="157">
        <v>7.93</v>
      </c>
      <c r="F1508" s="165"/>
      <c r="G1508" s="166">
        <v>710</v>
      </c>
      <c r="H1508" s="167">
        <v>9.82</v>
      </c>
      <c r="I1508" s="165"/>
      <c r="J1508" s="167"/>
      <c r="K1508" s="167">
        <v>12.66</v>
      </c>
      <c r="L1508" s="167">
        <v>5</v>
      </c>
      <c r="M1508" s="168">
        <v>0.39236111111111099</v>
      </c>
      <c r="N1508" s="67"/>
    </row>
    <row r="1509" spans="1:14" x14ac:dyDescent="0.25">
      <c r="A1509" s="66">
        <v>45418</v>
      </c>
      <c r="B1509" s="67" t="s">
        <v>53</v>
      </c>
      <c r="C1509" s="129" t="str">
        <f t="shared" si="46"/>
        <v>06.05.2024_NATohBo</v>
      </c>
      <c r="D1509" s="143">
        <f t="shared" si="47"/>
        <v>0</v>
      </c>
      <c r="E1509" s="157">
        <v>7.49</v>
      </c>
      <c r="F1509" s="165"/>
      <c r="G1509" s="166">
        <v>1225</v>
      </c>
      <c r="H1509" s="167">
        <v>9</v>
      </c>
      <c r="I1509" s="165"/>
      <c r="J1509" s="167"/>
      <c r="K1509" s="167">
        <v>15.11</v>
      </c>
      <c r="L1509" s="167">
        <v>30</v>
      </c>
      <c r="M1509" s="168">
        <v>0.60902777777777795</v>
      </c>
      <c r="N1509" s="67"/>
    </row>
    <row r="1510" spans="1:14" x14ac:dyDescent="0.25">
      <c r="A1510" s="66">
        <v>45418</v>
      </c>
      <c r="B1510" s="67" t="s">
        <v>55</v>
      </c>
      <c r="C1510" s="129" t="str">
        <f t="shared" si="46"/>
        <v>06.05.2024_QUAohBo</v>
      </c>
      <c r="D1510" s="143">
        <f t="shared" si="47"/>
        <v>0</v>
      </c>
      <c r="E1510" s="157">
        <v>7.5</v>
      </c>
      <c r="F1510" s="165"/>
      <c r="G1510" s="166">
        <v>742</v>
      </c>
      <c r="H1510" s="167">
        <v>8.4700000000000006</v>
      </c>
      <c r="I1510" s="165"/>
      <c r="J1510" s="167"/>
      <c r="K1510" s="167">
        <v>13.96</v>
      </c>
      <c r="L1510" s="167">
        <v>18</v>
      </c>
      <c r="M1510" s="168">
        <v>0.563194444444444</v>
      </c>
      <c r="N1510" s="67"/>
    </row>
    <row r="1511" spans="1:14" x14ac:dyDescent="0.25">
      <c r="A1511" s="66">
        <v>45418</v>
      </c>
      <c r="B1511" s="67" t="s">
        <v>57</v>
      </c>
      <c r="C1511" s="129" t="str">
        <f t="shared" si="46"/>
        <v>06.05.2024_SCHohVo</v>
      </c>
      <c r="D1511" s="143">
        <f t="shared" si="47"/>
        <v>0</v>
      </c>
      <c r="E1511" s="157">
        <v>7.58</v>
      </c>
      <c r="F1511" s="165"/>
      <c r="G1511" s="166">
        <v>358</v>
      </c>
      <c r="H1511" s="167">
        <v>9.68</v>
      </c>
      <c r="I1511" s="165"/>
      <c r="J1511" s="167"/>
      <c r="K1511" s="167">
        <v>12.22</v>
      </c>
      <c r="L1511" s="167">
        <v>6.5</v>
      </c>
      <c r="M1511" s="168">
        <v>0.44027777777777799</v>
      </c>
      <c r="N1511" s="67"/>
    </row>
    <row r="1512" spans="1:14" x14ac:dyDescent="0.25">
      <c r="A1512" s="66">
        <v>45418</v>
      </c>
      <c r="B1512" s="67" t="s">
        <v>60</v>
      </c>
      <c r="C1512" s="129" t="str">
        <f t="shared" si="46"/>
        <v>06.05.2024_VORohBo</v>
      </c>
      <c r="D1512" s="143">
        <f t="shared" si="47"/>
        <v>0</v>
      </c>
      <c r="E1512" s="157">
        <v>7.29</v>
      </c>
      <c r="F1512" s="165"/>
      <c r="G1512" s="166">
        <v>786</v>
      </c>
      <c r="H1512" s="167">
        <v>8.26</v>
      </c>
      <c r="I1512" s="165"/>
      <c r="J1512" s="167"/>
      <c r="K1512" s="167">
        <v>11.96</v>
      </c>
      <c r="L1512" s="167">
        <v>18</v>
      </c>
      <c r="M1512" s="168">
        <v>0.45694444444444399</v>
      </c>
      <c r="N1512" s="67"/>
    </row>
    <row r="1513" spans="1:14" x14ac:dyDescent="0.25">
      <c r="A1513" s="66">
        <v>45418</v>
      </c>
      <c r="B1513" s="67" t="s">
        <v>62</v>
      </c>
      <c r="C1513" s="129" t="str">
        <f t="shared" si="46"/>
        <v>06.05.2024_VORuhSc</v>
      </c>
      <c r="D1513" s="143">
        <f t="shared" si="47"/>
        <v>0</v>
      </c>
      <c r="E1513" s="157">
        <v>7.14</v>
      </c>
      <c r="F1513" s="165"/>
      <c r="G1513" s="166">
        <v>688</v>
      </c>
      <c r="H1513" s="167">
        <v>8.48</v>
      </c>
      <c r="I1513" s="165"/>
      <c r="J1513" s="167"/>
      <c r="K1513" s="167">
        <v>12</v>
      </c>
      <c r="L1513" s="167">
        <v>13</v>
      </c>
      <c r="M1513" s="168">
        <v>0.44791666666666702</v>
      </c>
      <c r="N1513" s="67"/>
    </row>
    <row r="1514" spans="1:14" x14ac:dyDescent="0.25">
      <c r="A1514" s="66">
        <v>45418</v>
      </c>
      <c r="B1514" s="67" t="s">
        <v>64</v>
      </c>
      <c r="C1514" s="129" t="str">
        <f t="shared" si="46"/>
        <v>06.05.2024_WITob</v>
      </c>
      <c r="D1514" s="143">
        <f t="shared" si="47"/>
        <v>0</v>
      </c>
      <c r="E1514" s="157">
        <v>7.92</v>
      </c>
      <c r="F1514" s="165"/>
      <c r="G1514" s="166">
        <v>1240</v>
      </c>
      <c r="H1514" s="167">
        <v>9.66</v>
      </c>
      <c r="I1514" s="165"/>
      <c r="J1514" s="167"/>
      <c r="K1514" s="167">
        <v>14</v>
      </c>
      <c r="L1514" s="167">
        <v>3</v>
      </c>
      <c r="M1514" s="168">
        <v>0.59722222222222199</v>
      </c>
      <c r="N1514" s="67"/>
    </row>
    <row r="1515" spans="1:14" x14ac:dyDescent="0.25">
      <c r="A1515" s="66">
        <v>45434</v>
      </c>
      <c r="B1515" s="67" t="s">
        <v>22</v>
      </c>
      <c r="C1515" s="129" t="str">
        <f t="shared" si="46"/>
        <v>22.05.2024_BOYkl</v>
      </c>
      <c r="D1515" s="143">
        <f t="shared" si="47"/>
        <v>0</v>
      </c>
      <c r="E1515" s="157">
        <v>7.25</v>
      </c>
      <c r="F1515" s="165"/>
      <c r="G1515" s="166">
        <v>371</v>
      </c>
      <c r="H1515" s="167">
        <v>8.99</v>
      </c>
      <c r="I1515" s="165"/>
      <c r="J1515" s="167"/>
      <c r="K1515" s="167">
        <v>14.43</v>
      </c>
      <c r="L1515" s="167">
        <v>18</v>
      </c>
      <c r="M1515" s="168">
        <v>0.46875</v>
      </c>
      <c r="N1515" s="67" t="s">
        <v>169</v>
      </c>
    </row>
    <row r="1516" spans="1:14" x14ac:dyDescent="0.25">
      <c r="A1516" s="66">
        <v>45434</v>
      </c>
      <c r="B1516" s="67" t="s">
        <v>25</v>
      </c>
      <c r="C1516" s="129" t="str">
        <f t="shared" si="46"/>
        <v>22.05.2024_BOYohB224</v>
      </c>
      <c r="D1516" s="143">
        <f t="shared" si="47"/>
        <v>0</v>
      </c>
      <c r="E1516" s="157">
        <v>7.43</v>
      </c>
      <c r="F1516" s="165"/>
      <c r="G1516" s="166">
        <v>462</v>
      </c>
      <c r="H1516" s="167">
        <v>6.51</v>
      </c>
      <c r="I1516" s="165"/>
      <c r="J1516" s="167"/>
      <c r="K1516" s="167">
        <v>17.18</v>
      </c>
      <c r="L1516" s="167">
        <v>70</v>
      </c>
      <c r="M1516" s="168">
        <v>0.64930555555555602</v>
      </c>
      <c r="N1516" s="67"/>
    </row>
    <row r="1517" spans="1:14" x14ac:dyDescent="0.25">
      <c r="A1517" s="66">
        <v>45434</v>
      </c>
      <c r="B1517" s="67" t="s">
        <v>28</v>
      </c>
      <c r="C1517" s="129" t="str">
        <f t="shared" si="46"/>
        <v>22.05.2024_BOYohBr</v>
      </c>
      <c r="D1517" s="143">
        <f t="shared" si="47"/>
        <v>0</v>
      </c>
      <c r="E1517" s="157">
        <v>7.09</v>
      </c>
      <c r="F1517" s="165"/>
      <c r="G1517" s="166">
        <v>357</v>
      </c>
      <c r="H1517" s="167">
        <v>6.93</v>
      </c>
      <c r="I1517" s="165"/>
      <c r="J1517" s="167"/>
      <c r="K1517" s="167">
        <v>14.48</v>
      </c>
      <c r="L1517" s="167">
        <v>35</v>
      </c>
      <c r="M1517" s="168">
        <v>0.54722222222222205</v>
      </c>
      <c r="N1517" s="67"/>
    </row>
    <row r="1518" spans="1:14" x14ac:dyDescent="0.25">
      <c r="A1518" s="66">
        <v>45434</v>
      </c>
      <c r="B1518" s="67" t="s">
        <v>30</v>
      </c>
      <c r="C1518" s="129" t="str">
        <f t="shared" si="46"/>
        <v>22.05.2024_BOYohKi</v>
      </c>
      <c r="D1518" s="143">
        <f t="shared" si="47"/>
        <v>0</v>
      </c>
      <c r="E1518" s="157">
        <v>7.36</v>
      </c>
      <c r="F1518" s="165"/>
      <c r="G1518" s="166">
        <v>487</v>
      </c>
      <c r="H1518" s="167">
        <v>7.08</v>
      </c>
      <c r="I1518" s="165"/>
      <c r="J1518" s="167"/>
      <c r="K1518" s="167">
        <v>15.01</v>
      </c>
      <c r="L1518" s="167">
        <v>73</v>
      </c>
      <c r="M1518" s="168">
        <v>0.39583333333333298</v>
      </c>
      <c r="N1518" s="67"/>
    </row>
    <row r="1519" spans="1:14" x14ac:dyDescent="0.25">
      <c r="A1519" s="66">
        <v>45434</v>
      </c>
      <c r="B1519" s="67" t="s">
        <v>32</v>
      </c>
      <c r="C1519" s="129" t="str">
        <f t="shared" si="46"/>
        <v>22.05.2024_BOYohSp</v>
      </c>
      <c r="D1519" s="143">
        <f t="shared" si="47"/>
        <v>0</v>
      </c>
      <c r="E1519" s="157">
        <v>7.36</v>
      </c>
      <c r="F1519" s="165"/>
      <c r="G1519" s="166">
        <v>491</v>
      </c>
      <c r="H1519" s="167">
        <v>7.15</v>
      </c>
      <c r="I1519" s="165"/>
      <c r="J1519" s="167"/>
      <c r="K1519" s="167">
        <v>15</v>
      </c>
      <c r="L1519" s="167">
        <v>30</v>
      </c>
      <c r="M1519" s="168">
        <v>0.56666666666666698</v>
      </c>
      <c r="N1519" s="67"/>
    </row>
    <row r="1520" spans="1:14" x14ac:dyDescent="0.25">
      <c r="A1520" s="66">
        <v>45434</v>
      </c>
      <c r="B1520" s="67" t="s">
        <v>34</v>
      </c>
      <c r="C1520" s="129" t="str">
        <f t="shared" si="46"/>
        <v>22.05.2024_BOYuhHa</v>
      </c>
      <c r="D1520" s="143">
        <f t="shared" si="47"/>
        <v>0</v>
      </c>
      <c r="E1520" s="157">
        <v>7.32</v>
      </c>
      <c r="F1520" s="165"/>
      <c r="G1520" s="166">
        <v>341</v>
      </c>
      <c r="H1520" s="167">
        <v>6.15</v>
      </c>
      <c r="I1520" s="165"/>
      <c r="J1520" s="167"/>
      <c r="K1520" s="167">
        <v>15.66</v>
      </c>
      <c r="L1520" s="167">
        <v>51</v>
      </c>
      <c r="M1520" s="168">
        <v>0.37291666666666701</v>
      </c>
      <c r="N1520" s="67"/>
    </row>
    <row r="1521" spans="1:14" x14ac:dyDescent="0.25">
      <c r="A1521" s="66">
        <v>45434</v>
      </c>
      <c r="B1521" s="67" t="s">
        <v>36</v>
      </c>
      <c r="C1521" s="129" t="str">
        <f t="shared" si="46"/>
        <v>22.05.2024_BOYuhSp</v>
      </c>
      <c r="D1521" s="143">
        <f t="shared" si="47"/>
        <v>0</v>
      </c>
      <c r="E1521" s="157">
        <v>7.3</v>
      </c>
      <c r="F1521" s="165"/>
      <c r="G1521" s="166">
        <v>541</v>
      </c>
      <c r="H1521" s="167">
        <v>7.52</v>
      </c>
      <c r="I1521" s="165"/>
      <c r="J1521" s="167"/>
      <c r="K1521" s="167">
        <v>14.86</v>
      </c>
      <c r="L1521" s="167">
        <v>44</v>
      </c>
      <c r="M1521" s="168">
        <v>0.56111111111111101</v>
      </c>
      <c r="N1521" s="67"/>
    </row>
    <row r="1522" spans="1:14" x14ac:dyDescent="0.25">
      <c r="A1522" s="66">
        <v>45434</v>
      </c>
      <c r="B1522" s="67" t="s">
        <v>38</v>
      </c>
      <c r="C1522" s="129" t="str">
        <f t="shared" si="46"/>
        <v>22.05.2024_BRAob</v>
      </c>
      <c r="D1522" s="143">
        <f t="shared" si="47"/>
        <v>0</v>
      </c>
      <c r="E1522" s="157">
        <v>7.31</v>
      </c>
      <c r="F1522" s="165"/>
      <c r="G1522" s="166">
        <v>584</v>
      </c>
      <c r="H1522" s="167">
        <v>7.62</v>
      </c>
      <c r="I1522" s="165"/>
      <c r="J1522" s="167"/>
      <c r="K1522" s="167">
        <v>14.65</v>
      </c>
      <c r="L1522" s="167">
        <v>12</v>
      </c>
      <c r="M1522" s="168">
        <v>0.51736111111111105</v>
      </c>
      <c r="N1522" s="67" t="s">
        <v>169</v>
      </c>
    </row>
    <row r="1523" spans="1:14" x14ac:dyDescent="0.25">
      <c r="A1523" s="66">
        <v>45434</v>
      </c>
      <c r="B1523" s="67" t="s">
        <v>41</v>
      </c>
      <c r="C1523" s="129" t="str">
        <f t="shared" si="46"/>
        <v>22.05.2024_BRAohBo</v>
      </c>
      <c r="D1523" s="143">
        <f t="shared" si="47"/>
        <v>0</v>
      </c>
      <c r="E1523" s="157">
        <v>7.23</v>
      </c>
      <c r="F1523" s="165"/>
      <c r="G1523" s="166">
        <v>527</v>
      </c>
      <c r="H1523" s="167">
        <v>6.7</v>
      </c>
      <c r="I1523" s="165"/>
      <c r="J1523" s="167"/>
      <c r="K1523" s="167">
        <v>15.17</v>
      </c>
      <c r="L1523" s="167">
        <v>14</v>
      </c>
      <c r="M1523" s="168">
        <v>12.43</v>
      </c>
      <c r="N1523" s="67" t="s">
        <v>169</v>
      </c>
    </row>
    <row r="1524" spans="1:14" x14ac:dyDescent="0.25">
      <c r="A1524" s="66">
        <v>45434</v>
      </c>
      <c r="B1524" s="67" t="s">
        <v>43</v>
      </c>
      <c r="C1524" s="129" t="str">
        <f t="shared" si="46"/>
        <v>22.05.2024_HAAob</v>
      </c>
      <c r="D1524" s="143">
        <f t="shared" si="47"/>
        <v>0</v>
      </c>
      <c r="E1524" s="157">
        <v>7.76</v>
      </c>
      <c r="F1524" s="165"/>
      <c r="G1524" s="166">
        <v>609</v>
      </c>
      <c r="H1524" s="167">
        <v>8.19</v>
      </c>
      <c r="I1524" s="165"/>
      <c r="J1524" s="167"/>
      <c r="K1524" s="167">
        <v>18.02</v>
      </c>
      <c r="L1524" s="167">
        <v>10.5</v>
      </c>
      <c r="M1524" s="168">
        <v>0.60972222222222205</v>
      </c>
      <c r="N1524" s="67" t="s">
        <v>169</v>
      </c>
    </row>
    <row r="1525" spans="1:14" x14ac:dyDescent="0.25">
      <c r="A1525" s="66">
        <v>45434</v>
      </c>
      <c r="B1525" s="67" t="s">
        <v>45</v>
      </c>
      <c r="C1525" s="129" t="str">
        <f t="shared" si="46"/>
        <v>22.05.2024_HAAun</v>
      </c>
      <c r="D1525" s="143">
        <f t="shared" si="47"/>
        <v>0</v>
      </c>
      <c r="E1525" s="157">
        <v>7.44</v>
      </c>
      <c r="F1525" s="165"/>
      <c r="G1525" s="166">
        <v>850</v>
      </c>
      <c r="H1525" s="167">
        <v>7.46</v>
      </c>
      <c r="I1525" s="165"/>
      <c r="J1525" s="167"/>
      <c r="K1525" s="167">
        <v>16.18</v>
      </c>
      <c r="L1525" s="167">
        <v>19</v>
      </c>
      <c r="M1525" s="168">
        <v>0.59652777777777799</v>
      </c>
      <c r="N1525" s="67" t="s">
        <v>169</v>
      </c>
    </row>
    <row r="1526" spans="1:14" x14ac:dyDescent="0.25">
      <c r="A1526" s="66">
        <v>45434</v>
      </c>
      <c r="B1526" s="67" t="s">
        <v>47</v>
      </c>
      <c r="C1526" s="129" t="str">
        <f t="shared" si="46"/>
        <v>22.05.2024_KIRob</v>
      </c>
      <c r="D1526" s="143">
        <f t="shared" si="47"/>
        <v>0</v>
      </c>
      <c r="E1526" s="157">
        <v>7.51</v>
      </c>
      <c r="F1526" s="165"/>
      <c r="G1526" s="166">
        <v>888</v>
      </c>
      <c r="H1526" s="167">
        <v>5.71</v>
      </c>
      <c r="I1526" s="165"/>
      <c r="J1526" s="167"/>
      <c r="K1526" s="167">
        <v>13.69</v>
      </c>
      <c r="L1526" s="167">
        <v>18</v>
      </c>
      <c r="M1526" s="168">
        <v>0.41388888888888897</v>
      </c>
      <c r="N1526" s="67"/>
    </row>
    <row r="1527" spans="1:14" x14ac:dyDescent="0.25">
      <c r="A1527" s="66">
        <v>45434</v>
      </c>
      <c r="B1527" s="67" t="s">
        <v>49</v>
      </c>
      <c r="C1527" s="129" t="str">
        <f t="shared" si="46"/>
        <v>22.05.2024_KIRun</v>
      </c>
      <c r="D1527" s="143">
        <f t="shared" si="47"/>
        <v>0</v>
      </c>
      <c r="E1527" s="157">
        <v>7.6</v>
      </c>
      <c r="F1527" s="165"/>
      <c r="G1527" s="166">
        <v>812</v>
      </c>
      <c r="H1527" s="167">
        <v>7.63</v>
      </c>
      <c r="I1527" s="165"/>
      <c r="J1527" s="167"/>
      <c r="K1527" s="167">
        <v>13.81</v>
      </c>
      <c r="L1527" s="167">
        <v>12.5</v>
      </c>
      <c r="M1527" s="168">
        <v>0.40416666666666701</v>
      </c>
      <c r="N1527" s="67"/>
    </row>
    <row r="1528" spans="1:14" x14ac:dyDescent="0.25">
      <c r="A1528" s="66">
        <v>45434</v>
      </c>
      <c r="B1528" s="67" t="s">
        <v>50</v>
      </c>
      <c r="C1528" s="129" t="str">
        <f t="shared" si="46"/>
        <v>22.05.2024_LIEohBo</v>
      </c>
      <c r="D1528" s="143">
        <f t="shared" si="47"/>
        <v>0</v>
      </c>
      <c r="E1528" s="157">
        <v>7.78</v>
      </c>
      <c r="F1528" s="165"/>
      <c r="G1528" s="166">
        <v>555</v>
      </c>
      <c r="H1528" s="167">
        <v>7.97</v>
      </c>
      <c r="I1528" s="165"/>
      <c r="J1528" s="167"/>
      <c r="K1528" s="167">
        <v>15</v>
      </c>
      <c r="L1528" s="167">
        <v>7.5</v>
      </c>
      <c r="M1528" s="168">
        <v>0.38472222222222202</v>
      </c>
      <c r="N1528" s="67"/>
    </row>
    <row r="1529" spans="1:14" x14ac:dyDescent="0.25">
      <c r="A1529" s="66">
        <v>45434</v>
      </c>
      <c r="B1529" s="67" t="s">
        <v>53</v>
      </c>
      <c r="C1529" s="129" t="str">
        <f t="shared" si="46"/>
        <v>22.05.2024_NATohBo</v>
      </c>
      <c r="D1529" s="143">
        <f t="shared" si="47"/>
        <v>0</v>
      </c>
      <c r="E1529" s="157">
        <v>7.54</v>
      </c>
      <c r="F1529" s="165"/>
      <c r="G1529" s="166">
        <v>882</v>
      </c>
      <c r="H1529" s="167">
        <v>7.3</v>
      </c>
      <c r="I1529" s="165"/>
      <c r="J1529" s="167"/>
      <c r="K1529" s="167">
        <v>17.510000000000002</v>
      </c>
      <c r="L1529" s="167">
        <v>38</v>
      </c>
      <c r="M1529" s="168">
        <v>0.63402777777777797</v>
      </c>
      <c r="N1529" s="67" t="s">
        <v>170</v>
      </c>
    </row>
    <row r="1530" spans="1:14" x14ac:dyDescent="0.25">
      <c r="A1530" s="66">
        <v>45434</v>
      </c>
      <c r="B1530" s="67" t="s">
        <v>55</v>
      </c>
      <c r="C1530" s="129" t="str">
        <f t="shared" si="46"/>
        <v>22.05.2024_QUAohBo</v>
      </c>
      <c r="D1530" s="143">
        <f t="shared" si="47"/>
        <v>0</v>
      </c>
      <c r="E1530" s="157">
        <v>7.58</v>
      </c>
      <c r="F1530" s="165"/>
      <c r="G1530" s="166">
        <v>709</v>
      </c>
      <c r="H1530" s="167">
        <v>7.54</v>
      </c>
      <c r="I1530" s="165"/>
      <c r="J1530" s="167"/>
      <c r="K1530" s="167">
        <v>15.79</v>
      </c>
      <c r="L1530" s="167">
        <v>23</v>
      </c>
      <c r="M1530" s="168">
        <v>0.57638888888888895</v>
      </c>
      <c r="N1530" s="67" t="s">
        <v>169</v>
      </c>
    </row>
    <row r="1531" spans="1:14" x14ac:dyDescent="0.25">
      <c r="A1531" s="66">
        <v>45434</v>
      </c>
      <c r="B1531" s="67" t="s">
        <v>57</v>
      </c>
      <c r="C1531" s="129" t="str">
        <f t="shared" si="46"/>
        <v>22.05.2024_SCHohVo</v>
      </c>
      <c r="D1531" s="143">
        <f t="shared" si="47"/>
        <v>0</v>
      </c>
      <c r="E1531" s="157">
        <v>7.56</v>
      </c>
      <c r="F1531" s="165"/>
      <c r="G1531" s="166">
        <v>331</v>
      </c>
      <c r="H1531" s="167">
        <v>8.73</v>
      </c>
      <c r="I1531" s="165"/>
      <c r="J1531" s="167"/>
      <c r="K1531" s="167">
        <v>14.42</v>
      </c>
      <c r="L1531" s="167">
        <v>9.5</v>
      </c>
      <c r="M1531" s="168">
        <v>0.42986111111111103</v>
      </c>
      <c r="N1531" s="67" t="s">
        <v>168</v>
      </c>
    </row>
    <row r="1532" spans="1:14" x14ac:dyDescent="0.25">
      <c r="A1532" s="66">
        <v>45434</v>
      </c>
      <c r="B1532" s="67" t="s">
        <v>60</v>
      </c>
      <c r="C1532" s="129" t="str">
        <f t="shared" si="46"/>
        <v>22.05.2024_VORohBo</v>
      </c>
      <c r="D1532" s="143">
        <f t="shared" si="47"/>
        <v>0</v>
      </c>
      <c r="E1532" s="157">
        <v>7.25</v>
      </c>
      <c r="F1532" s="165"/>
      <c r="G1532" s="166">
        <v>649</v>
      </c>
      <c r="H1532" s="167">
        <v>7.08</v>
      </c>
      <c r="I1532" s="165"/>
      <c r="J1532" s="167"/>
      <c r="K1532" s="167">
        <v>14.05</v>
      </c>
      <c r="L1532" s="167">
        <v>20</v>
      </c>
      <c r="M1532" s="168">
        <v>0.45138888888888901</v>
      </c>
      <c r="N1532" s="67" t="s">
        <v>169</v>
      </c>
    </row>
    <row r="1533" spans="1:14" x14ac:dyDescent="0.25">
      <c r="A1533" s="66">
        <v>45434</v>
      </c>
      <c r="B1533" s="67" t="s">
        <v>62</v>
      </c>
      <c r="C1533" s="129" t="str">
        <f t="shared" si="46"/>
        <v>22.05.2024_VORuhSc</v>
      </c>
      <c r="D1533" s="143">
        <f t="shared" si="47"/>
        <v>0</v>
      </c>
      <c r="E1533" s="157">
        <v>7.14</v>
      </c>
      <c r="F1533" s="165"/>
      <c r="G1533" s="166">
        <v>579</v>
      </c>
      <c r="H1533" s="167">
        <v>7.13</v>
      </c>
      <c r="I1533" s="165"/>
      <c r="J1533" s="167"/>
      <c r="K1533" s="167">
        <v>14.19</v>
      </c>
      <c r="L1533" s="167">
        <v>16</v>
      </c>
      <c r="M1533" s="168">
        <v>0.43888888888888899</v>
      </c>
      <c r="N1533" s="67" t="s">
        <v>169</v>
      </c>
    </row>
    <row r="1534" spans="1:14" x14ac:dyDescent="0.25">
      <c r="A1534" s="66">
        <v>45434</v>
      </c>
      <c r="B1534" s="67" t="s">
        <v>64</v>
      </c>
      <c r="C1534" s="129" t="str">
        <f t="shared" si="46"/>
        <v>22.05.2024_WITob</v>
      </c>
      <c r="D1534" s="143">
        <f t="shared" si="47"/>
        <v>0</v>
      </c>
      <c r="E1534" s="157">
        <v>8.0299999999999994</v>
      </c>
      <c r="F1534" s="165"/>
      <c r="G1534" s="166">
        <v>1165</v>
      </c>
      <c r="H1534" s="167">
        <v>8.98</v>
      </c>
      <c r="I1534" s="165"/>
      <c r="J1534" s="167"/>
      <c r="K1534" s="167">
        <v>15.19</v>
      </c>
      <c r="L1534" s="167">
        <v>2</v>
      </c>
      <c r="M1534" s="168">
        <v>0.61944444444444502</v>
      </c>
      <c r="N1534" s="67" t="s">
        <v>169</v>
      </c>
    </row>
    <row r="1535" spans="1:14" x14ac:dyDescent="0.25">
      <c r="A1535" s="66">
        <v>45446</v>
      </c>
      <c r="B1535" s="67" t="s">
        <v>22</v>
      </c>
      <c r="C1535" s="129" t="str">
        <f t="shared" ref="C1535:C1598" si="48">CONCATENATE(TEXT(A1535,"TT.MM.JJJJ"),"_",B1535)</f>
        <v>03.06.2024_BOYkl</v>
      </c>
      <c r="D1535" s="143">
        <f t="shared" si="47"/>
        <v>0</v>
      </c>
      <c r="E1535" s="157">
        <v>7.62</v>
      </c>
      <c r="F1535" s="165"/>
      <c r="G1535" s="166">
        <v>426</v>
      </c>
      <c r="H1535" s="167">
        <v>9.94</v>
      </c>
      <c r="I1535" s="165"/>
      <c r="J1535" s="167"/>
      <c r="K1535" s="167">
        <v>13.07</v>
      </c>
      <c r="L1535" s="167">
        <v>14</v>
      </c>
      <c r="M1535" s="168">
        <v>0.45833333333333298</v>
      </c>
      <c r="N1535" s="67"/>
    </row>
    <row r="1536" spans="1:14" x14ac:dyDescent="0.25">
      <c r="A1536" s="66">
        <v>45446</v>
      </c>
      <c r="B1536" s="67" t="s">
        <v>25</v>
      </c>
      <c r="C1536" s="129" t="str">
        <f t="shared" si="48"/>
        <v>03.06.2024_BOYohB224</v>
      </c>
      <c r="D1536" s="143">
        <f t="shared" ref="D1536:D1599" si="49">COUNTBLANK(E1536)+COUNTBLANK(G1536:H1536)+COUNTBLANK(K1536:L1536)</f>
        <v>0</v>
      </c>
      <c r="E1536" s="157">
        <v>7.91</v>
      </c>
      <c r="F1536" s="165"/>
      <c r="G1536" s="166">
        <v>869</v>
      </c>
      <c r="H1536" s="167">
        <v>9.84</v>
      </c>
      <c r="I1536" s="165"/>
      <c r="J1536" s="167"/>
      <c r="K1536" s="167">
        <v>15.21</v>
      </c>
      <c r="L1536" s="167">
        <v>43</v>
      </c>
      <c r="M1536" s="168">
        <v>0.62916666666666698</v>
      </c>
      <c r="N1536" s="67"/>
    </row>
    <row r="1537" spans="1:14" x14ac:dyDescent="0.25">
      <c r="A1537" s="66">
        <v>45446</v>
      </c>
      <c r="B1537" s="67" t="s">
        <v>28</v>
      </c>
      <c r="C1537" s="129" t="str">
        <f t="shared" si="48"/>
        <v>03.06.2024_BOYohBr</v>
      </c>
      <c r="D1537" s="143">
        <f t="shared" si="49"/>
        <v>0</v>
      </c>
      <c r="E1537" s="157">
        <v>7.44</v>
      </c>
      <c r="F1537" s="165"/>
      <c r="G1537" s="166">
        <v>543</v>
      </c>
      <c r="H1537" s="167">
        <v>9.06</v>
      </c>
      <c r="I1537" s="165"/>
      <c r="J1537" s="167"/>
      <c r="K1537" s="167">
        <v>12.64</v>
      </c>
      <c r="L1537" s="167">
        <v>25</v>
      </c>
      <c r="M1537" s="168">
        <v>0.53888888888888897</v>
      </c>
      <c r="N1537" s="67"/>
    </row>
    <row r="1538" spans="1:14" x14ac:dyDescent="0.25">
      <c r="A1538" s="66">
        <v>45446</v>
      </c>
      <c r="B1538" s="67" t="s">
        <v>30</v>
      </c>
      <c r="C1538" s="129" t="str">
        <f t="shared" si="48"/>
        <v>03.06.2024_BOYohKi</v>
      </c>
      <c r="D1538" s="143">
        <f t="shared" si="49"/>
        <v>0</v>
      </c>
      <c r="E1538" s="157">
        <v>7.45</v>
      </c>
      <c r="F1538" s="165"/>
      <c r="G1538" s="166">
        <v>747</v>
      </c>
      <c r="H1538" s="167">
        <v>9.14</v>
      </c>
      <c r="I1538" s="165"/>
      <c r="J1538" s="167"/>
      <c r="K1538" s="167">
        <v>12.66</v>
      </c>
      <c r="L1538" s="167">
        <v>53</v>
      </c>
      <c r="M1538" s="168">
        <v>0.38263888888888897</v>
      </c>
      <c r="N1538" s="67" t="s">
        <v>168</v>
      </c>
    </row>
    <row r="1539" spans="1:14" x14ac:dyDescent="0.25">
      <c r="A1539" s="66">
        <v>45446</v>
      </c>
      <c r="B1539" s="67" t="s">
        <v>32</v>
      </c>
      <c r="C1539" s="129" t="str">
        <f t="shared" si="48"/>
        <v>03.06.2024_BOYohSp</v>
      </c>
      <c r="D1539" s="143">
        <f t="shared" si="49"/>
        <v>0</v>
      </c>
      <c r="E1539" s="157">
        <v>7.54</v>
      </c>
      <c r="F1539" s="165"/>
      <c r="G1539" s="166">
        <v>667</v>
      </c>
      <c r="H1539" s="167">
        <v>8.5</v>
      </c>
      <c r="I1539" s="165"/>
      <c r="J1539" s="167"/>
      <c r="K1539" s="167">
        <v>12.89</v>
      </c>
      <c r="L1539" s="167">
        <v>28</v>
      </c>
      <c r="M1539" s="168">
        <v>0.56041666666666701</v>
      </c>
      <c r="N1539" s="67"/>
    </row>
    <row r="1540" spans="1:14" x14ac:dyDescent="0.25">
      <c r="A1540" s="66">
        <v>45446</v>
      </c>
      <c r="B1540" s="67" t="s">
        <v>34</v>
      </c>
      <c r="C1540" s="129" t="str">
        <f t="shared" si="48"/>
        <v>03.06.2024_BOYuhHa</v>
      </c>
      <c r="D1540" s="143">
        <f t="shared" si="49"/>
        <v>0</v>
      </c>
      <c r="E1540" s="157">
        <v>7.44</v>
      </c>
      <c r="F1540" s="165"/>
      <c r="G1540" s="166">
        <v>941</v>
      </c>
      <c r="H1540" s="167">
        <v>9.66</v>
      </c>
      <c r="I1540" s="165"/>
      <c r="J1540" s="167"/>
      <c r="K1540" s="167">
        <v>12.87</v>
      </c>
      <c r="L1540" s="167">
        <v>23</v>
      </c>
      <c r="M1540" s="168">
        <v>0.360416666666667</v>
      </c>
      <c r="N1540" s="67"/>
    </row>
    <row r="1541" spans="1:14" x14ac:dyDescent="0.25">
      <c r="A1541" s="66">
        <v>45446</v>
      </c>
      <c r="B1541" s="67" t="s">
        <v>36</v>
      </c>
      <c r="C1541" s="129" t="str">
        <f t="shared" si="48"/>
        <v>03.06.2024_BOYuhSp</v>
      </c>
      <c r="D1541" s="143">
        <f t="shared" si="49"/>
        <v>0</v>
      </c>
      <c r="E1541" s="157">
        <v>7.45</v>
      </c>
      <c r="F1541" s="165"/>
      <c r="G1541" s="166">
        <v>689</v>
      </c>
      <c r="H1541" s="167">
        <v>8.83</v>
      </c>
      <c r="I1541" s="165"/>
      <c r="J1541" s="167"/>
      <c r="K1541" s="167">
        <v>12.78</v>
      </c>
      <c r="L1541" s="167">
        <v>43</v>
      </c>
      <c r="M1541" s="168">
        <v>0.55347222222222203</v>
      </c>
      <c r="N1541" s="67" t="s">
        <v>169</v>
      </c>
    </row>
    <row r="1542" spans="1:14" x14ac:dyDescent="0.25">
      <c r="A1542" s="66">
        <v>45446</v>
      </c>
      <c r="B1542" s="67" t="s">
        <v>38</v>
      </c>
      <c r="C1542" s="129" t="str">
        <f t="shared" si="48"/>
        <v>03.06.2024_BRAob</v>
      </c>
      <c r="D1542" s="143">
        <f t="shared" si="49"/>
        <v>0</v>
      </c>
      <c r="E1542" s="157">
        <v>7.52</v>
      </c>
      <c r="F1542" s="165"/>
      <c r="G1542" s="166">
        <v>807</v>
      </c>
      <c r="H1542" s="167">
        <v>9.64</v>
      </c>
      <c r="I1542" s="165"/>
      <c r="J1542" s="167"/>
      <c r="K1542" s="167">
        <v>12.73</v>
      </c>
      <c r="L1542" s="167">
        <v>6</v>
      </c>
      <c r="M1542" s="168">
        <v>0.51249999999999996</v>
      </c>
      <c r="N1542" s="67"/>
    </row>
    <row r="1543" spans="1:14" x14ac:dyDescent="0.25">
      <c r="A1543" s="66">
        <v>45446</v>
      </c>
      <c r="B1543" s="67" t="s">
        <v>41</v>
      </c>
      <c r="C1543" s="129" t="str">
        <f t="shared" si="48"/>
        <v>03.06.2024_BRAohBo</v>
      </c>
      <c r="D1543" s="143">
        <f t="shared" si="49"/>
        <v>0</v>
      </c>
      <c r="E1543" s="157">
        <v>7.52</v>
      </c>
      <c r="F1543" s="165"/>
      <c r="G1543" s="166">
        <v>728</v>
      </c>
      <c r="H1543" s="167">
        <v>7.8</v>
      </c>
      <c r="I1543" s="165"/>
      <c r="J1543" s="167"/>
      <c r="K1543" s="167">
        <v>13.23</v>
      </c>
      <c r="L1543" s="167">
        <v>30</v>
      </c>
      <c r="M1543" s="168">
        <v>0.52361111111111103</v>
      </c>
      <c r="N1543" s="67"/>
    </row>
    <row r="1544" spans="1:14" x14ac:dyDescent="0.25">
      <c r="A1544" s="66">
        <v>45446</v>
      </c>
      <c r="B1544" s="67" t="s">
        <v>43</v>
      </c>
      <c r="C1544" s="129" t="str">
        <f t="shared" si="48"/>
        <v>03.06.2024_HAAob</v>
      </c>
      <c r="D1544" s="143">
        <f t="shared" si="49"/>
        <v>0</v>
      </c>
      <c r="E1544" s="157">
        <v>7.77</v>
      </c>
      <c r="F1544" s="165"/>
      <c r="G1544" s="166">
        <v>609</v>
      </c>
      <c r="H1544" s="167">
        <v>9.09</v>
      </c>
      <c r="I1544" s="165"/>
      <c r="J1544" s="167"/>
      <c r="K1544" s="167">
        <v>16.04</v>
      </c>
      <c r="L1544" s="167">
        <v>11</v>
      </c>
      <c r="M1544" s="168">
        <v>0.59791666666666698</v>
      </c>
      <c r="N1544" s="67" t="s">
        <v>171</v>
      </c>
    </row>
    <row r="1545" spans="1:14" x14ac:dyDescent="0.25">
      <c r="A1545" s="66">
        <v>45446</v>
      </c>
      <c r="B1545" s="67" t="s">
        <v>45</v>
      </c>
      <c r="C1545" s="129" t="str">
        <f t="shared" si="48"/>
        <v>03.06.2024_HAAun</v>
      </c>
      <c r="D1545" s="143">
        <f t="shared" si="49"/>
        <v>0</v>
      </c>
      <c r="E1545" s="157">
        <v>7.42</v>
      </c>
      <c r="F1545" s="165"/>
      <c r="G1545" s="166">
        <v>911</v>
      </c>
      <c r="H1545" s="167">
        <v>8.67</v>
      </c>
      <c r="I1545" s="165"/>
      <c r="J1545" s="167"/>
      <c r="K1545" s="167">
        <v>14.77</v>
      </c>
      <c r="L1545" s="167">
        <v>20</v>
      </c>
      <c r="M1545" s="168">
        <v>0.59027777777777801</v>
      </c>
      <c r="N1545" s="67"/>
    </row>
    <row r="1546" spans="1:14" x14ac:dyDescent="0.25">
      <c r="A1546" s="66">
        <v>45446</v>
      </c>
      <c r="B1546" s="67" t="s">
        <v>47</v>
      </c>
      <c r="C1546" s="129" t="str">
        <f t="shared" si="48"/>
        <v>03.06.2024_KIRob</v>
      </c>
      <c r="D1546" s="143">
        <f t="shared" si="49"/>
        <v>0</v>
      </c>
      <c r="E1546" s="157">
        <v>7.66</v>
      </c>
      <c r="F1546" s="165"/>
      <c r="G1546" s="166">
        <v>1083</v>
      </c>
      <c r="H1546" s="167">
        <v>8</v>
      </c>
      <c r="I1546" s="165"/>
      <c r="J1546" s="167"/>
      <c r="K1546" s="167">
        <v>12.11</v>
      </c>
      <c r="L1546" s="167">
        <v>21</v>
      </c>
      <c r="M1546" s="168">
        <v>0.40347222222222201</v>
      </c>
      <c r="N1546" s="67" t="s">
        <v>169</v>
      </c>
    </row>
    <row r="1547" spans="1:14" x14ac:dyDescent="0.25">
      <c r="A1547" s="66">
        <v>45446</v>
      </c>
      <c r="B1547" s="67" t="s">
        <v>49</v>
      </c>
      <c r="C1547" s="129" t="str">
        <f t="shared" si="48"/>
        <v>03.06.2024_KIRun</v>
      </c>
      <c r="D1547" s="143">
        <f t="shared" si="49"/>
        <v>0</v>
      </c>
      <c r="E1547" s="157">
        <v>7.71</v>
      </c>
      <c r="F1547" s="165"/>
      <c r="G1547" s="166">
        <v>1014</v>
      </c>
      <c r="H1547" s="167">
        <v>9.19</v>
      </c>
      <c r="I1547" s="165"/>
      <c r="J1547" s="167"/>
      <c r="K1547" s="167">
        <v>12.24</v>
      </c>
      <c r="L1547" s="167">
        <v>6</v>
      </c>
      <c r="M1547" s="168">
        <v>0.39444444444444399</v>
      </c>
      <c r="N1547" s="67" t="s">
        <v>169</v>
      </c>
    </row>
    <row r="1548" spans="1:14" x14ac:dyDescent="0.25">
      <c r="A1548" s="66">
        <v>45446</v>
      </c>
      <c r="B1548" s="67" t="s">
        <v>50</v>
      </c>
      <c r="C1548" s="129" t="str">
        <f t="shared" si="48"/>
        <v>03.06.2024_LIEohBo</v>
      </c>
      <c r="D1548" s="143">
        <f t="shared" si="49"/>
        <v>0</v>
      </c>
      <c r="E1548" s="157">
        <v>7.89</v>
      </c>
      <c r="F1548" s="165"/>
      <c r="G1548" s="166">
        <v>789</v>
      </c>
      <c r="H1548" s="167">
        <v>9.35</v>
      </c>
      <c r="I1548" s="165"/>
      <c r="J1548" s="167"/>
      <c r="K1548" s="167">
        <v>12.81</v>
      </c>
      <c r="L1548" s="167">
        <v>9.5</v>
      </c>
      <c r="M1548" s="168">
        <v>0.37361111111111101</v>
      </c>
      <c r="N1548" s="67"/>
    </row>
    <row r="1549" spans="1:14" x14ac:dyDescent="0.25">
      <c r="A1549" s="66">
        <v>45446</v>
      </c>
      <c r="B1549" s="67" t="s">
        <v>53</v>
      </c>
      <c r="C1549" s="129" t="str">
        <f t="shared" si="48"/>
        <v>03.06.2024_NATohBo</v>
      </c>
      <c r="D1549" s="143">
        <f t="shared" si="49"/>
        <v>0</v>
      </c>
      <c r="E1549" s="157">
        <v>7.42</v>
      </c>
      <c r="F1549" s="165"/>
      <c r="G1549" s="166">
        <v>1803</v>
      </c>
      <c r="H1549" s="167">
        <v>8.5500000000000007</v>
      </c>
      <c r="I1549" s="165"/>
      <c r="J1549" s="167"/>
      <c r="K1549" s="167">
        <v>14.87</v>
      </c>
      <c r="L1549" s="167">
        <v>40</v>
      </c>
      <c r="M1549" s="168">
        <v>0.61805555555555602</v>
      </c>
      <c r="N1549" s="67"/>
    </row>
    <row r="1550" spans="1:14" x14ac:dyDescent="0.25">
      <c r="A1550" s="66">
        <v>45446</v>
      </c>
      <c r="B1550" s="67" t="s">
        <v>55</v>
      </c>
      <c r="C1550" s="129" t="str">
        <f t="shared" si="48"/>
        <v>03.06.2024_QUAohBo</v>
      </c>
      <c r="D1550" s="143">
        <f t="shared" si="49"/>
        <v>0</v>
      </c>
      <c r="E1550" s="157">
        <v>7.49</v>
      </c>
      <c r="F1550" s="165"/>
      <c r="G1550" s="166">
        <v>433</v>
      </c>
      <c r="H1550" s="167">
        <v>8.1999999999999993</v>
      </c>
      <c r="I1550" s="165"/>
      <c r="J1550" s="167"/>
      <c r="K1550" s="167">
        <v>13.5</v>
      </c>
      <c r="L1550" s="167">
        <v>18</v>
      </c>
      <c r="M1550" s="168">
        <v>0.57222222222222197</v>
      </c>
      <c r="N1550" s="67"/>
    </row>
    <row r="1551" spans="1:14" x14ac:dyDescent="0.25">
      <c r="A1551" s="66">
        <v>45446</v>
      </c>
      <c r="B1551" s="67" t="s">
        <v>57</v>
      </c>
      <c r="C1551" s="129" t="str">
        <f t="shared" si="48"/>
        <v>03.06.2024_SCHohVo</v>
      </c>
      <c r="D1551" s="143">
        <f t="shared" si="49"/>
        <v>0</v>
      </c>
      <c r="E1551" s="157">
        <v>7.63</v>
      </c>
      <c r="F1551" s="165"/>
      <c r="G1551" s="166">
        <v>368</v>
      </c>
      <c r="H1551" s="167">
        <v>9.6999999999999993</v>
      </c>
      <c r="I1551" s="165"/>
      <c r="J1551" s="167"/>
      <c r="K1551" s="167">
        <v>13.34</v>
      </c>
      <c r="L1551" s="167">
        <v>11</v>
      </c>
      <c r="M1551" s="168">
        <v>0.422916666666667</v>
      </c>
      <c r="N1551" s="67"/>
    </row>
    <row r="1552" spans="1:14" x14ac:dyDescent="0.25">
      <c r="A1552" s="66">
        <v>45446</v>
      </c>
      <c r="B1552" s="67" t="s">
        <v>60</v>
      </c>
      <c r="C1552" s="129" t="str">
        <f t="shared" si="48"/>
        <v>03.06.2024_VORohBo</v>
      </c>
      <c r="D1552" s="143">
        <f t="shared" si="49"/>
        <v>0</v>
      </c>
      <c r="E1552" s="157">
        <v>7.43</v>
      </c>
      <c r="F1552" s="165"/>
      <c r="G1552" s="166">
        <v>911</v>
      </c>
      <c r="H1552" s="167">
        <v>8.4600000000000009</v>
      </c>
      <c r="I1552" s="165"/>
      <c r="J1552" s="167"/>
      <c r="K1552" s="167">
        <v>12.39</v>
      </c>
      <c r="L1552" s="167">
        <v>20</v>
      </c>
      <c r="M1552" s="168">
        <v>0.44027777777777799</v>
      </c>
      <c r="N1552" s="67"/>
    </row>
    <row r="1553" spans="1:14" x14ac:dyDescent="0.25">
      <c r="A1553" s="66">
        <v>45446</v>
      </c>
      <c r="B1553" s="67" t="s">
        <v>62</v>
      </c>
      <c r="C1553" s="129" t="str">
        <f t="shared" si="48"/>
        <v>03.06.2024_VORuhSc</v>
      </c>
      <c r="D1553" s="143">
        <f t="shared" si="49"/>
        <v>0</v>
      </c>
      <c r="E1553" s="157">
        <v>7.05</v>
      </c>
      <c r="F1553" s="165"/>
      <c r="G1553" s="166">
        <v>787</v>
      </c>
      <c r="H1553" s="167">
        <v>8.32</v>
      </c>
      <c r="I1553" s="165"/>
      <c r="J1553" s="167"/>
      <c r="K1553" s="167">
        <v>12.59</v>
      </c>
      <c r="L1553" s="167">
        <v>15</v>
      </c>
      <c r="M1553" s="168">
        <v>0.43055555555555602</v>
      </c>
      <c r="N1553" s="67"/>
    </row>
    <row r="1554" spans="1:14" x14ac:dyDescent="0.25">
      <c r="A1554" s="66">
        <v>45446</v>
      </c>
      <c r="B1554" s="67" t="s">
        <v>64</v>
      </c>
      <c r="C1554" s="129" t="str">
        <f t="shared" si="48"/>
        <v>03.06.2024_WITob</v>
      </c>
      <c r="D1554" s="143">
        <f t="shared" si="49"/>
        <v>0</v>
      </c>
      <c r="E1554" s="157">
        <v>7.92</v>
      </c>
      <c r="F1554" s="165"/>
      <c r="G1554" s="166">
        <v>1427</v>
      </c>
      <c r="H1554" s="167">
        <v>9.99</v>
      </c>
      <c r="I1554" s="165"/>
      <c r="J1554" s="167"/>
      <c r="K1554" s="167">
        <v>13.32</v>
      </c>
      <c r="L1554" s="167">
        <v>3</v>
      </c>
      <c r="M1554" s="168">
        <v>0.60902777777777795</v>
      </c>
      <c r="N1554" s="67"/>
    </row>
    <row r="1555" spans="1:14" x14ac:dyDescent="0.25">
      <c r="A1555" s="66">
        <v>45460</v>
      </c>
      <c r="B1555" s="67" t="s">
        <v>22</v>
      </c>
      <c r="C1555" s="129" t="str">
        <f t="shared" si="48"/>
        <v>17.06.2024_BOYkl</v>
      </c>
      <c r="D1555" s="143">
        <f t="shared" si="49"/>
        <v>0</v>
      </c>
      <c r="E1555" s="157">
        <v>7.71</v>
      </c>
      <c r="F1555" s="165"/>
      <c r="G1555" s="166">
        <v>398</v>
      </c>
      <c r="H1555" s="167">
        <v>8.7200000000000006</v>
      </c>
      <c r="I1555" s="165"/>
      <c r="J1555" s="167"/>
      <c r="K1555" s="167">
        <v>14.64</v>
      </c>
      <c r="L1555" s="167">
        <v>6</v>
      </c>
      <c r="M1555" s="168">
        <v>0.44583333333333303</v>
      </c>
      <c r="N1555" s="67"/>
    </row>
    <row r="1556" spans="1:14" x14ac:dyDescent="0.25">
      <c r="A1556" s="66">
        <v>45460</v>
      </c>
      <c r="B1556" s="67" t="s">
        <v>25</v>
      </c>
      <c r="C1556" s="129" t="str">
        <f t="shared" si="48"/>
        <v>17.06.2024_BOYohB224</v>
      </c>
      <c r="D1556" s="143">
        <f t="shared" si="49"/>
        <v>0</v>
      </c>
      <c r="E1556" s="157">
        <v>7.77</v>
      </c>
      <c r="F1556" s="165"/>
      <c r="G1556" s="166">
        <v>712</v>
      </c>
      <c r="H1556" s="167">
        <v>7.94</v>
      </c>
      <c r="I1556" s="165"/>
      <c r="J1556" s="167"/>
      <c r="K1556" s="167">
        <v>18.25</v>
      </c>
      <c r="L1556" s="167">
        <v>28</v>
      </c>
      <c r="M1556" s="168">
        <v>0.61944444444444502</v>
      </c>
      <c r="N1556" s="67"/>
    </row>
    <row r="1557" spans="1:14" x14ac:dyDescent="0.25">
      <c r="A1557" s="66">
        <v>45460</v>
      </c>
      <c r="B1557" s="67" t="s">
        <v>28</v>
      </c>
      <c r="C1557" s="129" t="str">
        <f t="shared" si="48"/>
        <v>17.06.2024_BOYohBr</v>
      </c>
      <c r="D1557" s="143">
        <f t="shared" si="49"/>
        <v>0</v>
      </c>
      <c r="E1557" s="157">
        <v>7.54</v>
      </c>
      <c r="F1557" s="165"/>
      <c r="G1557" s="166">
        <v>503</v>
      </c>
      <c r="H1557" s="167">
        <v>7.32</v>
      </c>
      <c r="I1557" s="165"/>
      <c r="J1557" s="167"/>
      <c r="K1557" s="167">
        <v>13.75</v>
      </c>
      <c r="L1557" s="167">
        <v>25.5</v>
      </c>
      <c r="M1557" s="168">
        <v>0.52777777777777801</v>
      </c>
      <c r="N1557" s="67"/>
    </row>
    <row r="1558" spans="1:14" x14ac:dyDescent="0.25">
      <c r="A1558" s="66">
        <v>45460</v>
      </c>
      <c r="B1558" s="67" t="s">
        <v>30</v>
      </c>
      <c r="C1558" s="129" t="str">
        <f t="shared" si="48"/>
        <v>17.06.2024_BOYohKi</v>
      </c>
      <c r="D1558" s="143">
        <f t="shared" si="49"/>
        <v>0</v>
      </c>
      <c r="E1558" s="157">
        <v>7.71</v>
      </c>
      <c r="F1558" s="165"/>
      <c r="G1558" s="166">
        <v>722</v>
      </c>
      <c r="H1558" s="167">
        <v>8.09</v>
      </c>
      <c r="I1558" s="165"/>
      <c r="J1558" s="167"/>
      <c r="K1558" s="167">
        <v>14.22</v>
      </c>
      <c r="L1558" s="167">
        <v>46</v>
      </c>
      <c r="M1558" s="168">
        <v>0.37708333333333299</v>
      </c>
      <c r="N1558" s="67"/>
    </row>
    <row r="1559" spans="1:14" x14ac:dyDescent="0.25">
      <c r="A1559" s="66">
        <v>45460</v>
      </c>
      <c r="B1559" s="67" t="s">
        <v>32</v>
      </c>
      <c r="C1559" s="129" t="str">
        <f t="shared" si="48"/>
        <v>17.06.2024_BOYohSp</v>
      </c>
      <c r="D1559" s="143">
        <f t="shared" si="49"/>
        <v>0</v>
      </c>
      <c r="E1559" s="157">
        <v>7.6</v>
      </c>
      <c r="F1559" s="165"/>
      <c r="G1559" s="166">
        <v>588</v>
      </c>
      <c r="H1559" s="167">
        <v>7.67</v>
      </c>
      <c r="I1559" s="165"/>
      <c r="J1559" s="167"/>
      <c r="K1559" s="167">
        <v>14.3</v>
      </c>
      <c r="L1559" s="167">
        <v>21</v>
      </c>
      <c r="M1559" s="168">
        <v>0.54513888888888895</v>
      </c>
      <c r="N1559" s="67"/>
    </row>
    <row r="1560" spans="1:14" x14ac:dyDescent="0.25">
      <c r="A1560" s="66">
        <v>45460</v>
      </c>
      <c r="B1560" s="67" t="s">
        <v>34</v>
      </c>
      <c r="C1560" s="129" t="str">
        <f t="shared" si="48"/>
        <v>17.06.2024_BOYuhHa</v>
      </c>
      <c r="D1560" s="143">
        <f t="shared" si="49"/>
        <v>0</v>
      </c>
      <c r="E1560" s="157">
        <v>7.66</v>
      </c>
      <c r="F1560" s="165"/>
      <c r="G1560" s="166">
        <v>1079</v>
      </c>
      <c r="H1560" s="167">
        <v>8.85</v>
      </c>
      <c r="I1560" s="165"/>
      <c r="J1560" s="167"/>
      <c r="K1560" s="167">
        <v>14.46</v>
      </c>
      <c r="L1560" s="167">
        <v>22</v>
      </c>
      <c r="M1560" s="168">
        <v>0.359722222222222</v>
      </c>
      <c r="N1560" s="67"/>
    </row>
    <row r="1561" spans="1:14" x14ac:dyDescent="0.25">
      <c r="A1561" s="66">
        <v>45460</v>
      </c>
      <c r="B1561" s="67" t="s">
        <v>36</v>
      </c>
      <c r="C1561" s="129" t="str">
        <f t="shared" si="48"/>
        <v>17.06.2024_BOYuhSp</v>
      </c>
      <c r="D1561" s="143">
        <f t="shared" si="49"/>
        <v>0</v>
      </c>
      <c r="E1561" s="157">
        <v>7.65</v>
      </c>
      <c r="F1561" s="165"/>
      <c r="G1561" s="166">
        <v>622</v>
      </c>
      <c r="H1561" s="167">
        <v>8.06</v>
      </c>
      <c r="I1561" s="165"/>
      <c r="J1561" s="167"/>
      <c r="K1561" s="167">
        <v>14.37</v>
      </c>
      <c r="L1561" s="167">
        <v>30</v>
      </c>
      <c r="M1561" s="168">
        <v>0.54027777777777797</v>
      </c>
      <c r="N1561" s="67"/>
    </row>
    <row r="1562" spans="1:14" x14ac:dyDescent="0.25">
      <c r="A1562" s="66">
        <v>45460</v>
      </c>
      <c r="B1562" s="67" t="s">
        <v>38</v>
      </c>
      <c r="C1562" s="129" t="str">
        <f t="shared" si="48"/>
        <v>17.06.2024_BRAob</v>
      </c>
      <c r="D1562" s="143">
        <f t="shared" si="49"/>
        <v>0</v>
      </c>
      <c r="E1562" s="157">
        <v>7.81</v>
      </c>
      <c r="F1562" s="165"/>
      <c r="G1562" s="166">
        <v>652</v>
      </c>
      <c r="H1562" s="167">
        <v>8.8000000000000007</v>
      </c>
      <c r="I1562" s="165"/>
      <c r="J1562" s="167"/>
      <c r="K1562" s="167">
        <v>14.53</v>
      </c>
      <c r="L1562" s="167">
        <v>6</v>
      </c>
      <c r="M1562" s="168">
        <v>0.49791666666666701</v>
      </c>
      <c r="N1562" s="67"/>
    </row>
    <row r="1563" spans="1:14" x14ac:dyDescent="0.25">
      <c r="A1563" s="66">
        <v>45460</v>
      </c>
      <c r="B1563" s="67" t="s">
        <v>41</v>
      </c>
      <c r="C1563" s="129" t="str">
        <f t="shared" si="48"/>
        <v>17.06.2024_BRAohBo</v>
      </c>
      <c r="D1563" s="143">
        <f t="shared" si="49"/>
        <v>0</v>
      </c>
      <c r="E1563" s="157">
        <v>7.8</v>
      </c>
      <c r="F1563" s="165"/>
      <c r="G1563" s="166">
        <v>654</v>
      </c>
      <c r="H1563" s="167">
        <v>7.73</v>
      </c>
      <c r="I1563" s="165"/>
      <c r="J1563" s="167"/>
      <c r="K1563" s="167">
        <v>15.51</v>
      </c>
      <c r="L1563" s="167">
        <v>4</v>
      </c>
      <c r="M1563" s="168">
        <v>0.51458333333333295</v>
      </c>
      <c r="N1563" s="67"/>
    </row>
    <row r="1564" spans="1:14" x14ac:dyDescent="0.25">
      <c r="A1564" s="66">
        <v>45460</v>
      </c>
      <c r="B1564" s="67" t="s">
        <v>43</v>
      </c>
      <c r="C1564" s="129" t="str">
        <f t="shared" si="48"/>
        <v>17.06.2024_HAAob</v>
      </c>
      <c r="D1564" s="143">
        <f t="shared" si="49"/>
        <v>0</v>
      </c>
      <c r="E1564" s="157">
        <v>7.84</v>
      </c>
      <c r="F1564" s="165"/>
      <c r="G1564" s="166">
        <v>596</v>
      </c>
      <c r="H1564" s="167">
        <v>8</v>
      </c>
      <c r="I1564" s="165"/>
      <c r="J1564" s="167"/>
      <c r="K1564" s="167">
        <v>17.14</v>
      </c>
      <c r="L1564" s="167">
        <v>9</v>
      </c>
      <c r="M1564" s="168">
        <v>0.57361111111111096</v>
      </c>
      <c r="N1564" s="67" t="s">
        <v>230</v>
      </c>
    </row>
    <row r="1565" spans="1:14" x14ac:dyDescent="0.25">
      <c r="A1565" s="66">
        <v>45460</v>
      </c>
      <c r="B1565" s="67" t="s">
        <v>45</v>
      </c>
      <c r="C1565" s="129" t="str">
        <f t="shared" si="48"/>
        <v>17.06.2024_HAAun</v>
      </c>
      <c r="D1565" s="143">
        <f t="shared" si="49"/>
        <v>0</v>
      </c>
      <c r="E1565" s="157">
        <v>7.63</v>
      </c>
      <c r="F1565" s="165"/>
      <c r="G1565" s="166">
        <v>921</v>
      </c>
      <c r="H1565" s="167">
        <v>7.86</v>
      </c>
      <c r="I1565" s="165"/>
      <c r="J1565" s="167"/>
      <c r="K1565" s="167">
        <v>15.87</v>
      </c>
      <c r="L1565" s="167">
        <v>14</v>
      </c>
      <c r="M1565" s="168">
        <v>0.56597222222222199</v>
      </c>
      <c r="N1565" s="67"/>
    </row>
    <row r="1566" spans="1:14" x14ac:dyDescent="0.25">
      <c r="A1566" s="66">
        <v>45460</v>
      </c>
      <c r="B1566" s="67" t="s">
        <v>47</v>
      </c>
      <c r="C1566" s="129" t="str">
        <f t="shared" si="48"/>
        <v>17.06.2024_KIRob</v>
      </c>
      <c r="D1566" s="143">
        <f t="shared" si="49"/>
        <v>0</v>
      </c>
      <c r="E1566" s="157">
        <v>7.62</v>
      </c>
      <c r="F1566" s="165"/>
      <c r="G1566" s="166">
        <v>950</v>
      </c>
      <c r="H1566" s="167">
        <v>6.53</v>
      </c>
      <c r="I1566" s="165"/>
      <c r="J1566" s="167"/>
      <c r="K1566" s="167">
        <v>13.73</v>
      </c>
      <c r="L1566" s="167">
        <v>18</v>
      </c>
      <c r="M1566" s="168">
        <v>0.39652777777777798</v>
      </c>
      <c r="N1566" s="67"/>
    </row>
    <row r="1567" spans="1:14" x14ac:dyDescent="0.25">
      <c r="A1567" s="66">
        <v>45460</v>
      </c>
      <c r="B1567" s="67" t="s">
        <v>49</v>
      </c>
      <c r="C1567" s="129" t="str">
        <f t="shared" si="48"/>
        <v>17.06.2024_KIRun</v>
      </c>
      <c r="D1567" s="143">
        <f t="shared" si="49"/>
        <v>0</v>
      </c>
      <c r="E1567" s="157">
        <v>7.78</v>
      </c>
      <c r="F1567" s="165"/>
      <c r="G1567" s="166">
        <v>875</v>
      </c>
      <c r="H1567" s="167">
        <v>7.85</v>
      </c>
      <c r="I1567" s="165"/>
      <c r="J1567" s="167"/>
      <c r="K1567" s="167">
        <v>13.69</v>
      </c>
      <c r="L1567" s="167">
        <v>14</v>
      </c>
      <c r="M1567" s="168">
        <v>0.389583333333333</v>
      </c>
      <c r="N1567" s="67"/>
    </row>
    <row r="1568" spans="1:14" x14ac:dyDescent="0.25">
      <c r="A1568" s="66">
        <v>45460</v>
      </c>
      <c r="B1568" s="67" t="s">
        <v>50</v>
      </c>
      <c r="C1568" s="129" t="str">
        <f t="shared" si="48"/>
        <v>17.06.2024_LIEohBo</v>
      </c>
      <c r="D1568" s="143">
        <f t="shared" si="49"/>
        <v>0</v>
      </c>
      <c r="E1568" s="157">
        <v>7.55</v>
      </c>
      <c r="F1568" s="165"/>
      <c r="G1568" s="166">
        <v>700</v>
      </c>
      <c r="H1568" s="167">
        <v>6.9</v>
      </c>
      <c r="I1568" s="165"/>
      <c r="J1568" s="167"/>
      <c r="K1568" s="167">
        <v>15.06</v>
      </c>
      <c r="L1568" s="167">
        <v>8</v>
      </c>
      <c r="M1568" s="168">
        <v>0.36944444444444402</v>
      </c>
      <c r="N1568" s="67"/>
    </row>
    <row r="1569" spans="1:14" x14ac:dyDescent="0.25">
      <c r="A1569" s="66">
        <v>45460</v>
      </c>
      <c r="B1569" s="67" t="s">
        <v>53</v>
      </c>
      <c r="C1569" s="129" t="str">
        <f t="shared" si="48"/>
        <v>17.06.2024_NATohBo</v>
      </c>
      <c r="D1569" s="143">
        <f t="shared" si="49"/>
        <v>0</v>
      </c>
      <c r="E1569" s="157">
        <v>7.25</v>
      </c>
      <c r="F1569" s="165"/>
      <c r="G1569" s="166">
        <v>1645</v>
      </c>
      <c r="H1569" s="167">
        <v>7.06</v>
      </c>
      <c r="I1569" s="165"/>
      <c r="J1569" s="167"/>
      <c r="K1569" s="167">
        <v>16.329999999999998</v>
      </c>
      <c r="L1569" s="167">
        <v>33</v>
      </c>
      <c r="M1569" s="168">
        <v>0.60902777777777795</v>
      </c>
      <c r="N1569" s="67"/>
    </row>
    <row r="1570" spans="1:14" x14ac:dyDescent="0.25">
      <c r="A1570" s="66">
        <v>45460</v>
      </c>
      <c r="B1570" s="67" t="s">
        <v>55</v>
      </c>
      <c r="C1570" s="129" t="str">
        <f t="shared" si="48"/>
        <v>17.06.2024_QUAohBo</v>
      </c>
      <c r="D1570" s="143">
        <f t="shared" si="49"/>
        <v>0</v>
      </c>
      <c r="E1570" s="157">
        <v>7.56</v>
      </c>
      <c r="F1570" s="165"/>
      <c r="G1570" s="166">
        <v>747</v>
      </c>
      <c r="H1570" s="167">
        <v>6.42</v>
      </c>
      <c r="I1570" s="165"/>
      <c r="J1570" s="167"/>
      <c r="K1570" s="167">
        <v>15.31</v>
      </c>
      <c r="L1570" s="167">
        <v>14</v>
      </c>
      <c r="M1570" s="168">
        <v>0.55625000000000002</v>
      </c>
      <c r="N1570" s="67"/>
    </row>
    <row r="1571" spans="1:14" x14ac:dyDescent="0.25">
      <c r="A1571" s="66">
        <v>45460</v>
      </c>
      <c r="B1571" s="67" t="s">
        <v>57</v>
      </c>
      <c r="C1571" s="129" t="str">
        <f t="shared" si="48"/>
        <v>17.06.2024_SCHohVo</v>
      </c>
      <c r="D1571" s="143">
        <f t="shared" si="49"/>
        <v>0</v>
      </c>
      <c r="E1571" s="157">
        <v>7.96</v>
      </c>
      <c r="F1571" s="165"/>
      <c r="G1571" s="166">
        <v>471</v>
      </c>
      <c r="H1571" s="167">
        <v>8.84</v>
      </c>
      <c r="I1571" s="165"/>
      <c r="J1571" s="167"/>
      <c r="K1571" s="167">
        <v>14.16</v>
      </c>
      <c r="L1571" s="167">
        <v>8.5</v>
      </c>
      <c r="M1571" s="168">
        <v>0.41319444444444398</v>
      </c>
      <c r="N1571" s="67" t="s">
        <v>172</v>
      </c>
    </row>
    <row r="1572" spans="1:14" x14ac:dyDescent="0.25">
      <c r="A1572" s="66">
        <v>45460</v>
      </c>
      <c r="B1572" s="67" t="s">
        <v>60</v>
      </c>
      <c r="C1572" s="129" t="str">
        <f t="shared" si="48"/>
        <v>17.06.2024_VORohBo</v>
      </c>
      <c r="D1572" s="143">
        <f t="shared" si="49"/>
        <v>0</v>
      </c>
      <c r="E1572" s="157">
        <v>7.37</v>
      </c>
      <c r="F1572" s="165"/>
      <c r="G1572" s="166">
        <v>924</v>
      </c>
      <c r="H1572" s="167">
        <v>6.8</v>
      </c>
      <c r="I1572" s="165"/>
      <c r="J1572" s="167"/>
      <c r="K1572" s="167">
        <v>13.55</v>
      </c>
      <c r="L1572" s="167">
        <v>15</v>
      </c>
      <c r="M1572" s="168">
        <v>0.42986111111111103</v>
      </c>
      <c r="N1572" s="67"/>
    </row>
    <row r="1573" spans="1:14" x14ac:dyDescent="0.25">
      <c r="A1573" s="66">
        <v>45460</v>
      </c>
      <c r="B1573" s="67" t="s">
        <v>62</v>
      </c>
      <c r="C1573" s="129" t="str">
        <f t="shared" si="48"/>
        <v>17.06.2024_VORuhSc</v>
      </c>
      <c r="D1573" s="143">
        <f t="shared" si="49"/>
        <v>0</v>
      </c>
      <c r="E1573" s="157">
        <v>7.07</v>
      </c>
      <c r="F1573" s="165"/>
      <c r="G1573" s="166">
        <v>862</v>
      </c>
      <c r="H1573" s="167">
        <v>6.84</v>
      </c>
      <c r="I1573" s="165"/>
      <c r="J1573" s="167"/>
      <c r="K1573" s="167">
        <v>13.52</v>
      </c>
      <c r="L1573" s="167">
        <v>14</v>
      </c>
      <c r="M1573" s="168">
        <v>0.42013888888888901</v>
      </c>
      <c r="N1573" s="67"/>
    </row>
    <row r="1574" spans="1:14" x14ac:dyDescent="0.25">
      <c r="A1574" s="66">
        <v>45460</v>
      </c>
      <c r="B1574" s="67" t="s">
        <v>64</v>
      </c>
      <c r="C1574" s="129" t="str">
        <f t="shared" si="48"/>
        <v>17.06.2024_WITob</v>
      </c>
      <c r="D1574" s="143">
        <f t="shared" si="49"/>
        <v>0</v>
      </c>
      <c r="E1574" s="157">
        <v>7.77</v>
      </c>
      <c r="F1574" s="165"/>
      <c r="G1574" s="166">
        <v>832</v>
      </c>
      <c r="H1574" s="167">
        <v>7.82</v>
      </c>
      <c r="I1574" s="165"/>
      <c r="J1574" s="167"/>
      <c r="K1574" s="167">
        <v>15</v>
      </c>
      <c r="L1574" s="167">
        <v>3</v>
      </c>
      <c r="M1574" s="168">
        <v>0.59791666666666698</v>
      </c>
      <c r="N1574" s="67" t="s">
        <v>287</v>
      </c>
    </row>
    <row r="1575" spans="1:14" x14ac:dyDescent="0.25">
      <c r="A1575" s="66">
        <v>45474</v>
      </c>
      <c r="B1575" s="67" t="s">
        <v>22</v>
      </c>
      <c r="C1575" s="129" t="str">
        <f t="shared" si="48"/>
        <v>01.07.2024_BOYkl</v>
      </c>
      <c r="D1575" s="143">
        <f t="shared" si="49"/>
        <v>0</v>
      </c>
      <c r="E1575" s="157">
        <v>7.78</v>
      </c>
      <c r="F1575" s="165"/>
      <c r="G1575" s="166">
        <v>367</v>
      </c>
      <c r="H1575" s="167">
        <v>8.6</v>
      </c>
      <c r="I1575" s="165"/>
      <c r="J1575" s="167"/>
      <c r="K1575" s="167">
        <v>15.74</v>
      </c>
      <c r="L1575" s="167">
        <v>6.6</v>
      </c>
      <c r="M1575" s="168">
        <v>0.44791666666666702</v>
      </c>
      <c r="N1575" s="67"/>
    </row>
    <row r="1576" spans="1:14" x14ac:dyDescent="0.25">
      <c r="A1576" s="66">
        <v>45474</v>
      </c>
      <c r="B1576" s="67" t="s">
        <v>25</v>
      </c>
      <c r="C1576" s="129" t="str">
        <f t="shared" si="48"/>
        <v>01.07.2024_BOYohB224</v>
      </c>
      <c r="D1576" s="143">
        <f t="shared" si="49"/>
        <v>0</v>
      </c>
      <c r="E1576" s="157">
        <v>7.76</v>
      </c>
      <c r="F1576" s="165"/>
      <c r="G1576" s="166">
        <v>666</v>
      </c>
      <c r="H1576" s="167">
        <v>9.1999999999999993</v>
      </c>
      <c r="I1576" s="165"/>
      <c r="J1576" s="167"/>
      <c r="K1576" s="167">
        <v>18.37</v>
      </c>
      <c r="L1576" s="167">
        <v>43.3</v>
      </c>
      <c r="M1576" s="168">
        <v>0.59375</v>
      </c>
      <c r="N1576" s="67"/>
    </row>
    <row r="1577" spans="1:14" x14ac:dyDescent="0.25">
      <c r="A1577" s="66">
        <v>45474</v>
      </c>
      <c r="B1577" s="67" t="s">
        <v>28</v>
      </c>
      <c r="C1577" s="129" t="str">
        <f t="shared" si="48"/>
        <v>01.07.2024_BOYohBr</v>
      </c>
      <c r="D1577" s="143">
        <f t="shared" si="49"/>
        <v>0</v>
      </c>
      <c r="E1577" s="157">
        <v>7.32</v>
      </c>
      <c r="F1577" s="165"/>
      <c r="G1577" s="166">
        <v>394</v>
      </c>
      <c r="H1577" s="167">
        <v>6.55</v>
      </c>
      <c r="I1577" s="165"/>
      <c r="J1577" s="167"/>
      <c r="K1577" s="167">
        <v>15.18</v>
      </c>
      <c r="L1577" s="167">
        <v>28.4</v>
      </c>
      <c r="M1577" s="168">
        <v>0.52361111111111103</v>
      </c>
      <c r="N1577" s="67"/>
    </row>
    <row r="1578" spans="1:14" x14ac:dyDescent="0.25">
      <c r="A1578" s="66">
        <v>45474</v>
      </c>
      <c r="B1578" s="67" t="s">
        <v>30</v>
      </c>
      <c r="C1578" s="129" t="str">
        <f t="shared" si="48"/>
        <v>01.07.2024_BOYohKi</v>
      </c>
      <c r="D1578" s="143">
        <f t="shared" si="49"/>
        <v>0</v>
      </c>
      <c r="E1578" s="157">
        <v>7.51</v>
      </c>
      <c r="F1578" s="165"/>
      <c r="G1578" s="166">
        <v>553</v>
      </c>
      <c r="H1578" s="167">
        <v>7.6</v>
      </c>
      <c r="I1578" s="165"/>
      <c r="J1578" s="167"/>
      <c r="K1578" s="167">
        <v>15.91</v>
      </c>
      <c r="L1578" s="167">
        <v>54.8</v>
      </c>
      <c r="M1578" s="168">
        <v>0.38055555555555598</v>
      </c>
      <c r="N1578" s="67"/>
    </row>
    <row r="1579" spans="1:14" x14ac:dyDescent="0.25">
      <c r="A1579" s="66">
        <v>45474</v>
      </c>
      <c r="B1579" s="67" t="s">
        <v>32</v>
      </c>
      <c r="C1579" s="129" t="str">
        <f t="shared" si="48"/>
        <v>01.07.2024_BOYohSp</v>
      </c>
      <c r="D1579" s="143">
        <f t="shared" si="49"/>
        <v>0</v>
      </c>
      <c r="E1579" s="157">
        <v>7.11</v>
      </c>
      <c r="F1579" s="165"/>
      <c r="G1579" s="166">
        <v>476</v>
      </c>
      <c r="H1579" s="167">
        <v>6.97</v>
      </c>
      <c r="I1579" s="165"/>
      <c r="J1579" s="167"/>
      <c r="K1579" s="167">
        <v>15.45</v>
      </c>
      <c r="L1579" s="167">
        <v>27.6</v>
      </c>
      <c r="M1579" s="168">
        <v>0.54027777777777797</v>
      </c>
      <c r="N1579" s="67"/>
    </row>
    <row r="1580" spans="1:14" x14ac:dyDescent="0.25">
      <c r="A1580" s="66">
        <v>45474</v>
      </c>
      <c r="B1580" s="67" t="s">
        <v>34</v>
      </c>
      <c r="C1580" s="129" t="str">
        <f t="shared" si="48"/>
        <v>01.07.2024_BOYuhHa</v>
      </c>
      <c r="D1580" s="143">
        <f t="shared" si="49"/>
        <v>0</v>
      </c>
      <c r="E1580" s="157">
        <v>7.53</v>
      </c>
      <c r="F1580" s="165"/>
      <c r="G1580" s="166">
        <v>670</v>
      </c>
      <c r="H1580" s="167">
        <v>8.1999999999999993</v>
      </c>
      <c r="I1580" s="165"/>
      <c r="J1580" s="167"/>
      <c r="K1580" s="167">
        <v>16.489999999999998</v>
      </c>
      <c r="L1580" s="167">
        <v>25.3</v>
      </c>
      <c r="M1580" s="168">
        <v>0.36458333333333298</v>
      </c>
      <c r="N1580" s="67"/>
    </row>
    <row r="1581" spans="1:14" x14ac:dyDescent="0.25">
      <c r="A1581" s="66">
        <v>45474</v>
      </c>
      <c r="B1581" s="67" t="s">
        <v>36</v>
      </c>
      <c r="C1581" s="129" t="str">
        <f t="shared" si="48"/>
        <v>01.07.2024_BOYuhSp</v>
      </c>
      <c r="D1581" s="143">
        <f t="shared" si="49"/>
        <v>0</v>
      </c>
      <c r="E1581" s="157">
        <v>7.48</v>
      </c>
      <c r="F1581" s="165"/>
      <c r="G1581" s="166">
        <v>515</v>
      </c>
      <c r="H1581" s="167">
        <v>7.38</v>
      </c>
      <c r="I1581" s="165"/>
      <c r="J1581" s="167"/>
      <c r="K1581" s="167">
        <v>15.51</v>
      </c>
      <c r="L1581" s="167">
        <v>31</v>
      </c>
      <c r="M1581" s="168">
        <v>0.53472222222222199</v>
      </c>
      <c r="N1581" s="67"/>
    </row>
    <row r="1582" spans="1:14" x14ac:dyDescent="0.25">
      <c r="A1582" s="66">
        <v>45474</v>
      </c>
      <c r="B1582" s="67" t="s">
        <v>38</v>
      </c>
      <c r="C1582" s="129" t="str">
        <f t="shared" si="48"/>
        <v>01.07.2024_BRAob</v>
      </c>
      <c r="D1582" s="143">
        <f t="shared" si="49"/>
        <v>0</v>
      </c>
      <c r="E1582" s="157">
        <v>7.55</v>
      </c>
      <c r="F1582" s="165"/>
      <c r="G1582" s="166">
        <v>688</v>
      </c>
      <c r="H1582" s="167">
        <v>8.08</v>
      </c>
      <c r="I1582" s="165"/>
      <c r="J1582" s="167"/>
      <c r="K1582" s="167">
        <v>15.33</v>
      </c>
      <c r="L1582" s="167">
        <v>8.5</v>
      </c>
      <c r="M1582" s="168">
        <v>0.49652777777777801</v>
      </c>
      <c r="N1582" s="67"/>
    </row>
    <row r="1583" spans="1:14" x14ac:dyDescent="0.25">
      <c r="A1583" s="66">
        <v>45474</v>
      </c>
      <c r="B1583" s="67" t="s">
        <v>41</v>
      </c>
      <c r="C1583" s="129" t="str">
        <f t="shared" si="48"/>
        <v>01.07.2024_BRAohBo</v>
      </c>
      <c r="D1583" s="143">
        <f t="shared" si="49"/>
        <v>0</v>
      </c>
      <c r="E1583" s="157">
        <v>7.61</v>
      </c>
      <c r="F1583" s="165"/>
      <c r="G1583" s="166">
        <v>565</v>
      </c>
      <c r="H1583" s="167">
        <v>7.66</v>
      </c>
      <c r="I1583" s="165"/>
      <c r="J1583" s="167"/>
      <c r="K1583" s="167">
        <v>16.190000000000001</v>
      </c>
      <c r="L1583" s="167">
        <v>5.4</v>
      </c>
      <c r="M1583" s="168">
        <v>0.50763888888888897</v>
      </c>
      <c r="N1583" s="67"/>
    </row>
    <row r="1584" spans="1:14" x14ac:dyDescent="0.25">
      <c r="A1584" s="66">
        <v>45474</v>
      </c>
      <c r="B1584" s="67" t="s">
        <v>43</v>
      </c>
      <c r="C1584" s="129" t="str">
        <f t="shared" si="48"/>
        <v>01.07.2024_HAAob</v>
      </c>
      <c r="D1584" s="143">
        <f t="shared" si="49"/>
        <v>0</v>
      </c>
      <c r="E1584" s="157">
        <v>7.85</v>
      </c>
      <c r="F1584" s="165"/>
      <c r="G1584" s="166">
        <v>483</v>
      </c>
      <c r="H1584" s="167">
        <v>7.63</v>
      </c>
      <c r="I1584" s="165"/>
      <c r="J1584" s="167"/>
      <c r="K1584" s="167">
        <v>21.23</v>
      </c>
      <c r="L1584" s="167">
        <v>14.4</v>
      </c>
      <c r="M1584" s="168">
        <v>0.5625</v>
      </c>
      <c r="N1584" s="67"/>
    </row>
    <row r="1585" spans="1:14" x14ac:dyDescent="0.25">
      <c r="A1585" s="66">
        <v>45474</v>
      </c>
      <c r="B1585" s="67" t="s">
        <v>45</v>
      </c>
      <c r="C1585" s="129" t="str">
        <f t="shared" si="48"/>
        <v>01.07.2024_HAAun</v>
      </c>
      <c r="D1585" s="143">
        <f t="shared" si="49"/>
        <v>0</v>
      </c>
      <c r="E1585" s="157">
        <v>7.64</v>
      </c>
      <c r="F1585" s="165"/>
      <c r="G1585" s="166">
        <v>604</v>
      </c>
      <c r="H1585" s="167">
        <v>7.54</v>
      </c>
      <c r="I1585" s="165"/>
      <c r="J1585" s="167"/>
      <c r="K1585" s="167">
        <v>19.57</v>
      </c>
      <c r="L1585" s="167">
        <v>18.2</v>
      </c>
      <c r="M1585" s="168">
        <v>0.56041666666666701</v>
      </c>
      <c r="N1585" s="67"/>
    </row>
    <row r="1586" spans="1:14" x14ac:dyDescent="0.25">
      <c r="A1586" s="66">
        <v>45474</v>
      </c>
      <c r="B1586" s="67" t="s">
        <v>47</v>
      </c>
      <c r="C1586" s="129" t="str">
        <f t="shared" si="48"/>
        <v>01.07.2024_KIRob</v>
      </c>
      <c r="D1586" s="143">
        <f t="shared" si="49"/>
        <v>0</v>
      </c>
      <c r="E1586" s="157">
        <v>7.54</v>
      </c>
      <c r="F1586" s="165"/>
      <c r="G1586" s="166">
        <v>860</v>
      </c>
      <c r="H1586" s="167">
        <v>6.25</v>
      </c>
      <c r="I1586" s="165"/>
      <c r="J1586" s="167"/>
      <c r="K1586" s="167">
        <v>14.31</v>
      </c>
      <c r="L1586" s="167">
        <v>15.6</v>
      </c>
      <c r="M1586" s="168">
        <v>0.39583333333333298</v>
      </c>
      <c r="N1586" s="67"/>
    </row>
    <row r="1587" spans="1:14" x14ac:dyDescent="0.25">
      <c r="A1587" s="66">
        <v>45474</v>
      </c>
      <c r="B1587" s="67" t="s">
        <v>49</v>
      </c>
      <c r="C1587" s="129" t="str">
        <f t="shared" si="48"/>
        <v>01.07.2024_KIRun</v>
      </c>
      <c r="D1587" s="143">
        <f t="shared" si="49"/>
        <v>0</v>
      </c>
      <c r="E1587" s="157">
        <v>7.61</v>
      </c>
      <c r="F1587" s="165"/>
      <c r="G1587" s="166">
        <v>804</v>
      </c>
      <c r="H1587" s="167">
        <v>7.77</v>
      </c>
      <c r="I1587" s="165"/>
      <c r="J1587" s="167"/>
      <c r="K1587" s="167">
        <v>14.3</v>
      </c>
      <c r="L1587" s="167">
        <v>12.2</v>
      </c>
      <c r="M1587" s="168">
        <v>0.38888888888888901</v>
      </c>
      <c r="N1587" s="67"/>
    </row>
    <row r="1588" spans="1:14" x14ac:dyDescent="0.25">
      <c r="A1588" s="66">
        <v>45474</v>
      </c>
      <c r="B1588" s="67" t="s">
        <v>50</v>
      </c>
      <c r="C1588" s="129" t="str">
        <f t="shared" si="48"/>
        <v>01.07.2024_LIEohBo</v>
      </c>
      <c r="D1588" s="143">
        <f t="shared" si="49"/>
        <v>0</v>
      </c>
      <c r="E1588" s="157">
        <v>7.55</v>
      </c>
      <c r="F1588" s="165"/>
      <c r="G1588" s="166">
        <v>646</v>
      </c>
      <c r="H1588" s="167">
        <v>6.27</v>
      </c>
      <c r="I1588" s="165"/>
      <c r="J1588" s="167"/>
      <c r="K1588" s="167">
        <v>15.92</v>
      </c>
      <c r="L1588" s="167">
        <v>11.5</v>
      </c>
      <c r="M1588" s="168">
        <v>0.37361111111111101</v>
      </c>
      <c r="N1588" s="67"/>
    </row>
    <row r="1589" spans="1:14" x14ac:dyDescent="0.25">
      <c r="A1589" s="66">
        <v>45474</v>
      </c>
      <c r="B1589" s="67" t="s">
        <v>53</v>
      </c>
      <c r="C1589" s="129" t="str">
        <f t="shared" si="48"/>
        <v>01.07.2024_NATohBo</v>
      </c>
      <c r="D1589" s="143">
        <f t="shared" si="49"/>
        <v>0</v>
      </c>
      <c r="E1589" s="157">
        <v>7.5</v>
      </c>
      <c r="F1589" s="165"/>
      <c r="G1589" s="166">
        <v>1155</v>
      </c>
      <c r="H1589" s="167">
        <v>7.45</v>
      </c>
      <c r="I1589" s="165"/>
      <c r="J1589" s="167"/>
      <c r="K1589" s="167">
        <v>17.68</v>
      </c>
      <c r="L1589" s="167">
        <v>25.5</v>
      </c>
      <c r="M1589" s="168">
        <v>0.59027777777777801</v>
      </c>
      <c r="N1589" s="67"/>
    </row>
    <row r="1590" spans="1:14" x14ac:dyDescent="0.25">
      <c r="A1590" s="66">
        <v>45474</v>
      </c>
      <c r="B1590" s="67" t="s">
        <v>55</v>
      </c>
      <c r="C1590" s="129" t="str">
        <f t="shared" si="48"/>
        <v>01.07.2024_QUAohBo</v>
      </c>
      <c r="D1590" s="143">
        <f t="shared" si="49"/>
        <v>0</v>
      </c>
      <c r="E1590" s="157">
        <v>7.31</v>
      </c>
      <c r="F1590" s="165"/>
      <c r="G1590" s="166">
        <v>695</v>
      </c>
      <c r="H1590" s="167">
        <v>6.5</v>
      </c>
      <c r="I1590" s="165"/>
      <c r="J1590" s="167"/>
      <c r="K1590" s="167">
        <v>16.14</v>
      </c>
      <c r="L1590" s="167">
        <v>12.8</v>
      </c>
      <c r="M1590" s="168">
        <v>0.55416666666666703</v>
      </c>
      <c r="N1590" s="67"/>
    </row>
    <row r="1591" spans="1:14" x14ac:dyDescent="0.25">
      <c r="A1591" s="66">
        <v>45474</v>
      </c>
      <c r="B1591" s="67" t="s">
        <v>57</v>
      </c>
      <c r="C1591" s="129" t="str">
        <f t="shared" si="48"/>
        <v>01.07.2024_SCHohVo</v>
      </c>
      <c r="D1591" s="143">
        <f t="shared" si="49"/>
        <v>0</v>
      </c>
      <c r="E1591" s="157">
        <v>7.88</v>
      </c>
      <c r="F1591" s="165"/>
      <c r="G1591" s="166">
        <v>420</v>
      </c>
      <c r="H1591" s="167">
        <v>8.7200000000000006</v>
      </c>
      <c r="I1591" s="165"/>
      <c r="J1591" s="167"/>
      <c r="K1591" s="167">
        <v>15.24</v>
      </c>
      <c r="L1591" s="167">
        <v>1.5</v>
      </c>
      <c r="M1591" s="168">
        <v>0.40972222222222199</v>
      </c>
      <c r="N1591" s="67"/>
    </row>
    <row r="1592" spans="1:14" x14ac:dyDescent="0.25">
      <c r="A1592" s="66">
        <v>45474</v>
      </c>
      <c r="B1592" s="67" t="s">
        <v>60</v>
      </c>
      <c r="C1592" s="129" t="str">
        <f t="shared" si="48"/>
        <v>01.07.2024_VORohBo</v>
      </c>
      <c r="D1592" s="143">
        <f t="shared" si="49"/>
        <v>0</v>
      </c>
      <c r="E1592" s="157">
        <v>7.45</v>
      </c>
      <c r="F1592" s="165"/>
      <c r="G1592" s="166">
        <v>868</v>
      </c>
      <c r="H1592" s="167">
        <v>6.56</v>
      </c>
      <c r="I1592" s="165"/>
      <c r="J1592" s="167"/>
      <c r="K1592" s="167">
        <v>14.37</v>
      </c>
      <c r="L1592" s="167">
        <v>17</v>
      </c>
      <c r="M1592" s="168">
        <v>0.42708333333333298</v>
      </c>
      <c r="N1592" s="67"/>
    </row>
    <row r="1593" spans="1:14" x14ac:dyDescent="0.25">
      <c r="A1593" s="66">
        <v>45474</v>
      </c>
      <c r="B1593" s="67" t="s">
        <v>62</v>
      </c>
      <c r="C1593" s="129" t="str">
        <f t="shared" si="48"/>
        <v>01.07.2024_VORuhSc</v>
      </c>
      <c r="D1593" s="143">
        <f t="shared" si="49"/>
        <v>0</v>
      </c>
      <c r="E1593" s="157">
        <v>7.8</v>
      </c>
      <c r="F1593" s="165"/>
      <c r="G1593" s="166">
        <v>793</v>
      </c>
      <c r="H1593" s="167">
        <v>6.57</v>
      </c>
      <c r="I1593" s="165"/>
      <c r="J1593" s="167"/>
      <c r="K1593" s="167">
        <v>14.56</v>
      </c>
      <c r="L1593" s="167">
        <v>11</v>
      </c>
      <c r="M1593" s="168">
        <v>0.41666666666666702</v>
      </c>
      <c r="N1593" s="67"/>
    </row>
    <row r="1594" spans="1:14" x14ac:dyDescent="0.25">
      <c r="A1594" s="66">
        <v>45474</v>
      </c>
      <c r="B1594" s="67" t="s">
        <v>64</v>
      </c>
      <c r="C1594" s="129" t="str">
        <f t="shared" si="48"/>
        <v>01.07.2024_WITob</v>
      </c>
      <c r="D1594" s="143">
        <f t="shared" si="49"/>
        <v>0</v>
      </c>
      <c r="E1594" s="157">
        <v>7.88</v>
      </c>
      <c r="F1594" s="165"/>
      <c r="G1594" s="166">
        <v>1108</v>
      </c>
      <c r="H1594" s="167">
        <v>8.7799999999999994</v>
      </c>
      <c r="I1594" s="165"/>
      <c r="J1594" s="167"/>
      <c r="K1594" s="167">
        <v>15.44</v>
      </c>
      <c r="L1594" s="167">
        <v>0.5</v>
      </c>
      <c r="M1594" s="168">
        <v>0.57847222222222205</v>
      </c>
      <c r="N1594" s="67"/>
    </row>
    <row r="1595" spans="1:14" x14ac:dyDescent="0.25">
      <c r="A1595" s="66">
        <v>45488</v>
      </c>
      <c r="B1595" s="67" t="s">
        <v>22</v>
      </c>
      <c r="C1595" s="129" t="str">
        <f t="shared" si="48"/>
        <v>15.07.2024_BOYkl</v>
      </c>
      <c r="D1595" s="143">
        <f t="shared" si="49"/>
        <v>0</v>
      </c>
      <c r="E1595" s="157">
        <v>7.93</v>
      </c>
      <c r="F1595" s="165"/>
      <c r="G1595" s="166">
        <v>441</v>
      </c>
      <c r="H1595" s="167">
        <v>9.35</v>
      </c>
      <c r="I1595" s="165"/>
      <c r="J1595" s="167"/>
      <c r="K1595" s="167">
        <v>15.78</v>
      </c>
      <c r="L1595" s="167">
        <v>4</v>
      </c>
      <c r="M1595" s="168">
        <v>0.44027777777777799</v>
      </c>
      <c r="N1595" s="67"/>
    </row>
    <row r="1596" spans="1:14" x14ac:dyDescent="0.25">
      <c r="A1596" s="66">
        <v>45488</v>
      </c>
      <c r="B1596" s="67" t="s">
        <v>25</v>
      </c>
      <c r="C1596" s="129" t="str">
        <f t="shared" si="48"/>
        <v>15.07.2024_BOYohB224</v>
      </c>
      <c r="D1596" s="143">
        <f t="shared" si="49"/>
        <v>0</v>
      </c>
      <c r="E1596" s="157">
        <v>7.87</v>
      </c>
      <c r="F1596" s="165"/>
      <c r="G1596" s="166">
        <v>990</v>
      </c>
      <c r="H1596" s="167">
        <v>9.19</v>
      </c>
      <c r="I1596" s="165"/>
      <c r="J1596" s="167"/>
      <c r="K1596" s="167">
        <v>23.06</v>
      </c>
      <c r="L1596" s="167">
        <v>21.9</v>
      </c>
      <c r="M1596" s="168">
        <v>0.62083333333333302</v>
      </c>
      <c r="N1596" s="67"/>
    </row>
    <row r="1597" spans="1:14" x14ac:dyDescent="0.25">
      <c r="A1597" s="66">
        <v>45488</v>
      </c>
      <c r="B1597" s="67" t="s">
        <v>28</v>
      </c>
      <c r="C1597" s="129" t="str">
        <f t="shared" si="48"/>
        <v>15.07.2024_BOYohBr</v>
      </c>
      <c r="D1597" s="143">
        <f t="shared" si="49"/>
        <v>0</v>
      </c>
      <c r="E1597" s="157">
        <v>7.39</v>
      </c>
      <c r="F1597" s="165"/>
      <c r="G1597" s="166">
        <v>569</v>
      </c>
      <c r="H1597" s="167">
        <v>8.09</v>
      </c>
      <c r="I1597" s="165"/>
      <c r="J1597" s="167"/>
      <c r="K1597" s="167">
        <v>14.24</v>
      </c>
      <c r="L1597" s="167">
        <v>27</v>
      </c>
      <c r="M1597" s="168">
        <v>0.52708333333333302</v>
      </c>
      <c r="N1597" s="67"/>
    </row>
    <row r="1598" spans="1:14" x14ac:dyDescent="0.25">
      <c r="A1598" s="66">
        <v>45488</v>
      </c>
      <c r="B1598" s="67" t="s">
        <v>30</v>
      </c>
      <c r="C1598" s="129" t="str">
        <f t="shared" si="48"/>
        <v>15.07.2024_BOYohKi</v>
      </c>
      <c r="D1598" s="143">
        <f t="shared" si="49"/>
        <v>0</v>
      </c>
      <c r="E1598" s="157">
        <v>7.75</v>
      </c>
      <c r="F1598" s="165"/>
      <c r="G1598" s="166">
        <v>830</v>
      </c>
      <c r="H1598" s="167">
        <v>8.64</v>
      </c>
      <c r="I1598" s="165"/>
      <c r="J1598" s="167"/>
      <c r="K1598" s="167">
        <v>14.45</v>
      </c>
      <c r="L1598" s="167">
        <v>48.5</v>
      </c>
      <c r="M1598" s="168">
        <v>0.38263888888888897</v>
      </c>
      <c r="N1598" s="67"/>
    </row>
    <row r="1599" spans="1:14" x14ac:dyDescent="0.25">
      <c r="A1599" s="66">
        <v>45488</v>
      </c>
      <c r="B1599" s="67" t="s">
        <v>32</v>
      </c>
      <c r="C1599" s="129" t="str">
        <f t="shared" ref="C1599:C1662" si="50">CONCATENATE(TEXT(A1599,"TT.MM.JJJJ"),"_",B1599)</f>
        <v>15.07.2024_BOYohSp</v>
      </c>
      <c r="D1599" s="143">
        <f t="shared" si="49"/>
        <v>0</v>
      </c>
      <c r="E1599" s="157">
        <v>7.3</v>
      </c>
      <c r="F1599" s="165"/>
      <c r="G1599" s="166">
        <v>678</v>
      </c>
      <c r="H1599" s="167">
        <v>8.27</v>
      </c>
      <c r="I1599" s="165"/>
      <c r="J1599" s="167"/>
      <c r="K1599" s="167">
        <v>14.98</v>
      </c>
      <c r="L1599" s="167">
        <v>20.8</v>
      </c>
      <c r="M1599" s="168">
        <v>0.54583333333333295</v>
      </c>
      <c r="N1599" s="67"/>
    </row>
    <row r="1600" spans="1:14" x14ac:dyDescent="0.25">
      <c r="A1600" s="66">
        <v>45488</v>
      </c>
      <c r="B1600" s="67" t="s">
        <v>34</v>
      </c>
      <c r="C1600" s="129" t="str">
        <f t="shared" si="50"/>
        <v>15.07.2024_BOYuhHa</v>
      </c>
      <c r="D1600" s="143">
        <f t="shared" ref="D1600:D1663" si="51">COUNTBLANK(E1600)+COUNTBLANK(G1600:H1600)+COUNTBLANK(K1600:L1600)</f>
        <v>0</v>
      </c>
      <c r="E1600" s="157">
        <v>7.84</v>
      </c>
      <c r="F1600" s="165"/>
      <c r="G1600" s="166">
        <v>1055</v>
      </c>
      <c r="H1600" s="167">
        <v>8.9600000000000009</v>
      </c>
      <c r="I1600" s="165"/>
      <c r="J1600" s="167"/>
      <c r="K1600" s="167">
        <v>14.4</v>
      </c>
      <c r="L1600" s="167">
        <v>23.1</v>
      </c>
      <c r="M1600" s="168">
        <v>0.36319444444444399</v>
      </c>
      <c r="N1600" s="67"/>
    </row>
    <row r="1601" spans="1:14" x14ac:dyDescent="0.25">
      <c r="A1601" s="66">
        <v>45488</v>
      </c>
      <c r="B1601" s="67" t="s">
        <v>36</v>
      </c>
      <c r="C1601" s="129" t="str">
        <f t="shared" si="50"/>
        <v>15.07.2024_BOYuhSp</v>
      </c>
      <c r="D1601" s="143">
        <f t="shared" si="51"/>
        <v>0</v>
      </c>
      <c r="E1601" s="157">
        <v>7.66</v>
      </c>
      <c r="F1601" s="165"/>
      <c r="G1601" s="166">
        <v>701</v>
      </c>
      <c r="H1601" s="167">
        <v>8.76</v>
      </c>
      <c r="I1601" s="165"/>
      <c r="J1601" s="167"/>
      <c r="K1601" s="167">
        <v>15.03</v>
      </c>
      <c r="L1601" s="167">
        <v>33.200000000000003</v>
      </c>
      <c r="M1601" s="168">
        <v>0.54097222222222197</v>
      </c>
      <c r="N1601" s="67"/>
    </row>
    <row r="1602" spans="1:14" x14ac:dyDescent="0.25">
      <c r="A1602" s="66">
        <v>45488</v>
      </c>
      <c r="B1602" s="67" t="s">
        <v>38</v>
      </c>
      <c r="C1602" s="129" t="str">
        <f t="shared" si="50"/>
        <v>15.07.2024_BRAob</v>
      </c>
      <c r="D1602" s="143">
        <f t="shared" si="51"/>
        <v>0</v>
      </c>
      <c r="E1602" s="157">
        <v>7.73</v>
      </c>
      <c r="F1602" s="165"/>
      <c r="G1602" s="166">
        <v>820</v>
      </c>
      <c r="H1602" s="167">
        <v>8.74</v>
      </c>
      <c r="I1602" s="165"/>
      <c r="J1602" s="167"/>
      <c r="K1602" s="167">
        <v>16.010000000000002</v>
      </c>
      <c r="L1602" s="167">
        <v>5.3</v>
      </c>
      <c r="M1602" s="168">
        <v>0.49861111111111101</v>
      </c>
      <c r="N1602" s="67"/>
    </row>
    <row r="1603" spans="1:14" x14ac:dyDescent="0.25">
      <c r="A1603" s="66">
        <v>45488</v>
      </c>
      <c r="B1603" s="67" t="s">
        <v>41</v>
      </c>
      <c r="C1603" s="129" t="str">
        <f t="shared" si="50"/>
        <v>15.07.2024_BRAohBo</v>
      </c>
      <c r="D1603" s="143">
        <f t="shared" si="51"/>
        <v>0</v>
      </c>
      <c r="E1603" s="157">
        <v>7.8</v>
      </c>
      <c r="F1603" s="165"/>
      <c r="G1603" s="166">
        <v>762</v>
      </c>
      <c r="H1603" s="167">
        <v>8.34</v>
      </c>
      <c r="I1603" s="165"/>
      <c r="J1603" s="167"/>
      <c r="K1603" s="167">
        <v>16.11</v>
      </c>
      <c r="L1603" s="167">
        <v>17.399999999999999</v>
      </c>
      <c r="M1603" s="168">
        <v>0.50902777777777797</v>
      </c>
      <c r="N1603" s="67"/>
    </row>
    <row r="1604" spans="1:14" x14ac:dyDescent="0.25">
      <c r="A1604" s="66">
        <v>45488</v>
      </c>
      <c r="B1604" s="67" t="s">
        <v>174</v>
      </c>
      <c r="C1604" s="129" t="str">
        <f t="shared" si="50"/>
        <v>15.07.2024_Einleitung</v>
      </c>
      <c r="D1604" s="143">
        <f t="shared" si="51"/>
        <v>0</v>
      </c>
      <c r="E1604" s="157">
        <v>6.97</v>
      </c>
      <c r="F1604" s="165"/>
      <c r="G1604" s="166">
        <v>506</v>
      </c>
      <c r="H1604" s="167">
        <v>8.74</v>
      </c>
      <c r="I1604" s="165"/>
      <c r="J1604" s="167"/>
      <c r="K1604" s="167">
        <v>15.4</v>
      </c>
      <c r="L1604" s="167">
        <v>2</v>
      </c>
      <c r="M1604" s="168">
        <v>0.454166666666667</v>
      </c>
      <c r="N1604" s="67"/>
    </row>
    <row r="1605" spans="1:14" x14ac:dyDescent="0.25">
      <c r="A1605" s="66">
        <v>45488</v>
      </c>
      <c r="B1605" s="67" t="s">
        <v>43</v>
      </c>
      <c r="C1605" s="129" t="str">
        <f t="shared" si="50"/>
        <v>15.07.2024_HAAob</v>
      </c>
      <c r="D1605" s="143">
        <f t="shared" si="51"/>
        <v>0</v>
      </c>
      <c r="E1605" s="157">
        <v>7.85</v>
      </c>
      <c r="F1605" s="165"/>
      <c r="G1605" s="166">
        <v>655</v>
      </c>
      <c r="H1605" s="167">
        <v>8.15</v>
      </c>
      <c r="I1605" s="165"/>
      <c r="J1605" s="167"/>
      <c r="K1605" s="167">
        <v>19.28</v>
      </c>
      <c r="L1605" s="167">
        <v>10.9</v>
      </c>
      <c r="M1605" s="168">
        <v>0.57361111111111096</v>
      </c>
      <c r="N1605" s="67"/>
    </row>
    <row r="1606" spans="1:14" x14ac:dyDescent="0.25">
      <c r="A1606" s="66">
        <v>45488</v>
      </c>
      <c r="B1606" s="67" t="s">
        <v>45</v>
      </c>
      <c r="C1606" s="129" t="str">
        <f t="shared" si="50"/>
        <v>15.07.2024_HAAun</v>
      </c>
      <c r="D1606" s="143">
        <f t="shared" si="51"/>
        <v>0</v>
      </c>
      <c r="E1606" s="157">
        <v>7.5</v>
      </c>
      <c r="F1606" s="165"/>
      <c r="G1606" s="166">
        <v>973</v>
      </c>
      <c r="H1606" s="167">
        <v>8.1300000000000008</v>
      </c>
      <c r="I1606" s="165"/>
      <c r="J1606" s="167"/>
      <c r="K1606" s="167">
        <v>17.55</v>
      </c>
      <c r="L1606" s="167">
        <v>11.9</v>
      </c>
      <c r="M1606" s="168">
        <v>0.56527777777777799</v>
      </c>
      <c r="N1606" s="67"/>
    </row>
    <row r="1607" spans="1:14" x14ac:dyDescent="0.25">
      <c r="A1607" s="66">
        <v>45488</v>
      </c>
      <c r="B1607" s="67" t="s">
        <v>47</v>
      </c>
      <c r="C1607" s="129" t="str">
        <f t="shared" si="50"/>
        <v>15.07.2024_KIRob</v>
      </c>
      <c r="D1607" s="143">
        <f t="shared" si="51"/>
        <v>0</v>
      </c>
      <c r="E1607" s="157">
        <v>7.77</v>
      </c>
      <c r="F1607" s="165"/>
      <c r="G1607" s="166">
        <v>1117</v>
      </c>
      <c r="H1607" s="167">
        <v>7.39</v>
      </c>
      <c r="I1607" s="165"/>
      <c r="J1607" s="167"/>
      <c r="K1607" s="167">
        <v>14.03</v>
      </c>
      <c r="L1607" s="167">
        <v>16.100000000000001</v>
      </c>
      <c r="M1607" s="168">
        <v>0.39861111111111103</v>
      </c>
      <c r="N1607" s="67"/>
    </row>
    <row r="1608" spans="1:14" x14ac:dyDescent="0.25">
      <c r="A1608" s="66">
        <v>45488</v>
      </c>
      <c r="B1608" s="67" t="s">
        <v>49</v>
      </c>
      <c r="C1608" s="129" t="str">
        <f t="shared" si="50"/>
        <v>15.07.2024_KIRun</v>
      </c>
      <c r="D1608" s="143">
        <f t="shared" si="51"/>
        <v>0</v>
      </c>
      <c r="E1608" s="157">
        <v>7.8</v>
      </c>
      <c r="F1608" s="165"/>
      <c r="G1608" s="166">
        <v>1032</v>
      </c>
      <c r="H1608" s="167">
        <v>8.51</v>
      </c>
      <c r="I1608" s="165"/>
      <c r="J1608" s="167"/>
      <c r="K1608" s="167">
        <v>13.9</v>
      </c>
      <c r="L1608" s="167">
        <v>11</v>
      </c>
      <c r="M1608" s="168">
        <v>0.391666666666667</v>
      </c>
      <c r="N1608" s="67"/>
    </row>
    <row r="1609" spans="1:14" x14ac:dyDescent="0.25">
      <c r="A1609" s="66">
        <v>45488</v>
      </c>
      <c r="B1609" s="67" t="s">
        <v>50</v>
      </c>
      <c r="C1609" s="129" t="str">
        <f t="shared" si="50"/>
        <v>15.07.2024_LIEohBo</v>
      </c>
      <c r="D1609" s="143">
        <f t="shared" si="51"/>
        <v>0</v>
      </c>
      <c r="E1609" s="157">
        <v>7.81</v>
      </c>
      <c r="F1609" s="165"/>
      <c r="G1609" s="166">
        <v>783</v>
      </c>
      <c r="H1609" s="167">
        <v>7.38</v>
      </c>
      <c r="I1609" s="165"/>
      <c r="J1609" s="167"/>
      <c r="K1609" s="167">
        <v>14.15</v>
      </c>
      <c r="L1609" s="167">
        <v>12.6</v>
      </c>
      <c r="M1609" s="168">
        <v>0.37361111111111101</v>
      </c>
      <c r="N1609" s="67"/>
    </row>
    <row r="1610" spans="1:14" x14ac:dyDescent="0.25">
      <c r="A1610" s="66">
        <v>45488</v>
      </c>
      <c r="B1610" s="67" t="s">
        <v>53</v>
      </c>
      <c r="C1610" s="129" t="str">
        <f t="shared" si="50"/>
        <v>15.07.2024_NATohBo</v>
      </c>
      <c r="D1610" s="143">
        <f t="shared" si="51"/>
        <v>0</v>
      </c>
      <c r="E1610" s="157">
        <v>7.43</v>
      </c>
      <c r="F1610" s="165"/>
      <c r="G1610" s="166">
        <v>1592</v>
      </c>
      <c r="H1610" s="167">
        <v>7.86</v>
      </c>
      <c r="I1610" s="165"/>
      <c r="J1610" s="167"/>
      <c r="K1610" s="167">
        <v>18.63</v>
      </c>
      <c r="L1610" s="167">
        <v>37</v>
      </c>
      <c r="M1610" s="168">
        <v>0.60972222222222205</v>
      </c>
      <c r="N1610" s="67"/>
    </row>
    <row r="1611" spans="1:14" x14ac:dyDescent="0.25">
      <c r="A1611" s="66">
        <v>45488</v>
      </c>
      <c r="B1611" s="67" t="s">
        <v>55</v>
      </c>
      <c r="C1611" s="129" t="str">
        <f t="shared" si="50"/>
        <v>15.07.2024_QUAohBo</v>
      </c>
      <c r="D1611" s="143">
        <f t="shared" si="51"/>
        <v>0</v>
      </c>
      <c r="E1611" s="157">
        <v>7.42</v>
      </c>
      <c r="F1611" s="165"/>
      <c r="G1611" s="166">
        <v>850</v>
      </c>
      <c r="H1611" s="167">
        <v>6.97</v>
      </c>
      <c r="I1611" s="165"/>
      <c r="J1611" s="167"/>
      <c r="K1611" s="167">
        <v>16.8</v>
      </c>
      <c r="L1611" s="167">
        <v>9.4</v>
      </c>
      <c r="M1611" s="168">
        <v>0.55416666666666703</v>
      </c>
      <c r="N1611" s="67"/>
    </row>
    <row r="1612" spans="1:14" x14ac:dyDescent="0.25">
      <c r="A1612" s="66">
        <v>45488</v>
      </c>
      <c r="B1612" s="67" t="s">
        <v>57</v>
      </c>
      <c r="C1612" s="129" t="str">
        <f t="shared" si="50"/>
        <v>15.07.2024_SCHohVo</v>
      </c>
      <c r="D1612" s="143">
        <f t="shared" si="51"/>
        <v>0</v>
      </c>
      <c r="E1612" s="157">
        <v>8.01</v>
      </c>
      <c r="F1612" s="165"/>
      <c r="G1612" s="166">
        <v>504</v>
      </c>
      <c r="H1612" s="167">
        <v>9.4499999999999993</v>
      </c>
      <c r="I1612" s="165"/>
      <c r="J1612" s="167"/>
      <c r="K1612" s="167">
        <v>14.93</v>
      </c>
      <c r="L1612" s="167">
        <v>3.8</v>
      </c>
      <c r="M1612" s="168">
        <v>0.40902777777777799</v>
      </c>
      <c r="N1612" s="67"/>
    </row>
    <row r="1613" spans="1:14" x14ac:dyDescent="0.25">
      <c r="A1613" s="66">
        <v>45488</v>
      </c>
      <c r="B1613" s="67" t="s">
        <v>60</v>
      </c>
      <c r="C1613" s="129" t="str">
        <f t="shared" si="50"/>
        <v>15.07.2024_VORohBo</v>
      </c>
      <c r="D1613" s="143">
        <f t="shared" si="51"/>
        <v>0</v>
      </c>
      <c r="E1613" s="157">
        <v>7.39</v>
      </c>
      <c r="F1613" s="165"/>
      <c r="G1613" s="166">
        <v>1115</v>
      </c>
      <c r="H1613" s="167">
        <v>7.32</v>
      </c>
      <c r="I1613" s="165"/>
      <c r="J1613" s="167"/>
      <c r="K1613" s="167">
        <v>13.75</v>
      </c>
      <c r="L1613" s="167">
        <v>15.1</v>
      </c>
      <c r="M1613" s="168">
        <v>0.42638888888888898</v>
      </c>
      <c r="N1613" s="67"/>
    </row>
    <row r="1614" spans="1:14" x14ac:dyDescent="0.25">
      <c r="A1614" s="66">
        <v>45488</v>
      </c>
      <c r="B1614" s="67" t="s">
        <v>62</v>
      </c>
      <c r="C1614" s="129" t="str">
        <f t="shared" si="50"/>
        <v>15.07.2024_VORuhSc</v>
      </c>
      <c r="D1614" s="143">
        <f t="shared" si="51"/>
        <v>0</v>
      </c>
      <c r="E1614" s="157">
        <v>7</v>
      </c>
      <c r="F1614" s="165"/>
      <c r="G1614" s="166">
        <v>1054</v>
      </c>
      <c r="H1614" s="167">
        <v>7.25</v>
      </c>
      <c r="I1614" s="165"/>
      <c r="J1614" s="167"/>
      <c r="K1614" s="167">
        <v>13.72</v>
      </c>
      <c r="L1614" s="167">
        <v>10.3</v>
      </c>
      <c r="M1614" s="168">
        <v>0.41736111111111102</v>
      </c>
      <c r="N1614" s="67" t="s">
        <v>173</v>
      </c>
    </row>
    <row r="1615" spans="1:14" x14ac:dyDescent="0.25">
      <c r="A1615" s="66">
        <v>45488</v>
      </c>
      <c r="B1615" s="67" t="s">
        <v>175</v>
      </c>
      <c r="C1615" s="129" t="str">
        <f t="shared" si="50"/>
        <v>15.07.2024_Wiesent.</v>
      </c>
      <c r="D1615" s="143">
        <f t="shared" si="51"/>
        <v>0</v>
      </c>
      <c r="E1615" s="157">
        <v>7.06</v>
      </c>
      <c r="F1615" s="165"/>
      <c r="G1615" s="166">
        <v>506</v>
      </c>
      <c r="H1615" s="167">
        <v>7.94</v>
      </c>
      <c r="I1615" s="165"/>
      <c r="J1615" s="167"/>
      <c r="K1615" s="167">
        <v>15.8</v>
      </c>
      <c r="L1615" s="167">
        <v>3.9</v>
      </c>
      <c r="M1615" s="168">
        <v>0.45694444444444399</v>
      </c>
      <c r="N1615" s="67" t="s">
        <v>176</v>
      </c>
    </row>
    <row r="1616" spans="1:14" x14ac:dyDescent="0.25">
      <c r="A1616" s="66">
        <v>45488</v>
      </c>
      <c r="B1616" s="67" t="s">
        <v>64</v>
      </c>
      <c r="C1616" s="129" t="str">
        <f t="shared" si="50"/>
        <v>15.07.2024_WITob</v>
      </c>
      <c r="D1616" s="143">
        <f t="shared" si="51"/>
        <v>0</v>
      </c>
      <c r="E1616" s="157">
        <v>8.1</v>
      </c>
      <c r="F1616" s="165"/>
      <c r="G1616" s="166">
        <v>1408</v>
      </c>
      <c r="H1616" s="167">
        <v>8.94</v>
      </c>
      <c r="I1616" s="165"/>
      <c r="J1616" s="167"/>
      <c r="K1616" s="167">
        <v>18.3</v>
      </c>
      <c r="L1616" s="167">
        <v>1</v>
      </c>
      <c r="M1616" s="168">
        <v>0.59722222222222199</v>
      </c>
      <c r="N1616" s="67"/>
    </row>
    <row r="1617" spans="1:14" x14ac:dyDescent="0.25">
      <c r="A1617" s="66">
        <v>45502</v>
      </c>
      <c r="B1617" s="67" t="s">
        <v>22</v>
      </c>
      <c r="C1617" s="129" t="str">
        <f t="shared" si="50"/>
        <v>29.07.2024_BOYkl</v>
      </c>
      <c r="D1617" s="143">
        <f t="shared" si="51"/>
        <v>0</v>
      </c>
      <c r="E1617" s="157">
        <v>8.02</v>
      </c>
      <c r="F1617" s="165"/>
      <c r="G1617" s="166">
        <v>460</v>
      </c>
      <c r="H1617" s="167">
        <v>9.4600000000000009</v>
      </c>
      <c r="I1617" s="165"/>
      <c r="J1617" s="167"/>
      <c r="K1617" s="167">
        <v>16.68</v>
      </c>
      <c r="L1617" s="167">
        <v>1</v>
      </c>
      <c r="M1617" s="168">
        <v>0.44166666666666698</v>
      </c>
      <c r="N1617" s="67"/>
    </row>
    <row r="1618" spans="1:14" x14ac:dyDescent="0.25">
      <c r="A1618" s="66">
        <v>45502</v>
      </c>
      <c r="B1618" s="67" t="s">
        <v>25</v>
      </c>
      <c r="C1618" s="129" t="str">
        <f t="shared" si="50"/>
        <v>29.07.2024_BOYohB224</v>
      </c>
      <c r="D1618" s="143">
        <f t="shared" si="51"/>
        <v>0</v>
      </c>
      <c r="E1618" s="157">
        <v>8.61</v>
      </c>
      <c r="F1618" s="165"/>
      <c r="G1618" s="166">
        <v>1017</v>
      </c>
      <c r="H1618" s="167">
        <v>12.38</v>
      </c>
      <c r="I1618" s="165"/>
      <c r="J1618" s="167"/>
      <c r="K1618" s="167">
        <v>23.85</v>
      </c>
      <c r="L1618" s="167">
        <v>28</v>
      </c>
      <c r="M1618" s="168">
        <v>0.62222222222222201</v>
      </c>
      <c r="N1618" s="67"/>
    </row>
    <row r="1619" spans="1:14" x14ac:dyDescent="0.25">
      <c r="A1619" s="66">
        <v>45502</v>
      </c>
      <c r="B1619" s="67" t="s">
        <v>28</v>
      </c>
      <c r="C1619" s="129" t="str">
        <f t="shared" si="50"/>
        <v>29.07.2024_BOYohBr</v>
      </c>
      <c r="D1619" s="143">
        <f t="shared" si="51"/>
        <v>0</v>
      </c>
      <c r="E1619" s="157">
        <v>7.74</v>
      </c>
      <c r="F1619" s="165"/>
      <c r="G1619" s="166">
        <v>581</v>
      </c>
      <c r="H1619" s="167">
        <v>8.61</v>
      </c>
      <c r="I1619" s="165"/>
      <c r="J1619" s="167"/>
      <c r="K1619" s="167">
        <v>14.9</v>
      </c>
      <c r="L1619" s="167">
        <v>19</v>
      </c>
      <c r="M1619" s="168">
        <v>0.53125</v>
      </c>
      <c r="N1619" s="67"/>
    </row>
    <row r="1620" spans="1:14" x14ac:dyDescent="0.25">
      <c r="A1620" s="66">
        <v>45502</v>
      </c>
      <c r="B1620" s="67" t="s">
        <v>30</v>
      </c>
      <c r="C1620" s="129" t="str">
        <f t="shared" si="50"/>
        <v>29.07.2024_BOYohKi</v>
      </c>
      <c r="D1620" s="143">
        <f t="shared" si="51"/>
        <v>0</v>
      </c>
      <c r="E1620" s="157">
        <v>7.84</v>
      </c>
      <c r="F1620" s="165"/>
      <c r="G1620" s="166">
        <v>852</v>
      </c>
      <c r="H1620" s="167">
        <v>8.86</v>
      </c>
      <c r="I1620" s="165"/>
      <c r="J1620" s="167"/>
      <c r="K1620" s="167">
        <v>14.93</v>
      </c>
      <c r="L1620" s="167">
        <v>44</v>
      </c>
      <c r="M1620" s="168">
        <v>0.37361111111111101</v>
      </c>
      <c r="N1620" s="67"/>
    </row>
    <row r="1621" spans="1:14" x14ac:dyDescent="0.25">
      <c r="A1621" s="66">
        <v>45502</v>
      </c>
      <c r="B1621" s="67" t="s">
        <v>32</v>
      </c>
      <c r="C1621" s="129" t="str">
        <f t="shared" si="50"/>
        <v>29.07.2024_BOYohSp</v>
      </c>
      <c r="D1621" s="143">
        <f t="shared" si="51"/>
        <v>0</v>
      </c>
      <c r="E1621" s="157">
        <v>7.83</v>
      </c>
      <c r="F1621" s="165"/>
      <c r="G1621" s="166">
        <v>671</v>
      </c>
      <c r="H1621" s="167">
        <v>8.93</v>
      </c>
      <c r="I1621" s="165"/>
      <c r="J1621" s="167"/>
      <c r="K1621" s="167">
        <v>15.71</v>
      </c>
      <c r="L1621" s="167">
        <v>20</v>
      </c>
      <c r="M1621" s="168">
        <v>0.54722222222222205</v>
      </c>
      <c r="N1621" s="67"/>
    </row>
    <row r="1622" spans="1:14" x14ac:dyDescent="0.25">
      <c r="A1622" s="66">
        <v>45502</v>
      </c>
      <c r="B1622" s="67" t="s">
        <v>34</v>
      </c>
      <c r="C1622" s="129" t="str">
        <f t="shared" si="50"/>
        <v>29.07.2024_BOYuhHa</v>
      </c>
      <c r="D1622" s="143">
        <f t="shared" si="51"/>
        <v>0</v>
      </c>
      <c r="E1622" s="157">
        <v>7.17</v>
      </c>
      <c r="F1622" s="165"/>
      <c r="G1622" s="166">
        <v>1131</v>
      </c>
      <c r="H1622" s="167">
        <v>9.48</v>
      </c>
      <c r="I1622" s="165"/>
      <c r="J1622" s="167"/>
      <c r="K1622" s="167">
        <v>15.05</v>
      </c>
      <c r="L1622" s="167">
        <v>12</v>
      </c>
      <c r="M1622" s="168">
        <v>0.35416666666666702</v>
      </c>
      <c r="N1622" s="67"/>
    </row>
    <row r="1623" spans="1:14" x14ac:dyDescent="0.25">
      <c r="A1623" s="66">
        <v>45502</v>
      </c>
      <c r="B1623" s="67" t="s">
        <v>36</v>
      </c>
      <c r="C1623" s="129" t="str">
        <f t="shared" si="50"/>
        <v>29.07.2024_BOYuhSp</v>
      </c>
      <c r="D1623" s="143">
        <f t="shared" si="51"/>
        <v>0</v>
      </c>
      <c r="E1623" s="157">
        <v>7.94</v>
      </c>
      <c r="F1623" s="165"/>
      <c r="G1623" s="166">
        <v>683</v>
      </c>
      <c r="H1623" s="167">
        <v>9.4600000000000009</v>
      </c>
      <c r="I1623" s="165"/>
      <c r="J1623" s="167"/>
      <c r="K1623" s="167">
        <v>15.84</v>
      </c>
      <c r="L1623" s="167">
        <v>27</v>
      </c>
      <c r="M1623" s="168">
        <v>0.54305555555555596</v>
      </c>
      <c r="N1623" s="67"/>
    </row>
    <row r="1624" spans="1:14" x14ac:dyDescent="0.25">
      <c r="A1624" s="66">
        <v>45502</v>
      </c>
      <c r="B1624" s="67" t="s">
        <v>38</v>
      </c>
      <c r="C1624" s="129" t="str">
        <f t="shared" si="50"/>
        <v>29.07.2024_BRAob</v>
      </c>
      <c r="D1624" s="143">
        <f t="shared" si="51"/>
        <v>0</v>
      </c>
      <c r="E1624" s="157">
        <v>8.07</v>
      </c>
      <c r="F1624" s="165"/>
      <c r="G1624" s="166">
        <v>795</v>
      </c>
      <c r="H1624" s="167">
        <v>9.3699999999999992</v>
      </c>
      <c r="I1624" s="165"/>
      <c r="J1624" s="167"/>
      <c r="K1624" s="167">
        <v>16.91</v>
      </c>
      <c r="L1624" s="167">
        <v>4.5</v>
      </c>
      <c r="M1624" s="168">
        <v>0.50694444444444398</v>
      </c>
      <c r="N1624" s="67"/>
    </row>
    <row r="1625" spans="1:14" x14ac:dyDescent="0.25">
      <c r="A1625" s="66">
        <v>45502</v>
      </c>
      <c r="B1625" s="67" t="s">
        <v>41</v>
      </c>
      <c r="C1625" s="129" t="str">
        <f t="shared" si="50"/>
        <v>29.07.2024_BRAohBo</v>
      </c>
      <c r="D1625" s="143">
        <f t="shared" si="51"/>
        <v>0</v>
      </c>
      <c r="E1625" s="157">
        <v>8.09</v>
      </c>
      <c r="F1625" s="165"/>
      <c r="G1625" s="166">
        <v>764</v>
      </c>
      <c r="H1625" s="167">
        <v>8.89</v>
      </c>
      <c r="I1625" s="165"/>
      <c r="J1625" s="167"/>
      <c r="K1625" s="167">
        <v>16.989999999999998</v>
      </c>
      <c r="L1625" s="167">
        <v>22</v>
      </c>
      <c r="M1625" s="168">
        <v>0.51805555555555605</v>
      </c>
      <c r="N1625" s="67" t="s">
        <v>374</v>
      </c>
    </row>
    <row r="1626" spans="1:14" x14ac:dyDescent="0.25">
      <c r="A1626" s="66">
        <v>45502</v>
      </c>
      <c r="B1626" s="67" t="s">
        <v>43</v>
      </c>
      <c r="C1626" s="129" t="str">
        <f t="shared" si="50"/>
        <v>29.07.2024_HAAob</v>
      </c>
      <c r="D1626" s="143">
        <f t="shared" si="51"/>
        <v>0</v>
      </c>
      <c r="E1626" s="157">
        <v>8.1300000000000008</v>
      </c>
      <c r="F1626" s="165"/>
      <c r="G1626" s="166">
        <v>664</v>
      </c>
      <c r="H1626" s="167">
        <v>8.43</v>
      </c>
      <c r="I1626" s="165"/>
      <c r="J1626" s="167"/>
      <c r="K1626" s="167">
        <v>20.25</v>
      </c>
      <c r="L1626" s="167">
        <v>9</v>
      </c>
      <c r="M1626" s="168">
        <v>0.58541666666666703</v>
      </c>
      <c r="N1626" s="67"/>
    </row>
    <row r="1627" spans="1:14" x14ac:dyDescent="0.25">
      <c r="A1627" s="66">
        <v>45502</v>
      </c>
      <c r="B1627" s="67" t="s">
        <v>45</v>
      </c>
      <c r="C1627" s="129" t="str">
        <f t="shared" si="50"/>
        <v>29.07.2024_HAAun</v>
      </c>
      <c r="D1627" s="143">
        <f t="shared" si="51"/>
        <v>0</v>
      </c>
      <c r="E1627" s="157">
        <v>8.06</v>
      </c>
      <c r="F1627" s="165"/>
      <c r="G1627" s="166">
        <v>1045</v>
      </c>
      <c r="H1627" s="167">
        <v>8.75</v>
      </c>
      <c r="I1627" s="165"/>
      <c r="J1627" s="167"/>
      <c r="K1627" s="167">
        <v>18.350000000000001</v>
      </c>
      <c r="L1627" s="167">
        <v>10</v>
      </c>
      <c r="M1627" s="168">
        <v>0.57222222222222197</v>
      </c>
      <c r="N1627" s="67"/>
    </row>
    <row r="1628" spans="1:14" x14ac:dyDescent="0.25">
      <c r="A1628" s="66">
        <v>45502</v>
      </c>
      <c r="B1628" s="67" t="s">
        <v>47</v>
      </c>
      <c r="C1628" s="129" t="str">
        <f t="shared" si="50"/>
        <v>29.07.2024_KIRob</v>
      </c>
      <c r="D1628" s="143">
        <f t="shared" si="51"/>
        <v>0</v>
      </c>
      <c r="E1628" s="157">
        <v>8.0399999999999991</v>
      </c>
      <c r="F1628" s="165"/>
      <c r="G1628" s="166">
        <v>1150</v>
      </c>
      <c r="H1628" s="167">
        <v>8.2899999999999991</v>
      </c>
      <c r="I1628" s="165"/>
      <c r="J1628" s="167"/>
      <c r="K1628" s="167">
        <v>14.6</v>
      </c>
      <c r="L1628" s="167">
        <v>18</v>
      </c>
      <c r="M1628" s="168">
        <v>0.390972222222222</v>
      </c>
      <c r="N1628" s="67"/>
    </row>
    <row r="1629" spans="1:14" x14ac:dyDescent="0.25">
      <c r="A1629" s="66">
        <v>45502</v>
      </c>
      <c r="B1629" s="67" t="s">
        <v>49</v>
      </c>
      <c r="C1629" s="129" t="str">
        <f t="shared" si="50"/>
        <v>29.07.2024_KIRun</v>
      </c>
      <c r="D1629" s="143">
        <f t="shared" si="51"/>
        <v>0</v>
      </c>
      <c r="E1629" s="157">
        <v>7.93</v>
      </c>
      <c r="F1629" s="165"/>
      <c r="G1629" s="166">
        <v>1042</v>
      </c>
      <c r="H1629" s="167">
        <v>9.0399999999999991</v>
      </c>
      <c r="I1629" s="165"/>
      <c r="J1629" s="167"/>
      <c r="K1629" s="167">
        <v>14.42</v>
      </c>
      <c r="L1629" s="167">
        <v>13</v>
      </c>
      <c r="M1629" s="168">
        <v>0.38194444444444398</v>
      </c>
      <c r="N1629" s="67"/>
    </row>
    <row r="1630" spans="1:14" x14ac:dyDescent="0.25">
      <c r="A1630" s="66">
        <v>45502</v>
      </c>
      <c r="B1630" s="67" t="s">
        <v>50</v>
      </c>
      <c r="C1630" s="129" t="str">
        <f t="shared" si="50"/>
        <v>29.07.2024_LIEohBo</v>
      </c>
      <c r="D1630" s="143">
        <f t="shared" si="51"/>
        <v>0</v>
      </c>
      <c r="E1630" s="157">
        <v>7.6</v>
      </c>
      <c r="F1630" s="165"/>
      <c r="G1630" s="166">
        <v>800</v>
      </c>
      <c r="H1630" s="167">
        <v>8.14</v>
      </c>
      <c r="I1630" s="165"/>
      <c r="J1630" s="167"/>
      <c r="K1630" s="167">
        <v>14.75</v>
      </c>
      <c r="L1630" s="167">
        <v>9</v>
      </c>
      <c r="M1630" s="168">
        <v>0.36458333333333298</v>
      </c>
      <c r="N1630" s="67"/>
    </row>
    <row r="1631" spans="1:14" x14ac:dyDescent="0.25">
      <c r="A1631" s="66">
        <v>45502</v>
      </c>
      <c r="B1631" s="67" t="s">
        <v>53</v>
      </c>
      <c r="C1631" s="129" t="str">
        <f t="shared" si="50"/>
        <v>29.07.2024_NATohBo</v>
      </c>
      <c r="D1631" s="143">
        <f t="shared" si="51"/>
        <v>0</v>
      </c>
      <c r="E1631" s="157">
        <v>7.49</v>
      </c>
      <c r="F1631" s="165"/>
      <c r="G1631" s="166">
        <v>2196</v>
      </c>
      <c r="H1631" s="167">
        <v>7.89</v>
      </c>
      <c r="I1631" s="165"/>
      <c r="J1631" s="167"/>
      <c r="K1631" s="167">
        <v>18.829999999999998</v>
      </c>
      <c r="L1631" s="167">
        <v>30</v>
      </c>
      <c r="M1631" s="168">
        <v>0.60694444444444395</v>
      </c>
      <c r="N1631" s="67"/>
    </row>
    <row r="1632" spans="1:14" x14ac:dyDescent="0.25">
      <c r="A1632" s="66">
        <v>45502</v>
      </c>
      <c r="B1632" s="67" t="s">
        <v>55</v>
      </c>
      <c r="C1632" s="129" t="str">
        <f t="shared" si="50"/>
        <v>29.07.2024_QUAohBo</v>
      </c>
      <c r="D1632" s="143">
        <f t="shared" si="51"/>
        <v>0</v>
      </c>
      <c r="E1632" s="157">
        <v>7.92</v>
      </c>
      <c r="F1632" s="165"/>
      <c r="G1632" s="166">
        <v>444</v>
      </c>
      <c r="H1632" s="167">
        <v>8.39</v>
      </c>
      <c r="I1632" s="165"/>
      <c r="J1632" s="167"/>
      <c r="K1632" s="167">
        <v>18.059999999999999</v>
      </c>
      <c r="L1632" s="167">
        <v>11</v>
      </c>
      <c r="M1632" s="168">
        <v>0.55486111111111103</v>
      </c>
      <c r="N1632" s="67"/>
    </row>
    <row r="1633" spans="1:14" x14ac:dyDescent="0.25">
      <c r="A1633" s="66">
        <v>45502</v>
      </c>
      <c r="B1633" s="67" t="s">
        <v>57</v>
      </c>
      <c r="C1633" s="129" t="str">
        <f t="shared" si="50"/>
        <v>29.07.2024_SCHohVo</v>
      </c>
      <c r="D1633" s="143">
        <f t="shared" si="51"/>
        <v>0</v>
      </c>
      <c r="E1633" s="157">
        <v>8.5</v>
      </c>
      <c r="F1633" s="165"/>
      <c r="G1633" s="166">
        <v>592</v>
      </c>
      <c r="H1633" s="167">
        <v>9.6999999999999993</v>
      </c>
      <c r="I1633" s="165"/>
      <c r="J1633" s="167"/>
      <c r="K1633" s="167">
        <v>15.94</v>
      </c>
      <c r="L1633" s="167">
        <v>5</v>
      </c>
      <c r="M1633" s="168">
        <v>0.40833333333333299</v>
      </c>
      <c r="N1633" s="67" t="s">
        <v>374</v>
      </c>
    </row>
    <row r="1634" spans="1:14" x14ac:dyDescent="0.25">
      <c r="A1634" s="66">
        <v>45502</v>
      </c>
      <c r="B1634" s="67" t="s">
        <v>60</v>
      </c>
      <c r="C1634" s="129" t="str">
        <f t="shared" si="50"/>
        <v>29.07.2024_VORohBo</v>
      </c>
      <c r="D1634" s="143">
        <f t="shared" si="51"/>
        <v>0</v>
      </c>
      <c r="E1634" s="157">
        <v>7.68</v>
      </c>
      <c r="F1634" s="165"/>
      <c r="G1634" s="166">
        <v>1173</v>
      </c>
      <c r="H1634" s="167">
        <v>8</v>
      </c>
      <c r="I1634" s="165"/>
      <c r="J1634" s="167"/>
      <c r="K1634" s="167">
        <v>14.42</v>
      </c>
      <c r="L1634" s="167">
        <v>13</v>
      </c>
      <c r="M1634" s="168">
        <v>0.42708333333333298</v>
      </c>
      <c r="N1634" s="67"/>
    </row>
    <row r="1635" spans="1:14" x14ac:dyDescent="0.25">
      <c r="A1635" s="66">
        <v>45502</v>
      </c>
      <c r="B1635" s="67" t="s">
        <v>62</v>
      </c>
      <c r="C1635" s="129" t="str">
        <f t="shared" si="50"/>
        <v>29.07.2024_VORuhSc</v>
      </c>
      <c r="D1635" s="143">
        <f t="shared" si="51"/>
        <v>0</v>
      </c>
      <c r="E1635" s="157">
        <v>7.29</v>
      </c>
      <c r="F1635" s="165"/>
      <c r="G1635" s="166">
        <v>1141</v>
      </c>
      <c r="H1635" s="167">
        <v>7.7</v>
      </c>
      <c r="I1635" s="165"/>
      <c r="J1635" s="167"/>
      <c r="K1635" s="167">
        <v>14.43</v>
      </c>
      <c r="L1635" s="167">
        <v>9</v>
      </c>
      <c r="M1635" s="168">
        <v>0.41597222222222202</v>
      </c>
      <c r="N1635" s="67"/>
    </row>
    <row r="1636" spans="1:14" x14ac:dyDescent="0.25">
      <c r="A1636" s="66">
        <v>45502</v>
      </c>
      <c r="B1636" s="67" t="s">
        <v>64</v>
      </c>
      <c r="C1636" s="129" t="str">
        <f t="shared" si="50"/>
        <v>29.07.2024_WITob</v>
      </c>
      <c r="D1636" s="143">
        <f t="shared" si="51"/>
        <v>0</v>
      </c>
      <c r="E1636" s="157">
        <v>8.1999999999999993</v>
      </c>
      <c r="F1636" s="165"/>
      <c r="G1636" s="166">
        <v>1415</v>
      </c>
      <c r="H1636" s="167">
        <v>9.49</v>
      </c>
      <c r="I1636" s="165"/>
      <c r="J1636" s="167"/>
      <c r="K1636" s="167">
        <v>18.8</v>
      </c>
      <c r="L1636" s="167">
        <v>2</v>
      </c>
      <c r="M1636" s="168">
        <v>0.59583333333333299</v>
      </c>
      <c r="N1636" s="67"/>
    </row>
    <row r="1637" spans="1:14" x14ac:dyDescent="0.25">
      <c r="A1637" s="66">
        <v>45518</v>
      </c>
      <c r="B1637" s="67" t="s">
        <v>22</v>
      </c>
      <c r="C1637" s="129" t="str">
        <f t="shared" si="50"/>
        <v>14.08.2024_BOYkl</v>
      </c>
      <c r="D1637" s="143">
        <f t="shared" si="51"/>
        <v>0</v>
      </c>
      <c r="E1637" s="157">
        <v>7.09</v>
      </c>
      <c r="F1637" s="165"/>
      <c r="G1637" s="166">
        <v>444</v>
      </c>
      <c r="H1637" s="167">
        <v>7.89</v>
      </c>
      <c r="I1637" s="165"/>
      <c r="J1637" s="167"/>
      <c r="K1637" s="167">
        <v>19.14</v>
      </c>
      <c r="L1637" s="167">
        <v>12</v>
      </c>
      <c r="M1637" s="168">
        <v>0.47499999999999998</v>
      </c>
      <c r="N1637" s="67"/>
    </row>
    <row r="1638" spans="1:14" x14ac:dyDescent="0.25">
      <c r="A1638" s="66">
        <v>45518</v>
      </c>
      <c r="B1638" s="67" t="s">
        <v>25</v>
      </c>
      <c r="C1638" s="129" t="str">
        <f t="shared" si="50"/>
        <v>14.08.2024_BOYohB224</v>
      </c>
      <c r="D1638" s="143">
        <f t="shared" si="51"/>
        <v>0</v>
      </c>
      <c r="E1638" s="157">
        <v>7.54</v>
      </c>
      <c r="F1638" s="165"/>
      <c r="G1638" s="166">
        <v>545</v>
      </c>
      <c r="H1638" s="167">
        <v>7.23</v>
      </c>
      <c r="I1638" s="165"/>
      <c r="J1638" s="167"/>
      <c r="K1638" s="167">
        <v>21.62</v>
      </c>
      <c r="L1638" s="167">
        <v>43</v>
      </c>
      <c r="M1638" s="168">
        <v>0.64236111111111105</v>
      </c>
      <c r="N1638" s="67"/>
    </row>
    <row r="1639" spans="1:14" x14ac:dyDescent="0.25">
      <c r="A1639" s="66">
        <v>45518</v>
      </c>
      <c r="B1639" s="67" t="s">
        <v>28</v>
      </c>
      <c r="C1639" s="129" t="str">
        <f t="shared" si="50"/>
        <v>14.08.2024_BOYohBr</v>
      </c>
      <c r="D1639" s="143">
        <f t="shared" si="51"/>
        <v>0</v>
      </c>
      <c r="E1639" s="157">
        <v>7.08</v>
      </c>
      <c r="F1639" s="165"/>
      <c r="G1639" s="166">
        <v>370</v>
      </c>
      <c r="H1639" s="167">
        <v>5.18</v>
      </c>
      <c r="I1639" s="165"/>
      <c r="J1639" s="167"/>
      <c r="K1639" s="167">
        <v>19.8</v>
      </c>
      <c r="L1639" s="167">
        <v>36</v>
      </c>
      <c r="M1639" s="168">
        <v>0.55763888888888902</v>
      </c>
      <c r="N1639" s="67"/>
    </row>
    <row r="1640" spans="1:14" x14ac:dyDescent="0.25">
      <c r="A1640" s="66">
        <v>45518</v>
      </c>
      <c r="B1640" s="67" t="s">
        <v>30</v>
      </c>
      <c r="C1640" s="129" t="str">
        <f t="shared" si="50"/>
        <v>14.08.2024_BOYohKi</v>
      </c>
      <c r="D1640" s="143">
        <f t="shared" si="51"/>
        <v>0</v>
      </c>
      <c r="E1640" s="157">
        <v>7.25</v>
      </c>
      <c r="F1640" s="165"/>
      <c r="G1640" s="166">
        <v>387</v>
      </c>
      <c r="H1640" s="167">
        <v>5.41</v>
      </c>
      <c r="I1640" s="165"/>
      <c r="J1640" s="167"/>
      <c r="K1640" s="167">
        <v>20.23</v>
      </c>
      <c r="L1640" s="167">
        <v>61</v>
      </c>
      <c r="M1640" s="168">
        <v>0.38402777777777802</v>
      </c>
      <c r="N1640" s="67"/>
    </row>
    <row r="1641" spans="1:14" x14ac:dyDescent="0.25">
      <c r="A1641" s="66">
        <v>45518</v>
      </c>
      <c r="B1641" s="67" t="s">
        <v>32</v>
      </c>
      <c r="C1641" s="129" t="str">
        <f t="shared" si="50"/>
        <v>14.08.2024_BOYohSp</v>
      </c>
      <c r="D1641" s="143">
        <f t="shared" si="51"/>
        <v>0</v>
      </c>
      <c r="E1641" s="157">
        <v>7.09</v>
      </c>
      <c r="F1641" s="165"/>
      <c r="G1641" s="166">
        <v>418</v>
      </c>
      <c r="H1641" s="167">
        <v>5.28</v>
      </c>
      <c r="I1641" s="165"/>
      <c r="J1641" s="167"/>
      <c r="K1641" s="167">
        <v>19.93</v>
      </c>
      <c r="L1641" s="167">
        <v>35</v>
      </c>
      <c r="M1641" s="168">
        <v>0.57777777777777795</v>
      </c>
      <c r="N1641" s="67"/>
    </row>
    <row r="1642" spans="1:14" x14ac:dyDescent="0.25">
      <c r="A1642" s="66">
        <v>45518</v>
      </c>
      <c r="B1642" s="67" t="s">
        <v>34</v>
      </c>
      <c r="C1642" s="129" t="str">
        <f t="shared" si="50"/>
        <v>14.08.2024_BOYuhHa</v>
      </c>
      <c r="D1642" s="143">
        <f t="shared" si="51"/>
        <v>0</v>
      </c>
      <c r="E1642" s="157">
        <v>7.19</v>
      </c>
      <c r="F1642" s="165"/>
      <c r="G1642" s="166">
        <v>450</v>
      </c>
      <c r="H1642" s="167">
        <v>6.24</v>
      </c>
      <c r="I1642" s="165"/>
      <c r="J1642" s="167"/>
      <c r="K1642" s="167">
        <v>20.41</v>
      </c>
      <c r="L1642" s="167">
        <v>45</v>
      </c>
      <c r="M1642" s="168">
        <v>0.36180555555555599</v>
      </c>
      <c r="N1642" s="67"/>
    </row>
    <row r="1643" spans="1:14" x14ac:dyDescent="0.25">
      <c r="A1643" s="66">
        <v>45518</v>
      </c>
      <c r="B1643" s="67" t="s">
        <v>36</v>
      </c>
      <c r="C1643" s="129" t="str">
        <f t="shared" si="50"/>
        <v>14.08.2024_BOYuhSp</v>
      </c>
      <c r="D1643" s="143">
        <f t="shared" si="51"/>
        <v>0</v>
      </c>
      <c r="E1643" s="157">
        <v>7.15</v>
      </c>
      <c r="F1643" s="165"/>
      <c r="G1643" s="166">
        <v>420</v>
      </c>
      <c r="H1643" s="167">
        <v>5.32</v>
      </c>
      <c r="I1643" s="165"/>
      <c r="J1643" s="167"/>
      <c r="K1643" s="167">
        <v>19.989999999999998</v>
      </c>
      <c r="L1643" s="167">
        <v>37</v>
      </c>
      <c r="M1643" s="168">
        <v>0.57291666666666696</v>
      </c>
      <c r="N1643" s="67"/>
    </row>
    <row r="1644" spans="1:14" x14ac:dyDescent="0.25">
      <c r="A1644" s="66">
        <v>45518</v>
      </c>
      <c r="B1644" s="67" t="s">
        <v>38</v>
      </c>
      <c r="C1644" s="129" t="str">
        <f t="shared" si="50"/>
        <v>14.08.2024_BRAob</v>
      </c>
      <c r="D1644" s="143">
        <f t="shared" si="51"/>
        <v>0</v>
      </c>
      <c r="E1644" s="157">
        <v>7.36</v>
      </c>
      <c r="F1644" s="165"/>
      <c r="G1644" s="166">
        <v>698</v>
      </c>
      <c r="H1644" s="167">
        <v>7.26</v>
      </c>
      <c r="I1644" s="165"/>
      <c r="J1644" s="167"/>
      <c r="K1644" s="167">
        <v>18.399999999999999</v>
      </c>
      <c r="L1644" s="167">
        <v>5</v>
      </c>
      <c r="M1644" s="168">
        <v>0.52222222222222203</v>
      </c>
      <c r="N1644" s="67"/>
    </row>
    <row r="1645" spans="1:14" x14ac:dyDescent="0.25">
      <c r="A1645" s="66">
        <v>45518</v>
      </c>
      <c r="B1645" s="67" t="s">
        <v>41</v>
      </c>
      <c r="C1645" s="129" t="str">
        <f t="shared" si="50"/>
        <v>14.08.2024_BRAohBo</v>
      </c>
      <c r="D1645" s="143">
        <f t="shared" si="51"/>
        <v>0</v>
      </c>
      <c r="E1645" s="157">
        <v>7.38</v>
      </c>
      <c r="F1645" s="165"/>
      <c r="G1645" s="166">
        <v>500</v>
      </c>
      <c r="H1645" s="167">
        <v>6.71</v>
      </c>
      <c r="I1645" s="165"/>
      <c r="J1645" s="167"/>
      <c r="K1645" s="167">
        <v>19.86</v>
      </c>
      <c r="L1645" s="167">
        <v>10</v>
      </c>
      <c r="M1645" s="168">
        <v>0.54305555555555596</v>
      </c>
      <c r="N1645" s="67"/>
    </row>
    <row r="1646" spans="1:14" x14ac:dyDescent="0.25">
      <c r="A1646" s="66">
        <v>45518</v>
      </c>
      <c r="B1646" s="67" t="s">
        <v>43</v>
      </c>
      <c r="C1646" s="129" t="str">
        <f t="shared" si="50"/>
        <v>14.08.2024_HAAob</v>
      </c>
      <c r="D1646" s="143">
        <f t="shared" si="51"/>
        <v>0</v>
      </c>
      <c r="E1646" s="157">
        <v>7.78</v>
      </c>
      <c r="F1646" s="165"/>
      <c r="G1646" s="166">
        <v>620</v>
      </c>
      <c r="H1646" s="167">
        <v>7.58</v>
      </c>
      <c r="I1646" s="165"/>
      <c r="J1646" s="167"/>
      <c r="K1646" s="167">
        <v>22.06</v>
      </c>
      <c r="L1646" s="167">
        <v>7</v>
      </c>
      <c r="M1646" s="168">
        <v>0.60486111111111096</v>
      </c>
      <c r="N1646" s="67"/>
    </row>
    <row r="1647" spans="1:14" x14ac:dyDescent="0.25">
      <c r="A1647" s="66">
        <v>45518</v>
      </c>
      <c r="B1647" s="67" t="s">
        <v>45</v>
      </c>
      <c r="C1647" s="129" t="str">
        <f t="shared" si="50"/>
        <v>14.08.2024_HAAun</v>
      </c>
      <c r="D1647" s="143">
        <f t="shared" si="51"/>
        <v>0</v>
      </c>
      <c r="E1647" s="157">
        <v>7.65</v>
      </c>
      <c r="F1647" s="165"/>
      <c r="G1647" s="166">
        <v>507</v>
      </c>
      <c r="H1647" s="167">
        <v>7.68</v>
      </c>
      <c r="I1647" s="165"/>
      <c r="J1647" s="167"/>
      <c r="K1647" s="167">
        <v>20.12</v>
      </c>
      <c r="L1647" s="167">
        <v>9</v>
      </c>
      <c r="M1647" s="168">
        <v>0.59583333333333299</v>
      </c>
      <c r="N1647" s="67"/>
    </row>
    <row r="1648" spans="1:14" x14ac:dyDescent="0.25">
      <c r="A1648" s="66">
        <v>45518</v>
      </c>
      <c r="B1648" s="67" t="s">
        <v>47</v>
      </c>
      <c r="C1648" s="129" t="str">
        <f t="shared" si="50"/>
        <v>14.08.2024_KIRob</v>
      </c>
      <c r="D1648" s="143">
        <f t="shared" si="51"/>
        <v>0</v>
      </c>
      <c r="E1648" s="157">
        <v>7.64</v>
      </c>
      <c r="F1648" s="165"/>
      <c r="G1648" s="166">
        <v>1076</v>
      </c>
      <c r="H1648" s="167">
        <v>6.66</v>
      </c>
      <c r="I1648" s="165"/>
      <c r="J1648" s="167"/>
      <c r="K1648" s="167">
        <v>16.62</v>
      </c>
      <c r="L1648" s="167">
        <v>11</v>
      </c>
      <c r="M1648" s="168">
        <v>0.42430555555555599</v>
      </c>
      <c r="N1648" s="67"/>
    </row>
    <row r="1649" spans="1:14" x14ac:dyDescent="0.25">
      <c r="A1649" s="66">
        <v>45518</v>
      </c>
      <c r="B1649" s="67" t="s">
        <v>49</v>
      </c>
      <c r="C1649" s="129" t="str">
        <f t="shared" si="50"/>
        <v>14.08.2024_KIRun</v>
      </c>
      <c r="D1649" s="143">
        <f t="shared" si="51"/>
        <v>0</v>
      </c>
      <c r="E1649" s="157">
        <v>7.69</v>
      </c>
      <c r="F1649" s="165"/>
      <c r="G1649" s="166">
        <v>968</v>
      </c>
      <c r="H1649" s="167">
        <v>7.93</v>
      </c>
      <c r="I1649" s="165"/>
      <c r="J1649" s="167"/>
      <c r="K1649" s="167">
        <v>16.37</v>
      </c>
      <c r="L1649" s="167">
        <v>11</v>
      </c>
      <c r="M1649" s="168">
        <v>0.41666666666666702</v>
      </c>
      <c r="N1649" s="67"/>
    </row>
    <row r="1650" spans="1:14" x14ac:dyDescent="0.25">
      <c r="A1650" s="66">
        <v>45518</v>
      </c>
      <c r="B1650" s="67" t="s">
        <v>50</v>
      </c>
      <c r="C1650" s="129" t="str">
        <f t="shared" si="50"/>
        <v>14.08.2024_LIEohBo</v>
      </c>
      <c r="D1650" s="143">
        <f t="shared" si="51"/>
        <v>0</v>
      </c>
      <c r="E1650" s="157">
        <v>7.46</v>
      </c>
      <c r="F1650" s="165"/>
      <c r="G1650" s="166">
        <v>793</v>
      </c>
      <c r="H1650" s="167">
        <v>5.62</v>
      </c>
      <c r="I1650" s="165"/>
      <c r="J1650" s="167"/>
      <c r="K1650" s="167">
        <v>19.899999999999999</v>
      </c>
      <c r="L1650" s="167">
        <v>10</v>
      </c>
      <c r="M1650" s="168">
        <v>0.37291666666666701</v>
      </c>
      <c r="N1650" s="67"/>
    </row>
    <row r="1651" spans="1:14" x14ac:dyDescent="0.25">
      <c r="A1651" s="66">
        <v>45518</v>
      </c>
      <c r="B1651" s="67" t="s">
        <v>53</v>
      </c>
      <c r="C1651" s="129" t="str">
        <f t="shared" si="50"/>
        <v>14.08.2024_NATohBo</v>
      </c>
      <c r="D1651" s="143">
        <f t="shared" si="51"/>
        <v>0</v>
      </c>
      <c r="E1651" s="157">
        <v>7.33</v>
      </c>
      <c r="F1651" s="165"/>
      <c r="G1651" s="166">
        <v>1870</v>
      </c>
      <c r="H1651" s="167">
        <v>5.76</v>
      </c>
      <c r="I1651" s="165"/>
      <c r="J1651" s="167"/>
      <c r="K1651" s="167">
        <v>20.36</v>
      </c>
      <c r="L1651" s="167">
        <v>13</v>
      </c>
      <c r="M1651" s="168">
        <v>0.63124999999999998</v>
      </c>
      <c r="N1651" s="67"/>
    </row>
    <row r="1652" spans="1:14" x14ac:dyDescent="0.25">
      <c r="A1652" s="66">
        <v>45518</v>
      </c>
      <c r="B1652" s="67" t="s">
        <v>55</v>
      </c>
      <c r="C1652" s="129" t="str">
        <f t="shared" si="50"/>
        <v>14.08.2024_QUAohBo</v>
      </c>
      <c r="D1652" s="143">
        <f t="shared" si="51"/>
        <v>0</v>
      </c>
      <c r="E1652" s="157">
        <v>7.42</v>
      </c>
      <c r="F1652" s="165"/>
      <c r="G1652" s="166">
        <v>754</v>
      </c>
      <c r="H1652" s="167">
        <v>5.54</v>
      </c>
      <c r="I1652" s="165"/>
      <c r="J1652" s="167"/>
      <c r="K1652" s="167">
        <v>19.54</v>
      </c>
      <c r="L1652" s="167">
        <v>6</v>
      </c>
      <c r="M1652" s="168">
        <v>0.58402777777777803</v>
      </c>
      <c r="N1652" s="67"/>
    </row>
    <row r="1653" spans="1:14" x14ac:dyDescent="0.25">
      <c r="A1653" s="66">
        <v>45518</v>
      </c>
      <c r="B1653" s="67" t="s">
        <v>57</v>
      </c>
      <c r="C1653" s="129" t="str">
        <f t="shared" si="50"/>
        <v>14.08.2024_SCHohVo</v>
      </c>
      <c r="D1653" s="143">
        <f t="shared" si="51"/>
        <v>0</v>
      </c>
      <c r="E1653" s="157">
        <v>7.9</v>
      </c>
      <c r="F1653" s="165"/>
      <c r="G1653" s="166">
        <v>276</v>
      </c>
      <c r="H1653" s="167">
        <v>8.34</v>
      </c>
      <c r="I1653" s="165"/>
      <c r="J1653" s="167"/>
      <c r="K1653" s="167">
        <v>19.329999999999998</v>
      </c>
      <c r="L1653" s="167">
        <v>5</v>
      </c>
      <c r="M1653" s="168">
        <v>0.43611111111111101</v>
      </c>
      <c r="N1653" s="67" t="s">
        <v>374</v>
      </c>
    </row>
    <row r="1654" spans="1:14" x14ac:dyDescent="0.25">
      <c r="A1654" s="66">
        <v>45518</v>
      </c>
      <c r="B1654" s="67" t="s">
        <v>60</v>
      </c>
      <c r="C1654" s="129" t="str">
        <f t="shared" si="50"/>
        <v>14.08.2024_VORohBo</v>
      </c>
      <c r="D1654" s="143">
        <f t="shared" si="51"/>
        <v>0</v>
      </c>
      <c r="E1654" s="157">
        <v>7.23</v>
      </c>
      <c r="F1654" s="165"/>
      <c r="G1654" s="166">
        <v>936</v>
      </c>
      <c r="H1654" s="167">
        <v>5.43</v>
      </c>
      <c r="I1654" s="165"/>
      <c r="J1654" s="167"/>
      <c r="K1654" s="167">
        <v>17.690000000000001</v>
      </c>
      <c r="L1654" s="167">
        <v>17</v>
      </c>
      <c r="M1654" s="168">
        <v>0.454166666666667</v>
      </c>
      <c r="N1654" s="67"/>
    </row>
    <row r="1655" spans="1:14" x14ac:dyDescent="0.25">
      <c r="A1655" s="66">
        <v>45518</v>
      </c>
      <c r="B1655" s="67" t="s">
        <v>62</v>
      </c>
      <c r="C1655" s="129" t="str">
        <f t="shared" si="50"/>
        <v>14.08.2024_VORuhSc</v>
      </c>
      <c r="D1655" s="143">
        <f t="shared" si="51"/>
        <v>0</v>
      </c>
      <c r="E1655" s="157">
        <v>7.01</v>
      </c>
      <c r="F1655" s="165"/>
      <c r="G1655" s="166">
        <v>885</v>
      </c>
      <c r="H1655" s="167">
        <v>5.61</v>
      </c>
      <c r="I1655" s="165"/>
      <c r="J1655" s="167"/>
      <c r="K1655" s="167">
        <v>17.760000000000002</v>
      </c>
      <c r="L1655" s="167">
        <v>3</v>
      </c>
      <c r="M1655" s="168">
        <v>0.44374999999999998</v>
      </c>
      <c r="N1655" s="67"/>
    </row>
    <row r="1656" spans="1:14" x14ac:dyDescent="0.25">
      <c r="A1656" s="66">
        <v>45518</v>
      </c>
      <c r="B1656" s="67" t="s">
        <v>64</v>
      </c>
      <c r="C1656" s="129" t="str">
        <f t="shared" si="50"/>
        <v>14.08.2024_WITob</v>
      </c>
      <c r="D1656" s="143">
        <f t="shared" si="51"/>
        <v>0</v>
      </c>
      <c r="E1656" s="157">
        <v>7.97</v>
      </c>
      <c r="F1656" s="165"/>
      <c r="G1656" s="166">
        <v>1339</v>
      </c>
      <c r="H1656" s="167">
        <v>8.7100000000000009</v>
      </c>
      <c r="I1656" s="165"/>
      <c r="J1656" s="167"/>
      <c r="K1656" s="167">
        <v>19.21</v>
      </c>
      <c r="L1656" s="167">
        <v>1</v>
      </c>
      <c r="M1656" s="168">
        <v>0.61805555555555602</v>
      </c>
      <c r="N1656" s="67"/>
    </row>
    <row r="1657" spans="1:14" x14ac:dyDescent="0.25">
      <c r="A1657" s="66">
        <v>45531</v>
      </c>
      <c r="B1657" s="67" t="s">
        <v>22</v>
      </c>
      <c r="C1657" s="129" t="str">
        <f t="shared" si="50"/>
        <v>27.08.2024_BOYkl</v>
      </c>
      <c r="D1657" s="143">
        <f t="shared" si="51"/>
        <v>0</v>
      </c>
      <c r="E1657" s="157">
        <v>7.77</v>
      </c>
      <c r="F1657" s="165"/>
      <c r="G1657" s="166">
        <v>465</v>
      </c>
      <c r="H1657" s="167">
        <v>10.199999999999999</v>
      </c>
      <c r="I1657" s="165"/>
      <c r="J1657" s="167"/>
      <c r="K1657" s="167">
        <v>15.7</v>
      </c>
      <c r="L1657" s="167">
        <v>2</v>
      </c>
      <c r="M1657" s="168">
        <v>0.44722222222222202</v>
      </c>
      <c r="N1657" s="67"/>
    </row>
    <row r="1658" spans="1:14" x14ac:dyDescent="0.25">
      <c r="A1658" s="66">
        <v>45531</v>
      </c>
      <c r="B1658" s="67" t="s">
        <v>25</v>
      </c>
      <c r="C1658" s="129" t="str">
        <f t="shared" si="50"/>
        <v>27.08.2024_BOYohB224</v>
      </c>
      <c r="D1658" s="143">
        <f t="shared" si="51"/>
        <v>0</v>
      </c>
      <c r="E1658" s="157">
        <v>8.25</v>
      </c>
      <c r="F1658" s="165"/>
      <c r="G1658" s="166">
        <v>957</v>
      </c>
      <c r="H1658" s="167">
        <v>13.03</v>
      </c>
      <c r="I1658" s="165"/>
      <c r="J1658" s="167"/>
      <c r="K1658" s="167">
        <v>20.86</v>
      </c>
      <c r="L1658" s="167">
        <v>27</v>
      </c>
      <c r="M1658" s="168">
        <v>0.60833333333333295</v>
      </c>
      <c r="N1658" s="67"/>
    </row>
    <row r="1659" spans="1:14" x14ac:dyDescent="0.25">
      <c r="A1659" s="66">
        <v>45531</v>
      </c>
      <c r="B1659" s="67" t="s">
        <v>28</v>
      </c>
      <c r="C1659" s="129" t="str">
        <f t="shared" si="50"/>
        <v>27.08.2024_BOYohBr</v>
      </c>
      <c r="D1659" s="143">
        <f t="shared" si="51"/>
        <v>0</v>
      </c>
      <c r="E1659" s="157">
        <v>7.77</v>
      </c>
      <c r="F1659" s="165"/>
      <c r="G1659" s="166">
        <v>569</v>
      </c>
      <c r="H1659" s="167">
        <v>6.36</v>
      </c>
      <c r="I1659" s="165"/>
      <c r="J1659" s="167"/>
      <c r="K1659" s="167">
        <v>14.73</v>
      </c>
      <c r="L1659" s="167">
        <v>20</v>
      </c>
      <c r="M1659" s="168">
        <v>0.52847222222222201</v>
      </c>
      <c r="N1659" s="67"/>
    </row>
    <row r="1660" spans="1:14" x14ac:dyDescent="0.25">
      <c r="A1660" s="66">
        <v>45531</v>
      </c>
      <c r="B1660" s="67" t="s">
        <v>30</v>
      </c>
      <c r="C1660" s="129" t="str">
        <f t="shared" si="50"/>
        <v>27.08.2024_BOYohKi</v>
      </c>
      <c r="D1660" s="143">
        <f t="shared" si="51"/>
        <v>0</v>
      </c>
      <c r="E1660" s="157">
        <v>7.8</v>
      </c>
      <c r="F1660" s="165"/>
      <c r="G1660" s="166">
        <v>798</v>
      </c>
      <c r="H1660" s="167">
        <v>8.7200000000000006</v>
      </c>
      <c r="I1660" s="165"/>
      <c r="J1660" s="167"/>
      <c r="K1660" s="167">
        <v>14.32</v>
      </c>
      <c r="L1660" s="167">
        <v>36</v>
      </c>
      <c r="M1660" s="168">
        <v>0.38402777777777802</v>
      </c>
      <c r="N1660" s="67"/>
    </row>
    <row r="1661" spans="1:14" x14ac:dyDescent="0.25">
      <c r="A1661" s="66">
        <v>45531</v>
      </c>
      <c r="B1661" s="67" t="s">
        <v>32</v>
      </c>
      <c r="C1661" s="129" t="str">
        <f t="shared" si="50"/>
        <v>27.08.2024_BOYohSp</v>
      </c>
      <c r="D1661" s="143">
        <f t="shared" si="51"/>
        <v>0</v>
      </c>
      <c r="E1661" s="157">
        <v>7.8</v>
      </c>
      <c r="F1661" s="165"/>
      <c r="G1661" s="166">
        <v>652</v>
      </c>
      <c r="H1661" s="167">
        <v>8.73</v>
      </c>
      <c r="I1661" s="165"/>
      <c r="J1661" s="167"/>
      <c r="K1661" s="167">
        <v>15.05</v>
      </c>
      <c r="L1661" s="167">
        <v>22</v>
      </c>
      <c r="M1661" s="168">
        <v>0.54583333333333295</v>
      </c>
      <c r="N1661" s="67"/>
    </row>
    <row r="1662" spans="1:14" x14ac:dyDescent="0.25">
      <c r="A1662" s="66">
        <v>45531</v>
      </c>
      <c r="B1662" s="67" t="s">
        <v>34</v>
      </c>
      <c r="C1662" s="129" t="str">
        <f t="shared" si="50"/>
        <v>27.08.2024_BOYuhHa</v>
      </c>
      <c r="D1662" s="143">
        <f t="shared" si="51"/>
        <v>0</v>
      </c>
      <c r="E1662" s="157">
        <v>7.41</v>
      </c>
      <c r="F1662" s="165"/>
      <c r="G1662" s="166">
        <v>1040</v>
      </c>
      <c r="H1662" s="167">
        <v>9.3800000000000008</v>
      </c>
      <c r="I1662" s="165"/>
      <c r="J1662" s="167"/>
      <c r="K1662" s="167">
        <v>14.52</v>
      </c>
      <c r="L1662" s="167">
        <v>15</v>
      </c>
      <c r="M1662" s="168">
        <v>0.360416666666667</v>
      </c>
      <c r="N1662" s="67"/>
    </row>
    <row r="1663" spans="1:14" x14ac:dyDescent="0.25">
      <c r="A1663" s="66">
        <v>45531</v>
      </c>
      <c r="B1663" s="67" t="s">
        <v>36</v>
      </c>
      <c r="C1663" s="129" t="str">
        <f t="shared" ref="C1663:C1726" si="52">CONCATENATE(TEXT(A1663,"TT.MM.JJJJ"),"_",B1663)</f>
        <v>27.08.2024_BOYuhSp</v>
      </c>
      <c r="D1663" s="143">
        <f t="shared" si="51"/>
        <v>0</v>
      </c>
      <c r="E1663" s="157">
        <v>7.91</v>
      </c>
      <c r="F1663" s="165"/>
      <c r="G1663" s="166">
        <v>670</v>
      </c>
      <c r="H1663" s="167">
        <v>9.68</v>
      </c>
      <c r="I1663" s="165"/>
      <c r="J1663" s="167"/>
      <c r="K1663" s="167">
        <v>15.1</v>
      </c>
      <c r="L1663" s="167">
        <v>25</v>
      </c>
      <c r="M1663" s="168">
        <v>0.54097222222222197</v>
      </c>
      <c r="N1663" s="67"/>
    </row>
    <row r="1664" spans="1:14" x14ac:dyDescent="0.25">
      <c r="A1664" s="66">
        <v>45531</v>
      </c>
      <c r="B1664" s="67" t="s">
        <v>38</v>
      </c>
      <c r="C1664" s="129" t="str">
        <f t="shared" si="52"/>
        <v>27.08.2024_BRAob</v>
      </c>
      <c r="D1664" s="143">
        <f t="shared" ref="D1664:D1727" si="53">COUNTBLANK(E1664)+COUNTBLANK(G1664:H1664)+COUNTBLANK(K1664:L1664)</f>
        <v>0</v>
      </c>
      <c r="E1664" s="157">
        <v>7.77</v>
      </c>
      <c r="F1664" s="165"/>
      <c r="G1664" s="166">
        <v>763</v>
      </c>
      <c r="H1664" s="167">
        <v>9.9600000000000009</v>
      </c>
      <c r="I1664" s="165"/>
      <c r="J1664" s="167"/>
      <c r="K1664" s="167">
        <v>16.07</v>
      </c>
      <c r="L1664" s="167">
        <v>7</v>
      </c>
      <c r="M1664" s="168">
        <v>0.50486111111111098</v>
      </c>
      <c r="N1664" s="67"/>
    </row>
    <row r="1665" spans="1:14" x14ac:dyDescent="0.25">
      <c r="A1665" s="66">
        <v>45531</v>
      </c>
      <c r="B1665" s="67" t="s">
        <v>41</v>
      </c>
      <c r="C1665" s="129" t="str">
        <f t="shared" si="52"/>
        <v>27.08.2024_BRAohBo</v>
      </c>
      <c r="D1665" s="143">
        <f t="shared" si="53"/>
        <v>0</v>
      </c>
      <c r="E1665" s="157">
        <v>8.0500000000000007</v>
      </c>
      <c r="F1665" s="165"/>
      <c r="G1665" s="166">
        <v>736</v>
      </c>
      <c r="H1665" s="167">
        <v>8.06</v>
      </c>
      <c r="I1665" s="165"/>
      <c r="J1665" s="167"/>
      <c r="K1665" s="167">
        <v>16.05</v>
      </c>
      <c r="L1665" s="167">
        <v>19</v>
      </c>
      <c r="M1665" s="168">
        <v>0.51666666666666705</v>
      </c>
      <c r="N1665" s="67" t="s">
        <v>375</v>
      </c>
    </row>
    <row r="1666" spans="1:14" x14ac:dyDescent="0.25">
      <c r="A1666" s="66">
        <v>45531</v>
      </c>
      <c r="B1666" s="67" t="s">
        <v>43</v>
      </c>
      <c r="C1666" s="129" t="str">
        <f t="shared" si="52"/>
        <v>27.08.2024_HAAob</v>
      </c>
      <c r="D1666" s="143">
        <f t="shared" si="53"/>
        <v>0</v>
      </c>
      <c r="E1666" s="157">
        <v>8.0399999999999991</v>
      </c>
      <c r="F1666" s="165"/>
      <c r="G1666" s="166">
        <v>625</v>
      </c>
      <c r="H1666" s="167">
        <v>8.91</v>
      </c>
      <c r="I1666" s="165"/>
      <c r="J1666" s="167"/>
      <c r="K1666" s="167">
        <v>18.61</v>
      </c>
      <c r="L1666" s="167">
        <v>8</v>
      </c>
      <c r="M1666" s="168">
        <v>0.57291666666666696</v>
      </c>
      <c r="N1666" s="67"/>
    </row>
    <row r="1667" spans="1:14" x14ac:dyDescent="0.25">
      <c r="A1667" s="66">
        <v>45531</v>
      </c>
      <c r="B1667" s="67" t="s">
        <v>45</v>
      </c>
      <c r="C1667" s="129" t="str">
        <f t="shared" si="52"/>
        <v>27.08.2024_HAAun</v>
      </c>
      <c r="D1667" s="143">
        <f t="shared" si="53"/>
        <v>0</v>
      </c>
      <c r="E1667" s="157">
        <v>7.85</v>
      </c>
      <c r="F1667" s="165"/>
      <c r="G1667" s="166">
        <v>1009</v>
      </c>
      <c r="H1667" s="167">
        <v>9.09</v>
      </c>
      <c r="I1667" s="165"/>
      <c r="J1667" s="167"/>
      <c r="K1667" s="167">
        <v>17.05</v>
      </c>
      <c r="L1667" s="167">
        <v>8</v>
      </c>
      <c r="M1667" s="168">
        <v>0.56388888888888899</v>
      </c>
      <c r="N1667" s="67"/>
    </row>
    <row r="1668" spans="1:14" x14ac:dyDescent="0.25">
      <c r="A1668" s="66">
        <v>45531</v>
      </c>
      <c r="B1668" s="67" t="s">
        <v>47</v>
      </c>
      <c r="C1668" s="129" t="str">
        <f t="shared" si="52"/>
        <v>27.08.2024_KIRob</v>
      </c>
      <c r="D1668" s="143">
        <f t="shared" si="53"/>
        <v>0</v>
      </c>
      <c r="E1668" s="157">
        <v>7.72</v>
      </c>
      <c r="F1668" s="165"/>
      <c r="G1668" s="166">
        <v>1114</v>
      </c>
      <c r="H1668" s="167">
        <v>7.33</v>
      </c>
      <c r="I1668" s="165"/>
      <c r="J1668" s="167"/>
      <c r="K1668" s="167">
        <v>14.16</v>
      </c>
      <c r="L1668" s="167">
        <v>13</v>
      </c>
      <c r="M1668" s="168">
        <v>0.40208333333333302</v>
      </c>
      <c r="N1668" s="67"/>
    </row>
    <row r="1669" spans="1:14" x14ac:dyDescent="0.25">
      <c r="A1669" s="66">
        <v>45531</v>
      </c>
      <c r="B1669" s="67" t="s">
        <v>49</v>
      </c>
      <c r="C1669" s="129" t="str">
        <f t="shared" si="52"/>
        <v>27.08.2024_KIRun</v>
      </c>
      <c r="D1669" s="143">
        <f t="shared" si="53"/>
        <v>0</v>
      </c>
      <c r="E1669" s="157">
        <v>7.88</v>
      </c>
      <c r="F1669" s="165"/>
      <c r="G1669" s="166">
        <v>1017</v>
      </c>
      <c r="H1669" s="167">
        <v>9.3000000000000007</v>
      </c>
      <c r="I1669" s="165"/>
      <c r="J1669" s="167"/>
      <c r="K1669" s="167">
        <v>13.99</v>
      </c>
      <c r="L1669" s="167">
        <v>12</v>
      </c>
      <c r="M1669" s="168">
        <v>0.39374999999999999</v>
      </c>
      <c r="N1669" s="67"/>
    </row>
    <row r="1670" spans="1:14" x14ac:dyDescent="0.25">
      <c r="A1670" s="66">
        <v>45531</v>
      </c>
      <c r="B1670" s="67" t="s">
        <v>50</v>
      </c>
      <c r="C1670" s="129" t="str">
        <f t="shared" si="52"/>
        <v>27.08.2024_LIEohBo</v>
      </c>
      <c r="D1670" s="143">
        <f t="shared" si="53"/>
        <v>0</v>
      </c>
      <c r="E1670" s="157">
        <v>7.8</v>
      </c>
      <c r="F1670" s="165"/>
      <c r="G1670" s="166">
        <v>773</v>
      </c>
      <c r="H1670" s="167">
        <v>6.35</v>
      </c>
      <c r="I1670" s="165"/>
      <c r="J1670" s="167"/>
      <c r="K1670" s="167">
        <v>13.66</v>
      </c>
      <c r="L1670" s="167">
        <v>11</v>
      </c>
      <c r="M1670" s="168">
        <v>0.375694444444445</v>
      </c>
      <c r="N1670" s="67"/>
    </row>
    <row r="1671" spans="1:14" x14ac:dyDescent="0.25">
      <c r="A1671" s="66">
        <v>45531</v>
      </c>
      <c r="B1671" s="67" t="s">
        <v>53</v>
      </c>
      <c r="C1671" s="129" t="str">
        <f t="shared" si="52"/>
        <v>27.08.2024_NATohBo</v>
      </c>
      <c r="D1671" s="143">
        <f t="shared" si="53"/>
        <v>0</v>
      </c>
      <c r="E1671" s="157">
        <v>7.7</v>
      </c>
      <c r="F1671" s="165"/>
      <c r="G1671" s="166">
        <v>2187</v>
      </c>
      <c r="H1671" s="167">
        <v>7.18</v>
      </c>
      <c r="I1671" s="165"/>
      <c r="J1671" s="167"/>
      <c r="K1671" s="167">
        <v>16.829999999999998</v>
      </c>
      <c r="L1671" s="167">
        <v>20</v>
      </c>
      <c r="M1671" s="168">
        <v>0.59791666666666698</v>
      </c>
      <c r="N1671" s="67"/>
    </row>
    <row r="1672" spans="1:14" x14ac:dyDescent="0.25">
      <c r="A1672" s="66">
        <v>45531</v>
      </c>
      <c r="B1672" s="67" t="s">
        <v>55</v>
      </c>
      <c r="C1672" s="129" t="str">
        <f t="shared" si="52"/>
        <v>27.08.2024_QUAohBo</v>
      </c>
      <c r="D1672" s="143">
        <f t="shared" si="53"/>
        <v>0</v>
      </c>
      <c r="E1672" s="157">
        <v>7.66</v>
      </c>
      <c r="F1672" s="165"/>
      <c r="G1672" s="166">
        <v>822</v>
      </c>
      <c r="H1672" s="167">
        <v>7.04</v>
      </c>
      <c r="I1672" s="165"/>
      <c r="J1672" s="167"/>
      <c r="K1672" s="167">
        <v>16.420000000000002</v>
      </c>
      <c r="L1672" s="167">
        <v>8</v>
      </c>
      <c r="M1672" s="168">
        <v>0.55347222222222203</v>
      </c>
      <c r="N1672" s="67"/>
    </row>
    <row r="1673" spans="1:14" x14ac:dyDescent="0.25">
      <c r="A1673" s="66">
        <v>45531</v>
      </c>
      <c r="B1673" s="67" t="s">
        <v>57</v>
      </c>
      <c r="C1673" s="129" t="str">
        <f t="shared" si="52"/>
        <v>27.08.2024_SCHohVo</v>
      </c>
      <c r="D1673" s="143">
        <f t="shared" si="53"/>
        <v>0</v>
      </c>
      <c r="E1673" s="157">
        <v>8.17</v>
      </c>
      <c r="F1673" s="165"/>
      <c r="G1673" s="166">
        <v>576</v>
      </c>
      <c r="H1673" s="167">
        <v>10.37</v>
      </c>
      <c r="I1673" s="165"/>
      <c r="J1673" s="167"/>
      <c r="K1673" s="167">
        <v>14.9</v>
      </c>
      <c r="L1673" s="167">
        <v>2</v>
      </c>
      <c r="M1673" s="168">
        <v>0.41527777777777802</v>
      </c>
      <c r="N1673" s="67" t="s">
        <v>375</v>
      </c>
    </row>
    <row r="1674" spans="1:14" x14ac:dyDescent="0.25">
      <c r="A1674" s="66">
        <v>45531</v>
      </c>
      <c r="B1674" s="67" t="s">
        <v>60</v>
      </c>
      <c r="C1674" s="129" t="str">
        <f t="shared" si="52"/>
        <v>27.08.2024_VORohBo</v>
      </c>
      <c r="D1674" s="143">
        <f t="shared" si="53"/>
        <v>0</v>
      </c>
      <c r="E1674" s="157">
        <v>7.58</v>
      </c>
      <c r="F1674" s="165"/>
      <c r="G1674" s="166">
        <v>1121</v>
      </c>
      <c r="H1674" s="167">
        <v>6.95</v>
      </c>
      <c r="I1674" s="165"/>
      <c r="J1674" s="167"/>
      <c r="K1674" s="167">
        <v>13.88</v>
      </c>
      <c r="L1674" s="167">
        <v>11.5</v>
      </c>
      <c r="M1674" s="168">
        <v>0.43263888888888902</v>
      </c>
      <c r="N1674" s="67"/>
    </row>
    <row r="1675" spans="1:14" x14ac:dyDescent="0.25">
      <c r="A1675" s="66">
        <v>45531</v>
      </c>
      <c r="B1675" s="67" t="s">
        <v>62</v>
      </c>
      <c r="C1675" s="129" t="str">
        <f t="shared" si="52"/>
        <v>27.08.2024_VORuhSc</v>
      </c>
      <c r="D1675" s="143">
        <f t="shared" si="53"/>
        <v>1</v>
      </c>
      <c r="E1675" s="157"/>
      <c r="F1675" s="165" t="s">
        <v>299</v>
      </c>
      <c r="G1675" s="166">
        <v>1100</v>
      </c>
      <c r="H1675" s="167">
        <v>6.05</v>
      </c>
      <c r="I1675" s="165" t="s">
        <v>299</v>
      </c>
      <c r="J1675" s="167"/>
      <c r="K1675" s="167">
        <v>17.21</v>
      </c>
      <c r="L1675" s="167">
        <v>2</v>
      </c>
      <c r="M1675" s="168">
        <v>0.422916666666667</v>
      </c>
      <c r="N1675" s="67" t="s">
        <v>338</v>
      </c>
    </row>
    <row r="1676" spans="1:14" x14ac:dyDescent="0.25">
      <c r="A1676" s="66">
        <v>45531</v>
      </c>
      <c r="B1676" s="67" t="s">
        <v>64</v>
      </c>
      <c r="C1676" s="129" t="str">
        <f t="shared" si="52"/>
        <v>27.08.2024_WITob</v>
      </c>
      <c r="D1676" s="143">
        <f t="shared" si="53"/>
        <v>0</v>
      </c>
      <c r="E1676" s="157">
        <v>7.94</v>
      </c>
      <c r="F1676" s="165"/>
      <c r="G1676" s="166">
        <v>1317</v>
      </c>
      <c r="H1676" s="167">
        <v>10.66</v>
      </c>
      <c r="I1676" s="165"/>
      <c r="J1676" s="167"/>
      <c r="K1676" s="167">
        <v>17.79</v>
      </c>
      <c r="L1676" s="167">
        <v>1</v>
      </c>
      <c r="M1676" s="168">
        <v>0.58611111111111103</v>
      </c>
      <c r="N1676" s="67"/>
    </row>
    <row r="1677" spans="1:14" x14ac:dyDescent="0.25">
      <c r="A1677" s="66">
        <v>45544</v>
      </c>
      <c r="B1677" s="67" t="s">
        <v>22</v>
      </c>
      <c r="C1677" s="129" t="str">
        <f t="shared" si="52"/>
        <v>09.09.2024_BOYkl</v>
      </c>
      <c r="D1677" s="143">
        <f t="shared" si="53"/>
        <v>0</v>
      </c>
      <c r="E1677" s="157">
        <v>8.3000000000000007</v>
      </c>
      <c r="F1677" s="165"/>
      <c r="G1677" s="166">
        <v>496</v>
      </c>
      <c r="H1677" s="167">
        <v>9.1999999999999993</v>
      </c>
      <c r="I1677" s="165"/>
      <c r="J1677" s="167"/>
      <c r="K1677" s="167">
        <v>16.05</v>
      </c>
      <c r="L1677" s="167">
        <v>1</v>
      </c>
      <c r="M1677" s="168">
        <v>0.44930555555555601</v>
      </c>
      <c r="N1677" s="67"/>
    </row>
    <row r="1678" spans="1:14" x14ac:dyDescent="0.25">
      <c r="A1678" s="66">
        <v>45544</v>
      </c>
      <c r="B1678" s="67" t="s">
        <v>25</v>
      </c>
      <c r="C1678" s="129" t="str">
        <f t="shared" si="52"/>
        <v>09.09.2024_BOYohB224</v>
      </c>
      <c r="D1678" s="143">
        <f t="shared" si="53"/>
        <v>0</v>
      </c>
      <c r="E1678" s="157">
        <v>7.91</v>
      </c>
      <c r="F1678" s="165"/>
      <c r="G1678" s="166">
        <v>910</v>
      </c>
      <c r="H1678" s="167">
        <v>6.9</v>
      </c>
      <c r="I1678" s="165"/>
      <c r="J1678" s="167"/>
      <c r="K1678" s="167">
        <v>19.8</v>
      </c>
      <c r="L1678" s="167">
        <v>32</v>
      </c>
      <c r="M1678" s="168">
        <v>0.59166666666666701</v>
      </c>
      <c r="N1678" s="67"/>
    </row>
    <row r="1679" spans="1:14" x14ac:dyDescent="0.25">
      <c r="A1679" s="66">
        <v>45544</v>
      </c>
      <c r="B1679" s="67" t="s">
        <v>28</v>
      </c>
      <c r="C1679" s="129" t="str">
        <f t="shared" si="52"/>
        <v>09.09.2024_BOYohBr</v>
      </c>
      <c r="D1679" s="143">
        <f t="shared" si="53"/>
        <v>0</v>
      </c>
      <c r="E1679" s="157">
        <v>7.99</v>
      </c>
      <c r="F1679" s="165"/>
      <c r="G1679" s="166">
        <v>624</v>
      </c>
      <c r="H1679" s="167">
        <v>7.66</v>
      </c>
      <c r="I1679" s="165"/>
      <c r="J1679" s="167"/>
      <c r="K1679" s="167">
        <v>14.52</v>
      </c>
      <c r="L1679" s="167">
        <v>15</v>
      </c>
      <c r="M1679" s="168">
        <v>0.51458333333333295</v>
      </c>
      <c r="N1679" s="67"/>
    </row>
    <row r="1680" spans="1:14" x14ac:dyDescent="0.25">
      <c r="A1680" s="66">
        <v>45544</v>
      </c>
      <c r="B1680" s="67" t="s">
        <v>30</v>
      </c>
      <c r="C1680" s="129" t="str">
        <f t="shared" si="52"/>
        <v>09.09.2024_BOYohKi</v>
      </c>
      <c r="D1680" s="143">
        <f t="shared" si="53"/>
        <v>0</v>
      </c>
      <c r="E1680" s="157">
        <v>7.81</v>
      </c>
      <c r="F1680" s="165"/>
      <c r="G1680" s="166">
        <v>868</v>
      </c>
      <c r="H1680" s="167">
        <v>7.96</v>
      </c>
      <c r="I1680" s="165"/>
      <c r="J1680" s="167"/>
      <c r="K1680" s="167">
        <v>15.24</v>
      </c>
      <c r="L1680" s="167">
        <v>28</v>
      </c>
      <c r="M1680" s="168">
        <v>0.38819444444444401</v>
      </c>
      <c r="N1680" s="67"/>
    </row>
    <row r="1681" spans="1:14" x14ac:dyDescent="0.25">
      <c r="A1681" s="66">
        <v>45544</v>
      </c>
      <c r="B1681" s="67" t="s">
        <v>32</v>
      </c>
      <c r="C1681" s="129" t="str">
        <f t="shared" si="52"/>
        <v>09.09.2024_BOYohSp</v>
      </c>
      <c r="D1681" s="143">
        <f t="shared" si="53"/>
        <v>0</v>
      </c>
      <c r="E1681" s="157">
        <v>7.85</v>
      </c>
      <c r="F1681" s="165"/>
      <c r="G1681" s="166">
        <v>727</v>
      </c>
      <c r="H1681" s="167">
        <v>7.88</v>
      </c>
      <c r="I1681" s="165"/>
      <c r="J1681" s="167"/>
      <c r="K1681" s="167">
        <v>15.39</v>
      </c>
      <c r="L1681" s="167">
        <v>20</v>
      </c>
      <c r="M1681" s="168">
        <v>0.531944444444444</v>
      </c>
      <c r="N1681" s="67"/>
    </row>
    <row r="1682" spans="1:14" x14ac:dyDescent="0.25">
      <c r="A1682" s="66">
        <v>45544</v>
      </c>
      <c r="B1682" s="67" t="s">
        <v>34</v>
      </c>
      <c r="C1682" s="129" t="str">
        <f t="shared" si="52"/>
        <v>09.09.2024_BOYuhHa</v>
      </c>
      <c r="D1682" s="143">
        <f t="shared" si="53"/>
        <v>0</v>
      </c>
      <c r="E1682" s="157">
        <v>7.92</v>
      </c>
      <c r="F1682" s="165"/>
      <c r="G1682" s="166">
        <v>1131</v>
      </c>
      <c r="H1682" s="167">
        <v>8.4600000000000009</v>
      </c>
      <c r="I1682" s="165"/>
      <c r="J1682" s="167"/>
      <c r="K1682" s="167">
        <v>15.69</v>
      </c>
      <c r="L1682" s="167">
        <v>11</v>
      </c>
      <c r="M1682" s="168">
        <v>0.36944444444444402</v>
      </c>
      <c r="N1682" s="67"/>
    </row>
    <row r="1683" spans="1:14" x14ac:dyDescent="0.25">
      <c r="A1683" s="66">
        <v>45544</v>
      </c>
      <c r="B1683" s="67" t="s">
        <v>36</v>
      </c>
      <c r="C1683" s="129" t="str">
        <f t="shared" si="52"/>
        <v>09.09.2024_BOYuhSp</v>
      </c>
      <c r="D1683" s="143">
        <f t="shared" si="53"/>
        <v>0</v>
      </c>
      <c r="E1683" s="157">
        <v>8</v>
      </c>
      <c r="F1683" s="165"/>
      <c r="G1683" s="166">
        <v>733</v>
      </c>
      <c r="H1683" s="167">
        <v>8.83</v>
      </c>
      <c r="I1683" s="165"/>
      <c r="J1683" s="167"/>
      <c r="K1683" s="167">
        <v>15.73</v>
      </c>
      <c r="L1683" s="167">
        <v>24</v>
      </c>
      <c r="M1683" s="168">
        <v>0.52916666666666701</v>
      </c>
      <c r="N1683" s="67"/>
    </row>
    <row r="1684" spans="1:14" x14ac:dyDescent="0.25">
      <c r="A1684" s="66">
        <v>45544</v>
      </c>
      <c r="B1684" s="67" t="s">
        <v>38</v>
      </c>
      <c r="C1684" s="129" t="str">
        <f t="shared" si="52"/>
        <v>09.09.2024_BRAob</v>
      </c>
      <c r="D1684" s="143">
        <f t="shared" si="53"/>
        <v>0</v>
      </c>
      <c r="E1684" s="157">
        <v>8</v>
      </c>
      <c r="F1684" s="165"/>
      <c r="G1684" s="166">
        <v>422</v>
      </c>
      <c r="H1684" s="167">
        <v>8.93</v>
      </c>
      <c r="I1684" s="165"/>
      <c r="J1684" s="167"/>
      <c r="K1684" s="167">
        <v>15.77</v>
      </c>
      <c r="L1684" s="167">
        <v>8</v>
      </c>
      <c r="M1684" s="168">
        <v>0.49375000000000002</v>
      </c>
      <c r="N1684" s="67"/>
    </row>
    <row r="1685" spans="1:14" x14ac:dyDescent="0.25">
      <c r="A1685" s="66">
        <v>45544</v>
      </c>
      <c r="B1685" s="67" t="s">
        <v>41</v>
      </c>
      <c r="C1685" s="129" t="str">
        <f t="shared" si="52"/>
        <v>09.09.2024_BRAohBo</v>
      </c>
      <c r="D1685" s="143">
        <f t="shared" si="53"/>
        <v>0</v>
      </c>
      <c r="E1685" s="157">
        <v>8.26</v>
      </c>
      <c r="F1685" s="165"/>
      <c r="G1685" s="166">
        <v>767</v>
      </c>
      <c r="H1685" s="167">
        <v>8.5500000000000007</v>
      </c>
      <c r="I1685" s="165"/>
      <c r="J1685" s="167"/>
      <c r="K1685" s="167">
        <v>16.52</v>
      </c>
      <c r="L1685" s="167">
        <v>17</v>
      </c>
      <c r="M1685" s="168">
        <v>0.50138888888888899</v>
      </c>
      <c r="N1685" s="67" t="s">
        <v>375</v>
      </c>
    </row>
    <row r="1686" spans="1:14" x14ac:dyDescent="0.25">
      <c r="A1686" s="66">
        <v>45544</v>
      </c>
      <c r="B1686" s="67" t="s">
        <v>43</v>
      </c>
      <c r="C1686" s="129" t="str">
        <f t="shared" si="52"/>
        <v>09.09.2024_HAAob</v>
      </c>
      <c r="D1686" s="143">
        <f t="shared" si="53"/>
        <v>0</v>
      </c>
      <c r="E1686" s="157">
        <v>8.08</v>
      </c>
      <c r="F1686" s="165"/>
      <c r="G1686" s="166">
        <v>692</v>
      </c>
      <c r="H1686" s="167">
        <v>8.23</v>
      </c>
      <c r="I1686" s="165"/>
      <c r="J1686" s="167"/>
      <c r="K1686" s="167">
        <v>18.489999999999998</v>
      </c>
      <c r="L1686" s="167">
        <v>8</v>
      </c>
      <c r="M1686" s="168">
        <v>0.55902777777777801</v>
      </c>
      <c r="N1686" s="67"/>
    </row>
    <row r="1687" spans="1:14" x14ac:dyDescent="0.25">
      <c r="A1687" s="66">
        <v>45544</v>
      </c>
      <c r="B1687" s="67" t="s">
        <v>45</v>
      </c>
      <c r="C1687" s="129" t="str">
        <f t="shared" si="52"/>
        <v>09.09.2024_HAAun</v>
      </c>
      <c r="D1687" s="143">
        <f t="shared" si="53"/>
        <v>0</v>
      </c>
      <c r="E1687" s="157">
        <v>8.01</v>
      </c>
      <c r="F1687" s="165"/>
      <c r="G1687" s="166">
        <v>1090</v>
      </c>
      <c r="H1687" s="167">
        <v>8.66</v>
      </c>
      <c r="I1687" s="165"/>
      <c r="J1687" s="167"/>
      <c r="K1687" s="167">
        <v>17.09</v>
      </c>
      <c r="L1687" s="167">
        <v>8</v>
      </c>
      <c r="M1687" s="168">
        <v>0.55069444444444504</v>
      </c>
      <c r="N1687" s="67"/>
    </row>
    <row r="1688" spans="1:14" x14ac:dyDescent="0.25">
      <c r="A1688" s="66">
        <v>45544</v>
      </c>
      <c r="B1688" s="67" t="s">
        <v>47</v>
      </c>
      <c r="C1688" s="129" t="str">
        <f t="shared" si="52"/>
        <v>09.09.2024_KIRob</v>
      </c>
      <c r="D1688" s="143">
        <f t="shared" si="53"/>
        <v>0</v>
      </c>
      <c r="E1688" s="157">
        <v>7.99</v>
      </c>
      <c r="F1688" s="165"/>
      <c r="G1688" s="166">
        <v>1146</v>
      </c>
      <c r="H1688" s="167">
        <v>7.82</v>
      </c>
      <c r="I1688" s="165"/>
      <c r="J1688" s="167"/>
      <c r="K1688" s="167">
        <v>14.8</v>
      </c>
      <c r="L1688" s="167">
        <v>14</v>
      </c>
      <c r="M1688" s="168">
        <v>0.405555555555556</v>
      </c>
      <c r="N1688" s="67"/>
    </row>
    <row r="1689" spans="1:14" x14ac:dyDescent="0.25">
      <c r="A1689" s="66">
        <v>45544</v>
      </c>
      <c r="B1689" s="67" t="s">
        <v>49</v>
      </c>
      <c r="C1689" s="129" t="str">
        <f t="shared" si="52"/>
        <v>09.09.2024_KIRun</v>
      </c>
      <c r="D1689" s="143">
        <f t="shared" si="53"/>
        <v>0</v>
      </c>
      <c r="E1689" s="157">
        <v>7.91</v>
      </c>
      <c r="F1689" s="165"/>
      <c r="G1689" s="166">
        <v>1045</v>
      </c>
      <c r="H1689" s="167">
        <v>8.66</v>
      </c>
      <c r="I1689" s="165"/>
      <c r="J1689" s="167"/>
      <c r="K1689" s="167">
        <v>14.71</v>
      </c>
      <c r="L1689" s="167">
        <v>10</v>
      </c>
      <c r="M1689" s="168">
        <v>0.39652777777777798</v>
      </c>
      <c r="N1689" s="67"/>
    </row>
    <row r="1690" spans="1:14" x14ac:dyDescent="0.25">
      <c r="A1690" s="66">
        <v>45544</v>
      </c>
      <c r="B1690" s="67" t="s">
        <v>50</v>
      </c>
      <c r="C1690" s="129" t="str">
        <f t="shared" si="52"/>
        <v>09.09.2024_LIEohBo</v>
      </c>
      <c r="D1690" s="143">
        <f t="shared" si="53"/>
        <v>0</v>
      </c>
      <c r="E1690" s="157">
        <v>7.8</v>
      </c>
      <c r="F1690" s="165"/>
      <c r="G1690" s="166">
        <v>787</v>
      </c>
      <c r="H1690" s="167">
        <v>6.14</v>
      </c>
      <c r="I1690" s="165"/>
      <c r="J1690" s="167"/>
      <c r="K1690" s="167">
        <v>15.73</v>
      </c>
      <c r="L1690" s="167">
        <v>9.5</v>
      </c>
      <c r="M1690" s="168">
        <v>0.37986111111111098</v>
      </c>
      <c r="N1690" s="67"/>
    </row>
    <row r="1691" spans="1:14" x14ac:dyDescent="0.25">
      <c r="A1691" s="66">
        <v>45544</v>
      </c>
      <c r="B1691" s="67" t="s">
        <v>53</v>
      </c>
      <c r="C1691" s="129" t="str">
        <f t="shared" si="52"/>
        <v>09.09.2024_NATohBo</v>
      </c>
      <c r="D1691" s="143">
        <f t="shared" si="53"/>
        <v>0</v>
      </c>
      <c r="E1691" s="157">
        <v>7.79</v>
      </c>
      <c r="F1691" s="165"/>
      <c r="G1691" s="166">
        <v>2319</v>
      </c>
      <c r="H1691" s="167">
        <v>6.8</v>
      </c>
      <c r="I1691" s="165"/>
      <c r="J1691" s="167"/>
      <c r="K1691" s="167">
        <v>17.84</v>
      </c>
      <c r="L1691" s="167">
        <v>21</v>
      </c>
      <c r="M1691" s="168">
        <v>0.58263888888888904</v>
      </c>
      <c r="N1691" s="67"/>
    </row>
    <row r="1692" spans="1:14" x14ac:dyDescent="0.25">
      <c r="A1692" s="66">
        <v>45544</v>
      </c>
      <c r="B1692" s="67" t="s">
        <v>55</v>
      </c>
      <c r="C1692" s="129" t="str">
        <f t="shared" si="52"/>
        <v>09.09.2024_QUAohBo</v>
      </c>
      <c r="D1692" s="143">
        <f t="shared" si="53"/>
        <v>0</v>
      </c>
      <c r="E1692" s="157">
        <v>7.78</v>
      </c>
      <c r="F1692" s="165"/>
      <c r="G1692" s="166">
        <v>886</v>
      </c>
      <c r="H1692" s="167">
        <v>7.04</v>
      </c>
      <c r="I1692" s="165"/>
      <c r="J1692" s="167"/>
      <c r="K1692" s="167">
        <v>16.559999999999999</v>
      </c>
      <c r="L1692" s="167">
        <v>6</v>
      </c>
      <c r="M1692" s="168">
        <v>0.53888888888888897</v>
      </c>
      <c r="N1692" s="67"/>
    </row>
    <row r="1693" spans="1:14" x14ac:dyDescent="0.25">
      <c r="A1693" s="66">
        <v>45544</v>
      </c>
      <c r="B1693" s="67" t="s">
        <v>57</v>
      </c>
      <c r="C1693" s="129" t="str">
        <f t="shared" si="52"/>
        <v>09.09.2024_SCHohVo</v>
      </c>
      <c r="D1693" s="143">
        <f t="shared" si="53"/>
        <v>0</v>
      </c>
      <c r="E1693" s="157">
        <v>8.44</v>
      </c>
      <c r="F1693" s="165"/>
      <c r="G1693" s="166">
        <v>509</v>
      </c>
      <c r="H1693" s="167">
        <v>9.31</v>
      </c>
      <c r="I1693" s="165"/>
      <c r="J1693" s="167"/>
      <c r="K1693" s="167">
        <v>15.88</v>
      </c>
      <c r="L1693" s="167">
        <v>3</v>
      </c>
      <c r="M1693" s="168">
        <v>0.41875000000000001</v>
      </c>
      <c r="N1693" s="67" t="s">
        <v>375</v>
      </c>
    </row>
    <row r="1694" spans="1:14" x14ac:dyDescent="0.25">
      <c r="A1694" s="66">
        <v>45544</v>
      </c>
      <c r="B1694" s="67" t="s">
        <v>60</v>
      </c>
      <c r="C1694" s="129" t="str">
        <f t="shared" si="52"/>
        <v>09.09.2024_VORohBo</v>
      </c>
      <c r="D1694" s="143">
        <f t="shared" si="53"/>
        <v>0</v>
      </c>
      <c r="E1694" s="157">
        <v>7.68</v>
      </c>
      <c r="F1694" s="165"/>
      <c r="G1694" s="166">
        <v>1157</v>
      </c>
      <c r="H1694" s="167">
        <v>7.16</v>
      </c>
      <c r="I1694" s="165"/>
      <c r="J1694" s="167"/>
      <c r="K1694" s="167">
        <v>14.76</v>
      </c>
      <c r="L1694" s="167">
        <v>13</v>
      </c>
      <c r="M1694" s="168">
        <v>0.436805555555556</v>
      </c>
      <c r="N1694" s="67"/>
    </row>
    <row r="1695" spans="1:14" x14ac:dyDescent="0.25">
      <c r="A1695" s="66">
        <v>45544</v>
      </c>
      <c r="B1695" s="67" t="s">
        <v>62</v>
      </c>
      <c r="C1695" s="129" t="str">
        <f t="shared" si="52"/>
        <v>09.09.2024_VORuhSc</v>
      </c>
      <c r="D1695" s="143">
        <f t="shared" si="53"/>
        <v>0</v>
      </c>
      <c r="E1695" s="157">
        <v>7.3</v>
      </c>
      <c r="F1695" s="165"/>
      <c r="G1695" s="166">
        <v>1153</v>
      </c>
      <c r="H1695" s="167">
        <v>6.83</v>
      </c>
      <c r="I1695" s="165"/>
      <c r="J1695" s="167"/>
      <c r="K1695" s="167">
        <v>14.9</v>
      </c>
      <c r="L1695" s="167">
        <v>11</v>
      </c>
      <c r="M1695" s="168">
        <v>0.42708333333333298</v>
      </c>
      <c r="N1695" s="67" t="s">
        <v>375</v>
      </c>
    </row>
    <row r="1696" spans="1:14" x14ac:dyDescent="0.25">
      <c r="A1696" s="66">
        <v>45544</v>
      </c>
      <c r="B1696" s="67" t="s">
        <v>64</v>
      </c>
      <c r="C1696" s="129" t="str">
        <f t="shared" si="52"/>
        <v>09.09.2024_WITob</v>
      </c>
      <c r="D1696" s="143">
        <f t="shared" si="53"/>
        <v>0</v>
      </c>
      <c r="E1696" s="157">
        <v>8.33</v>
      </c>
      <c r="F1696" s="165"/>
      <c r="G1696" s="166">
        <v>1374</v>
      </c>
      <c r="H1696" s="167">
        <v>9.17</v>
      </c>
      <c r="I1696" s="165"/>
      <c r="J1696" s="167"/>
      <c r="K1696" s="167">
        <v>16.73</v>
      </c>
      <c r="L1696" s="167">
        <v>1</v>
      </c>
      <c r="M1696" s="168">
        <v>0.57222222222222197</v>
      </c>
      <c r="N1696" s="67"/>
    </row>
    <row r="1697" spans="1:14" x14ac:dyDescent="0.25">
      <c r="A1697" s="66">
        <v>45558</v>
      </c>
      <c r="B1697" s="67" t="s">
        <v>22</v>
      </c>
      <c r="C1697" s="129" t="str">
        <f t="shared" si="52"/>
        <v>23.09.2024_BOYkl</v>
      </c>
      <c r="D1697" s="143">
        <f t="shared" si="53"/>
        <v>0</v>
      </c>
      <c r="E1697" s="157">
        <v>8.18</v>
      </c>
      <c r="F1697" s="165"/>
      <c r="G1697" s="166">
        <v>510</v>
      </c>
      <c r="H1697" s="167">
        <v>8.94</v>
      </c>
      <c r="I1697" s="165"/>
      <c r="J1697" s="167"/>
      <c r="K1697" s="167">
        <v>16.22</v>
      </c>
      <c r="L1697" s="167">
        <v>0.5</v>
      </c>
      <c r="M1697" s="168">
        <v>0.57222222222222197</v>
      </c>
      <c r="N1697" s="67"/>
    </row>
    <row r="1698" spans="1:14" x14ac:dyDescent="0.25">
      <c r="A1698" s="66">
        <v>45558</v>
      </c>
      <c r="B1698" s="67" t="s">
        <v>25</v>
      </c>
      <c r="C1698" s="129" t="str">
        <f t="shared" si="52"/>
        <v>23.09.2024_BOYohB224</v>
      </c>
      <c r="D1698" s="143">
        <f t="shared" si="53"/>
        <v>0</v>
      </c>
      <c r="E1698" s="157">
        <v>8.08</v>
      </c>
      <c r="F1698" s="165"/>
      <c r="G1698" s="166">
        <v>1012</v>
      </c>
      <c r="H1698" s="167">
        <v>9.0299999999999994</v>
      </c>
      <c r="I1698" s="165"/>
      <c r="J1698" s="167"/>
      <c r="K1698" s="167">
        <v>17.23</v>
      </c>
      <c r="L1698" s="167">
        <v>26</v>
      </c>
      <c r="M1698" s="168">
        <v>0.781944444444444</v>
      </c>
      <c r="N1698" s="67"/>
    </row>
    <row r="1699" spans="1:14" x14ac:dyDescent="0.25">
      <c r="A1699" s="66">
        <v>45558</v>
      </c>
      <c r="B1699" s="67" t="s">
        <v>28</v>
      </c>
      <c r="C1699" s="129" t="str">
        <f t="shared" si="52"/>
        <v>23.09.2024_BOYohBr</v>
      </c>
      <c r="D1699" s="143">
        <f t="shared" si="53"/>
        <v>0</v>
      </c>
      <c r="E1699" s="157">
        <v>7.75</v>
      </c>
      <c r="F1699" s="165"/>
      <c r="G1699" s="166">
        <v>576</v>
      </c>
      <c r="H1699" s="167">
        <v>7.33</v>
      </c>
      <c r="I1699" s="165"/>
      <c r="J1699" s="167"/>
      <c r="K1699" s="167">
        <v>14.07</v>
      </c>
      <c r="L1699" s="167">
        <v>13</v>
      </c>
      <c r="M1699" s="168">
        <v>0.67986111111111103</v>
      </c>
      <c r="N1699" s="67"/>
    </row>
    <row r="1700" spans="1:14" x14ac:dyDescent="0.25">
      <c r="A1700" s="66">
        <v>45558</v>
      </c>
      <c r="B1700" s="67" t="s">
        <v>30</v>
      </c>
      <c r="C1700" s="129" t="str">
        <f t="shared" si="52"/>
        <v>23.09.2024_BOYohKi</v>
      </c>
      <c r="D1700" s="143">
        <f t="shared" si="53"/>
        <v>0</v>
      </c>
      <c r="E1700" s="157">
        <v>7.94</v>
      </c>
      <c r="F1700" s="165"/>
      <c r="G1700" s="166">
        <v>849</v>
      </c>
      <c r="H1700" s="167">
        <v>8.8000000000000007</v>
      </c>
      <c r="I1700" s="165"/>
      <c r="J1700" s="167"/>
      <c r="K1700" s="167">
        <v>15.1</v>
      </c>
      <c r="L1700" s="167">
        <v>31</v>
      </c>
      <c r="M1700" s="168">
        <v>0.50277777777777799</v>
      </c>
      <c r="N1700" s="67"/>
    </row>
    <row r="1701" spans="1:14" x14ac:dyDescent="0.25">
      <c r="A1701" s="66">
        <v>45558</v>
      </c>
      <c r="B1701" s="67" t="s">
        <v>32</v>
      </c>
      <c r="C1701" s="129" t="str">
        <f t="shared" si="52"/>
        <v>23.09.2024_BOYohSp</v>
      </c>
      <c r="D1701" s="143">
        <f t="shared" si="53"/>
        <v>0</v>
      </c>
      <c r="E1701" s="157">
        <v>7.8</v>
      </c>
      <c r="F1701" s="165"/>
      <c r="G1701" s="166">
        <v>664</v>
      </c>
      <c r="H1701" s="167">
        <v>7.73</v>
      </c>
      <c r="I1701" s="165"/>
      <c r="J1701" s="167"/>
      <c r="K1701" s="167">
        <v>15.15</v>
      </c>
      <c r="L1701" s="167">
        <v>17</v>
      </c>
      <c r="M1701" s="168">
        <v>0.69930555555555596</v>
      </c>
      <c r="N1701" s="67"/>
    </row>
    <row r="1702" spans="1:14" x14ac:dyDescent="0.25">
      <c r="A1702" s="66">
        <v>45558</v>
      </c>
      <c r="B1702" s="67" t="s">
        <v>34</v>
      </c>
      <c r="C1702" s="129" t="str">
        <f t="shared" si="52"/>
        <v>23.09.2024_BOYuhHa</v>
      </c>
      <c r="D1702" s="143">
        <f t="shared" si="53"/>
        <v>0</v>
      </c>
      <c r="E1702" s="157">
        <v>8.02</v>
      </c>
      <c r="F1702" s="165"/>
      <c r="G1702" s="166">
        <v>1110</v>
      </c>
      <c r="H1702" s="167">
        <v>10.29</v>
      </c>
      <c r="I1702" s="165"/>
      <c r="J1702" s="167"/>
      <c r="K1702" s="167">
        <v>15.17</v>
      </c>
      <c r="L1702" s="167">
        <v>13</v>
      </c>
      <c r="M1702" s="168">
        <v>0.47222222222222199</v>
      </c>
      <c r="N1702" s="67"/>
    </row>
    <row r="1703" spans="1:14" x14ac:dyDescent="0.25">
      <c r="A1703" s="66">
        <v>45558</v>
      </c>
      <c r="B1703" s="67" t="s">
        <v>36</v>
      </c>
      <c r="C1703" s="129" t="str">
        <f t="shared" si="52"/>
        <v>23.09.2024_BOYuhSp</v>
      </c>
      <c r="D1703" s="143">
        <f t="shared" si="53"/>
        <v>0</v>
      </c>
      <c r="E1703" s="157">
        <v>7.86</v>
      </c>
      <c r="F1703" s="165"/>
      <c r="G1703" s="166">
        <v>680</v>
      </c>
      <c r="H1703" s="167">
        <v>7.88</v>
      </c>
      <c r="I1703" s="165"/>
      <c r="J1703" s="167"/>
      <c r="K1703" s="167">
        <v>15.22</v>
      </c>
      <c r="L1703" s="167">
        <v>24</v>
      </c>
      <c r="M1703" s="168">
        <v>0.69444444444444497</v>
      </c>
      <c r="N1703" s="67" t="s">
        <v>288</v>
      </c>
    </row>
    <row r="1704" spans="1:14" x14ac:dyDescent="0.25">
      <c r="A1704" s="66">
        <v>45558</v>
      </c>
      <c r="B1704" s="67" t="s">
        <v>38</v>
      </c>
      <c r="C1704" s="129" t="str">
        <f t="shared" si="52"/>
        <v>23.09.2024_BRAob</v>
      </c>
      <c r="D1704" s="143">
        <f t="shared" si="53"/>
        <v>0</v>
      </c>
      <c r="E1704" s="157">
        <v>7.87</v>
      </c>
      <c r="F1704" s="165"/>
      <c r="G1704" s="166">
        <v>778</v>
      </c>
      <c r="H1704" s="167">
        <v>8.39</v>
      </c>
      <c r="I1704" s="165"/>
      <c r="J1704" s="167"/>
      <c r="K1704" s="167">
        <v>16.14</v>
      </c>
      <c r="L1704" s="167">
        <v>7</v>
      </c>
      <c r="M1704" s="168">
        <v>0.63958333333333295</v>
      </c>
      <c r="N1704" s="67" t="s">
        <v>374</v>
      </c>
    </row>
    <row r="1705" spans="1:14" x14ac:dyDescent="0.25">
      <c r="A1705" s="66">
        <v>45558</v>
      </c>
      <c r="B1705" s="67" t="s">
        <v>41</v>
      </c>
      <c r="C1705" s="129" t="str">
        <f t="shared" si="52"/>
        <v>23.09.2024_BRAohBo</v>
      </c>
      <c r="D1705" s="143">
        <f t="shared" si="53"/>
        <v>0</v>
      </c>
      <c r="E1705" s="157">
        <v>8.18</v>
      </c>
      <c r="F1705" s="165"/>
      <c r="G1705" s="166">
        <v>739</v>
      </c>
      <c r="H1705" s="167">
        <v>8.4499999999999993</v>
      </c>
      <c r="I1705" s="165"/>
      <c r="J1705" s="167"/>
      <c r="K1705" s="167">
        <v>16.78</v>
      </c>
      <c r="L1705" s="167">
        <v>17</v>
      </c>
      <c r="M1705" s="168">
        <v>0.65972222222222199</v>
      </c>
      <c r="N1705" s="67" t="s">
        <v>374</v>
      </c>
    </row>
    <row r="1706" spans="1:14" x14ac:dyDescent="0.25">
      <c r="A1706" s="66">
        <v>45558</v>
      </c>
      <c r="B1706" s="67" t="s">
        <v>43</v>
      </c>
      <c r="C1706" s="129" t="str">
        <f t="shared" si="52"/>
        <v>23.09.2024_HAAob</v>
      </c>
      <c r="D1706" s="143">
        <f t="shared" si="53"/>
        <v>0</v>
      </c>
      <c r="E1706" s="157">
        <v>8.0399999999999991</v>
      </c>
      <c r="F1706" s="165"/>
      <c r="G1706" s="166">
        <v>667</v>
      </c>
      <c r="H1706" s="167">
        <v>8.4499999999999993</v>
      </c>
      <c r="I1706" s="165"/>
      <c r="J1706" s="167"/>
      <c r="K1706" s="167">
        <v>17.63</v>
      </c>
      <c r="L1706" s="167">
        <v>10</v>
      </c>
      <c r="M1706" s="168">
        <v>0.73680555555555605</v>
      </c>
      <c r="N1706" s="67" t="s">
        <v>290</v>
      </c>
    </row>
    <row r="1707" spans="1:14" x14ac:dyDescent="0.25">
      <c r="A1707" s="66">
        <v>45558</v>
      </c>
      <c r="B1707" s="67" t="s">
        <v>45</v>
      </c>
      <c r="C1707" s="129" t="str">
        <f t="shared" si="52"/>
        <v>23.09.2024_HAAun</v>
      </c>
      <c r="D1707" s="143">
        <f t="shared" si="53"/>
        <v>0</v>
      </c>
      <c r="E1707" s="157">
        <v>7.93</v>
      </c>
      <c r="F1707" s="165"/>
      <c r="G1707" s="166">
        <v>1048</v>
      </c>
      <c r="H1707" s="167">
        <v>8.3699999999999992</v>
      </c>
      <c r="I1707" s="165"/>
      <c r="J1707" s="167"/>
      <c r="K1707" s="167">
        <v>16.62</v>
      </c>
      <c r="L1707" s="167">
        <v>8</v>
      </c>
      <c r="M1707" s="168">
        <v>0.72708333333333297</v>
      </c>
      <c r="N1707" s="67"/>
    </row>
    <row r="1708" spans="1:14" x14ac:dyDescent="0.25">
      <c r="A1708" s="66">
        <v>45558</v>
      </c>
      <c r="B1708" s="67" t="s">
        <v>47</v>
      </c>
      <c r="C1708" s="129" t="str">
        <f t="shared" si="52"/>
        <v>23.09.2024_KIRob</v>
      </c>
      <c r="D1708" s="143">
        <f t="shared" si="53"/>
        <v>0</v>
      </c>
      <c r="E1708" s="157">
        <v>7.9</v>
      </c>
      <c r="F1708" s="165"/>
      <c r="G1708" s="166">
        <v>1101</v>
      </c>
      <c r="H1708" s="167">
        <v>7.57</v>
      </c>
      <c r="I1708" s="165"/>
      <c r="J1708" s="167"/>
      <c r="K1708" s="167">
        <v>15.43</v>
      </c>
      <c r="L1708" s="167">
        <v>15</v>
      </c>
      <c r="M1708" s="168">
        <v>0.51944444444444504</v>
      </c>
      <c r="N1708" s="67"/>
    </row>
    <row r="1709" spans="1:14" x14ac:dyDescent="0.25">
      <c r="A1709" s="66">
        <v>45558</v>
      </c>
      <c r="B1709" s="67" t="s">
        <v>49</v>
      </c>
      <c r="C1709" s="129" t="str">
        <f t="shared" si="52"/>
        <v>23.09.2024_KIRun</v>
      </c>
      <c r="D1709" s="143">
        <f t="shared" si="53"/>
        <v>0</v>
      </c>
      <c r="E1709" s="157">
        <v>7.73</v>
      </c>
      <c r="F1709" s="165"/>
      <c r="G1709" s="166">
        <v>1011</v>
      </c>
      <c r="H1709" s="167">
        <v>8.83</v>
      </c>
      <c r="I1709" s="165"/>
      <c r="J1709" s="167"/>
      <c r="K1709" s="167">
        <v>15.01</v>
      </c>
      <c r="L1709" s="167">
        <v>11.5</v>
      </c>
      <c r="M1709" s="168">
        <v>0.51180555555555596</v>
      </c>
      <c r="N1709" s="67"/>
    </row>
    <row r="1710" spans="1:14" x14ac:dyDescent="0.25">
      <c r="A1710" s="66">
        <v>45558</v>
      </c>
      <c r="B1710" s="67" t="s">
        <v>50</v>
      </c>
      <c r="C1710" s="129" t="str">
        <f t="shared" si="52"/>
        <v>23.09.2024_LIEohBo</v>
      </c>
      <c r="D1710" s="143">
        <f t="shared" si="53"/>
        <v>0</v>
      </c>
      <c r="E1710" s="157">
        <v>7.82</v>
      </c>
      <c r="F1710" s="165"/>
      <c r="G1710" s="166">
        <v>793</v>
      </c>
      <c r="H1710" s="167">
        <v>11.76</v>
      </c>
      <c r="I1710" s="165"/>
      <c r="J1710" s="167"/>
      <c r="K1710" s="167">
        <v>16.62</v>
      </c>
      <c r="L1710" s="167">
        <v>10</v>
      </c>
      <c r="M1710" s="168">
        <v>0.48819444444444399</v>
      </c>
      <c r="N1710" s="67"/>
    </row>
    <row r="1711" spans="1:14" x14ac:dyDescent="0.25">
      <c r="A1711" s="66">
        <v>45558</v>
      </c>
      <c r="B1711" s="67" t="s">
        <v>53</v>
      </c>
      <c r="C1711" s="129" t="str">
        <f t="shared" si="52"/>
        <v>23.09.2024_NATohBo</v>
      </c>
      <c r="D1711" s="143">
        <f t="shared" si="53"/>
        <v>0</v>
      </c>
      <c r="E1711" s="157">
        <v>7.42</v>
      </c>
      <c r="F1711" s="165"/>
      <c r="G1711" s="166">
        <v>2344</v>
      </c>
      <c r="H1711" s="167">
        <v>7</v>
      </c>
      <c r="I1711" s="165"/>
      <c r="J1711" s="167"/>
      <c r="K1711" s="167">
        <v>17.11</v>
      </c>
      <c r="L1711" s="167">
        <v>9</v>
      </c>
      <c r="M1711" s="168">
        <v>0.77152777777777803</v>
      </c>
      <c r="N1711" s="67"/>
    </row>
    <row r="1712" spans="1:14" x14ac:dyDescent="0.25">
      <c r="A1712" s="66">
        <v>45558</v>
      </c>
      <c r="B1712" s="67" t="s">
        <v>55</v>
      </c>
      <c r="C1712" s="129" t="str">
        <f t="shared" si="52"/>
        <v>23.09.2024_QUAohBo</v>
      </c>
      <c r="D1712" s="143">
        <f t="shared" si="53"/>
        <v>0</v>
      </c>
      <c r="E1712" s="157">
        <v>7.8</v>
      </c>
      <c r="F1712" s="165"/>
      <c r="G1712" s="166">
        <v>840</v>
      </c>
      <c r="H1712" s="167">
        <v>7.5</v>
      </c>
      <c r="I1712" s="165"/>
      <c r="J1712" s="167"/>
      <c r="K1712" s="167">
        <v>16.149999999999999</v>
      </c>
      <c r="L1712" s="167">
        <v>6</v>
      </c>
      <c r="M1712" s="168">
        <v>0.71180555555555602</v>
      </c>
      <c r="N1712" s="67" t="s">
        <v>289</v>
      </c>
    </row>
    <row r="1713" spans="1:14" x14ac:dyDescent="0.25">
      <c r="A1713" s="66">
        <v>45558</v>
      </c>
      <c r="B1713" s="67" t="s">
        <v>57</v>
      </c>
      <c r="C1713" s="129" t="str">
        <f t="shared" si="52"/>
        <v>23.09.2024_SCHohVo</v>
      </c>
      <c r="D1713" s="143">
        <f t="shared" si="53"/>
        <v>0</v>
      </c>
      <c r="E1713" s="157">
        <v>8.3800000000000008</v>
      </c>
      <c r="F1713" s="165"/>
      <c r="G1713" s="166">
        <v>765</v>
      </c>
      <c r="H1713" s="167">
        <v>8.51</v>
      </c>
      <c r="I1713" s="165"/>
      <c r="J1713" s="167"/>
      <c r="K1713" s="167">
        <v>17.54</v>
      </c>
      <c r="L1713" s="167">
        <v>3</v>
      </c>
      <c r="M1713" s="168">
        <v>0.53263888888888899</v>
      </c>
      <c r="N1713" s="67" t="s">
        <v>374</v>
      </c>
    </row>
    <row r="1714" spans="1:14" x14ac:dyDescent="0.25">
      <c r="A1714" s="66">
        <v>45558</v>
      </c>
      <c r="B1714" s="67" t="s">
        <v>60</v>
      </c>
      <c r="C1714" s="129" t="str">
        <f t="shared" si="52"/>
        <v>23.09.2024_VORohBo</v>
      </c>
      <c r="D1714" s="143">
        <f t="shared" si="53"/>
        <v>0</v>
      </c>
      <c r="E1714" s="157">
        <v>7.56</v>
      </c>
      <c r="F1714" s="165"/>
      <c r="G1714" s="166">
        <v>1140</v>
      </c>
      <c r="H1714" s="167">
        <v>6.18</v>
      </c>
      <c r="I1714" s="165"/>
      <c r="J1714" s="167"/>
      <c r="K1714" s="167">
        <v>14.66</v>
      </c>
      <c r="L1714" s="167">
        <v>13</v>
      </c>
      <c r="M1714" s="168">
        <v>0.55625000000000002</v>
      </c>
      <c r="N1714" s="67"/>
    </row>
    <row r="1715" spans="1:14" x14ac:dyDescent="0.25">
      <c r="A1715" s="66">
        <v>45558</v>
      </c>
      <c r="B1715" s="67" t="s">
        <v>62</v>
      </c>
      <c r="C1715" s="129" t="str">
        <f t="shared" si="52"/>
        <v>23.09.2024_VORuhSc</v>
      </c>
      <c r="D1715" s="143">
        <f t="shared" si="53"/>
        <v>0</v>
      </c>
      <c r="E1715" s="157">
        <v>7.39</v>
      </c>
      <c r="F1715" s="165"/>
      <c r="G1715" s="166">
        <v>1133</v>
      </c>
      <c r="H1715" s="167">
        <v>6.62</v>
      </c>
      <c r="I1715" s="165"/>
      <c r="J1715" s="167"/>
      <c r="K1715" s="167">
        <v>14.52</v>
      </c>
      <c r="L1715" s="167">
        <v>12</v>
      </c>
      <c r="M1715" s="168">
        <v>0.54097222222222197</v>
      </c>
      <c r="N1715" s="67" t="s">
        <v>374</v>
      </c>
    </row>
    <row r="1716" spans="1:14" x14ac:dyDescent="0.25">
      <c r="A1716" s="66">
        <v>45558</v>
      </c>
      <c r="B1716" s="67" t="s">
        <v>64</v>
      </c>
      <c r="C1716" s="129" t="str">
        <f t="shared" si="52"/>
        <v>23.09.2024_WITob</v>
      </c>
      <c r="D1716" s="143">
        <f t="shared" si="53"/>
        <v>0</v>
      </c>
      <c r="E1716" s="157">
        <v>8.09</v>
      </c>
      <c r="F1716" s="165"/>
      <c r="G1716" s="166">
        <v>1324</v>
      </c>
      <c r="H1716" s="167">
        <v>8.68</v>
      </c>
      <c r="I1716" s="165"/>
      <c r="J1716" s="167"/>
      <c r="K1716" s="167">
        <v>16.53</v>
      </c>
      <c r="L1716" s="167">
        <v>1</v>
      </c>
      <c r="M1716" s="168">
        <v>0.75277777777777799</v>
      </c>
      <c r="N1716" s="67"/>
    </row>
    <row r="1717" spans="1:14" x14ac:dyDescent="0.25">
      <c r="A1717" s="66">
        <v>45575</v>
      </c>
      <c r="B1717" s="67" t="s">
        <v>22</v>
      </c>
      <c r="C1717" s="129" t="str">
        <f t="shared" si="52"/>
        <v>10.10.2024_BOYkl</v>
      </c>
      <c r="D1717" s="143">
        <f t="shared" si="53"/>
        <v>0</v>
      </c>
      <c r="E1717" s="157">
        <v>6.7</v>
      </c>
      <c r="F1717" s="165"/>
      <c r="G1717" s="166">
        <v>269</v>
      </c>
      <c r="H1717" s="167">
        <v>8.58</v>
      </c>
      <c r="I1717" s="165"/>
      <c r="J1717" s="167"/>
      <c r="K1717" s="167">
        <v>14.02</v>
      </c>
      <c r="L1717" s="167">
        <v>28</v>
      </c>
      <c r="M1717" s="168">
        <v>0.43541666666666701</v>
      </c>
      <c r="N1717" s="67"/>
    </row>
    <row r="1718" spans="1:14" x14ac:dyDescent="0.25">
      <c r="A1718" s="66">
        <v>45575</v>
      </c>
      <c r="B1718" s="67" t="s">
        <v>25</v>
      </c>
      <c r="C1718" s="129" t="str">
        <f t="shared" si="52"/>
        <v>10.10.2024_BOYohB224</v>
      </c>
      <c r="D1718" s="143">
        <f t="shared" si="53"/>
        <v>0</v>
      </c>
      <c r="E1718" s="157">
        <v>7.46</v>
      </c>
      <c r="F1718" s="165"/>
      <c r="G1718" s="166">
        <v>305</v>
      </c>
      <c r="H1718" s="167">
        <v>6.01</v>
      </c>
      <c r="I1718" s="165"/>
      <c r="J1718" s="167"/>
      <c r="K1718" s="167">
        <v>14.47</v>
      </c>
      <c r="L1718" s="178">
        <v>120</v>
      </c>
      <c r="M1718" s="168">
        <v>0.58402777777777803</v>
      </c>
      <c r="N1718" s="67" t="s">
        <v>305</v>
      </c>
    </row>
    <row r="1719" spans="1:14" x14ac:dyDescent="0.25">
      <c r="A1719" s="66">
        <v>45575</v>
      </c>
      <c r="B1719" s="67" t="s">
        <v>28</v>
      </c>
      <c r="C1719" s="129" t="str">
        <f t="shared" si="52"/>
        <v>10.10.2024_BOYohBr</v>
      </c>
      <c r="D1719" s="143">
        <f t="shared" si="53"/>
        <v>0</v>
      </c>
      <c r="E1719" s="157">
        <v>6.83</v>
      </c>
      <c r="F1719" s="165"/>
      <c r="G1719" s="166">
        <v>260</v>
      </c>
      <c r="H1719" s="167">
        <v>8.1300000000000008</v>
      </c>
      <c r="I1719" s="165"/>
      <c r="J1719" s="167"/>
      <c r="K1719" s="167">
        <v>14.06</v>
      </c>
      <c r="L1719" s="167">
        <v>89</v>
      </c>
      <c r="M1719" s="168">
        <v>0.50694444444444398</v>
      </c>
      <c r="N1719" s="67"/>
    </row>
    <row r="1720" spans="1:14" x14ac:dyDescent="0.25">
      <c r="A1720" s="66">
        <v>45575</v>
      </c>
      <c r="B1720" s="67" t="s">
        <v>30</v>
      </c>
      <c r="C1720" s="129" t="str">
        <f t="shared" si="52"/>
        <v>10.10.2024_BOYohKi</v>
      </c>
      <c r="D1720" s="143">
        <f t="shared" si="53"/>
        <v>0</v>
      </c>
      <c r="E1720" s="157">
        <v>7.3</v>
      </c>
      <c r="F1720" s="165"/>
      <c r="G1720" s="166">
        <v>319</v>
      </c>
      <c r="H1720" s="167">
        <v>6.95</v>
      </c>
      <c r="I1720" s="165"/>
      <c r="J1720" s="167"/>
      <c r="K1720" s="167">
        <v>13.94</v>
      </c>
      <c r="L1720" s="167">
        <v>100</v>
      </c>
      <c r="M1720" s="168">
        <v>0.37291666666666701</v>
      </c>
      <c r="N1720" s="67"/>
    </row>
    <row r="1721" spans="1:14" x14ac:dyDescent="0.25">
      <c r="A1721" s="66">
        <v>45575</v>
      </c>
      <c r="B1721" s="67" t="s">
        <v>32</v>
      </c>
      <c r="C1721" s="129" t="str">
        <f t="shared" si="52"/>
        <v>10.10.2024_BOYohSp</v>
      </c>
      <c r="D1721" s="143">
        <f t="shared" si="53"/>
        <v>0</v>
      </c>
      <c r="E1721" s="157">
        <v>6.92</v>
      </c>
      <c r="F1721" s="165"/>
      <c r="G1721" s="166">
        <v>299</v>
      </c>
      <c r="H1721" s="167">
        <v>7.48</v>
      </c>
      <c r="I1721" s="165"/>
      <c r="J1721" s="167"/>
      <c r="K1721" s="167">
        <v>13.95</v>
      </c>
      <c r="L1721" s="167">
        <v>94</v>
      </c>
      <c r="M1721" s="168">
        <v>0.52430555555555602</v>
      </c>
      <c r="N1721" s="67"/>
    </row>
    <row r="1722" spans="1:14" x14ac:dyDescent="0.25">
      <c r="A1722" s="66">
        <v>45575</v>
      </c>
      <c r="B1722" s="67" t="s">
        <v>34</v>
      </c>
      <c r="C1722" s="129" t="str">
        <f t="shared" si="52"/>
        <v>10.10.2024_BOYuhHa</v>
      </c>
      <c r="D1722" s="143">
        <f t="shared" si="53"/>
        <v>0</v>
      </c>
      <c r="E1722" s="157">
        <v>7.11</v>
      </c>
      <c r="F1722" s="165"/>
      <c r="G1722" s="166">
        <v>200</v>
      </c>
      <c r="H1722" s="167">
        <v>8.82</v>
      </c>
      <c r="I1722" s="165"/>
      <c r="J1722" s="167"/>
      <c r="K1722" s="167">
        <v>14.48</v>
      </c>
      <c r="L1722" s="167">
        <v>80</v>
      </c>
      <c r="M1722" s="168">
        <v>0.35138888888888897</v>
      </c>
      <c r="N1722" s="67"/>
    </row>
    <row r="1723" spans="1:14" x14ac:dyDescent="0.25">
      <c r="A1723" s="66">
        <v>45575</v>
      </c>
      <c r="B1723" s="67" t="s">
        <v>36</v>
      </c>
      <c r="C1723" s="129" t="str">
        <f t="shared" si="52"/>
        <v>10.10.2024_BOYuhSp</v>
      </c>
      <c r="D1723" s="143">
        <f t="shared" si="53"/>
        <v>0</v>
      </c>
      <c r="E1723" s="157">
        <v>6.94</v>
      </c>
      <c r="F1723" s="165"/>
      <c r="G1723" s="166">
        <v>325</v>
      </c>
      <c r="H1723" s="167">
        <v>7.63</v>
      </c>
      <c r="I1723" s="165"/>
      <c r="J1723" s="167"/>
      <c r="K1723" s="167">
        <v>13.9</v>
      </c>
      <c r="L1723" s="167">
        <v>57</v>
      </c>
      <c r="M1723" s="168">
        <v>0.51875000000000004</v>
      </c>
      <c r="N1723" s="67"/>
    </row>
    <row r="1724" spans="1:14" x14ac:dyDescent="0.25">
      <c r="A1724" s="66">
        <v>45575</v>
      </c>
      <c r="B1724" s="67" t="s">
        <v>38</v>
      </c>
      <c r="C1724" s="129" t="str">
        <f t="shared" si="52"/>
        <v>10.10.2024_BRAob</v>
      </c>
      <c r="D1724" s="143">
        <f t="shared" si="53"/>
        <v>0</v>
      </c>
      <c r="E1724" s="157">
        <v>7.3</v>
      </c>
      <c r="F1724" s="165"/>
      <c r="G1724" s="166">
        <v>427</v>
      </c>
      <c r="H1724" s="167">
        <v>8.11</v>
      </c>
      <c r="I1724" s="165"/>
      <c r="J1724" s="167"/>
      <c r="K1724" s="167">
        <v>13.58</v>
      </c>
      <c r="L1724" s="167">
        <v>24</v>
      </c>
      <c r="M1724" s="168">
        <v>0.47847222222222202</v>
      </c>
      <c r="N1724" s="67"/>
    </row>
    <row r="1725" spans="1:14" x14ac:dyDescent="0.25">
      <c r="A1725" s="66">
        <v>45575</v>
      </c>
      <c r="B1725" s="67" t="s">
        <v>41</v>
      </c>
      <c r="C1725" s="129" t="str">
        <f t="shared" si="52"/>
        <v>10.10.2024_BRAohBo</v>
      </c>
      <c r="D1725" s="143">
        <f t="shared" si="53"/>
        <v>0</v>
      </c>
      <c r="E1725" s="157">
        <v>7.08</v>
      </c>
      <c r="F1725" s="165"/>
      <c r="G1725" s="166">
        <v>302</v>
      </c>
      <c r="H1725" s="167">
        <v>6.58</v>
      </c>
      <c r="I1725" s="165"/>
      <c r="J1725" s="167"/>
      <c r="K1725" s="167">
        <v>13.78</v>
      </c>
      <c r="L1725" s="167">
        <v>55</v>
      </c>
      <c r="M1725" s="168">
        <v>0.49027777777777798</v>
      </c>
      <c r="N1725" s="67"/>
    </row>
    <row r="1726" spans="1:14" x14ac:dyDescent="0.25">
      <c r="A1726" s="66">
        <v>45575</v>
      </c>
      <c r="B1726" s="67" t="s">
        <v>43</v>
      </c>
      <c r="C1726" s="129" t="str">
        <f t="shared" si="52"/>
        <v>10.10.2024_HAAob</v>
      </c>
      <c r="D1726" s="143">
        <f t="shared" si="53"/>
        <v>0</v>
      </c>
      <c r="E1726" s="157">
        <v>7.89</v>
      </c>
      <c r="F1726" s="165"/>
      <c r="G1726" s="166">
        <v>576</v>
      </c>
      <c r="H1726" s="167">
        <v>9.07</v>
      </c>
      <c r="I1726" s="165"/>
      <c r="J1726" s="167"/>
      <c r="K1726" s="167">
        <v>14.53</v>
      </c>
      <c r="L1726" s="167">
        <v>16</v>
      </c>
      <c r="M1726" s="168">
        <v>0.55069444444444504</v>
      </c>
      <c r="N1726" s="67"/>
    </row>
    <row r="1727" spans="1:14" x14ac:dyDescent="0.25">
      <c r="A1727" s="66">
        <v>45575</v>
      </c>
      <c r="B1727" s="67" t="s">
        <v>45</v>
      </c>
      <c r="C1727" s="129" t="str">
        <f t="shared" ref="C1727:C1776" si="54">CONCATENATE(TEXT(A1727,"TT.MM.JJJJ"),"_",B1727)</f>
        <v>10.10.2024_HAAun</v>
      </c>
      <c r="D1727" s="143">
        <f t="shared" si="53"/>
        <v>0</v>
      </c>
      <c r="E1727" s="157">
        <v>7.25</v>
      </c>
      <c r="F1727" s="165"/>
      <c r="G1727" s="166">
        <v>460</v>
      </c>
      <c r="H1727" s="167">
        <v>8.42</v>
      </c>
      <c r="I1727" s="165"/>
      <c r="J1727" s="167"/>
      <c r="K1727" s="167">
        <v>14.44</v>
      </c>
      <c r="L1727" s="167">
        <v>21</v>
      </c>
      <c r="M1727" s="168">
        <v>0.54166666666666696</v>
      </c>
      <c r="N1727" s="67"/>
    </row>
    <row r="1728" spans="1:14" x14ac:dyDescent="0.25">
      <c r="A1728" s="66">
        <v>45575</v>
      </c>
      <c r="B1728" s="67" t="s">
        <v>47</v>
      </c>
      <c r="C1728" s="129" t="str">
        <f t="shared" si="54"/>
        <v>10.10.2024_KIRob</v>
      </c>
      <c r="D1728" s="143">
        <f t="shared" ref="D1728:D1791" si="55">COUNTBLANK(E1728)+COUNTBLANK(G1728:H1728)+COUNTBLANK(K1728:L1728)</f>
        <v>0</v>
      </c>
      <c r="E1728" s="157">
        <v>7.54</v>
      </c>
      <c r="F1728" s="165"/>
      <c r="G1728" s="166">
        <v>644</v>
      </c>
      <c r="H1728" s="167">
        <v>6.58</v>
      </c>
      <c r="I1728" s="165"/>
      <c r="J1728" s="167"/>
      <c r="K1728" s="167">
        <v>13.88</v>
      </c>
      <c r="L1728" s="167">
        <v>11</v>
      </c>
      <c r="M1728" s="168">
        <v>0.38888888888888901</v>
      </c>
      <c r="N1728" s="67"/>
    </row>
    <row r="1729" spans="1:14" x14ac:dyDescent="0.25">
      <c r="A1729" s="66">
        <v>45575</v>
      </c>
      <c r="B1729" s="67" t="s">
        <v>49</v>
      </c>
      <c r="C1729" s="129" t="str">
        <f t="shared" si="54"/>
        <v>10.10.2024_KIRun</v>
      </c>
      <c r="D1729" s="143">
        <f t="shared" si="55"/>
        <v>0</v>
      </c>
      <c r="E1729" s="157">
        <v>7.48</v>
      </c>
      <c r="F1729" s="165"/>
      <c r="G1729" s="166">
        <v>605</v>
      </c>
      <c r="H1729" s="167">
        <v>7.33</v>
      </c>
      <c r="I1729" s="165"/>
      <c r="J1729" s="167"/>
      <c r="K1729" s="167">
        <v>13.67</v>
      </c>
      <c r="L1729" s="167">
        <v>40</v>
      </c>
      <c r="M1729" s="168">
        <v>0.38055555555555598</v>
      </c>
      <c r="N1729" s="67"/>
    </row>
    <row r="1730" spans="1:14" x14ac:dyDescent="0.25">
      <c r="A1730" s="66">
        <v>45575</v>
      </c>
      <c r="B1730" s="67" t="s">
        <v>50</v>
      </c>
      <c r="C1730" s="129" t="str">
        <f t="shared" si="54"/>
        <v>10.10.2024_LIEohBo</v>
      </c>
      <c r="D1730" s="143">
        <f t="shared" si="55"/>
        <v>0</v>
      </c>
      <c r="E1730" s="157">
        <v>7.19</v>
      </c>
      <c r="F1730" s="165"/>
      <c r="G1730" s="166">
        <v>425</v>
      </c>
      <c r="H1730" s="167">
        <v>6.41</v>
      </c>
      <c r="I1730" s="165"/>
      <c r="J1730" s="167"/>
      <c r="K1730" s="167">
        <v>13.63</v>
      </c>
      <c r="L1730" s="167">
        <v>41</v>
      </c>
      <c r="M1730" s="168">
        <v>0.36319444444444399</v>
      </c>
      <c r="N1730" s="67"/>
    </row>
    <row r="1731" spans="1:14" x14ac:dyDescent="0.25">
      <c r="A1731" s="66">
        <v>45575</v>
      </c>
      <c r="B1731" s="67" t="s">
        <v>53</v>
      </c>
      <c r="C1731" s="129" t="str">
        <f t="shared" si="54"/>
        <v>10.10.2024_NATohBo</v>
      </c>
      <c r="D1731" s="143">
        <f t="shared" si="55"/>
        <v>0</v>
      </c>
      <c r="E1731" s="157">
        <v>7.97</v>
      </c>
      <c r="F1731" s="165"/>
      <c r="G1731" s="166">
        <v>326</v>
      </c>
      <c r="H1731" s="167">
        <v>7.2</v>
      </c>
      <c r="I1731" s="165"/>
      <c r="J1731" s="167"/>
      <c r="K1731" s="167">
        <v>14.01</v>
      </c>
      <c r="L1731" s="167">
        <v>58</v>
      </c>
      <c r="M1731" s="168">
        <v>0.57291666666666696</v>
      </c>
      <c r="N1731" s="67"/>
    </row>
    <row r="1732" spans="1:14" x14ac:dyDescent="0.25">
      <c r="A1732" s="66">
        <v>45575</v>
      </c>
      <c r="B1732" s="67" t="s">
        <v>55</v>
      </c>
      <c r="C1732" s="129" t="str">
        <f t="shared" si="54"/>
        <v>10.10.2024_QUAohBo</v>
      </c>
      <c r="D1732" s="143">
        <f t="shared" si="55"/>
        <v>0</v>
      </c>
      <c r="E1732" s="157">
        <v>7.18</v>
      </c>
      <c r="F1732" s="165"/>
      <c r="G1732" s="166">
        <v>450</v>
      </c>
      <c r="H1732" s="167">
        <v>8</v>
      </c>
      <c r="I1732" s="165"/>
      <c r="J1732" s="167"/>
      <c r="K1732" s="167">
        <v>14.07</v>
      </c>
      <c r="L1732" s="167">
        <v>35</v>
      </c>
      <c r="M1732" s="168">
        <v>0.53125</v>
      </c>
      <c r="N1732" s="67"/>
    </row>
    <row r="1733" spans="1:14" x14ac:dyDescent="0.25">
      <c r="A1733" s="66">
        <v>45575</v>
      </c>
      <c r="B1733" s="67" t="s">
        <v>57</v>
      </c>
      <c r="C1733" s="129" t="str">
        <f t="shared" si="54"/>
        <v>10.10.2024_SCHohVo</v>
      </c>
      <c r="D1733" s="143">
        <f t="shared" si="55"/>
        <v>0</v>
      </c>
      <c r="E1733" s="157">
        <v>7.77</v>
      </c>
      <c r="F1733" s="165"/>
      <c r="G1733" s="166">
        <v>350</v>
      </c>
      <c r="H1733" s="167">
        <v>8.8699999999999992</v>
      </c>
      <c r="I1733" s="165"/>
      <c r="J1733" s="167"/>
      <c r="K1733" s="167">
        <v>13.56</v>
      </c>
      <c r="L1733" s="167">
        <v>15</v>
      </c>
      <c r="M1733" s="168">
        <v>0.40069444444444402</v>
      </c>
      <c r="N1733" s="67"/>
    </row>
    <row r="1734" spans="1:14" x14ac:dyDescent="0.25">
      <c r="A1734" s="66">
        <v>45575</v>
      </c>
      <c r="B1734" s="67" t="s">
        <v>60</v>
      </c>
      <c r="C1734" s="129" t="str">
        <f t="shared" si="54"/>
        <v>10.10.2024_VORohBo</v>
      </c>
      <c r="D1734" s="143">
        <f t="shared" si="55"/>
        <v>0</v>
      </c>
      <c r="E1734" s="157">
        <v>7.32</v>
      </c>
      <c r="F1734" s="165"/>
      <c r="G1734" s="166">
        <v>526</v>
      </c>
      <c r="H1734" s="167">
        <v>7.33</v>
      </c>
      <c r="I1734" s="165"/>
      <c r="J1734" s="167"/>
      <c r="K1734" s="167">
        <v>13.28</v>
      </c>
      <c r="L1734" s="167">
        <v>40</v>
      </c>
      <c r="M1734" s="168">
        <v>0.421527777777778</v>
      </c>
      <c r="N1734" s="67"/>
    </row>
    <row r="1735" spans="1:14" x14ac:dyDescent="0.25">
      <c r="A1735" s="66">
        <v>45575</v>
      </c>
      <c r="B1735" s="67" t="s">
        <v>62</v>
      </c>
      <c r="C1735" s="129" t="str">
        <f t="shared" si="54"/>
        <v>10.10.2024_VORuhSc</v>
      </c>
      <c r="D1735" s="143">
        <f t="shared" si="55"/>
        <v>0</v>
      </c>
      <c r="E1735" s="157">
        <v>7</v>
      </c>
      <c r="F1735" s="165"/>
      <c r="G1735" s="166">
        <v>527</v>
      </c>
      <c r="H1735" s="167">
        <v>7.11</v>
      </c>
      <c r="I1735" s="165"/>
      <c r="J1735" s="167"/>
      <c r="K1735" s="167">
        <v>13.28</v>
      </c>
      <c r="L1735" s="167">
        <v>14</v>
      </c>
      <c r="M1735" s="168">
        <v>0.41041666666666698</v>
      </c>
      <c r="N1735" s="67"/>
    </row>
    <row r="1736" spans="1:14" x14ac:dyDescent="0.25">
      <c r="A1736" s="66">
        <v>45575</v>
      </c>
      <c r="B1736" s="67" t="s">
        <v>64</v>
      </c>
      <c r="C1736" s="129" t="str">
        <f t="shared" si="54"/>
        <v>10.10.2024_WITob</v>
      </c>
      <c r="D1736" s="143">
        <f t="shared" si="55"/>
        <v>0</v>
      </c>
      <c r="E1736" s="157">
        <v>7.88</v>
      </c>
      <c r="F1736" s="165"/>
      <c r="G1736" s="166">
        <v>994</v>
      </c>
      <c r="H1736" s="167">
        <v>9.02</v>
      </c>
      <c r="I1736" s="165"/>
      <c r="J1736" s="167"/>
      <c r="K1736" s="167">
        <v>14.08</v>
      </c>
      <c r="L1736" s="167">
        <v>3</v>
      </c>
      <c r="M1736" s="168">
        <v>0.561805555555556</v>
      </c>
      <c r="N1736" s="67"/>
    </row>
    <row r="1737" spans="1:14" x14ac:dyDescent="0.25">
      <c r="A1737" s="66">
        <v>45590</v>
      </c>
      <c r="B1737" s="67" t="s">
        <v>22</v>
      </c>
      <c r="C1737" s="129" t="str">
        <f t="shared" si="54"/>
        <v>25.10.2024_BOYkl</v>
      </c>
      <c r="D1737" s="143">
        <f t="shared" si="55"/>
        <v>0</v>
      </c>
      <c r="E1737" s="157">
        <v>8.0399999999999991</v>
      </c>
      <c r="F1737" s="165"/>
      <c r="G1737" s="166">
        <v>444</v>
      </c>
      <c r="H1737" s="167">
        <v>11.61</v>
      </c>
      <c r="I1737" s="165"/>
      <c r="J1737" s="167"/>
      <c r="K1737" s="167">
        <v>11.93</v>
      </c>
      <c r="L1737" s="167">
        <v>10</v>
      </c>
      <c r="M1737" s="168">
        <v>0.44166666666666698</v>
      </c>
      <c r="N1737" s="67"/>
    </row>
    <row r="1738" spans="1:14" x14ac:dyDescent="0.25">
      <c r="A1738" s="66">
        <v>45590</v>
      </c>
      <c r="B1738" s="67" t="s">
        <v>25</v>
      </c>
      <c r="C1738" s="129" t="str">
        <f t="shared" si="54"/>
        <v>25.10.2024_BOYohB224</v>
      </c>
      <c r="D1738" s="143">
        <f t="shared" si="55"/>
        <v>0</v>
      </c>
      <c r="E1738" s="157">
        <v>8.24</v>
      </c>
      <c r="F1738" s="165"/>
      <c r="G1738" s="166">
        <v>902</v>
      </c>
      <c r="H1738" s="167">
        <v>11.4</v>
      </c>
      <c r="I1738" s="165"/>
      <c r="J1738" s="167"/>
      <c r="K1738" s="167">
        <v>13.29</v>
      </c>
      <c r="L1738" s="167">
        <v>43</v>
      </c>
      <c r="M1738" s="168">
        <v>0.60347222222222197</v>
      </c>
      <c r="N1738" s="67"/>
    </row>
    <row r="1739" spans="1:14" x14ac:dyDescent="0.25">
      <c r="A1739" s="66">
        <v>45590</v>
      </c>
      <c r="B1739" s="67" t="s">
        <v>28</v>
      </c>
      <c r="C1739" s="129" t="str">
        <f t="shared" si="54"/>
        <v>25.10.2024_BOYohBr</v>
      </c>
      <c r="D1739" s="143">
        <f t="shared" si="55"/>
        <v>0</v>
      </c>
      <c r="E1739" s="157">
        <v>7.93</v>
      </c>
      <c r="F1739" s="165"/>
      <c r="G1739" s="166">
        <v>574</v>
      </c>
      <c r="H1739" s="167">
        <v>10.5</v>
      </c>
      <c r="I1739" s="165"/>
      <c r="J1739" s="167"/>
      <c r="K1739" s="167">
        <v>11.71</v>
      </c>
      <c r="L1739" s="167">
        <v>19</v>
      </c>
      <c r="M1739" s="168">
        <v>0.52916666666666701</v>
      </c>
      <c r="N1739" s="67"/>
    </row>
    <row r="1740" spans="1:14" x14ac:dyDescent="0.25">
      <c r="A1740" s="66">
        <v>45590</v>
      </c>
      <c r="B1740" s="67" t="s">
        <v>30</v>
      </c>
      <c r="C1740" s="129" t="str">
        <f t="shared" si="54"/>
        <v>25.10.2024_BOYohKi</v>
      </c>
      <c r="D1740" s="143">
        <f t="shared" si="55"/>
        <v>0</v>
      </c>
      <c r="E1740" s="157">
        <v>7.97</v>
      </c>
      <c r="F1740" s="165"/>
      <c r="G1740" s="166">
        <v>782</v>
      </c>
      <c r="H1740" s="167">
        <v>10.6</v>
      </c>
      <c r="I1740" s="165"/>
      <c r="J1740" s="167"/>
      <c r="K1740" s="167">
        <v>11.11</v>
      </c>
      <c r="L1740" s="167">
        <v>40</v>
      </c>
      <c r="M1740" s="168">
        <v>0.38333333333333303</v>
      </c>
      <c r="N1740" s="67"/>
    </row>
    <row r="1741" spans="1:14" x14ac:dyDescent="0.25">
      <c r="A1741" s="66">
        <v>45590</v>
      </c>
      <c r="B1741" s="67" t="s">
        <v>32</v>
      </c>
      <c r="C1741" s="129" t="str">
        <f t="shared" si="54"/>
        <v>25.10.2024_BOYohSp</v>
      </c>
      <c r="D1741" s="143">
        <f t="shared" si="55"/>
        <v>0</v>
      </c>
      <c r="E1741" s="157">
        <v>7.82</v>
      </c>
      <c r="F1741" s="165"/>
      <c r="G1741" s="166">
        <v>682</v>
      </c>
      <c r="H1741" s="167">
        <v>10.31</v>
      </c>
      <c r="I1741" s="165"/>
      <c r="J1741" s="167"/>
      <c r="K1741" s="167">
        <v>11.86</v>
      </c>
      <c r="L1741" s="167">
        <v>25</v>
      </c>
      <c r="M1741" s="168">
        <v>0.54444444444444395</v>
      </c>
      <c r="N1741" s="67"/>
    </row>
    <row r="1742" spans="1:14" x14ac:dyDescent="0.25">
      <c r="A1742" s="66">
        <v>45590</v>
      </c>
      <c r="B1742" s="67" t="s">
        <v>34</v>
      </c>
      <c r="C1742" s="129" t="str">
        <f t="shared" si="54"/>
        <v>25.10.2024_BOYuhHa</v>
      </c>
      <c r="D1742" s="143">
        <f t="shared" si="55"/>
        <v>0</v>
      </c>
      <c r="E1742" s="157">
        <v>7.68</v>
      </c>
      <c r="F1742" s="165"/>
      <c r="G1742" s="166">
        <v>951</v>
      </c>
      <c r="H1742" s="167">
        <v>11.52</v>
      </c>
      <c r="I1742" s="165"/>
      <c r="J1742" s="167"/>
      <c r="K1742" s="167">
        <v>10.96</v>
      </c>
      <c r="L1742" s="167">
        <v>20</v>
      </c>
      <c r="M1742" s="168">
        <v>0.36458333333333298</v>
      </c>
      <c r="N1742" s="67"/>
    </row>
    <row r="1743" spans="1:14" x14ac:dyDescent="0.25">
      <c r="A1743" s="66">
        <v>45590</v>
      </c>
      <c r="B1743" s="67" t="s">
        <v>36</v>
      </c>
      <c r="C1743" s="129" t="str">
        <f t="shared" si="54"/>
        <v>25.10.2024_BOYuhSp</v>
      </c>
      <c r="D1743" s="143">
        <f t="shared" si="55"/>
        <v>0</v>
      </c>
      <c r="E1743" s="157">
        <v>7.93</v>
      </c>
      <c r="F1743" s="165"/>
      <c r="G1743" s="166">
        <v>705</v>
      </c>
      <c r="H1743" s="167">
        <v>10.42</v>
      </c>
      <c r="I1743" s="165"/>
      <c r="J1743" s="167"/>
      <c r="K1743" s="167">
        <v>11.85</v>
      </c>
      <c r="L1743" s="167">
        <v>39</v>
      </c>
      <c r="M1743" s="168">
        <v>0.54027777777777797</v>
      </c>
      <c r="N1743" s="67"/>
    </row>
    <row r="1744" spans="1:14" x14ac:dyDescent="0.25">
      <c r="A1744" s="66">
        <v>45590</v>
      </c>
      <c r="B1744" s="67" t="s">
        <v>38</v>
      </c>
      <c r="C1744" s="129" t="str">
        <f t="shared" si="54"/>
        <v>25.10.2024_BRAob</v>
      </c>
      <c r="D1744" s="143">
        <f t="shared" si="55"/>
        <v>0</v>
      </c>
      <c r="E1744" s="157">
        <v>7.81</v>
      </c>
      <c r="F1744" s="165"/>
      <c r="G1744" s="166">
        <v>854</v>
      </c>
      <c r="H1744" s="167">
        <v>10.07</v>
      </c>
      <c r="I1744" s="165"/>
      <c r="J1744" s="167"/>
      <c r="K1744" s="167">
        <v>12.33</v>
      </c>
      <c r="L1744" s="167">
        <v>16</v>
      </c>
      <c r="M1744" s="168">
        <v>0.49652777777777801</v>
      </c>
      <c r="N1744" s="67" t="s">
        <v>231</v>
      </c>
    </row>
    <row r="1745" spans="1:14" x14ac:dyDescent="0.25">
      <c r="A1745" s="66">
        <v>45590</v>
      </c>
      <c r="B1745" s="67" t="s">
        <v>41</v>
      </c>
      <c r="C1745" s="129" t="str">
        <f t="shared" si="54"/>
        <v>25.10.2024_BRAohBo</v>
      </c>
      <c r="D1745" s="143">
        <f t="shared" si="55"/>
        <v>0</v>
      </c>
      <c r="E1745" s="157">
        <v>7.92</v>
      </c>
      <c r="F1745" s="165"/>
      <c r="G1745" s="166">
        <v>760</v>
      </c>
      <c r="H1745" s="167">
        <v>10.3</v>
      </c>
      <c r="I1745" s="165"/>
      <c r="J1745" s="167"/>
      <c r="K1745" s="167">
        <v>12.15</v>
      </c>
      <c r="L1745" s="167">
        <v>39</v>
      </c>
      <c r="M1745" s="168">
        <v>0.50833333333333297</v>
      </c>
      <c r="N1745" s="67"/>
    </row>
    <row r="1746" spans="1:14" x14ac:dyDescent="0.25">
      <c r="A1746" s="66">
        <v>45590</v>
      </c>
      <c r="B1746" s="67" t="s">
        <v>43</v>
      </c>
      <c r="C1746" s="129" t="str">
        <f t="shared" si="54"/>
        <v>25.10.2024_HAAob</v>
      </c>
      <c r="D1746" s="143">
        <f t="shared" si="55"/>
        <v>0</v>
      </c>
      <c r="E1746" s="157">
        <v>8.23</v>
      </c>
      <c r="F1746" s="165"/>
      <c r="G1746" s="166">
        <v>759</v>
      </c>
      <c r="H1746" s="167">
        <v>10.38</v>
      </c>
      <c r="I1746" s="165"/>
      <c r="J1746" s="167"/>
      <c r="K1746" s="167">
        <v>13.55</v>
      </c>
      <c r="L1746" s="167">
        <v>12</v>
      </c>
      <c r="M1746" s="168">
        <v>0.56874999999999998</v>
      </c>
      <c r="N1746" s="67"/>
    </row>
    <row r="1747" spans="1:14" x14ac:dyDescent="0.25">
      <c r="A1747" s="66">
        <v>45590</v>
      </c>
      <c r="B1747" s="67" t="s">
        <v>45</v>
      </c>
      <c r="C1747" s="129" t="str">
        <f t="shared" si="54"/>
        <v>25.10.2024_HAAun</v>
      </c>
      <c r="D1747" s="143">
        <f t="shared" si="55"/>
        <v>0</v>
      </c>
      <c r="E1747" s="157">
        <v>7.97</v>
      </c>
      <c r="F1747" s="165"/>
      <c r="G1747" s="166">
        <v>1024</v>
      </c>
      <c r="H1747" s="167">
        <v>9.67</v>
      </c>
      <c r="I1747" s="165"/>
      <c r="J1747" s="167"/>
      <c r="K1747" s="167">
        <v>13.02</v>
      </c>
      <c r="L1747" s="167">
        <v>11</v>
      </c>
      <c r="M1747" s="168">
        <v>0.56041666666666701</v>
      </c>
      <c r="N1747" s="67"/>
    </row>
    <row r="1748" spans="1:14" x14ac:dyDescent="0.25">
      <c r="A1748" s="66">
        <v>45590</v>
      </c>
      <c r="B1748" s="67" t="s">
        <v>47</v>
      </c>
      <c r="C1748" s="129" t="str">
        <f t="shared" si="54"/>
        <v>25.10.2024_KIRob</v>
      </c>
      <c r="D1748" s="143">
        <f t="shared" si="55"/>
        <v>0</v>
      </c>
      <c r="E1748" s="157">
        <v>8.01</v>
      </c>
      <c r="F1748" s="165"/>
      <c r="G1748" s="166">
        <v>1123</v>
      </c>
      <c r="H1748" s="167">
        <v>8.59</v>
      </c>
      <c r="I1748" s="165"/>
      <c r="J1748" s="167"/>
      <c r="K1748" s="167">
        <v>12</v>
      </c>
      <c r="L1748" s="167">
        <v>12</v>
      </c>
      <c r="M1748" s="168">
        <v>0.4</v>
      </c>
      <c r="N1748" s="67"/>
    </row>
    <row r="1749" spans="1:14" x14ac:dyDescent="0.25">
      <c r="A1749" s="66">
        <v>45590</v>
      </c>
      <c r="B1749" s="67" t="s">
        <v>49</v>
      </c>
      <c r="C1749" s="129" t="str">
        <f t="shared" si="54"/>
        <v>25.10.2024_KIRun</v>
      </c>
      <c r="D1749" s="143">
        <f t="shared" si="55"/>
        <v>0</v>
      </c>
      <c r="E1749" s="157">
        <v>8.09</v>
      </c>
      <c r="F1749" s="165"/>
      <c r="G1749" s="166">
        <v>1035</v>
      </c>
      <c r="H1749" s="167">
        <v>9.9499999999999993</v>
      </c>
      <c r="I1749" s="165"/>
      <c r="J1749" s="167"/>
      <c r="K1749" s="167">
        <v>11.77</v>
      </c>
      <c r="L1749" s="167">
        <v>14</v>
      </c>
      <c r="M1749" s="168">
        <v>0.39236111111111099</v>
      </c>
      <c r="N1749" s="67"/>
    </row>
    <row r="1750" spans="1:14" x14ac:dyDescent="0.25">
      <c r="A1750" s="66">
        <v>45590</v>
      </c>
      <c r="B1750" s="67" t="s">
        <v>50</v>
      </c>
      <c r="C1750" s="129" t="str">
        <f t="shared" si="54"/>
        <v>25.10.2024_LIEohBo</v>
      </c>
      <c r="D1750" s="143">
        <f t="shared" si="55"/>
        <v>0</v>
      </c>
      <c r="E1750" s="157">
        <v>7.96</v>
      </c>
      <c r="F1750" s="165"/>
      <c r="G1750" s="166">
        <v>758</v>
      </c>
      <c r="H1750" s="167">
        <v>9.82</v>
      </c>
      <c r="I1750" s="165"/>
      <c r="J1750" s="167"/>
      <c r="K1750" s="167">
        <v>9.89</v>
      </c>
      <c r="L1750" s="167">
        <v>18</v>
      </c>
      <c r="M1750" s="168">
        <v>0.374305555555556</v>
      </c>
      <c r="N1750" s="67"/>
    </row>
    <row r="1751" spans="1:14" x14ac:dyDescent="0.25">
      <c r="A1751" s="66">
        <v>45590</v>
      </c>
      <c r="B1751" s="67" t="s">
        <v>53</v>
      </c>
      <c r="C1751" s="129" t="str">
        <f t="shared" si="54"/>
        <v>25.10.2024_NATohBo</v>
      </c>
      <c r="D1751" s="143">
        <f t="shared" si="55"/>
        <v>0</v>
      </c>
      <c r="E1751" s="157">
        <v>7.66</v>
      </c>
      <c r="F1751" s="165"/>
      <c r="G1751" s="166">
        <v>1774</v>
      </c>
      <c r="H1751" s="167">
        <v>9.5500000000000007</v>
      </c>
      <c r="I1751" s="165"/>
      <c r="J1751" s="167"/>
      <c r="K1751" s="167">
        <v>13.77</v>
      </c>
      <c r="L1751" s="167">
        <v>17</v>
      </c>
      <c r="M1751" s="168">
        <v>0.59375</v>
      </c>
      <c r="N1751" s="67"/>
    </row>
    <row r="1752" spans="1:14" x14ac:dyDescent="0.25">
      <c r="A1752" s="66">
        <v>45590</v>
      </c>
      <c r="B1752" s="67" t="s">
        <v>55</v>
      </c>
      <c r="C1752" s="129" t="str">
        <f t="shared" si="54"/>
        <v>25.10.2024_QUAohBo</v>
      </c>
      <c r="D1752" s="143">
        <f t="shared" si="55"/>
        <v>0</v>
      </c>
      <c r="E1752" s="157">
        <v>7.9</v>
      </c>
      <c r="F1752" s="165"/>
      <c r="G1752" s="166">
        <v>836</v>
      </c>
      <c r="H1752" s="167">
        <v>8.5399999999999991</v>
      </c>
      <c r="I1752" s="165"/>
      <c r="J1752" s="167"/>
      <c r="K1752" s="167">
        <v>12.27</v>
      </c>
      <c r="L1752" s="167">
        <v>25</v>
      </c>
      <c r="M1752" s="168">
        <v>0.55208333333333304</v>
      </c>
      <c r="N1752" s="67"/>
    </row>
    <row r="1753" spans="1:14" x14ac:dyDescent="0.25">
      <c r="A1753" s="66">
        <v>45590</v>
      </c>
      <c r="B1753" s="67" t="s">
        <v>57</v>
      </c>
      <c r="C1753" s="129" t="str">
        <f t="shared" si="54"/>
        <v>25.10.2024_SCHohVo</v>
      </c>
      <c r="D1753" s="143">
        <f t="shared" si="55"/>
        <v>0</v>
      </c>
      <c r="E1753" s="157">
        <v>8.33</v>
      </c>
      <c r="F1753" s="165"/>
      <c r="G1753" s="166">
        <v>665</v>
      </c>
      <c r="H1753" s="167">
        <v>10.85</v>
      </c>
      <c r="I1753" s="165"/>
      <c r="J1753" s="167"/>
      <c r="K1753" s="167">
        <v>11.32</v>
      </c>
      <c r="L1753" s="167">
        <v>8</v>
      </c>
      <c r="M1753" s="168">
        <v>0.41111111111111098</v>
      </c>
      <c r="N1753" s="67"/>
    </row>
    <row r="1754" spans="1:14" x14ac:dyDescent="0.25">
      <c r="A1754" s="66">
        <v>45590</v>
      </c>
      <c r="B1754" s="67" t="s">
        <v>60</v>
      </c>
      <c r="C1754" s="129" t="str">
        <f t="shared" si="54"/>
        <v>25.10.2024_VORohBo</v>
      </c>
      <c r="D1754" s="143">
        <f t="shared" si="55"/>
        <v>0</v>
      </c>
      <c r="E1754" s="157">
        <v>7.67</v>
      </c>
      <c r="F1754" s="165"/>
      <c r="G1754" s="166">
        <v>1120</v>
      </c>
      <c r="H1754" s="167">
        <v>8.1199999999999992</v>
      </c>
      <c r="I1754" s="165"/>
      <c r="J1754" s="167"/>
      <c r="K1754" s="167">
        <v>10.98</v>
      </c>
      <c r="L1754" s="167">
        <v>16</v>
      </c>
      <c r="M1754" s="168">
        <v>0.42847222222222198</v>
      </c>
      <c r="N1754" s="67"/>
    </row>
    <row r="1755" spans="1:14" x14ac:dyDescent="0.25">
      <c r="A1755" s="66">
        <v>45590</v>
      </c>
      <c r="B1755" s="67" t="s">
        <v>62</v>
      </c>
      <c r="C1755" s="129" t="str">
        <f t="shared" si="54"/>
        <v>25.10.2024_VORuhSc</v>
      </c>
      <c r="D1755" s="143">
        <f t="shared" si="55"/>
        <v>0</v>
      </c>
      <c r="E1755" s="157">
        <v>7.5</v>
      </c>
      <c r="F1755" s="165"/>
      <c r="G1755" s="166">
        <v>1072</v>
      </c>
      <c r="H1755" s="167">
        <v>8.61</v>
      </c>
      <c r="I1755" s="165"/>
      <c r="J1755" s="167"/>
      <c r="K1755" s="167">
        <v>11.31</v>
      </c>
      <c r="L1755" s="167">
        <v>12</v>
      </c>
      <c r="M1755" s="168">
        <v>0.41875000000000001</v>
      </c>
      <c r="N1755" s="67"/>
    </row>
    <row r="1756" spans="1:14" x14ac:dyDescent="0.25">
      <c r="A1756" s="66">
        <v>45590</v>
      </c>
      <c r="B1756" s="67" t="s">
        <v>64</v>
      </c>
      <c r="C1756" s="129" t="str">
        <f t="shared" si="54"/>
        <v>25.10.2024_WITob</v>
      </c>
      <c r="D1756" s="143">
        <f t="shared" si="55"/>
        <v>0</v>
      </c>
      <c r="E1756" s="157">
        <v>8.31</v>
      </c>
      <c r="F1756" s="165"/>
      <c r="G1756" s="166">
        <v>1416</v>
      </c>
      <c r="H1756" s="167">
        <v>10.5</v>
      </c>
      <c r="I1756" s="165"/>
      <c r="J1756" s="167"/>
      <c r="K1756" s="167">
        <v>14.15</v>
      </c>
      <c r="L1756" s="167">
        <v>2</v>
      </c>
      <c r="M1756" s="168">
        <v>0.58055555555555605</v>
      </c>
      <c r="N1756" s="67" t="s">
        <v>230</v>
      </c>
    </row>
    <row r="1757" spans="1:14" x14ac:dyDescent="0.25">
      <c r="A1757" s="66">
        <v>45603</v>
      </c>
      <c r="B1757" s="67" t="s">
        <v>22</v>
      </c>
      <c r="C1757" s="129" t="str">
        <f t="shared" si="54"/>
        <v>07.11.2024_BOYkl</v>
      </c>
      <c r="D1757" s="143">
        <f t="shared" si="55"/>
        <v>0</v>
      </c>
      <c r="E1757" s="157">
        <v>7.62</v>
      </c>
      <c r="F1757" s="165"/>
      <c r="G1757" s="166">
        <v>403</v>
      </c>
      <c r="H1757" s="167">
        <v>10.138399999999999</v>
      </c>
      <c r="I1757" s="165"/>
      <c r="J1757" s="167"/>
      <c r="K1757" s="167">
        <v>10.85</v>
      </c>
      <c r="L1757" s="167">
        <v>8.89</v>
      </c>
      <c r="M1757" s="168">
        <v>0.44444444444444442</v>
      </c>
      <c r="N1757" s="67"/>
    </row>
    <row r="1758" spans="1:14" x14ac:dyDescent="0.25">
      <c r="A1758" s="66">
        <v>45603</v>
      </c>
      <c r="B1758" s="67" t="s">
        <v>25</v>
      </c>
      <c r="C1758" s="129" t="str">
        <f t="shared" si="54"/>
        <v>07.11.2024_BOYohB224</v>
      </c>
      <c r="D1758" s="143">
        <f t="shared" si="55"/>
        <v>2</v>
      </c>
      <c r="E1758" s="157">
        <v>7.81</v>
      </c>
      <c r="F1758" s="165"/>
      <c r="G1758" s="166">
        <v>804</v>
      </c>
      <c r="H1758" s="167"/>
      <c r="I1758" s="165"/>
      <c r="J1758" s="167"/>
      <c r="K1758" s="167"/>
      <c r="L1758" s="167">
        <v>8.6300000000000008</v>
      </c>
      <c r="M1758" s="168">
        <v>0.58402777777777781</v>
      </c>
      <c r="N1758" s="67"/>
    </row>
    <row r="1759" spans="1:14" x14ac:dyDescent="0.25">
      <c r="A1759" s="66">
        <v>45603</v>
      </c>
      <c r="B1759" s="67" t="s">
        <v>28</v>
      </c>
      <c r="C1759" s="129" t="str">
        <f t="shared" si="54"/>
        <v>07.11.2024_BOYohBr</v>
      </c>
      <c r="D1759" s="143">
        <f t="shared" si="55"/>
        <v>0</v>
      </c>
      <c r="E1759" s="157">
        <v>7.08</v>
      </c>
      <c r="F1759" s="165"/>
      <c r="G1759" s="166">
        <v>527</v>
      </c>
      <c r="H1759" s="167">
        <v>9.2320800000000016</v>
      </c>
      <c r="I1759" s="179"/>
      <c r="J1759" s="167"/>
      <c r="K1759" s="167">
        <v>9.33</v>
      </c>
      <c r="L1759" s="167">
        <v>10.09</v>
      </c>
      <c r="M1759" s="168">
        <v>0.51111111111111118</v>
      </c>
      <c r="N1759" s="67"/>
    </row>
    <row r="1760" spans="1:14" x14ac:dyDescent="0.25">
      <c r="A1760" s="66">
        <v>45603</v>
      </c>
      <c r="B1760" s="67" t="s">
        <v>30</v>
      </c>
      <c r="C1760" s="129" t="str">
        <f t="shared" si="54"/>
        <v>07.11.2024_BOYohKi</v>
      </c>
      <c r="D1760" s="143">
        <f t="shared" si="55"/>
        <v>0</v>
      </c>
      <c r="E1760" s="157">
        <v>7.52</v>
      </c>
      <c r="F1760" s="165"/>
      <c r="G1760" s="166">
        <v>697</v>
      </c>
      <c r="H1760" s="167">
        <v>9.2016000000000009</v>
      </c>
      <c r="I1760" s="179"/>
      <c r="J1760" s="167"/>
      <c r="K1760" s="167">
        <v>9.7200000000000006</v>
      </c>
      <c r="L1760" s="167">
        <v>8.44</v>
      </c>
      <c r="M1760" s="168">
        <v>0.37708333333333338</v>
      </c>
      <c r="N1760" s="67" t="s">
        <v>292</v>
      </c>
    </row>
    <row r="1761" spans="1:14" x14ac:dyDescent="0.25">
      <c r="A1761" s="66">
        <v>45603</v>
      </c>
      <c r="B1761" s="67" t="s">
        <v>32</v>
      </c>
      <c r="C1761" s="129" t="str">
        <f t="shared" si="54"/>
        <v>07.11.2024_BOYohSp</v>
      </c>
      <c r="D1761" s="143">
        <f t="shared" si="55"/>
        <v>0</v>
      </c>
      <c r="E1761" s="157">
        <v>7.35</v>
      </c>
      <c r="F1761" s="165"/>
      <c r="G1761" s="166">
        <v>606</v>
      </c>
      <c r="H1761" s="167">
        <v>8.8700400000000013</v>
      </c>
      <c r="I1761" s="179"/>
      <c r="J1761" s="167"/>
      <c r="K1761" s="167">
        <v>9.19</v>
      </c>
      <c r="L1761" s="167">
        <v>8.93</v>
      </c>
      <c r="M1761" s="168">
        <v>0.52916666666666667</v>
      </c>
      <c r="N1761" s="67"/>
    </row>
    <row r="1762" spans="1:14" x14ac:dyDescent="0.25">
      <c r="A1762" s="66">
        <v>45603</v>
      </c>
      <c r="B1762" s="67" t="s">
        <v>34</v>
      </c>
      <c r="C1762" s="129" t="str">
        <f t="shared" si="54"/>
        <v>07.11.2024_BOYuhHa</v>
      </c>
      <c r="D1762" s="143">
        <f t="shared" si="55"/>
        <v>0</v>
      </c>
      <c r="E1762" s="157">
        <v>7.57</v>
      </c>
      <c r="F1762" s="165"/>
      <c r="G1762" s="166">
        <v>856</v>
      </c>
      <c r="H1762" s="167">
        <v>9.6839200000000005</v>
      </c>
      <c r="I1762" s="179"/>
      <c r="J1762" s="167"/>
      <c r="K1762" s="167">
        <v>10.6</v>
      </c>
      <c r="L1762" s="167">
        <v>8.3000000000000007</v>
      </c>
      <c r="M1762" s="168">
        <v>0.35902777777777778</v>
      </c>
      <c r="N1762" s="67"/>
    </row>
    <row r="1763" spans="1:14" x14ac:dyDescent="0.25">
      <c r="A1763" s="66">
        <v>45603</v>
      </c>
      <c r="B1763" s="67" t="s">
        <v>36</v>
      </c>
      <c r="C1763" s="129" t="str">
        <f t="shared" si="54"/>
        <v>07.11.2024_BOYuhSp</v>
      </c>
      <c r="D1763" s="143">
        <f t="shared" si="55"/>
        <v>0</v>
      </c>
      <c r="E1763" s="157">
        <v>7.42</v>
      </c>
      <c r="F1763" s="165"/>
      <c r="G1763" s="166">
        <v>625</v>
      </c>
      <c r="H1763" s="167">
        <v>9.1267600000000009</v>
      </c>
      <c r="I1763" s="179"/>
      <c r="J1763" s="167"/>
      <c r="K1763" s="167">
        <v>9.58</v>
      </c>
      <c r="L1763" s="167">
        <v>8.69</v>
      </c>
      <c r="M1763" s="168">
        <v>0.52430555555555558</v>
      </c>
      <c r="N1763" s="67"/>
    </row>
    <row r="1764" spans="1:14" x14ac:dyDescent="0.25">
      <c r="A1764" s="66">
        <v>45603</v>
      </c>
      <c r="B1764" s="67" t="s">
        <v>38</v>
      </c>
      <c r="C1764" s="129" t="str">
        <f t="shared" si="54"/>
        <v>07.11.2024_BRAob</v>
      </c>
      <c r="D1764" s="143">
        <f t="shared" si="55"/>
        <v>0</v>
      </c>
      <c r="E1764" s="157">
        <v>7.32</v>
      </c>
      <c r="F1764" s="165"/>
      <c r="G1764" s="166">
        <v>742</v>
      </c>
      <c r="H1764" s="167">
        <v>9.6220000000000017</v>
      </c>
      <c r="I1764" s="179"/>
      <c r="J1764" s="167"/>
      <c r="K1764" s="167">
        <v>9.86</v>
      </c>
      <c r="L1764" s="167">
        <v>8.9499999999999993</v>
      </c>
      <c r="M1764" s="168">
        <v>0.48680555555555555</v>
      </c>
      <c r="N1764" s="67"/>
    </row>
    <row r="1765" spans="1:14" x14ac:dyDescent="0.25">
      <c r="A1765" s="66">
        <v>45603</v>
      </c>
      <c r="B1765" s="67" t="s">
        <v>41</v>
      </c>
      <c r="C1765" s="129" t="str">
        <f t="shared" si="54"/>
        <v>07.11.2024_BRAohBo</v>
      </c>
      <c r="D1765" s="143">
        <f t="shared" si="55"/>
        <v>0</v>
      </c>
      <c r="E1765" s="157">
        <v>7.47</v>
      </c>
      <c r="F1765" s="165"/>
      <c r="G1765" s="166">
        <v>660</v>
      </c>
      <c r="H1765" s="167">
        <v>8.8088000000000015</v>
      </c>
      <c r="I1765" s="179"/>
      <c r="J1765" s="167"/>
      <c r="K1765" s="167">
        <v>9.2799999999999994</v>
      </c>
      <c r="L1765" s="167">
        <v>8.52</v>
      </c>
      <c r="M1765" s="168">
        <v>0.49583333333333335</v>
      </c>
      <c r="N1765" s="67"/>
    </row>
    <row r="1766" spans="1:14" x14ac:dyDescent="0.25">
      <c r="A1766" s="66">
        <v>45603</v>
      </c>
      <c r="B1766" s="67" t="s">
        <v>43</v>
      </c>
      <c r="C1766" s="129" t="str">
        <f t="shared" si="54"/>
        <v>07.11.2024_HAAob</v>
      </c>
      <c r="D1766" s="143">
        <f t="shared" si="55"/>
        <v>0</v>
      </c>
      <c r="E1766" s="157">
        <v>7.67</v>
      </c>
      <c r="F1766" s="165"/>
      <c r="G1766" s="166">
        <v>722</v>
      </c>
      <c r="H1766" s="167">
        <v>9.6491999999999987</v>
      </c>
      <c r="I1766" s="179"/>
      <c r="J1766" s="167"/>
      <c r="K1766" s="167">
        <v>10.199999999999999</v>
      </c>
      <c r="L1766" s="167">
        <v>8.9700000000000006</v>
      </c>
      <c r="M1766" s="168">
        <v>0.55694444444444446</v>
      </c>
      <c r="N1766" s="67"/>
    </row>
    <row r="1767" spans="1:14" x14ac:dyDescent="0.25">
      <c r="A1767" s="66">
        <v>45603</v>
      </c>
      <c r="B1767" s="67" t="s">
        <v>45</v>
      </c>
      <c r="C1767" s="129" t="str">
        <f t="shared" si="54"/>
        <v>07.11.2024_HAAun</v>
      </c>
      <c r="D1767" s="143">
        <f t="shared" si="55"/>
        <v>0</v>
      </c>
      <c r="E1767" s="157">
        <v>7.36</v>
      </c>
      <c r="F1767" s="165"/>
      <c r="G1767" s="166">
        <v>962</v>
      </c>
      <c r="H1767" s="167">
        <v>8.7859999999999996</v>
      </c>
      <c r="I1767" s="179"/>
      <c r="J1767" s="167"/>
      <c r="K1767" s="167">
        <v>9.0399999999999991</v>
      </c>
      <c r="L1767" s="167">
        <v>9.1</v>
      </c>
      <c r="M1767" s="168">
        <v>0.54861111111111105</v>
      </c>
      <c r="N1767" s="67"/>
    </row>
    <row r="1768" spans="1:14" x14ac:dyDescent="0.25">
      <c r="A1768" s="66">
        <v>45603</v>
      </c>
      <c r="B1768" s="67" t="s">
        <v>47</v>
      </c>
      <c r="C1768" s="129" t="str">
        <f t="shared" si="54"/>
        <v>07.11.2024_KIRob</v>
      </c>
      <c r="D1768" s="143">
        <f t="shared" si="55"/>
        <v>0</v>
      </c>
      <c r="E1768" s="157">
        <v>7.45</v>
      </c>
      <c r="F1768" s="165"/>
      <c r="G1768" s="166">
        <v>950</v>
      </c>
      <c r="H1768" s="167">
        <v>7.7979200000000013</v>
      </c>
      <c r="I1768" s="179"/>
      <c r="J1768" s="167"/>
      <c r="K1768" s="167">
        <v>7.62</v>
      </c>
      <c r="L1768" s="167">
        <v>9.4499999999999993</v>
      </c>
      <c r="M1768" s="168">
        <v>0.39444444444444443</v>
      </c>
      <c r="N1768" s="67"/>
    </row>
    <row r="1769" spans="1:14" x14ac:dyDescent="0.25">
      <c r="A1769" s="66">
        <v>45603</v>
      </c>
      <c r="B1769" s="67" t="s">
        <v>49</v>
      </c>
      <c r="C1769" s="129" t="str">
        <f t="shared" si="54"/>
        <v>07.11.2024_KIRun</v>
      </c>
      <c r="D1769" s="143">
        <f t="shared" si="55"/>
        <v>0</v>
      </c>
      <c r="E1769" s="157">
        <v>7.48</v>
      </c>
      <c r="F1769" s="165"/>
      <c r="G1769" s="166">
        <v>876</v>
      </c>
      <c r="H1769" s="167">
        <v>8.7704000000000022</v>
      </c>
      <c r="I1769" s="179"/>
      <c r="J1769" s="167"/>
      <c r="K1769" s="167">
        <v>8.9</v>
      </c>
      <c r="L1769" s="167">
        <v>9.4600000000000009</v>
      </c>
      <c r="M1769" s="168">
        <v>0.38680555555555557</v>
      </c>
      <c r="N1769" s="67"/>
    </row>
    <row r="1770" spans="1:14" x14ac:dyDescent="0.25">
      <c r="A1770" s="66">
        <v>45603</v>
      </c>
      <c r="B1770" s="67" t="s">
        <v>50</v>
      </c>
      <c r="C1770" s="129" t="str">
        <f t="shared" si="54"/>
        <v>07.11.2024_LIEohBo</v>
      </c>
      <c r="D1770" s="143">
        <f t="shared" si="55"/>
        <v>0</v>
      </c>
      <c r="E1770" s="157">
        <v>7.63</v>
      </c>
      <c r="F1770" s="165"/>
      <c r="G1770" s="166">
        <v>670</v>
      </c>
      <c r="H1770" s="167">
        <v>8.8008000000000006</v>
      </c>
      <c r="I1770" s="179"/>
      <c r="J1770" s="167"/>
      <c r="K1770" s="167">
        <v>9.5</v>
      </c>
      <c r="L1770" s="167">
        <v>7.41</v>
      </c>
      <c r="M1770" s="168">
        <v>0.36736111111111108</v>
      </c>
      <c r="N1770" s="67"/>
    </row>
    <row r="1771" spans="1:14" x14ac:dyDescent="0.25">
      <c r="A1771" s="66">
        <v>45603</v>
      </c>
      <c r="B1771" s="67" t="s">
        <v>53</v>
      </c>
      <c r="C1771" s="129" t="str">
        <f t="shared" si="54"/>
        <v>07.11.2024_NATohBo</v>
      </c>
      <c r="D1771" s="143">
        <f t="shared" si="55"/>
        <v>0</v>
      </c>
      <c r="E1771" s="157">
        <v>7.35</v>
      </c>
      <c r="F1771" s="165"/>
      <c r="G1771" s="166">
        <v>1655</v>
      </c>
      <c r="H1771" s="167">
        <v>8.8780000000000001</v>
      </c>
      <c r="I1771" s="179"/>
      <c r="J1771" s="167"/>
      <c r="K1771" s="167">
        <v>8.98</v>
      </c>
      <c r="L1771" s="167">
        <v>9.77</v>
      </c>
      <c r="M1771" s="168">
        <v>0.57500000000000007</v>
      </c>
      <c r="N1771" s="67"/>
    </row>
    <row r="1772" spans="1:14" x14ac:dyDescent="0.25">
      <c r="A1772" s="66">
        <v>45603</v>
      </c>
      <c r="B1772" s="67" t="s">
        <v>55</v>
      </c>
      <c r="C1772" s="129" t="str">
        <f t="shared" si="54"/>
        <v>07.11.2024_QUAohBo</v>
      </c>
      <c r="D1772" s="143">
        <f t="shared" si="55"/>
        <v>0</v>
      </c>
      <c r="E1772" s="157">
        <v>6.93</v>
      </c>
      <c r="F1772" s="165"/>
      <c r="G1772" s="166">
        <v>731</v>
      </c>
      <c r="H1772" s="167">
        <v>7.3082800000000008</v>
      </c>
      <c r="I1772" s="179"/>
      <c r="J1772" s="167"/>
      <c r="K1772" s="167">
        <v>7.25</v>
      </c>
      <c r="L1772" s="167">
        <v>8.6</v>
      </c>
      <c r="M1772" s="168">
        <v>0.53819444444444442</v>
      </c>
      <c r="N1772" s="67"/>
    </row>
    <row r="1773" spans="1:14" x14ac:dyDescent="0.25">
      <c r="A1773" s="66">
        <v>45603</v>
      </c>
      <c r="B1773" s="67" t="s">
        <v>57</v>
      </c>
      <c r="C1773" s="129" t="str">
        <f t="shared" si="54"/>
        <v>07.11.2024_SCHohVo</v>
      </c>
      <c r="D1773" s="143">
        <f t="shared" si="55"/>
        <v>0</v>
      </c>
      <c r="E1773" s="157">
        <v>7.41</v>
      </c>
      <c r="F1773" s="165"/>
      <c r="G1773" s="166">
        <v>435</v>
      </c>
      <c r="H1773" s="167">
        <v>9.3238199999999978</v>
      </c>
      <c r="I1773" s="179"/>
      <c r="J1773" s="167"/>
      <c r="K1773" s="167">
        <v>10.199999999999999</v>
      </c>
      <c r="L1773" s="167">
        <v>8</v>
      </c>
      <c r="M1773" s="168">
        <v>0.41180555555555554</v>
      </c>
      <c r="N1773" s="67"/>
    </row>
    <row r="1774" spans="1:14" x14ac:dyDescent="0.25">
      <c r="A1774" s="66">
        <v>45603</v>
      </c>
      <c r="B1774" s="67" t="s">
        <v>60</v>
      </c>
      <c r="C1774" s="129" t="str">
        <f t="shared" si="54"/>
        <v>07.11.2024_VORohBo</v>
      </c>
      <c r="D1774" s="143">
        <f t="shared" si="55"/>
        <v>0</v>
      </c>
      <c r="E1774" s="157">
        <v>7.22</v>
      </c>
      <c r="F1774" s="165"/>
      <c r="G1774" s="166">
        <v>921</v>
      </c>
      <c r="H1774" s="167">
        <v>7.4524000000000008</v>
      </c>
      <c r="I1774" s="179"/>
      <c r="J1774" s="167"/>
      <c r="K1774" s="167">
        <v>7.42</v>
      </c>
      <c r="L1774" s="167">
        <v>8.5399999999999991</v>
      </c>
      <c r="M1774" s="168">
        <v>0.42986111111111108</v>
      </c>
      <c r="N1774" s="67"/>
    </row>
    <row r="1775" spans="1:14" x14ac:dyDescent="0.25">
      <c r="A1775" s="66">
        <v>45603</v>
      </c>
      <c r="B1775" s="67" t="s">
        <v>62</v>
      </c>
      <c r="C1775" s="129" t="str">
        <f t="shared" si="54"/>
        <v>07.11.2024_VORuhSc</v>
      </c>
      <c r="D1775" s="143">
        <f t="shared" si="55"/>
        <v>0</v>
      </c>
      <c r="E1775" s="157">
        <v>6.85</v>
      </c>
      <c r="F1775" s="165"/>
      <c r="G1775" s="166">
        <v>881</v>
      </c>
      <c r="H1775" s="167">
        <v>7.8408000000000015</v>
      </c>
      <c r="I1775" s="179"/>
      <c r="J1775" s="167"/>
      <c r="K1775" s="167">
        <v>7.77</v>
      </c>
      <c r="L1775" s="167">
        <v>8.85</v>
      </c>
      <c r="M1775" s="168">
        <v>0.41944444444444445</v>
      </c>
      <c r="N1775" s="67"/>
    </row>
    <row r="1776" spans="1:14" x14ac:dyDescent="0.25">
      <c r="A1776" s="66">
        <v>45603</v>
      </c>
      <c r="B1776" s="67" t="s">
        <v>64</v>
      </c>
      <c r="C1776" s="129" t="str">
        <f t="shared" si="54"/>
        <v>07.11.2024_WITob</v>
      </c>
      <c r="D1776" s="143">
        <f t="shared" si="55"/>
        <v>0</v>
      </c>
      <c r="E1776" s="157">
        <v>7.82</v>
      </c>
      <c r="F1776" s="165"/>
      <c r="G1776" s="166">
        <v>1185</v>
      </c>
      <c r="H1776" s="167">
        <v>9.962080000000002</v>
      </c>
      <c r="I1776" s="179"/>
      <c r="J1776" s="167"/>
      <c r="K1776" s="167">
        <v>10.87</v>
      </c>
      <c r="L1776" s="167">
        <v>8.33</v>
      </c>
      <c r="M1776" s="168">
        <v>0.56527777777777777</v>
      </c>
      <c r="N1776" s="67" t="s">
        <v>230</v>
      </c>
    </row>
    <row r="1777" spans="1:14" x14ac:dyDescent="0.25">
      <c r="A1777" s="66">
        <v>45618</v>
      </c>
      <c r="B1777" s="67" t="s">
        <v>22</v>
      </c>
      <c r="C1777" s="129" t="str">
        <f t="shared" ref="C1777:C1838" si="56">CONCATENATE(TEXT(A1777,"TT.MM.JJJJ"),"_",B1777)</f>
        <v>22.11.2024_BOYkl</v>
      </c>
      <c r="D1777" s="143">
        <f t="shared" si="55"/>
        <v>0</v>
      </c>
      <c r="E1777" s="157">
        <v>7.55</v>
      </c>
      <c r="F1777" s="165"/>
      <c r="G1777" s="166">
        <v>366</v>
      </c>
      <c r="H1777" s="167">
        <v>10.27824</v>
      </c>
      <c r="I1777" s="179"/>
      <c r="J1777" s="167"/>
      <c r="K1777" s="167">
        <v>10.78</v>
      </c>
      <c r="L1777" s="167">
        <v>7.85</v>
      </c>
      <c r="M1777" s="168">
        <v>0.55555555555555558</v>
      </c>
      <c r="N1777" s="67" t="s">
        <v>293</v>
      </c>
    </row>
    <row r="1778" spans="1:14" x14ac:dyDescent="0.25">
      <c r="A1778" s="66">
        <v>45618</v>
      </c>
      <c r="B1778" s="67" t="s">
        <v>25</v>
      </c>
      <c r="C1778" s="129" t="str">
        <f t="shared" si="56"/>
        <v>22.11.2024_BOYohB224</v>
      </c>
      <c r="D1778" s="143">
        <f t="shared" si="55"/>
        <v>0</v>
      </c>
      <c r="E1778" s="157">
        <v>7.66</v>
      </c>
      <c r="F1778" s="165"/>
      <c r="G1778" s="166">
        <v>643</v>
      </c>
      <c r="H1778" s="167">
        <v>9.1512200000000021</v>
      </c>
      <c r="I1778" s="179"/>
      <c r="J1778" s="167"/>
      <c r="K1778" s="167">
        <v>8.8800000000000008</v>
      </c>
      <c r="L1778" s="167">
        <v>10.33</v>
      </c>
      <c r="M1778" s="168">
        <v>0.76041666666666663</v>
      </c>
      <c r="N1778" s="67"/>
    </row>
    <row r="1779" spans="1:14" x14ac:dyDescent="0.25">
      <c r="A1779" s="66">
        <v>45618</v>
      </c>
      <c r="B1779" s="67" t="s">
        <v>28</v>
      </c>
      <c r="C1779" s="129" t="str">
        <f t="shared" si="56"/>
        <v>22.11.2024_BOYohBr</v>
      </c>
      <c r="D1779" s="143">
        <f t="shared" si="55"/>
        <v>0</v>
      </c>
      <c r="E1779" s="157">
        <v>7.02</v>
      </c>
      <c r="F1779" s="165"/>
      <c r="G1779" s="166">
        <v>428</v>
      </c>
      <c r="H1779" s="167">
        <v>8.6728000000000023</v>
      </c>
      <c r="I1779" s="179"/>
      <c r="J1779" s="167"/>
      <c r="K1779" s="167">
        <v>8.36</v>
      </c>
      <c r="L1779" s="167">
        <v>9.69</v>
      </c>
      <c r="M1779" s="168">
        <v>0.69027777777777777</v>
      </c>
      <c r="N1779" s="67" t="s">
        <v>291</v>
      </c>
    </row>
    <row r="1780" spans="1:14" x14ac:dyDescent="0.25">
      <c r="A1780" s="66">
        <v>45618</v>
      </c>
      <c r="B1780" s="67" t="s">
        <v>30</v>
      </c>
      <c r="C1780" s="129" t="str">
        <f t="shared" si="56"/>
        <v>22.11.2024_BOYohKi</v>
      </c>
      <c r="D1780" s="143">
        <f t="shared" si="55"/>
        <v>0</v>
      </c>
      <c r="E1780" s="157">
        <v>7.22</v>
      </c>
      <c r="F1780" s="165"/>
      <c r="G1780" s="166">
        <v>576</v>
      </c>
      <c r="H1780" s="167">
        <v>9.6710399999999996</v>
      </c>
      <c r="I1780" s="179"/>
      <c r="J1780" s="167"/>
      <c r="K1780" s="167">
        <v>10.75</v>
      </c>
      <c r="L1780" s="167">
        <v>5.67</v>
      </c>
      <c r="M1780" s="168">
        <v>0.45069444444444445</v>
      </c>
      <c r="N1780" s="67"/>
    </row>
    <row r="1781" spans="1:14" x14ac:dyDescent="0.25">
      <c r="A1781" s="66">
        <v>45618</v>
      </c>
      <c r="B1781" s="67" t="s">
        <v>32</v>
      </c>
      <c r="C1781" s="129" t="str">
        <f t="shared" si="56"/>
        <v>22.11.2024_BOYohSp</v>
      </c>
      <c r="D1781" s="143">
        <f t="shared" si="55"/>
        <v>0</v>
      </c>
      <c r="E1781" s="157">
        <v>7.29</v>
      </c>
      <c r="F1781" s="165"/>
      <c r="G1781" s="166">
        <v>527</v>
      </c>
      <c r="H1781" s="167">
        <v>8.8803000000000001</v>
      </c>
      <c r="I1781" s="179"/>
      <c r="J1781" s="167"/>
      <c r="K1781" s="167">
        <v>8.48</v>
      </c>
      <c r="L1781" s="167">
        <v>10.17</v>
      </c>
      <c r="M1781" s="168">
        <v>0.70624999999999993</v>
      </c>
      <c r="N1781" s="67"/>
    </row>
    <row r="1782" spans="1:14" x14ac:dyDescent="0.25">
      <c r="A1782" s="66">
        <v>45618</v>
      </c>
      <c r="B1782" s="67" t="s">
        <v>34</v>
      </c>
      <c r="C1782" s="129" t="str">
        <f t="shared" si="56"/>
        <v>22.11.2024_BOYuhHa</v>
      </c>
      <c r="D1782" s="143">
        <f t="shared" si="55"/>
        <v>0</v>
      </c>
      <c r="E1782" s="157">
        <v>7.63</v>
      </c>
      <c r="F1782" s="165"/>
      <c r="G1782" s="166">
        <v>661</v>
      </c>
      <c r="H1782" s="167">
        <v>9.9843999999999991</v>
      </c>
      <c r="I1782" s="179"/>
      <c r="J1782" s="167"/>
      <c r="K1782" s="167">
        <v>11.5</v>
      </c>
      <c r="L1782" s="167">
        <v>4.8499999999999996</v>
      </c>
      <c r="M1782" s="168">
        <v>0.4291666666666667</v>
      </c>
      <c r="N1782" s="67"/>
    </row>
    <row r="1783" spans="1:14" x14ac:dyDescent="0.25">
      <c r="A1783" s="66">
        <v>45618</v>
      </c>
      <c r="B1783" s="67" t="s">
        <v>36</v>
      </c>
      <c r="C1783" s="129" t="str">
        <f t="shared" si="56"/>
        <v>22.11.2024_BOYuhSp</v>
      </c>
      <c r="D1783" s="143">
        <f t="shared" si="55"/>
        <v>0</v>
      </c>
      <c r="E1783" s="157">
        <v>7.24</v>
      </c>
      <c r="F1783" s="165"/>
      <c r="G1783" s="166">
        <v>536</v>
      </c>
      <c r="H1783" s="167">
        <v>8.8720400000000019</v>
      </c>
      <c r="I1783" s="179"/>
      <c r="J1783" s="167"/>
      <c r="K1783" s="167">
        <v>8.44</v>
      </c>
      <c r="L1783" s="167">
        <v>10.25</v>
      </c>
      <c r="M1783" s="168">
        <v>0.70138888888888884</v>
      </c>
      <c r="N1783" s="67"/>
    </row>
    <row r="1784" spans="1:14" x14ac:dyDescent="0.25">
      <c r="A1784" s="66">
        <v>45618</v>
      </c>
      <c r="B1784" s="67" t="s">
        <v>38</v>
      </c>
      <c r="C1784" s="129" t="str">
        <f t="shared" si="56"/>
        <v>22.11.2024_BRAob</v>
      </c>
      <c r="D1784" s="143">
        <f t="shared" si="55"/>
        <v>0</v>
      </c>
      <c r="E1784" s="157">
        <v>7.44</v>
      </c>
      <c r="F1784" s="165"/>
      <c r="G1784" s="166">
        <v>709</v>
      </c>
      <c r="H1784" s="167">
        <v>9.58188</v>
      </c>
      <c r="I1784" s="179"/>
      <c r="J1784" s="167"/>
      <c r="K1784" s="167">
        <v>10.17</v>
      </c>
      <c r="L1784" s="167">
        <v>6.95</v>
      </c>
      <c r="M1784" s="168">
        <v>0.61249999999999993</v>
      </c>
      <c r="N1784" s="67"/>
    </row>
    <row r="1785" spans="1:14" x14ac:dyDescent="0.25">
      <c r="A1785" s="66">
        <v>45618</v>
      </c>
      <c r="B1785" s="67" t="s">
        <v>41</v>
      </c>
      <c r="C1785" s="129" t="str">
        <f t="shared" si="56"/>
        <v>22.11.2024_BRAohBo</v>
      </c>
      <c r="D1785" s="143">
        <f t="shared" si="55"/>
        <v>0</v>
      </c>
      <c r="E1785" s="157">
        <v>7.43</v>
      </c>
      <c r="F1785" s="165"/>
      <c r="G1785" s="166">
        <v>608</v>
      </c>
      <c r="H1785" s="167">
        <v>8.5560000000000009</v>
      </c>
      <c r="I1785" s="179"/>
      <c r="J1785" s="167"/>
      <c r="K1785" s="167">
        <v>9.0399999999999991</v>
      </c>
      <c r="L1785" s="167">
        <v>6.26</v>
      </c>
      <c r="M1785" s="168">
        <v>0.63055555555555554</v>
      </c>
      <c r="N1785" s="67"/>
    </row>
    <row r="1786" spans="1:14" x14ac:dyDescent="0.25">
      <c r="A1786" s="66">
        <v>45618</v>
      </c>
      <c r="B1786" s="67" t="s">
        <v>43</v>
      </c>
      <c r="C1786" s="129" t="str">
        <f t="shared" si="56"/>
        <v>22.11.2024_HAAob</v>
      </c>
      <c r="D1786" s="143">
        <f t="shared" si="55"/>
        <v>0</v>
      </c>
      <c r="E1786" s="157">
        <v>7.44</v>
      </c>
      <c r="F1786" s="165"/>
      <c r="G1786" s="166">
        <v>734</v>
      </c>
      <c r="H1786" s="167">
        <v>10.051440000000001</v>
      </c>
      <c r="I1786" s="179"/>
      <c r="J1786" s="167"/>
      <c r="K1786" s="167">
        <v>8.7899999999999991</v>
      </c>
      <c r="L1786" s="167">
        <v>10.32</v>
      </c>
      <c r="M1786" s="168">
        <v>0.7319444444444444</v>
      </c>
      <c r="N1786" s="67"/>
    </row>
    <row r="1787" spans="1:14" x14ac:dyDescent="0.25">
      <c r="A1787" s="66">
        <v>45618</v>
      </c>
      <c r="B1787" s="67" t="s">
        <v>45</v>
      </c>
      <c r="C1787" s="129" t="str">
        <f t="shared" si="56"/>
        <v>22.11.2024_HAAun</v>
      </c>
      <c r="D1787" s="143">
        <f t="shared" si="55"/>
        <v>0</v>
      </c>
      <c r="E1787" s="157">
        <v>7.36</v>
      </c>
      <c r="F1787" s="165"/>
      <c r="G1787" s="166">
        <v>666</v>
      </c>
      <c r="H1787" s="167">
        <v>9.5347200000000001</v>
      </c>
      <c r="I1787" s="179"/>
      <c r="J1787" s="167"/>
      <c r="K1787" s="167">
        <v>9.23</v>
      </c>
      <c r="L1787" s="167">
        <v>10.53</v>
      </c>
      <c r="M1787" s="168">
        <v>0.72361111111111109</v>
      </c>
      <c r="N1787" s="67"/>
    </row>
    <row r="1788" spans="1:14" x14ac:dyDescent="0.25">
      <c r="A1788" s="66">
        <v>45618</v>
      </c>
      <c r="B1788" s="67" t="s">
        <v>47</v>
      </c>
      <c r="C1788" s="129" t="str">
        <f t="shared" si="56"/>
        <v>22.11.2024_KIRob</v>
      </c>
      <c r="D1788" s="143">
        <f t="shared" si="55"/>
        <v>0</v>
      </c>
      <c r="E1788" s="157">
        <v>7.69</v>
      </c>
      <c r="F1788" s="165"/>
      <c r="G1788" s="166">
        <v>900</v>
      </c>
      <c r="H1788" s="167">
        <v>8.057520000000002</v>
      </c>
      <c r="I1788" s="179"/>
      <c r="J1788" s="167"/>
      <c r="K1788" s="167">
        <v>8.1</v>
      </c>
      <c r="L1788" s="167">
        <v>7.16</v>
      </c>
      <c r="M1788" s="168">
        <v>0.46875</v>
      </c>
      <c r="N1788" s="67"/>
    </row>
    <row r="1789" spans="1:14" x14ac:dyDescent="0.25">
      <c r="A1789" s="66">
        <v>45618</v>
      </c>
      <c r="B1789" s="67" t="s">
        <v>49</v>
      </c>
      <c r="C1789" s="129" t="str">
        <f t="shared" si="56"/>
        <v>22.11.2024_KIRun</v>
      </c>
      <c r="D1789" s="143">
        <f t="shared" si="55"/>
        <v>0</v>
      </c>
      <c r="E1789" s="157">
        <v>7.57</v>
      </c>
      <c r="F1789" s="165"/>
      <c r="G1789" s="166">
        <v>849</v>
      </c>
      <c r="H1789" s="167">
        <v>9.2178000000000004</v>
      </c>
      <c r="I1789" s="179"/>
      <c r="J1789" s="167"/>
      <c r="K1789" s="167">
        <v>9.56</v>
      </c>
      <c r="L1789" s="167">
        <v>7.7</v>
      </c>
      <c r="M1789" s="168">
        <v>0.4604166666666667</v>
      </c>
      <c r="N1789" s="67"/>
    </row>
    <row r="1790" spans="1:14" x14ac:dyDescent="0.25">
      <c r="A1790" s="66">
        <v>45618</v>
      </c>
      <c r="B1790" s="67" t="s">
        <v>50</v>
      </c>
      <c r="C1790" s="129" t="str">
        <f t="shared" si="56"/>
        <v>22.11.2024_LIEohBo</v>
      </c>
      <c r="D1790" s="143">
        <f t="shared" si="55"/>
        <v>0</v>
      </c>
      <c r="E1790" s="157">
        <v>7.3</v>
      </c>
      <c r="F1790" s="165"/>
      <c r="G1790" s="166">
        <v>627</v>
      </c>
      <c r="H1790" s="167">
        <v>9.3170000000000002</v>
      </c>
      <c r="I1790" s="179"/>
      <c r="J1790" s="167"/>
      <c r="K1790" s="167">
        <v>11</v>
      </c>
      <c r="L1790" s="167">
        <v>3.61</v>
      </c>
      <c r="M1790" s="168">
        <v>0.43888888888888888</v>
      </c>
      <c r="N1790" s="67"/>
    </row>
    <row r="1791" spans="1:14" x14ac:dyDescent="0.25">
      <c r="A1791" s="66">
        <v>45618</v>
      </c>
      <c r="B1791" s="67" t="s">
        <v>53</v>
      </c>
      <c r="C1791" s="129" t="str">
        <f t="shared" si="56"/>
        <v>22.11.2024_NATohBo</v>
      </c>
      <c r="D1791" s="143">
        <f t="shared" si="55"/>
        <v>0</v>
      </c>
      <c r="E1791" s="157">
        <v>7.85</v>
      </c>
      <c r="F1791" s="165"/>
      <c r="G1791" s="166">
        <v>796</v>
      </c>
      <c r="H1791" s="167">
        <v>8.9357800000000012</v>
      </c>
      <c r="I1791" s="179"/>
      <c r="J1791" s="167"/>
      <c r="K1791" s="167">
        <v>8.73</v>
      </c>
      <c r="L1791" s="167">
        <v>9.68</v>
      </c>
      <c r="M1791" s="168">
        <v>0.75347222222222221</v>
      </c>
      <c r="N1791" s="67"/>
    </row>
    <row r="1792" spans="1:14" x14ac:dyDescent="0.25">
      <c r="A1792" s="66">
        <v>45618</v>
      </c>
      <c r="B1792" s="67" t="s">
        <v>55</v>
      </c>
      <c r="C1792" s="129" t="str">
        <f t="shared" si="56"/>
        <v>22.11.2024_QUAohBo</v>
      </c>
      <c r="D1792" s="143">
        <f t="shared" ref="D1792:D1853" si="57">COUNTBLANK(E1792)+COUNTBLANK(G1792:H1792)+COUNTBLANK(K1792:L1792)</f>
        <v>0</v>
      </c>
      <c r="E1792" s="157">
        <v>7.37</v>
      </c>
      <c r="F1792" s="165"/>
      <c r="G1792" s="166">
        <v>693</v>
      </c>
      <c r="H1792" s="167">
        <v>8.3082400000000014</v>
      </c>
      <c r="I1792" s="179"/>
      <c r="J1792" s="167"/>
      <c r="K1792" s="167">
        <v>7.69</v>
      </c>
      <c r="L1792" s="167">
        <v>10.58</v>
      </c>
      <c r="M1792" s="168">
        <v>0.71458333333333324</v>
      </c>
      <c r="N1792" s="67"/>
    </row>
    <row r="1793" spans="1:14" x14ac:dyDescent="0.25">
      <c r="A1793" s="66">
        <v>45618</v>
      </c>
      <c r="B1793" s="67" t="s">
        <v>57</v>
      </c>
      <c r="C1793" s="129" t="str">
        <f t="shared" si="56"/>
        <v>22.11.2024_SCHohVo</v>
      </c>
      <c r="D1793" s="143">
        <f t="shared" si="57"/>
        <v>0</v>
      </c>
      <c r="E1793" s="157">
        <v>7.73</v>
      </c>
      <c r="F1793" s="165"/>
      <c r="G1793" s="166">
        <v>346</v>
      </c>
      <c r="H1793" s="167">
        <v>9.3339400000000019</v>
      </c>
      <c r="I1793" s="179"/>
      <c r="J1793" s="167"/>
      <c r="K1793" s="167">
        <v>10.85</v>
      </c>
      <c r="L1793" s="167">
        <v>4.18</v>
      </c>
      <c r="M1793" s="168">
        <v>0.48055555555555557</v>
      </c>
      <c r="N1793" s="67"/>
    </row>
    <row r="1794" spans="1:14" x14ac:dyDescent="0.25">
      <c r="A1794" s="66">
        <v>45618</v>
      </c>
      <c r="B1794" s="67" t="s">
        <v>60</v>
      </c>
      <c r="C1794" s="129" t="str">
        <f t="shared" si="56"/>
        <v>22.11.2024_VORohBo</v>
      </c>
      <c r="D1794" s="143">
        <f t="shared" si="57"/>
        <v>0</v>
      </c>
      <c r="E1794" s="157">
        <v>7.49</v>
      </c>
      <c r="F1794" s="165"/>
      <c r="G1794" s="166">
        <v>777</v>
      </c>
      <c r="H1794" s="167">
        <v>8.5491600000000005</v>
      </c>
      <c r="I1794" s="179"/>
      <c r="J1794" s="167"/>
      <c r="K1794" s="167">
        <v>9.1999999999999993</v>
      </c>
      <c r="L1794" s="167">
        <v>5.24</v>
      </c>
      <c r="M1794" s="168">
        <v>0.54097222222222219</v>
      </c>
      <c r="N1794" s="67"/>
    </row>
    <row r="1795" spans="1:14" x14ac:dyDescent="0.25">
      <c r="A1795" s="66">
        <v>45618</v>
      </c>
      <c r="B1795" s="67" t="s">
        <v>62</v>
      </c>
      <c r="C1795" s="129" t="str">
        <f t="shared" si="56"/>
        <v>22.11.2024_VORuhSc</v>
      </c>
      <c r="D1795" s="143">
        <f t="shared" si="57"/>
        <v>0</v>
      </c>
      <c r="E1795" s="157">
        <v>7.28</v>
      </c>
      <c r="F1795" s="165"/>
      <c r="G1795" s="166">
        <v>709</v>
      </c>
      <c r="H1795" s="167">
        <v>9.3800199999999982</v>
      </c>
      <c r="I1795" s="179"/>
      <c r="J1795" s="167"/>
      <c r="K1795" s="167">
        <v>10.25</v>
      </c>
      <c r="L1795" s="167">
        <v>5.3</v>
      </c>
      <c r="M1795" s="168">
        <v>0.48680555555555555</v>
      </c>
      <c r="N1795" s="67"/>
    </row>
    <row r="1796" spans="1:14" x14ac:dyDescent="0.25">
      <c r="A1796" s="66">
        <v>45618</v>
      </c>
      <c r="B1796" s="67" t="s">
        <v>64</v>
      </c>
      <c r="C1796" s="129" t="str">
        <f t="shared" si="56"/>
        <v>22.11.2024_WITob</v>
      </c>
      <c r="D1796" s="143">
        <f t="shared" si="57"/>
        <v>0</v>
      </c>
      <c r="E1796" s="157">
        <v>7.56</v>
      </c>
      <c r="F1796" s="165"/>
      <c r="G1796" s="166">
        <v>998</v>
      </c>
      <c r="H1796" s="167">
        <v>9.2408400000000004</v>
      </c>
      <c r="I1796" s="179"/>
      <c r="J1796" s="167"/>
      <c r="K1796" s="167">
        <v>8.7799999999999994</v>
      </c>
      <c r="L1796" s="167">
        <v>10.74</v>
      </c>
      <c r="M1796" s="168">
        <v>0.74236111111111114</v>
      </c>
      <c r="N1796" s="67"/>
    </row>
    <row r="1797" spans="1:14" x14ac:dyDescent="0.25">
      <c r="A1797" s="66">
        <v>45631</v>
      </c>
      <c r="B1797" s="67" t="s">
        <v>22</v>
      </c>
      <c r="C1797" s="129" t="str">
        <f t="shared" si="56"/>
        <v>05.12.2024_BOYkl</v>
      </c>
      <c r="D1797" s="143">
        <f t="shared" si="57"/>
        <v>0</v>
      </c>
      <c r="E1797" s="157">
        <v>7.78</v>
      </c>
      <c r="F1797" s="165"/>
      <c r="G1797" s="166">
        <v>399</v>
      </c>
      <c r="H1797" s="167">
        <v>9.9220000000000006</v>
      </c>
      <c r="I1797" s="179"/>
      <c r="J1797" s="167"/>
      <c r="K1797" s="167">
        <v>11.02</v>
      </c>
      <c r="L1797" s="167">
        <v>7.38</v>
      </c>
      <c r="M1797" s="168">
        <v>0.4826388888888889</v>
      </c>
      <c r="N1797" s="67"/>
    </row>
    <row r="1798" spans="1:14" x14ac:dyDescent="0.25">
      <c r="A1798" s="66">
        <v>45631</v>
      </c>
      <c r="B1798" s="67" t="s">
        <v>25</v>
      </c>
      <c r="C1798" s="129" t="str">
        <f t="shared" si="56"/>
        <v>05.12.2024_BOYohB224</v>
      </c>
      <c r="D1798" s="143">
        <f t="shared" si="57"/>
        <v>0</v>
      </c>
      <c r="E1798" s="157">
        <v>7.91</v>
      </c>
      <c r="F1798" s="165"/>
      <c r="G1798" s="166">
        <v>724</v>
      </c>
      <c r="H1798" s="167">
        <v>9.4578599999999984</v>
      </c>
      <c r="I1798" s="179"/>
      <c r="J1798" s="167"/>
      <c r="K1798" s="167">
        <v>10.37</v>
      </c>
      <c r="L1798" s="167">
        <v>6.92</v>
      </c>
      <c r="M1798" s="168">
        <v>0.68333333333333324</v>
      </c>
      <c r="N1798" s="67" t="s">
        <v>294</v>
      </c>
    </row>
    <row r="1799" spans="1:14" x14ac:dyDescent="0.25">
      <c r="A1799" s="66">
        <v>45631</v>
      </c>
      <c r="B1799" s="67" t="s">
        <v>28</v>
      </c>
      <c r="C1799" s="129" t="str">
        <f t="shared" si="56"/>
        <v>05.12.2024_BOYohBr</v>
      </c>
      <c r="D1799" s="143">
        <f t="shared" si="57"/>
        <v>0</v>
      </c>
      <c r="E1799" s="157">
        <v>7.47</v>
      </c>
      <c r="F1799" s="165"/>
      <c r="G1799" s="166">
        <v>490</v>
      </c>
      <c r="H1799" s="167">
        <v>8.7018399999999989</v>
      </c>
      <c r="I1799" s="179"/>
      <c r="J1799" s="167"/>
      <c r="K1799" s="167">
        <v>9.07</v>
      </c>
      <c r="L1799" s="167">
        <v>7.84</v>
      </c>
      <c r="M1799" s="168">
        <v>0.60138888888888886</v>
      </c>
      <c r="N1799" s="67"/>
    </row>
    <row r="1800" spans="1:14" x14ac:dyDescent="0.25">
      <c r="A1800" s="66">
        <v>45631</v>
      </c>
      <c r="B1800" s="67" t="s">
        <v>30</v>
      </c>
      <c r="C1800" s="129" t="str">
        <f t="shared" si="56"/>
        <v>05.12.2024_BOYohKi</v>
      </c>
      <c r="D1800" s="143">
        <f t="shared" si="57"/>
        <v>0</v>
      </c>
      <c r="E1800" s="157">
        <v>7.75</v>
      </c>
      <c r="F1800" s="165"/>
      <c r="G1800" s="166">
        <v>640</v>
      </c>
      <c r="H1800" s="167">
        <v>9.3239999999999998</v>
      </c>
      <c r="I1800" s="179"/>
      <c r="J1800" s="167"/>
      <c r="K1800" s="167">
        <v>10.45</v>
      </c>
      <c r="L1800" s="167">
        <v>6.77</v>
      </c>
      <c r="M1800" s="168">
        <v>0.39513888888888887</v>
      </c>
      <c r="N1800" s="67"/>
    </row>
    <row r="1801" spans="1:14" x14ac:dyDescent="0.25">
      <c r="A1801" s="66">
        <v>45631</v>
      </c>
      <c r="B1801" s="67" t="s">
        <v>32</v>
      </c>
      <c r="C1801" s="129" t="str">
        <f t="shared" si="56"/>
        <v>05.12.2024_BOYohSp</v>
      </c>
      <c r="D1801" s="143">
        <f t="shared" si="57"/>
        <v>0</v>
      </c>
      <c r="E1801" s="157">
        <v>7.53</v>
      </c>
      <c r="F1801" s="165"/>
      <c r="G1801" s="166">
        <v>578</v>
      </c>
      <c r="H1801" s="167">
        <v>9.088000000000001</v>
      </c>
      <c r="I1801" s="179"/>
      <c r="J1801" s="167"/>
      <c r="K1801" s="167">
        <v>9.66</v>
      </c>
      <c r="L1801" s="167">
        <v>7.41</v>
      </c>
      <c r="M1801" s="168">
        <v>0.61944444444444446</v>
      </c>
      <c r="N1801" s="67" t="s">
        <v>294</v>
      </c>
    </row>
    <row r="1802" spans="1:14" x14ac:dyDescent="0.25">
      <c r="A1802" s="66">
        <v>45631</v>
      </c>
      <c r="B1802" s="67" t="s">
        <v>34</v>
      </c>
      <c r="C1802" s="129" t="str">
        <f t="shared" si="56"/>
        <v>05.12.2024_BOYuhHa</v>
      </c>
      <c r="D1802" s="143">
        <f t="shared" si="57"/>
        <v>0</v>
      </c>
      <c r="E1802" s="157">
        <v>7.79</v>
      </c>
      <c r="F1802" s="165"/>
      <c r="G1802" s="166">
        <v>767</v>
      </c>
      <c r="H1802" s="167">
        <v>9.6294599999999999</v>
      </c>
      <c r="I1802" s="179"/>
      <c r="J1802" s="167"/>
      <c r="K1802" s="167">
        <v>11.11</v>
      </c>
      <c r="L1802" s="167">
        <v>6.38</v>
      </c>
      <c r="M1802" s="168">
        <v>0.3666666666666667</v>
      </c>
      <c r="N1802" s="67"/>
    </row>
    <row r="1803" spans="1:14" x14ac:dyDescent="0.25">
      <c r="A1803" s="66">
        <v>45631</v>
      </c>
      <c r="B1803" s="67" t="s">
        <v>36</v>
      </c>
      <c r="C1803" s="129" t="str">
        <f t="shared" si="56"/>
        <v>05.12.2024_BOYuhSp</v>
      </c>
      <c r="D1803" s="143">
        <f t="shared" si="57"/>
        <v>0</v>
      </c>
      <c r="E1803" s="157">
        <v>7.5</v>
      </c>
      <c r="F1803" s="165"/>
      <c r="G1803" s="166">
        <v>587</v>
      </c>
      <c r="H1803" s="167">
        <v>9.0539200000000015</v>
      </c>
      <c r="I1803" s="179"/>
      <c r="J1803" s="167"/>
      <c r="K1803" s="167">
        <v>9.69</v>
      </c>
      <c r="L1803" s="167">
        <v>7.19</v>
      </c>
      <c r="M1803" s="168">
        <v>0.61319444444444449</v>
      </c>
      <c r="N1803" s="67"/>
    </row>
    <row r="1804" spans="1:14" x14ac:dyDescent="0.25">
      <c r="A1804" s="66">
        <v>45631</v>
      </c>
      <c r="B1804" s="67" t="s">
        <v>38</v>
      </c>
      <c r="C1804" s="129" t="str">
        <f t="shared" si="56"/>
        <v>05.12.2024_BRAob</v>
      </c>
      <c r="D1804" s="143">
        <f t="shared" si="57"/>
        <v>0</v>
      </c>
      <c r="E1804" s="157">
        <v>7.53</v>
      </c>
      <c r="F1804" s="165"/>
      <c r="G1804" s="166">
        <v>707</v>
      </c>
      <c r="H1804" s="167">
        <v>9.266</v>
      </c>
      <c r="I1804" s="179"/>
      <c r="J1804" s="167"/>
      <c r="K1804" s="167">
        <v>9.9700000000000006</v>
      </c>
      <c r="L1804" s="167">
        <v>7.23</v>
      </c>
      <c r="M1804" s="168">
        <v>0.55347222222222225</v>
      </c>
      <c r="N1804" s="67" t="s">
        <v>295</v>
      </c>
    </row>
    <row r="1805" spans="1:14" x14ac:dyDescent="0.25">
      <c r="A1805" s="66">
        <v>45631</v>
      </c>
      <c r="B1805" s="67" t="s">
        <v>41</v>
      </c>
      <c r="C1805" s="129" t="str">
        <f t="shared" si="56"/>
        <v>05.12.2024_BRAohBo</v>
      </c>
      <c r="D1805" s="143">
        <f t="shared" si="57"/>
        <v>0</v>
      </c>
      <c r="E1805" s="157">
        <v>7.64</v>
      </c>
      <c r="F1805" s="165"/>
      <c r="G1805" s="166">
        <v>632</v>
      </c>
      <c r="H1805" s="167">
        <v>8.8650200000000012</v>
      </c>
      <c r="I1805" s="179"/>
      <c r="J1805" s="167"/>
      <c r="K1805" s="167">
        <v>9.59</v>
      </c>
      <c r="L1805" s="167">
        <v>6.74</v>
      </c>
      <c r="M1805" s="168">
        <v>0.57916666666666672</v>
      </c>
      <c r="N1805" s="67"/>
    </row>
    <row r="1806" spans="1:14" x14ac:dyDescent="0.25">
      <c r="A1806" s="66">
        <v>45631</v>
      </c>
      <c r="B1806" s="67" t="s">
        <v>43</v>
      </c>
      <c r="C1806" s="129" t="str">
        <f t="shared" si="56"/>
        <v>05.12.2024_HAAob</v>
      </c>
      <c r="D1806" s="143">
        <f t="shared" si="57"/>
        <v>0</v>
      </c>
      <c r="E1806" s="157">
        <v>8.01</v>
      </c>
      <c r="F1806" s="165"/>
      <c r="G1806" s="166">
        <v>696</v>
      </c>
      <c r="H1806" s="167">
        <v>9.6820800000000009</v>
      </c>
      <c r="I1806" s="179"/>
      <c r="J1806" s="167"/>
      <c r="K1806" s="167">
        <v>10.77</v>
      </c>
      <c r="L1806" s="167">
        <v>6.69</v>
      </c>
      <c r="M1806" s="168">
        <v>0.64861111111111114</v>
      </c>
      <c r="N1806" s="67" t="s">
        <v>296</v>
      </c>
    </row>
    <row r="1807" spans="1:14" x14ac:dyDescent="0.25">
      <c r="A1807" s="66">
        <v>45631</v>
      </c>
      <c r="B1807" s="67" t="s">
        <v>45</v>
      </c>
      <c r="C1807" s="129" t="str">
        <f t="shared" si="56"/>
        <v>05.12.2024_HAAun</v>
      </c>
      <c r="D1807" s="143">
        <f t="shared" si="57"/>
        <v>0</v>
      </c>
      <c r="E1807" s="157">
        <v>7.53</v>
      </c>
      <c r="F1807" s="165"/>
      <c r="G1807" s="166">
        <v>807</v>
      </c>
      <c r="H1807" s="167">
        <v>8.1006000000000018</v>
      </c>
      <c r="I1807" s="179"/>
      <c r="J1807" s="167"/>
      <c r="K1807" s="167">
        <v>8.31</v>
      </c>
      <c r="L1807" s="167">
        <v>7.47</v>
      </c>
      <c r="M1807" s="168">
        <v>0.64027777777777783</v>
      </c>
      <c r="N1807" s="67"/>
    </row>
    <row r="1808" spans="1:14" x14ac:dyDescent="0.25">
      <c r="A1808" s="66">
        <v>45631</v>
      </c>
      <c r="B1808" s="67" t="s">
        <v>47</v>
      </c>
      <c r="C1808" s="129" t="str">
        <f t="shared" si="56"/>
        <v>05.12.2024_KIRob</v>
      </c>
      <c r="D1808" s="143">
        <f t="shared" si="57"/>
        <v>0</v>
      </c>
      <c r="E1808" s="157">
        <v>7.72</v>
      </c>
      <c r="F1808" s="165"/>
      <c r="G1808" s="166">
        <v>926</v>
      </c>
      <c r="H1808" s="167">
        <v>7.6764800000000015</v>
      </c>
      <c r="I1808" s="179"/>
      <c r="J1808" s="167"/>
      <c r="K1808" s="167">
        <v>7.69</v>
      </c>
      <c r="L1808" s="167">
        <v>8.36</v>
      </c>
      <c r="M1808" s="168">
        <v>0.41319444444444442</v>
      </c>
      <c r="N1808" s="67"/>
    </row>
    <row r="1809" spans="1:14" x14ac:dyDescent="0.25">
      <c r="A1809" s="66">
        <v>45631</v>
      </c>
      <c r="B1809" s="67" t="s">
        <v>49</v>
      </c>
      <c r="C1809" s="129" t="str">
        <f t="shared" si="56"/>
        <v>05.12.2024_KIRun</v>
      </c>
      <c r="D1809" s="143">
        <f t="shared" si="57"/>
        <v>0</v>
      </c>
      <c r="E1809" s="157">
        <v>7.75</v>
      </c>
      <c r="F1809" s="165"/>
      <c r="G1809" s="166">
        <v>866</v>
      </c>
      <c r="H1809" s="167">
        <v>8.7592400000000001</v>
      </c>
      <c r="I1809" s="179"/>
      <c r="J1809" s="167"/>
      <c r="K1809" s="167">
        <v>9.1199999999999992</v>
      </c>
      <c r="L1809" s="167">
        <v>8.33</v>
      </c>
      <c r="M1809" s="168">
        <v>0.4055555555555555</v>
      </c>
      <c r="N1809" s="67"/>
    </row>
    <row r="1810" spans="1:14" x14ac:dyDescent="0.25">
      <c r="A1810" s="66">
        <v>45631</v>
      </c>
      <c r="B1810" s="67" t="s">
        <v>50</v>
      </c>
      <c r="C1810" s="129" t="str">
        <f t="shared" si="56"/>
        <v>05.12.2024_LIEohBo</v>
      </c>
      <c r="D1810" s="143">
        <f t="shared" si="57"/>
        <v>0</v>
      </c>
      <c r="E1810" s="157">
        <v>8.1199999999999992</v>
      </c>
      <c r="F1810" s="165"/>
      <c r="G1810" s="166">
        <v>654</v>
      </c>
      <c r="H1810" s="167">
        <v>9.1631599999999995</v>
      </c>
      <c r="I1810" s="179"/>
      <c r="J1810" s="167"/>
      <c r="K1810" s="167">
        <v>10.63</v>
      </c>
      <c r="L1810" s="167">
        <v>5.62</v>
      </c>
      <c r="M1810" s="168">
        <v>0.38125000000000003</v>
      </c>
      <c r="N1810" s="67" t="s">
        <v>294</v>
      </c>
    </row>
    <row r="1811" spans="1:14" x14ac:dyDescent="0.25">
      <c r="A1811" s="66">
        <v>45631</v>
      </c>
      <c r="B1811" s="67" t="s">
        <v>53</v>
      </c>
      <c r="C1811" s="129" t="str">
        <f t="shared" si="56"/>
        <v>05.12.2024_NATohBo</v>
      </c>
      <c r="D1811" s="143">
        <f t="shared" si="57"/>
        <v>0</v>
      </c>
      <c r="E1811" s="157">
        <v>7.67</v>
      </c>
      <c r="F1811" s="165"/>
      <c r="G1811" s="166">
        <v>1107</v>
      </c>
      <c r="H1811" s="167">
        <v>7.8454800000000002</v>
      </c>
      <c r="I1811" s="179"/>
      <c r="J1811" s="167"/>
      <c r="K1811" s="167">
        <v>8.0500000000000007</v>
      </c>
      <c r="L1811" s="167">
        <v>7.38</v>
      </c>
      <c r="M1811" s="168">
        <v>0.67361111111111116</v>
      </c>
      <c r="N1811" s="67" t="s">
        <v>215</v>
      </c>
    </row>
    <row r="1812" spans="1:14" x14ac:dyDescent="0.25">
      <c r="A1812" s="66">
        <v>45631</v>
      </c>
      <c r="B1812" s="67" t="s">
        <v>55</v>
      </c>
      <c r="C1812" s="129" t="str">
        <f t="shared" si="56"/>
        <v>05.12.2024_QUAohBo</v>
      </c>
      <c r="D1812" s="143">
        <f t="shared" si="57"/>
        <v>0</v>
      </c>
      <c r="E1812" s="157">
        <v>7.54</v>
      </c>
      <c r="F1812" s="165"/>
      <c r="G1812" s="166">
        <v>726</v>
      </c>
      <c r="H1812" s="167">
        <v>8.453400000000002</v>
      </c>
      <c r="I1812" s="179"/>
      <c r="J1812" s="167"/>
      <c r="K1812" s="167">
        <v>8.77</v>
      </c>
      <c r="L1812" s="167">
        <v>7.5</v>
      </c>
      <c r="M1812" s="168">
        <v>0.62986111111111109</v>
      </c>
      <c r="N1812" s="67"/>
    </row>
    <row r="1813" spans="1:14" x14ac:dyDescent="0.25">
      <c r="A1813" s="66">
        <v>45631</v>
      </c>
      <c r="B1813" s="67" t="s">
        <v>57</v>
      </c>
      <c r="C1813" s="129" t="str">
        <f t="shared" si="56"/>
        <v>05.12.2024_SCHohVo</v>
      </c>
      <c r="D1813" s="143">
        <f t="shared" si="57"/>
        <v>0</v>
      </c>
      <c r="E1813" s="157">
        <v>7.74</v>
      </c>
      <c r="F1813" s="165"/>
      <c r="G1813" s="166">
        <v>410</v>
      </c>
      <c r="H1813" s="167">
        <v>9.0679599999999976</v>
      </c>
      <c r="I1813" s="179"/>
      <c r="J1813" s="167"/>
      <c r="K1813" s="167">
        <v>10.35</v>
      </c>
      <c r="L1813" s="167">
        <v>5.81</v>
      </c>
      <c r="M1813" s="168">
        <v>0.43541666666666662</v>
      </c>
      <c r="N1813" s="67"/>
    </row>
    <row r="1814" spans="1:14" x14ac:dyDescent="0.25">
      <c r="A1814" s="66">
        <v>45631</v>
      </c>
      <c r="B1814" s="67" t="s">
        <v>60</v>
      </c>
      <c r="C1814" s="129" t="str">
        <f t="shared" si="56"/>
        <v>05.12.2024_VORohBo</v>
      </c>
      <c r="D1814" s="143">
        <f t="shared" si="57"/>
        <v>0</v>
      </c>
      <c r="E1814" s="157">
        <v>7.34</v>
      </c>
      <c r="F1814" s="165"/>
      <c r="G1814" s="166">
        <v>847</v>
      </c>
      <c r="H1814" s="167">
        <v>7.5200400000000016</v>
      </c>
      <c r="I1814" s="179"/>
      <c r="J1814" s="167"/>
      <c r="K1814" s="167">
        <v>7.8</v>
      </c>
      <c r="L1814" s="167">
        <v>7.05</v>
      </c>
      <c r="M1814" s="168">
        <v>0.46388888888888885</v>
      </c>
      <c r="N1814" s="67" t="s">
        <v>296</v>
      </c>
    </row>
    <row r="1815" spans="1:14" x14ac:dyDescent="0.25">
      <c r="A1815" s="66">
        <v>45631</v>
      </c>
      <c r="B1815" s="67" t="s">
        <v>62</v>
      </c>
      <c r="C1815" s="129" t="str">
        <f t="shared" si="56"/>
        <v>05.12.2024_VORuhSc</v>
      </c>
      <c r="D1815" s="143">
        <f t="shared" si="57"/>
        <v>0</v>
      </c>
      <c r="E1815" s="157">
        <v>7.13</v>
      </c>
      <c r="F1815" s="165"/>
      <c r="G1815" s="166">
        <v>778</v>
      </c>
      <c r="H1815" s="167">
        <v>8.0379000000000005</v>
      </c>
      <c r="I1815" s="179"/>
      <c r="J1815" s="167"/>
      <c r="K1815" s="167">
        <v>8.4700000000000006</v>
      </c>
      <c r="L1815" s="167">
        <v>7.08</v>
      </c>
      <c r="M1815" s="168">
        <v>0.44930555555555557</v>
      </c>
      <c r="N1815" s="67" t="s">
        <v>296</v>
      </c>
    </row>
    <row r="1816" spans="1:14" x14ac:dyDescent="0.25">
      <c r="A1816" s="66">
        <v>45631</v>
      </c>
      <c r="B1816" s="67" t="s">
        <v>64</v>
      </c>
      <c r="C1816" s="129" t="str">
        <f t="shared" si="56"/>
        <v>05.12.2024_WITob</v>
      </c>
      <c r="D1816" s="143">
        <f t="shared" si="57"/>
        <v>0</v>
      </c>
      <c r="E1816" s="157">
        <v>8.1</v>
      </c>
      <c r="F1816" s="165"/>
      <c r="G1816" s="166">
        <v>1061</v>
      </c>
      <c r="H1816" s="167">
        <v>9.5459999999999994</v>
      </c>
      <c r="I1816" s="179"/>
      <c r="J1816" s="167"/>
      <c r="K1816" s="167">
        <v>10.47</v>
      </c>
      <c r="L1816" s="167">
        <v>7.01</v>
      </c>
      <c r="M1816" s="168">
        <v>0.65833333333333333</v>
      </c>
      <c r="N1816" s="67" t="s">
        <v>296</v>
      </c>
    </row>
    <row r="1817" spans="1:14" x14ac:dyDescent="0.25">
      <c r="A1817" s="66">
        <v>45646</v>
      </c>
      <c r="B1817" s="67" t="s">
        <v>22</v>
      </c>
      <c r="C1817" s="129" t="str">
        <f t="shared" si="56"/>
        <v>20.12.2024_BOYkl</v>
      </c>
      <c r="D1817" s="143">
        <f t="shared" si="57"/>
        <v>0</v>
      </c>
      <c r="E1817" s="157">
        <v>7.26</v>
      </c>
      <c r="F1817" s="165"/>
      <c r="G1817" s="166">
        <v>407</v>
      </c>
      <c r="H1817" s="167">
        <v>13.56</v>
      </c>
      <c r="I1817" s="179"/>
      <c r="J1817" s="167">
        <v>112.5</v>
      </c>
      <c r="K1817" s="167">
        <v>7.45</v>
      </c>
      <c r="L1817" s="167">
        <v>17</v>
      </c>
      <c r="M1817" s="168">
        <v>0.44375000000000003</v>
      </c>
      <c r="N1817" s="67"/>
    </row>
    <row r="1818" spans="1:14" x14ac:dyDescent="0.25">
      <c r="A1818" s="66">
        <v>45646</v>
      </c>
      <c r="B1818" s="67" t="s">
        <v>25</v>
      </c>
      <c r="C1818" s="129" t="str">
        <f t="shared" si="56"/>
        <v>20.12.2024_BOYohB224</v>
      </c>
      <c r="D1818" s="143">
        <f t="shared" si="57"/>
        <v>0</v>
      </c>
      <c r="E1818" s="157">
        <v>7.68</v>
      </c>
      <c r="F1818" s="165"/>
      <c r="G1818" s="166">
        <v>675</v>
      </c>
      <c r="H1818" s="167">
        <v>13.44</v>
      </c>
      <c r="I1818" s="179"/>
      <c r="J1818" s="167">
        <v>110.4</v>
      </c>
      <c r="K1818" s="167">
        <v>7.08</v>
      </c>
      <c r="L1818" s="167">
        <v>61</v>
      </c>
      <c r="M1818" s="168">
        <v>0.59652777777777777</v>
      </c>
      <c r="N1818" s="67"/>
    </row>
    <row r="1819" spans="1:14" x14ac:dyDescent="0.25">
      <c r="A1819" s="66">
        <v>45646</v>
      </c>
      <c r="B1819" s="67" t="s">
        <v>28</v>
      </c>
      <c r="C1819" s="129" t="str">
        <f t="shared" si="56"/>
        <v>20.12.2024_BOYohBr</v>
      </c>
      <c r="D1819" s="143">
        <f t="shared" si="57"/>
        <v>0</v>
      </c>
      <c r="E1819" s="157">
        <v>7.32</v>
      </c>
      <c r="F1819" s="165"/>
      <c r="G1819" s="166">
        <v>481</v>
      </c>
      <c r="H1819" s="167">
        <v>13.24</v>
      </c>
      <c r="I1819" s="179"/>
      <c r="J1819" s="167">
        <v>109.7</v>
      </c>
      <c r="K1819" s="167">
        <v>7.36</v>
      </c>
      <c r="L1819" s="167">
        <v>40</v>
      </c>
      <c r="M1819" s="168">
        <v>0.51527777777777783</v>
      </c>
      <c r="N1819" s="67"/>
    </row>
    <row r="1820" spans="1:14" x14ac:dyDescent="0.25">
      <c r="A1820" s="66">
        <v>45646</v>
      </c>
      <c r="B1820" s="67" t="s">
        <v>30</v>
      </c>
      <c r="C1820" s="129" t="str">
        <f t="shared" si="56"/>
        <v>20.12.2024_BOYohKi</v>
      </c>
      <c r="D1820" s="143">
        <f t="shared" si="57"/>
        <v>0</v>
      </c>
      <c r="E1820" s="157">
        <v>7.51</v>
      </c>
      <c r="F1820" s="165"/>
      <c r="G1820" s="166">
        <v>598</v>
      </c>
      <c r="H1820" s="167">
        <v>12.83</v>
      </c>
      <c r="I1820" s="179"/>
      <c r="J1820" s="167">
        <v>104.1</v>
      </c>
      <c r="K1820" s="167">
        <v>6.54</v>
      </c>
      <c r="L1820" s="167">
        <v>50</v>
      </c>
      <c r="M1820" s="168">
        <v>0.38472222222222219</v>
      </c>
      <c r="N1820" s="67"/>
    </row>
    <row r="1821" spans="1:14" x14ac:dyDescent="0.25">
      <c r="A1821" s="66">
        <v>45646</v>
      </c>
      <c r="B1821" s="67" t="s">
        <v>32</v>
      </c>
      <c r="C1821" s="129" t="str">
        <f t="shared" si="56"/>
        <v>20.12.2024_BOYohSp</v>
      </c>
      <c r="D1821" s="143">
        <f t="shared" si="57"/>
        <v>0</v>
      </c>
      <c r="E1821" s="157">
        <v>7.36</v>
      </c>
      <c r="F1821" s="165"/>
      <c r="G1821" s="166">
        <v>569</v>
      </c>
      <c r="H1821" s="167">
        <v>12.9</v>
      </c>
      <c r="I1821" s="179"/>
      <c r="J1821" s="167">
        <v>106.1</v>
      </c>
      <c r="K1821" s="167">
        <v>7.12</v>
      </c>
      <c r="L1821" s="167">
        <v>32</v>
      </c>
      <c r="M1821" s="168">
        <v>0.53611111111111109</v>
      </c>
      <c r="N1821" s="67"/>
    </row>
    <row r="1822" spans="1:14" x14ac:dyDescent="0.25">
      <c r="A1822" s="66">
        <v>45646</v>
      </c>
      <c r="B1822" s="67" t="s">
        <v>34</v>
      </c>
      <c r="C1822" s="129" t="str">
        <f t="shared" si="56"/>
        <v>20.12.2024_BOYuhHa</v>
      </c>
      <c r="D1822" s="143">
        <f t="shared" si="57"/>
        <v>0</v>
      </c>
      <c r="E1822" s="157">
        <v>7.66</v>
      </c>
      <c r="F1822" s="165"/>
      <c r="G1822" s="166">
        <v>654</v>
      </c>
      <c r="H1822" s="167">
        <v>13.69</v>
      </c>
      <c r="I1822" s="179"/>
      <c r="J1822" s="167">
        <v>110.6</v>
      </c>
      <c r="K1822" s="167">
        <v>6.36</v>
      </c>
      <c r="L1822" s="167">
        <v>35</v>
      </c>
      <c r="M1822" s="168">
        <v>0.3611111111111111</v>
      </c>
      <c r="N1822" s="67"/>
    </row>
    <row r="1823" spans="1:14" x14ac:dyDescent="0.25">
      <c r="A1823" s="66">
        <v>45646</v>
      </c>
      <c r="B1823" s="67" t="s">
        <v>36</v>
      </c>
      <c r="C1823" s="129" t="str">
        <f t="shared" si="56"/>
        <v>20.12.2024_BOYuhSp</v>
      </c>
      <c r="D1823" s="143">
        <f t="shared" si="57"/>
        <v>0</v>
      </c>
      <c r="E1823" s="157">
        <v>7.3</v>
      </c>
      <c r="F1823" s="165"/>
      <c r="G1823" s="166">
        <v>572</v>
      </c>
      <c r="H1823" s="167">
        <v>13.03</v>
      </c>
      <c r="I1823" s="179"/>
      <c r="J1823" s="167">
        <v>106.6</v>
      </c>
      <c r="K1823" s="167">
        <v>6.91</v>
      </c>
      <c r="L1823" s="167">
        <v>46</v>
      </c>
      <c r="M1823" s="168">
        <v>0.52986111111111112</v>
      </c>
      <c r="N1823" s="67"/>
    </row>
    <row r="1824" spans="1:14" x14ac:dyDescent="0.25">
      <c r="A1824" s="66">
        <v>45646</v>
      </c>
      <c r="B1824" s="67" t="s">
        <v>38</v>
      </c>
      <c r="C1824" s="129" t="str">
        <f t="shared" si="56"/>
        <v>20.12.2024_BRAob</v>
      </c>
      <c r="D1824" s="143">
        <f t="shared" si="57"/>
        <v>0</v>
      </c>
      <c r="E1824" s="157">
        <v>7.65</v>
      </c>
      <c r="F1824" s="165"/>
      <c r="G1824" s="166">
        <v>723</v>
      </c>
      <c r="H1824" s="167">
        <v>12.81</v>
      </c>
      <c r="I1824" s="179"/>
      <c r="J1824" s="167">
        <v>105.3</v>
      </c>
      <c r="K1824" s="167">
        <v>6.9</v>
      </c>
      <c r="L1824" s="167">
        <v>14</v>
      </c>
      <c r="M1824" s="168">
        <v>0.48819444444444443</v>
      </c>
      <c r="N1824" s="67"/>
    </row>
    <row r="1825" spans="1:14" x14ac:dyDescent="0.25">
      <c r="A1825" s="66">
        <v>45646</v>
      </c>
      <c r="B1825" s="67" t="s">
        <v>41</v>
      </c>
      <c r="C1825" s="129" t="str">
        <f t="shared" si="56"/>
        <v>20.12.2024_BRAohBo</v>
      </c>
      <c r="D1825" s="143">
        <f t="shared" si="57"/>
        <v>0</v>
      </c>
      <c r="E1825" s="157">
        <v>7.36</v>
      </c>
      <c r="F1825" s="165"/>
      <c r="G1825" s="166">
        <v>621</v>
      </c>
      <c r="H1825" s="167">
        <v>12.08</v>
      </c>
      <c r="I1825" s="179"/>
      <c r="J1825" s="167">
        <v>98.1</v>
      </c>
      <c r="K1825" s="167">
        <v>6.58</v>
      </c>
      <c r="L1825" s="167">
        <v>37</v>
      </c>
      <c r="M1825" s="168">
        <v>0.5</v>
      </c>
      <c r="N1825" s="67"/>
    </row>
    <row r="1826" spans="1:14" x14ac:dyDescent="0.25">
      <c r="A1826" s="66">
        <v>45646</v>
      </c>
      <c r="B1826" s="67" t="s">
        <v>43</v>
      </c>
      <c r="C1826" s="129" t="str">
        <f t="shared" si="56"/>
        <v>20.12.2024_HAAob</v>
      </c>
      <c r="D1826" s="143">
        <f t="shared" si="57"/>
        <v>0</v>
      </c>
      <c r="E1826" s="157">
        <v>8.1300000000000008</v>
      </c>
      <c r="F1826" s="165"/>
      <c r="G1826" s="166">
        <v>776</v>
      </c>
      <c r="H1826" s="167">
        <v>13.87</v>
      </c>
      <c r="I1826" s="179"/>
      <c r="J1826" s="167">
        <v>115</v>
      </c>
      <c r="K1826" s="167">
        <v>7.33</v>
      </c>
      <c r="L1826" s="167">
        <v>12</v>
      </c>
      <c r="M1826" s="168">
        <v>0.56527777777777777</v>
      </c>
      <c r="N1826" s="67"/>
    </row>
    <row r="1827" spans="1:14" x14ac:dyDescent="0.25">
      <c r="A1827" s="66">
        <v>45646</v>
      </c>
      <c r="B1827" s="67" t="s">
        <v>45</v>
      </c>
      <c r="C1827" s="129" t="str">
        <f t="shared" si="56"/>
        <v>20.12.2024_HAAun</v>
      </c>
      <c r="D1827" s="143">
        <f t="shared" si="57"/>
        <v>0</v>
      </c>
      <c r="E1827" s="157">
        <v>7.65</v>
      </c>
      <c r="F1827" s="165"/>
      <c r="G1827" s="166">
        <v>910</v>
      </c>
      <c r="H1827" s="167">
        <v>11.36</v>
      </c>
      <c r="I1827" s="179"/>
      <c r="J1827" s="167">
        <v>94.7</v>
      </c>
      <c r="K1827" s="167">
        <v>7.62</v>
      </c>
      <c r="L1827" s="167">
        <v>16</v>
      </c>
      <c r="M1827" s="168">
        <v>0.55625000000000002</v>
      </c>
      <c r="N1827" s="67"/>
    </row>
    <row r="1828" spans="1:14" x14ac:dyDescent="0.25">
      <c r="A1828" s="66">
        <v>45646</v>
      </c>
      <c r="B1828" s="67" t="s">
        <v>47</v>
      </c>
      <c r="C1828" s="129" t="str">
        <f t="shared" si="56"/>
        <v>20.12.2024_KIRob</v>
      </c>
      <c r="D1828" s="143">
        <f t="shared" si="57"/>
        <v>0</v>
      </c>
      <c r="E1828" s="157">
        <v>7.83</v>
      </c>
      <c r="F1828" s="165"/>
      <c r="G1828" s="166">
        <v>998</v>
      </c>
      <c r="H1828" s="167">
        <v>11.06</v>
      </c>
      <c r="I1828" s="179"/>
      <c r="J1828" s="167">
        <v>92.5</v>
      </c>
      <c r="K1828" s="167">
        <v>7.71</v>
      </c>
      <c r="L1828" s="167">
        <v>10</v>
      </c>
      <c r="M1828" s="168">
        <v>0.40069444444444446</v>
      </c>
      <c r="N1828" s="67"/>
    </row>
    <row r="1829" spans="1:14" x14ac:dyDescent="0.25">
      <c r="A1829" s="66">
        <v>45646</v>
      </c>
      <c r="B1829" s="67" t="s">
        <v>49</v>
      </c>
      <c r="C1829" s="129" t="str">
        <f t="shared" si="56"/>
        <v>20.12.2024_KIRun</v>
      </c>
      <c r="D1829" s="143">
        <f t="shared" si="57"/>
        <v>0</v>
      </c>
      <c r="E1829" s="157">
        <v>7.81</v>
      </c>
      <c r="F1829" s="165"/>
      <c r="G1829" s="166">
        <v>923</v>
      </c>
      <c r="H1829" s="167">
        <v>12.17</v>
      </c>
      <c r="I1829" s="179"/>
      <c r="J1829" s="167">
        <v>102.2</v>
      </c>
      <c r="K1829" s="167">
        <v>7.94</v>
      </c>
      <c r="L1829" s="167">
        <v>15</v>
      </c>
      <c r="M1829" s="168">
        <v>0.39305555555555555</v>
      </c>
      <c r="N1829" s="67"/>
    </row>
    <row r="1830" spans="1:14" x14ac:dyDescent="0.25">
      <c r="A1830" s="66">
        <v>45646</v>
      </c>
      <c r="B1830" s="67" t="s">
        <v>50</v>
      </c>
      <c r="C1830" s="129" t="str">
        <f t="shared" si="56"/>
        <v>20.12.2024_LIEohBo</v>
      </c>
      <c r="D1830" s="143">
        <f t="shared" si="57"/>
        <v>0</v>
      </c>
      <c r="E1830" s="157">
        <v>8.0399999999999991</v>
      </c>
      <c r="F1830" s="165"/>
      <c r="G1830" s="166">
        <v>683</v>
      </c>
      <c r="H1830" s="167">
        <v>13.94</v>
      </c>
      <c r="I1830" s="179"/>
      <c r="J1830" s="167">
        <v>108.8</v>
      </c>
      <c r="K1830" s="167">
        <v>5.05</v>
      </c>
      <c r="L1830" s="167">
        <v>21</v>
      </c>
      <c r="M1830" s="168">
        <v>0.3743055555555555</v>
      </c>
      <c r="N1830" s="67"/>
    </row>
    <row r="1831" spans="1:14" x14ac:dyDescent="0.25">
      <c r="A1831" s="66">
        <v>45646</v>
      </c>
      <c r="B1831" s="67" t="s">
        <v>53</v>
      </c>
      <c r="C1831" s="129" t="str">
        <f t="shared" si="56"/>
        <v>20.12.2024_NATohBo</v>
      </c>
      <c r="D1831" s="143">
        <f t="shared" si="57"/>
        <v>0</v>
      </c>
      <c r="E1831" s="157">
        <v>7.86</v>
      </c>
      <c r="F1831" s="165"/>
      <c r="G1831" s="166">
        <v>1007</v>
      </c>
      <c r="H1831" s="167">
        <v>13.4</v>
      </c>
      <c r="I1831" s="179"/>
      <c r="J1831" s="167">
        <v>110.7</v>
      </c>
      <c r="K1831" s="167">
        <v>7.3</v>
      </c>
      <c r="L1831" s="167">
        <v>15</v>
      </c>
      <c r="M1831" s="168">
        <v>0.5854166666666667</v>
      </c>
      <c r="N1831" s="67"/>
    </row>
    <row r="1832" spans="1:14" x14ac:dyDescent="0.25">
      <c r="A1832" s="66">
        <v>45646</v>
      </c>
      <c r="B1832" s="67" t="s">
        <v>55</v>
      </c>
      <c r="C1832" s="129" t="str">
        <f t="shared" si="56"/>
        <v>20.12.2024_QUAohBo</v>
      </c>
      <c r="D1832" s="143">
        <f t="shared" si="57"/>
        <v>0</v>
      </c>
      <c r="E1832" s="157">
        <v>7.44</v>
      </c>
      <c r="F1832" s="165"/>
      <c r="G1832" s="166">
        <v>755</v>
      </c>
      <c r="H1832" s="167">
        <v>12</v>
      </c>
      <c r="I1832" s="179"/>
      <c r="J1832" s="167">
        <v>100</v>
      </c>
      <c r="K1832" s="167">
        <v>7.61</v>
      </c>
      <c r="L1832" s="167">
        <v>24</v>
      </c>
      <c r="M1832" s="168">
        <v>0.54305555555555551</v>
      </c>
      <c r="N1832" s="67"/>
    </row>
    <row r="1833" spans="1:14" x14ac:dyDescent="0.25">
      <c r="A1833" s="66">
        <v>45646</v>
      </c>
      <c r="B1833" s="67" t="s">
        <v>57</v>
      </c>
      <c r="C1833" s="129" t="str">
        <f t="shared" si="56"/>
        <v>20.12.2024_SCHohVo</v>
      </c>
      <c r="D1833" s="143">
        <f t="shared" si="57"/>
        <v>0</v>
      </c>
      <c r="E1833" s="157">
        <v>7.78</v>
      </c>
      <c r="F1833" s="165"/>
      <c r="G1833" s="166">
        <v>435</v>
      </c>
      <c r="H1833" s="167">
        <v>13.77</v>
      </c>
      <c r="I1833" s="179"/>
      <c r="J1833" s="167">
        <v>110</v>
      </c>
      <c r="K1833" s="167">
        <v>5.83</v>
      </c>
      <c r="L1833" s="167">
        <v>9</v>
      </c>
      <c r="M1833" s="168">
        <v>0.41180555555555554</v>
      </c>
      <c r="N1833" s="67"/>
    </row>
    <row r="1834" spans="1:14" x14ac:dyDescent="0.25">
      <c r="A1834" s="66">
        <v>45646</v>
      </c>
      <c r="B1834" s="67" t="s">
        <v>60</v>
      </c>
      <c r="C1834" s="129" t="str">
        <f t="shared" si="56"/>
        <v>20.12.2024_VORohBo</v>
      </c>
      <c r="D1834" s="143">
        <f t="shared" si="57"/>
        <v>0</v>
      </c>
      <c r="E1834" s="157">
        <v>7.36</v>
      </c>
      <c r="F1834" s="165"/>
      <c r="G1834" s="166">
        <v>845</v>
      </c>
      <c r="H1834" s="167">
        <v>10.97</v>
      </c>
      <c r="I1834" s="179"/>
      <c r="J1834" s="167">
        <v>89.8</v>
      </c>
      <c r="K1834" s="167">
        <v>6.88</v>
      </c>
      <c r="L1834" s="167">
        <v>20</v>
      </c>
      <c r="M1834" s="168">
        <v>0.4284722222222222</v>
      </c>
      <c r="N1834" s="67"/>
    </row>
    <row r="1835" spans="1:14" x14ac:dyDescent="0.25">
      <c r="A1835" s="66">
        <v>45646</v>
      </c>
      <c r="B1835" s="67" t="s">
        <v>62</v>
      </c>
      <c r="C1835" s="129" t="str">
        <f t="shared" si="56"/>
        <v>20.12.2024_VORuhSc</v>
      </c>
      <c r="D1835" s="143">
        <f t="shared" si="57"/>
        <v>0</v>
      </c>
      <c r="E1835" s="157">
        <v>7.06</v>
      </c>
      <c r="F1835" s="165"/>
      <c r="G1835" s="166">
        <v>776</v>
      </c>
      <c r="H1835" s="167">
        <v>11.73</v>
      </c>
      <c r="I1835" s="179"/>
      <c r="J1835" s="167">
        <v>95.9</v>
      </c>
      <c r="K1835" s="167">
        <v>6.77</v>
      </c>
      <c r="L1835" s="167">
        <v>8</v>
      </c>
      <c r="M1835" s="168">
        <v>0.4201388888888889</v>
      </c>
      <c r="N1835" s="67"/>
    </row>
    <row r="1836" spans="1:14" x14ac:dyDescent="0.25">
      <c r="A1836" s="66">
        <v>45646</v>
      </c>
      <c r="B1836" s="67" t="s">
        <v>64</v>
      </c>
      <c r="C1836" s="129" t="str">
        <f t="shared" si="56"/>
        <v>20.12.2024_WITob</v>
      </c>
      <c r="D1836" s="143">
        <f t="shared" si="57"/>
        <v>0</v>
      </c>
      <c r="E1836" s="157">
        <v>8.14</v>
      </c>
      <c r="F1836" s="165"/>
      <c r="G1836" s="166">
        <v>1232</v>
      </c>
      <c r="H1836" s="167">
        <v>13.58</v>
      </c>
      <c r="I1836" s="179"/>
      <c r="J1836" s="167">
        <v>114.2</v>
      </c>
      <c r="K1836" s="167">
        <v>7.87</v>
      </c>
      <c r="L1836" s="167">
        <v>3</v>
      </c>
      <c r="M1836" s="168">
        <v>0.57430555555555551</v>
      </c>
      <c r="N1836" s="67"/>
    </row>
    <row r="1837" spans="1:14" x14ac:dyDescent="0.25">
      <c r="A1837" s="66">
        <v>45659</v>
      </c>
      <c r="B1837" s="67" t="s">
        <v>22</v>
      </c>
      <c r="C1837" s="129" t="str">
        <f t="shared" si="56"/>
        <v>02.01.2025_BOYkl</v>
      </c>
      <c r="D1837" s="143">
        <f t="shared" si="57"/>
        <v>0</v>
      </c>
      <c r="E1837" s="157">
        <v>7.13</v>
      </c>
      <c r="F1837" s="165"/>
      <c r="G1837" s="166">
        <v>351</v>
      </c>
      <c r="H1837" s="167">
        <v>10.79</v>
      </c>
      <c r="I1837" s="179"/>
      <c r="J1837" s="167">
        <v>87.6</v>
      </c>
      <c r="K1837" s="167">
        <v>6.82</v>
      </c>
      <c r="L1837" s="167">
        <v>12.9</v>
      </c>
      <c r="M1837" s="168">
        <v>0.49374999999999997</v>
      </c>
      <c r="N1837" s="67"/>
    </row>
    <row r="1838" spans="1:14" x14ac:dyDescent="0.25">
      <c r="A1838" s="66">
        <v>45659</v>
      </c>
      <c r="B1838" s="67" t="s">
        <v>25</v>
      </c>
      <c r="C1838" s="129" t="str">
        <f t="shared" si="56"/>
        <v>02.01.2025_BOYohB224</v>
      </c>
      <c r="D1838" s="143">
        <f t="shared" si="57"/>
        <v>0</v>
      </c>
      <c r="E1838" s="157">
        <v>7.9</v>
      </c>
      <c r="F1838" s="165"/>
      <c r="G1838" s="166">
        <v>571</v>
      </c>
      <c r="H1838" s="167">
        <v>10.78</v>
      </c>
      <c r="I1838" s="179"/>
      <c r="J1838" s="167">
        <v>86.2</v>
      </c>
      <c r="K1838" s="167">
        <v>6.23</v>
      </c>
      <c r="L1838" s="167">
        <v>50</v>
      </c>
      <c r="M1838" s="168">
        <v>0.6958333333333333</v>
      </c>
      <c r="N1838" s="67"/>
    </row>
    <row r="1839" spans="1:14" x14ac:dyDescent="0.25">
      <c r="A1839" s="66">
        <v>45659</v>
      </c>
      <c r="B1839" s="67" t="s">
        <v>28</v>
      </c>
      <c r="C1839" s="129" t="str">
        <f t="shared" ref="C1839:C1856" si="58">CONCATENATE(TEXT(A1839,"TT.MM.JJJJ"),"_",B1839)</f>
        <v>02.01.2025_BOYohBr</v>
      </c>
      <c r="D1839" s="143">
        <f t="shared" si="57"/>
        <v>0</v>
      </c>
      <c r="E1839" s="157">
        <v>7.29</v>
      </c>
      <c r="F1839" s="165"/>
      <c r="G1839" s="166">
        <v>409</v>
      </c>
      <c r="H1839" s="167">
        <v>10.33</v>
      </c>
      <c r="I1839" s="179"/>
      <c r="J1839" s="167">
        <v>84.5</v>
      </c>
      <c r="K1839" s="167">
        <v>7.07</v>
      </c>
      <c r="L1839" s="167">
        <v>35</v>
      </c>
      <c r="M1839" s="168">
        <v>0.57152777777777775</v>
      </c>
      <c r="N1839" s="67"/>
    </row>
    <row r="1840" spans="1:14" x14ac:dyDescent="0.25">
      <c r="A1840" s="66">
        <v>45659</v>
      </c>
      <c r="B1840" s="67" t="s">
        <v>30</v>
      </c>
      <c r="C1840" s="129" t="str">
        <f t="shared" si="58"/>
        <v>02.01.2025_BOYohKi</v>
      </c>
      <c r="D1840" s="143">
        <f t="shared" si="57"/>
        <v>0</v>
      </c>
      <c r="E1840" s="157">
        <v>7.34</v>
      </c>
      <c r="F1840" s="165"/>
      <c r="G1840" s="166">
        <v>490</v>
      </c>
      <c r="H1840" s="167">
        <v>10.54</v>
      </c>
      <c r="I1840" s="179"/>
      <c r="J1840" s="167">
        <v>84.6</v>
      </c>
      <c r="K1840" s="167">
        <v>6.35</v>
      </c>
      <c r="L1840" s="167">
        <v>57.1</v>
      </c>
      <c r="M1840" s="168">
        <v>0.47430555555555554</v>
      </c>
      <c r="N1840" s="67"/>
    </row>
    <row r="1841" spans="1:14" x14ac:dyDescent="0.25">
      <c r="A1841" s="66">
        <v>45659</v>
      </c>
      <c r="B1841" s="67" t="s">
        <v>32</v>
      </c>
      <c r="C1841" s="129" t="str">
        <f t="shared" si="58"/>
        <v>02.01.2025_BOYohSp</v>
      </c>
      <c r="D1841" s="143">
        <f t="shared" si="57"/>
        <v>0</v>
      </c>
      <c r="E1841" s="157">
        <v>7.38</v>
      </c>
      <c r="F1841" s="165"/>
      <c r="G1841" s="166">
        <v>482</v>
      </c>
      <c r="H1841" s="167">
        <v>10.29</v>
      </c>
      <c r="I1841" s="179"/>
      <c r="J1841" s="167">
        <v>83.3</v>
      </c>
      <c r="K1841" s="167">
        <v>6.68</v>
      </c>
      <c r="L1841" s="167">
        <v>34.700000000000003</v>
      </c>
      <c r="M1841" s="168">
        <v>0.58263888888888882</v>
      </c>
      <c r="N1841" s="67"/>
    </row>
    <row r="1842" spans="1:14" x14ac:dyDescent="0.25">
      <c r="A1842" s="66">
        <v>45659</v>
      </c>
      <c r="B1842" s="67" t="s">
        <v>34</v>
      </c>
      <c r="C1842" s="129" t="str">
        <f t="shared" si="58"/>
        <v>02.01.2025_BOYuhHa</v>
      </c>
      <c r="D1842" s="143">
        <f t="shared" si="57"/>
        <v>0</v>
      </c>
      <c r="E1842" s="157">
        <v>7.4</v>
      </c>
      <c r="F1842" s="165"/>
      <c r="G1842" s="166">
        <v>562</v>
      </c>
      <c r="H1842" s="167">
        <v>11.07</v>
      </c>
      <c r="I1842" s="179"/>
      <c r="J1842" s="167">
        <v>88.4</v>
      </c>
      <c r="K1842" s="167">
        <v>6.25</v>
      </c>
      <c r="L1842" s="167">
        <v>27.2</v>
      </c>
      <c r="M1842" s="168">
        <v>0.4152777777777778</v>
      </c>
      <c r="N1842" s="67"/>
    </row>
    <row r="1843" spans="1:14" x14ac:dyDescent="0.25">
      <c r="A1843" s="66">
        <v>45659</v>
      </c>
      <c r="B1843" s="67" t="s">
        <v>36</v>
      </c>
      <c r="C1843" s="129" t="str">
        <f t="shared" si="58"/>
        <v>02.01.2025_BOYuhSp</v>
      </c>
      <c r="D1843" s="143">
        <f t="shared" si="57"/>
        <v>0</v>
      </c>
      <c r="E1843" s="157">
        <v>7.36</v>
      </c>
      <c r="F1843" s="165"/>
      <c r="G1843" s="166">
        <v>479</v>
      </c>
      <c r="H1843" s="167">
        <v>10.18</v>
      </c>
      <c r="I1843" s="179"/>
      <c r="J1843" s="167">
        <v>82.2</v>
      </c>
      <c r="K1843" s="167">
        <v>6.52</v>
      </c>
      <c r="L1843" s="167">
        <v>44.1</v>
      </c>
      <c r="M1843" s="168">
        <v>0.58819444444444446</v>
      </c>
      <c r="N1843" s="67"/>
    </row>
    <row r="1844" spans="1:14" x14ac:dyDescent="0.25">
      <c r="A1844" s="66">
        <v>45659</v>
      </c>
      <c r="B1844" s="67" t="s">
        <v>38</v>
      </c>
      <c r="C1844" s="129" t="str">
        <f t="shared" si="58"/>
        <v>02.01.2025_BRAob</v>
      </c>
      <c r="D1844" s="143">
        <f t="shared" si="57"/>
        <v>0</v>
      </c>
      <c r="E1844" s="157">
        <v>7.39</v>
      </c>
      <c r="F1844" s="165"/>
      <c r="G1844" s="166">
        <v>608</v>
      </c>
      <c r="H1844" s="167">
        <v>9.9700000000000006</v>
      </c>
      <c r="I1844" s="179"/>
      <c r="J1844" s="167">
        <v>80.8</v>
      </c>
      <c r="K1844" s="167">
        <v>6.7</v>
      </c>
      <c r="L1844" s="167">
        <v>17.899999999999999</v>
      </c>
      <c r="M1844" s="168">
        <v>0.54583333333333328</v>
      </c>
      <c r="N1844" s="67"/>
    </row>
    <row r="1845" spans="1:14" x14ac:dyDescent="0.25">
      <c r="A1845" s="66">
        <v>45659</v>
      </c>
      <c r="B1845" s="67" t="s">
        <v>41</v>
      </c>
      <c r="C1845" s="129" t="str">
        <f t="shared" si="58"/>
        <v>02.01.2025_BRAohBo</v>
      </c>
      <c r="D1845" s="143">
        <f t="shared" si="57"/>
        <v>0</v>
      </c>
      <c r="E1845" s="157">
        <v>7.37</v>
      </c>
      <c r="F1845" s="165"/>
      <c r="G1845" s="166">
        <v>522</v>
      </c>
      <c r="H1845" s="167">
        <v>9.36</v>
      </c>
      <c r="I1845" s="179"/>
      <c r="J1845" s="167">
        <v>75.099999999999994</v>
      </c>
      <c r="K1845" s="167">
        <v>6.36</v>
      </c>
      <c r="L1845" s="167">
        <v>38.299999999999997</v>
      </c>
      <c r="M1845" s="168">
        <v>0.55625000000000002</v>
      </c>
      <c r="N1845" s="67"/>
    </row>
    <row r="1846" spans="1:14" x14ac:dyDescent="0.25">
      <c r="A1846" s="66">
        <v>45659</v>
      </c>
      <c r="B1846" s="67" t="s">
        <v>43</v>
      </c>
      <c r="C1846" s="129" t="str">
        <f t="shared" si="58"/>
        <v>02.01.2025_HAAob</v>
      </c>
      <c r="D1846" s="143">
        <f t="shared" si="57"/>
        <v>0</v>
      </c>
      <c r="E1846" s="157">
        <v>8.1300000000000008</v>
      </c>
      <c r="F1846" s="165"/>
      <c r="G1846" s="166">
        <v>680</v>
      </c>
      <c r="H1846" s="167">
        <v>11.52</v>
      </c>
      <c r="I1846" s="179"/>
      <c r="J1846" s="167">
        <v>91</v>
      </c>
      <c r="K1846" s="167">
        <v>5.62</v>
      </c>
      <c r="L1846" s="167">
        <v>13.3</v>
      </c>
      <c r="M1846" s="168">
        <v>0.62083333333333335</v>
      </c>
      <c r="N1846" s="67"/>
    </row>
    <row r="1847" spans="1:14" x14ac:dyDescent="0.25">
      <c r="A1847" s="66">
        <v>45659</v>
      </c>
      <c r="B1847" s="67" t="s">
        <v>45</v>
      </c>
      <c r="C1847" s="129" t="str">
        <f t="shared" si="58"/>
        <v>02.01.2025_HAAun</v>
      </c>
      <c r="D1847" s="143">
        <f t="shared" si="57"/>
        <v>0</v>
      </c>
      <c r="E1847" s="157">
        <v>7.52</v>
      </c>
      <c r="F1847" s="165"/>
      <c r="G1847" s="166">
        <v>797</v>
      </c>
      <c r="H1847" s="167">
        <v>9.85</v>
      </c>
      <c r="I1847" s="179"/>
      <c r="J1847" s="167">
        <v>80</v>
      </c>
      <c r="K1847" s="167">
        <v>6.71</v>
      </c>
      <c r="L1847" s="167">
        <v>17.5</v>
      </c>
      <c r="M1847" s="168">
        <v>0.60902777777777783</v>
      </c>
      <c r="N1847" s="67"/>
    </row>
    <row r="1848" spans="1:14" x14ac:dyDescent="0.25">
      <c r="A1848" s="66">
        <v>45659</v>
      </c>
      <c r="B1848" s="67" t="s">
        <v>47</v>
      </c>
      <c r="C1848" s="129" t="str">
        <f t="shared" si="58"/>
        <v>02.01.2025_KIRob</v>
      </c>
      <c r="D1848" s="143">
        <f t="shared" si="57"/>
        <v>0</v>
      </c>
      <c r="E1848" s="157">
        <v>7.51</v>
      </c>
      <c r="F1848" s="165"/>
      <c r="G1848" s="166">
        <v>798</v>
      </c>
      <c r="H1848" s="167">
        <v>8.58</v>
      </c>
      <c r="I1848" s="179"/>
      <c r="J1848" s="167">
        <v>72</v>
      </c>
      <c r="K1848" s="167">
        <v>8.08</v>
      </c>
      <c r="L1848" s="167">
        <v>13</v>
      </c>
      <c r="M1848" s="168">
        <v>0.44930555555555557</v>
      </c>
      <c r="N1848" s="67"/>
    </row>
    <row r="1849" spans="1:14" x14ac:dyDescent="0.25">
      <c r="A1849" s="66">
        <v>45659</v>
      </c>
      <c r="B1849" s="67" t="s">
        <v>49</v>
      </c>
      <c r="C1849" s="129" t="str">
        <f t="shared" si="58"/>
        <v>02.01.2025_KIRun</v>
      </c>
      <c r="D1849" s="143">
        <f t="shared" si="57"/>
        <v>0</v>
      </c>
      <c r="E1849" s="157">
        <v>7.43</v>
      </c>
      <c r="F1849" s="165"/>
      <c r="G1849" s="166">
        <v>693</v>
      </c>
      <c r="H1849" s="167">
        <v>9.66</v>
      </c>
      <c r="I1849" s="179"/>
      <c r="J1849" s="167">
        <v>81.400000000000006</v>
      </c>
      <c r="K1849" s="167">
        <v>8.24</v>
      </c>
      <c r="L1849" s="167">
        <v>15.7</v>
      </c>
      <c r="M1849" s="168">
        <v>0.44236111111111115</v>
      </c>
      <c r="N1849" s="67"/>
    </row>
    <row r="1850" spans="1:14" x14ac:dyDescent="0.25">
      <c r="A1850" s="66">
        <v>45659</v>
      </c>
      <c r="B1850" s="67" t="s">
        <v>50</v>
      </c>
      <c r="C1850" s="129" t="str">
        <f t="shared" si="58"/>
        <v>02.01.2025_LIEohBo</v>
      </c>
      <c r="D1850" s="143">
        <f t="shared" si="57"/>
        <v>0</v>
      </c>
      <c r="E1850" s="157">
        <v>7.67</v>
      </c>
      <c r="F1850" s="165"/>
      <c r="G1850" s="166">
        <v>588</v>
      </c>
      <c r="H1850" s="167">
        <v>10.89</v>
      </c>
      <c r="I1850" s="179"/>
      <c r="J1850" s="167">
        <v>86</v>
      </c>
      <c r="K1850" s="167">
        <v>5.71</v>
      </c>
      <c r="L1850" s="167">
        <v>18.8</v>
      </c>
      <c r="M1850" s="168">
        <v>0.42430555555555555</v>
      </c>
      <c r="N1850" s="67"/>
    </row>
    <row r="1851" spans="1:14" x14ac:dyDescent="0.25">
      <c r="A1851" s="66">
        <v>45659</v>
      </c>
      <c r="B1851" s="67" t="s">
        <v>53</v>
      </c>
      <c r="C1851" s="129" t="str">
        <f t="shared" si="58"/>
        <v>02.01.2025_NATohBo</v>
      </c>
      <c r="D1851" s="143">
        <f t="shared" si="57"/>
        <v>0</v>
      </c>
      <c r="E1851" s="157">
        <v>7.73</v>
      </c>
      <c r="F1851" s="165"/>
      <c r="G1851" s="166">
        <v>939</v>
      </c>
      <c r="H1851" s="167">
        <v>10.27</v>
      </c>
      <c r="I1851" s="179"/>
      <c r="J1851" s="167">
        <v>82.4</v>
      </c>
      <c r="K1851" s="167">
        <v>6.34</v>
      </c>
      <c r="L1851" s="167">
        <v>8.1999999999999993</v>
      </c>
      <c r="M1851" s="168">
        <v>0.68263888888888891</v>
      </c>
      <c r="N1851" s="67"/>
    </row>
    <row r="1852" spans="1:14" x14ac:dyDescent="0.25">
      <c r="A1852" s="66">
        <v>45659</v>
      </c>
      <c r="B1852" s="67" t="s">
        <v>55</v>
      </c>
      <c r="C1852" s="129" t="str">
        <f t="shared" si="58"/>
        <v>02.01.2025_QUAohBo</v>
      </c>
      <c r="D1852" s="143">
        <f t="shared" si="57"/>
        <v>0</v>
      </c>
      <c r="E1852" s="157">
        <v>7.43</v>
      </c>
      <c r="F1852" s="165"/>
      <c r="G1852" s="166">
        <v>669</v>
      </c>
      <c r="H1852" s="167">
        <v>9.73</v>
      </c>
      <c r="I1852" s="179"/>
      <c r="J1852" s="167">
        <v>79.599999999999994</v>
      </c>
      <c r="K1852" s="167">
        <v>6.93</v>
      </c>
      <c r="L1852" s="167">
        <v>33</v>
      </c>
      <c r="M1852" s="168">
        <v>0.59861111111111109</v>
      </c>
      <c r="N1852" s="67"/>
    </row>
    <row r="1853" spans="1:14" x14ac:dyDescent="0.25">
      <c r="A1853" s="66">
        <v>45659</v>
      </c>
      <c r="B1853" s="67" t="s">
        <v>57</v>
      </c>
      <c r="C1853" s="129" t="str">
        <f t="shared" si="58"/>
        <v>02.01.2025_SCHohVo</v>
      </c>
      <c r="D1853" s="143">
        <f t="shared" si="57"/>
        <v>0</v>
      </c>
      <c r="E1853" s="157">
        <v>7.6</v>
      </c>
      <c r="F1853" s="165"/>
      <c r="G1853" s="166">
        <v>372</v>
      </c>
      <c r="H1853" s="167">
        <v>10.85</v>
      </c>
      <c r="I1853" s="179"/>
      <c r="J1853" s="167">
        <v>85.5</v>
      </c>
      <c r="K1853" s="167">
        <v>5.64</v>
      </c>
      <c r="L1853" s="167">
        <v>8.3000000000000007</v>
      </c>
      <c r="M1853" s="168">
        <v>0.46111111111111108</v>
      </c>
      <c r="N1853" s="67"/>
    </row>
    <row r="1854" spans="1:14" x14ac:dyDescent="0.25">
      <c r="A1854" s="66">
        <v>45659</v>
      </c>
      <c r="B1854" s="67" t="s">
        <v>60</v>
      </c>
      <c r="C1854" s="129" t="str">
        <f t="shared" si="58"/>
        <v>02.01.2025_VORohBo</v>
      </c>
      <c r="D1854" s="143">
        <f t="shared" ref="D1854:D1856" si="59">COUNTBLANK(E1854)+COUNTBLANK(G1854:H1854)+COUNTBLANK(K1854:L1854)</f>
        <v>0</v>
      </c>
      <c r="E1854" s="157">
        <v>7.23</v>
      </c>
      <c r="F1854" s="165"/>
      <c r="G1854" s="166">
        <v>715</v>
      </c>
      <c r="H1854" s="167">
        <v>8.77</v>
      </c>
      <c r="I1854" s="179"/>
      <c r="J1854" s="167">
        <v>71</v>
      </c>
      <c r="K1854" s="167">
        <v>6.7</v>
      </c>
      <c r="L1854" s="167">
        <v>23.8</v>
      </c>
      <c r="M1854" s="168">
        <v>0.47847222222222219</v>
      </c>
      <c r="N1854" s="67"/>
    </row>
    <row r="1855" spans="1:14" x14ac:dyDescent="0.25">
      <c r="A1855" s="66">
        <v>45659</v>
      </c>
      <c r="B1855" s="67" t="s">
        <v>62</v>
      </c>
      <c r="C1855" s="129" t="str">
        <f t="shared" si="58"/>
        <v>02.01.2025_VORuhSc</v>
      </c>
      <c r="D1855" s="143">
        <f t="shared" si="59"/>
        <v>0</v>
      </c>
      <c r="E1855" s="157">
        <v>7.09</v>
      </c>
      <c r="F1855" s="165"/>
      <c r="G1855" s="166">
        <v>632</v>
      </c>
      <c r="H1855" s="167">
        <v>9.36</v>
      </c>
      <c r="I1855" s="179"/>
      <c r="J1855" s="167">
        <v>75.400000000000006</v>
      </c>
      <c r="K1855" s="167">
        <v>6.5</v>
      </c>
      <c r="L1855" s="167">
        <v>10</v>
      </c>
      <c r="M1855" s="168">
        <v>0.46875</v>
      </c>
      <c r="N1855" s="67"/>
    </row>
    <row r="1856" spans="1:14" x14ac:dyDescent="0.25">
      <c r="A1856" s="66">
        <v>45659</v>
      </c>
      <c r="B1856" s="67" t="s">
        <v>64</v>
      </c>
      <c r="C1856" s="129" t="str">
        <f t="shared" si="58"/>
        <v>02.01.2025_WITob</v>
      </c>
      <c r="D1856" s="143">
        <f t="shared" si="59"/>
        <v>0</v>
      </c>
      <c r="E1856" s="157">
        <v>8.11</v>
      </c>
      <c r="F1856" s="165"/>
      <c r="G1856" s="166">
        <v>1082</v>
      </c>
      <c r="H1856" s="167">
        <v>11.22</v>
      </c>
      <c r="I1856" s="179"/>
      <c r="J1856" s="167">
        <v>19.7</v>
      </c>
      <c r="K1856" s="167">
        <v>6.52</v>
      </c>
      <c r="L1856" s="167">
        <v>4</v>
      </c>
      <c r="M1856" s="168">
        <v>0.67083333333333339</v>
      </c>
      <c r="N1856" s="67"/>
    </row>
    <row r="1857" spans="1:14" x14ac:dyDescent="0.25">
      <c r="A1857" s="66">
        <v>45673</v>
      </c>
      <c r="B1857" s="67" t="s">
        <v>22</v>
      </c>
      <c r="C1857" s="129" t="str">
        <f t="shared" ref="C1857:C1876" si="60">CONCATENATE(TEXT(A1857,"TT.MM.JJJJ"),"_",B1857)</f>
        <v>16.01.2025_BOYkl</v>
      </c>
      <c r="D1857" s="143">
        <f t="shared" ref="D1857:D1876" si="61">COUNTBLANK(E1857)+COUNTBLANK(G1857:H1857)+COUNTBLANK(K1857:L1857)</f>
        <v>0</v>
      </c>
      <c r="E1857" s="157">
        <v>7.62</v>
      </c>
      <c r="F1857" s="165"/>
      <c r="G1857" s="166">
        <v>380</v>
      </c>
      <c r="H1857" s="167">
        <v>12.22</v>
      </c>
      <c r="I1857" s="179"/>
      <c r="J1857" s="167">
        <v>91.7</v>
      </c>
      <c r="K1857" s="167">
        <v>5.54</v>
      </c>
      <c r="L1857" s="167">
        <v>7</v>
      </c>
      <c r="M1857" s="168">
        <v>0.43888888888888888</v>
      </c>
      <c r="N1857" s="67"/>
    </row>
    <row r="1858" spans="1:14" x14ac:dyDescent="0.25">
      <c r="A1858" s="66">
        <v>45673</v>
      </c>
      <c r="B1858" s="67" t="s">
        <v>25</v>
      </c>
      <c r="C1858" s="129" t="str">
        <f t="shared" si="60"/>
        <v>16.01.2025_BOYohB224</v>
      </c>
      <c r="D1858" s="143">
        <f t="shared" si="61"/>
        <v>0</v>
      </c>
      <c r="E1858" s="157">
        <v>7.85</v>
      </c>
      <c r="F1858" s="165"/>
      <c r="G1858" s="166">
        <v>696</v>
      </c>
      <c r="H1858" s="167">
        <v>11.42</v>
      </c>
      <c r="I1858" s="179"/>
      <c r="J1858" s="167">
        <v>86.6</v>
      </c>
      <c r="K1858" s="167">
        <v>5.89</v>
      </c>
      <c r="L1858" s="167">
        <v>51</v>
      </c>
      <c r="M1858" s="168">
        <v>0.58333333333333337</v>
      </c>
      <c r="N1858" s="67"/>
    </row>
    <row r="1859" spans="1:14" x14ac:dyDescent="0.25">
      <c r="A1859" s="66">
        <v>45673</v>
      </c>
      <c r="B1859" s="67" t="s">
        <v>28</v>
      </c>
      <c r="C1859" s="129" t="str">
        <f t="shared" si="60"/>
        <v>16.01.2025_BOYohBr</v>
      </c>
      <c r="D1859" s="143">
        <f t="shared" si="61"/>
        <v>0</v>
      </c>
      <c r="E1859" s="157">
        <v>7.5</v>
      </c>
      <c r="F1859" s="165"/>
      <c r="G1859" s="166">
        <v>477</v>
      </c>
      <c r="H1859" s="167">
        <v>10.75</v>
      </c>
      <c r="I1859" s="179"/>
      <c r="J1859" s="167">
        <v>83.3</v>
      </c>
      <c r="K1859" s="167">
        <v>6.68</v>
      </c>
      <c r="L1859" s="167">
        <v>31</v>
      </c>
      <c r="M1859" s="168">
        <v>0.51250000000000007</v>
      </c>
      <c r="N1859" s="67"/>
    </row>
    <row r="1860" spans="1:14" x14ac:dyDescent="0.25">
      <c r="A1860" s="66">
        <v>45673</v>
      </c>
      <c r="B1860" s="67" t="s">
        <v>30</v>
      </c>
      <c r="C1860" s="129" t="str">
        <f t="shared" si="60"/>
        <v>16.01.2025_BOYohKi</v>
      </c>
      <c r="D1860" s="143">
        <f t="shared" si="61"/>
        <v>0</v>
      </c>
      <c r="E1860" s="157">
        <v>7.45</v>
      </c>
      <c r="F1860" s="165"/>
      <c r="G1860" s="166">
        <v>604</v>
      </c>
      <c r="H1860" s="167">
        <v>11.14</v>
      </c>
      <c r="I1860" s="179"/>
      <c r="J1860" s="167">
        <v>84</v>
      </c>
      <c r="K1860" s="167">
        <v>5.72</v>
      </c>
      <c r="L1860" s="167">
        <v>48</v>
      </c>
      <c r="M1860" s="168">
        <v>0.38541666666666669</v>
      </c>
      <c r="N1860" s="67"/>
    </row>
    <row r="1861" spans="1:14" x14ac:dyDescent="0.25">
      <c r="A1861" s="66">
        <v>45673</v>
      </c>
      <c r="B1861" s="67" t="s">
        <v>32</v>
      </c>
      <c r="C1861" s="129" t="str">
        <f t="shared" si="60"/>
        <v>16.01.2025_BOYohSp</v>
      </c>
      <c r="D1861" s="143">
        <f t="shared" si="61"/>
        <v>0</v>
      </c>
      <c r="E1861" s="157">
        <v>7.58</v>
      </c>
      <c r="F1861" s="165"/>
      <c r="G1861" s="166">
        <v>573</v>
      </c>
      <c r="H1861" s="167">
        <v>11.03</v>
      </c>
      <c r="I1861" s="179"/>
      <c r="J1861" s="167">
        <v>83.8</v>
      </c>
      <c r="K1861" s="167">
        <v>5.85</v>
      </c>
      <c r="L1861" s="167">
        <v>22</v>
      </c>
      <c r="M1861" s="168">
        <v>0.52986111111111112</v>
      </c>
      <c r="N1861" s="67"/>
    </row>
    <row r="1862" spans="1:14" x14ac:dyDescent="0.25">
      <c r="A1862" s="66">
        <v>45673</v>
      </c>
      <c r="B1862" s="67" t="s">
        <v>34</v>
      </c>
      <c r="C1862" s="129" t="str">
        <f t="shared" si="60"/>
        <v>16.01.2025_BOYuhHa</v>
      </c>
      <c r="D1862" s="143">
        <f t="shared" si="61"/>
        <v>0</v>
      </c>
      <c r="E1862" s="157">
        <v>7.74</v>
      </c>
      <c r="F1862" s="165"/>
      <c r="G1862" s="166">
        <v>751</v>
      </c>
      <c r="H1862" s="167">
        <v>11.88</v>
      </c>
      <c r="I1862" s="179"/>
      <c r="J1862" s="167">
        <v>89.3</v>
      </c>
      <c r="K1862" s="167">
        <v>5.68</v>
      </c>
      <c r="L1862" s="167">
        <v>29</v>
      </c>
      <c r="M1862" s="168">
        <v>0.36805555555555558</v>
      </c>
      <c r="N1862" s="67"/>
    </row>
    <row r="1863" spans="1:14" x14ac:dyDescent="0.25">
      <c r="A1863" s="66">
        <v>45673</v>
      </c>
      <c r="B1863" s="67" t="s">
        <v>36</v>
      </c>
      <c r="C1863" s="129" t="str">
        <f t="shared" si="60"/>
        <v>16.01.2025_BOYuhSp</v>
      </c>
      <c r="D1863" s="143">
        <f t="shared" si="61"/>
        <v>0</v>
      </c>
      <c r="E1863" s="157">
        <v>7.61</v>
      </c>
      <c r="F1863" s="165"/>
      <c r="G1863" s="166">
        <v>562</v>
      </c>
      <c r="H1863" s="167">
        <v>11.22</v>
      </c>
      <c r="I1863" s="179"/>
      <c r="J1863" s="167">
        <v>85</v>
      </c>
      <c r="K1863" s="167">
        <v>5.73</v>
      </c>
      <c r="L1863" s="167">
        <v>42</v>
      </c>
      <c r="M1863" s="168">
        <v>0.52500000000000002</v>
      </c>
      <c r="N1863" s="67"/>
    </row>
    <row r="1864" spans="1:14" x14ac:dyDescent="0.25">
      <c r="A1864" s="66">
        <v>45673</v>
      </c>
      <c r="B1864" s="67" t="s">
        <v>38</v>
      </c>
      <c r="C1864" s="129" t="str">
        <f t="shared" si="60"/>
        <v>16.01.2025_BRAob</v>
      </c>
      <c r="D1864" s="143">
        <f t="shared" si="61"/>
        <v>0</v>
      </c>
      <c r="E1864" s="157">
        <v>7.54</v>
      </c>
      <c r="F1864" s="165"/>
      <c r="G1864" s="166">
        <v>662</v>
      </c>
      <c r="H1864" s="167">
        <v>11.51</v>
      </c>
      <c r="I1864" s="179"/>
      <c r="J1864" s="167">
        <v>86.7</v>
      </c>
      <c r="K1864" s="167">
        <v>5.61</v>
      </c>
      <c r="L1864" s="167">
        <v>12</v>
      </c>
      <c r="M1864" s="168">
        <v>0.48958333333333331</v>
      </c>
      <c r="N1864" s="67"/>
    </row>
    <row r="1865" spans="1:14" x14ac:dyDescent="0.25">
      <c r="A1865" s="66">
        <v>45673</v>
      </c>
      <c r="B1865" s="67" t="s">
        <v>41</v>
      </c>
      <c r="C1865" s="129" t="str">
        <f t="shared" si="60"/>
        <v>16.01.2025_BRAohBo</v>
      </c>
      <c r="D1865" s="143">
        <f t="shared" si="61"/>
        <v>0</v>
      </c>
      <c r="E1865" s="157">
        <v>7.63</v>
      </c>
      <c r="F1865" s="165"/>
      <c r="G1865" s="166">
        <v>603</v>
      </c>
      <c r="H1865" s="167">
        <v>11.02</v>
      </c>
      <c r="I1865" s="179"/>
      <c r="J1865" s="167">
        <v>82.2</v>
      </c>
      <c r="K1865" s="167">
        <v>5.25</v>
      </c>
      <c r="L1865" s="167">
        <v>34</v>
      </c>
      <c r="M1865" s="168">
        <v>0.49861111111111112</v>
      </c>
      <c r="N1865" s="67"/>
    </row>
    <row r="1866" spans="1:14" x14ac:dyDescent="0.25">
      <c r="A1866" s="66">
        <v>45673</v>
      </c>
      <c r="B1866" s="67" t="s">
        <v>43</v>
      </c>
      <c r="C1866" s="129" t="str">
        <f t="shared" si="60"/>
        <v>16.01.2025_HAAob</v>
      </c>
      <c r="D1866" s="143">
        <f t="shared" si="61"/>
        <v>0</v>
      </c>
      <c r="E1866" s="157">
        <v>8.08</v>
      </c>
      <c r="F1866" s="165"/>
      <c r="G1866" s="166">
        <v>688</v>
      </c>
      <c r="H1866" s="167">
        <v>12.25</v>
      </c>
      <c r="I1866" s="179"/>
      <c r="J1866" s="167">
        <v>90.5</v>
      </c>
      <c r="K1866" s="167">
        <v>4.83</v>
      </c>
      <c r="L1866" s="167">
        <v>12</v>
      </c>
      <c r="M1866" s="168">
        <v>0.55694444444444446</v>
      </c>
      <c r="N1866" s="67"/>
    </row>
    <row r="1867" spans="1:14" x14ac:dyDescent="0.25">
      <c r="A1867" s="66">
        <v>45673</v>
      </c>
      <c r="B1867" s="67" t="s">
        <v>45</v>
      </c>
      <c r="C1867" s="129" t="str">
        <f t="shared" si="60"/>
        <v>16.01.2025_HAAun</v>
      </c>
      <c r="D1867" s="143">
        <f t="shared" si="61"/>
        <v>0</v>
      </c>
      <c r="E1867" s="157">
        <v>7.63</v>
      </c>
      <c r="F1867" s="165"/>
      <c r="G1867" s="166">
        <v>840</v>
      </c>
      <c r="H1867" s="167">
        <v>11.2</v>
      </c>
      <c r="I1867" s="179"/>
      <c r="J1867" s="167">
        <v>85</v>
      </c>
      <c r="K1867" s="167">
        <v>5.68</v>
      </c>
      <c r="L1867" s="167">
        <v>15</v>
      </c>
      <c r="M1867" s="168">
        <v>0.5493055555555556</v>
      </c>
      <c r="N1867" s="67"/>
    </row>
    <row r="1868" spans="1:14" x14ac:dyDescent="0.25">
      <c r="A1868" s="66">
        <v>45673</v>
      </c>
      <c r="B1868" s="67" t="s">
        <v>47</v>
      </c>
      <c r="C1868" s="129" t="str">
        <f t="shared" si="60"/>
        <v>16.01.2025_KIRob</v>
      </c>
      <c r="D1868" s="143">
        <f t="shared" si="61"/>
        <v>0</v>
      </c>
      <c r="E1868" s="157">
        <v>7.56</v>
      </c>
      <c r="F1868" s="165"/>
      <c r="G1868" s="166">
        <v>896</v>
      </c>
      <c r="H1868" s="167">
        <v>8.5299999999999994</v>
      </c>
      <c r="I1868" s="179"/>
      <c r="J1868" s="167">
        <v>68.8</v>
      </c>
      <c r="K1868" s="167">
        <v>8.08</v>
      </c>
      <c r="L1868" s="167">
        <v>16</v>
      </c>
      <c r="M1868" s="168">
        <v>0.40069444444444446</v>
      </c>
      <c r="N1868" s="67"/>
    </row>
    <row r="1869" spans="1:14" x14ac:dyDescent="0.25">
      <c r="A1869" s="66">
        <v>45673</v>
      </c>
      <c r="B1869" s="67" t="s">
        <v>49</v>
      </c>
      <c r="C1869" s="129" t="str">
        <f t="shared" si="60"/>
        <v>16.01.2025_KIRun</v>
      </c>
      <c r="D1869" s="143">
        <f t="shared" si="61"/>
        <v>0</v>
      </c>
      <c r="E1869" s="157">
        <v>7.56</v>
      </c>
      <c r="F1869" s="165"/>
      <c r="G1869" s="166">
        <v>849</v>
      </c>
      <c r="H1869" s="167">
        <v>10.1</v>
      </c>
      <c r="I1869" s="179"/>
      <c r="J1869" s="167">
        <v>80.7</v>
      </c>
      <c r="K1869" s="167">
        <v>7.79</v>
      </c>
      <c r="L1869" s="167">
        <v>15</v>
      </c>
      <c r="M1869" s="168">
        <v>0.39305555555555555</v>
      </c>
      <c r="N1869" s="67"/>
    </row>
    <row r="1870" spans="1:14" x14ac:dyDescent="0.25">
      <c r="A1870" s="66">
        <v>45673</v>
      </c>
      <c r="B1870" s="67" t="s">
        <v>50</v>
      </c>
      <c r="C1870" s="129" t="str">
        <f t="shared" si="60"/>
        <v>16.01.2025_LIEohBo</v>
      </c>
      <c r="D1870" s="143">
        <f t="shared" si="61"/>
        <v>0</v>
      </c>
      <c r="E1870" s="157">
        <v>7.86</v>
      </c>
      <c r="F1870" s="165"/>
      <c r="G1870" s="166">
        <v>648</v>
      </c>
      <c r="H1870" s="167">
        <v>11.25</v>
      </c>
      <c r="I1870" s="179"/>
      <c r="J1870" s="167">
        <v>84</v>
      </c>
      <c r="K1870" s="167">
        <v>5.33</v>
      </c>
      <c r="L1870" s="167">
        <v>21</v>
      </c>
      <c r="M1870" s="168">
        <v>0.3756944444444445</v>
      </c>
      <c r="N1870" s="67"/>
    </row>
    <row r="1871" spans="1:14" x14ac:dyDescent="0.25">
      <c r="A1871" s="66">
        <v>45673</v>
      </c>
      <c r="B1871" s="67" t="s">
        <v>53</v>
      </c>
      <c r="C1871" s="129" t="str">
        <f t="shared" si="60"/>
        <v>16.01.2025_NATohBo</v>
      </c>
      <c r="D1871" s="143">
        <f t="shared" si="61"/>
        <v>0</v>
      </c>
      <c r="E1871" s="157">
        <v>7.72</v>
      </c>
      <c r="F1871" s="165"/>
      <c r="G1871" s="166">
        <v>1250</v>
      </c>
      <c r="H1871" s="167">
        <v>11.31</v>
      </c>
      <c r="I1871" s="179"/>
      <c r="J1871" s="167">
        <v>86.7</v>
      </c>
      <c r="K1871" s="167">
        <v>6.17</v>
      </c>
      <c r="L1871" s="167">
        <v>9</v>
      </c>
      <c r="M1871" s="168">
        <v>0.57430555555555551</v>
      </c>
      <c r="N1871" s="67"/>
    </row>
    <row r="1872" spans="1:14" x14ac:dyDescent="0.25">
      <c r="A1872" s="66">
        <v>45673</v>
      </c>
      <c r="B1872" s="67" t="s">
        <v>55</v>
      </c>
      <c r="C1872" s="129" t="str">
        <f t="shared" si="60"/>
        <v>16.01.2025_QUAohBo</v>
      </c>
      <c r="D1872" s="143">
        <f t="shared" si="61"/>
        <v>0</v>
      </c>
      <c r="E1872" s="157">
        <v>7.5</v>
      </c>
      <c r="F1872" s="165"/>
      <c r="G1872" s="166">
        <v>713</v>
      </c>
      <c r="H1872" s="167">
        <v>10.4</v>
      </c>
      <c r="I1872" s="179"/>
      <c r="J1872" s="167">
        <v>79</v>
      </c>
      <c r="K1872" s="167">
        <v>5.84</v>
      </c>
      <c r="L1872" s="167">
        <v>16</v>
      </c>
      <c r="M1872" s="168">
        <v>0.53749999999999998</v>
      </c>
      <c r="N1872" s="67"/>
    </row>
    <row r="1873" spans="1:14" x14ac:dyDescent="0.25">
      <c r="A1873" s="66">
        <v>45673</v>
      </c>
      <c r="B1873" s="67" t="s">
        <v>57</v>
      </c>
      <c r="C1873" s="129" t="str">
        <f t="shared" si="60"/>
        <v>16.01.2025_SCHohVo</v>
      </c>
      <c r="D1873" s="143">
        <f t="shared" si="61"/>
        <v>0</v>
      </c>
      <c r="E1873" s="157">
        <v>7.7</v>
      </c>
      <c r="F1873" s="165"/>
      <c r="G1873" s="166">
        <v>371</v>
      </c>
      <c r="H1873" s="167">
        <v>12.08</v>
      </c>
      <c r="I1873" s="179"/>
      <c r="J1873" s="167">
        <v>87.7</v>
      </c>
      <c r="K1873" s="167">
        <v>4.16</v>
      </c>
      <c r="L1873" s="167">
        <v>13</v>
      </c>
      <c r="M1873" s="168">
        <v>0.41111111111111115</v>
      </c>
      <c r="N1873" s="67"/>
    </row>
    <row r="1874" spans="1:14" x14ac:dyDescent="0.25">
      <c r="A1874" s="66">
        <v>45673</v>
      </c>
      <c r="B1874" s="67" t="s">
        <v>60</v>
      </c>
      <c r="C1874" s="129" t="str">
        <f t="shared" si="60"/>
        <v>16.01.2025_VORohBo</v>
      </c>
      <c r="D1874" s="143">
        <f t="shared" si="61"/>
        <v>0</v>
      </c>
      <c r="E1874" s="157">
        <v>7.27</v>
      </c>
      <c r="F1874" s="165"/>
      <c r="G1874" s="166">
        <v>749</v>
      </c>
      <c r="H1874" s="167">
        <v>9.58</v>
      </c>
      <c r="I1874" s="179"/>
      <c r="J1874" s="167">
        <v>72.900000000000006</v>
      </c>
      <c r="K1874" s="167">
        <v>5.96</v>
      </c>
      <c r="L1874" s="167">
        <v>20</v>
      </c>
      <c r="M1874" s="168">
        <v>0.42638888888888887</v>
      </c>
      <c r="N1874" s="67"/>
    </row>
    <row r="1875" spans="1:14" x14ac:dyDescent="0.25">
      <c r="A1875" s="66">
        <v>45673</v>
      </c>
      <c r="B1875" s="67" t="s">
        <v>62</v>
      </c>
      <c r="C1875" s="129" t="str">
        <f t="shared" si="60"/>
        <v>16.01.2025_VORuhSc</v>
      </c>
      <c r="D1875" s="143">
        <f t="shared" si="61"/>
        <v>0</v>
      </c>
      <c r="E1875" s="157">
        <v>7.21</v>
      </c>
      <c r="F1875" s="165"/>
      <c r="G1875" s="166">
        <v>659</v>
      </c>
      <c r="H1875" s="167">
        <v>10.56</v>
      </c>
      <c r="I1875" s="179"/>
      <c r="J1875" s="167">
        <v>79.599999999999994</v>
      </c>
      <c r="K1875" s="167">
        <v>5.53</v>
      </c>
      <c r="L1875" s="167">
        <v>11</v>
      </c>
      <c r="M1875" s="168">
        <v>0.41736111111111113</v>
      </c>
      <c r="N1875" s="67"/>
    </row>
    <row r="1876" spans="1:14" x14ac:dyDescent="0.25">
      <c r="A1876" s="66">
        <v>45673</v>
      </c>
      <c r="B1876" s="67" t="s">
        <v>64</v>
      </c>
      <c r="C1876" s="129" t="str">
        <f t="shared" si="60"/>
        <v>16.01.2025_WITob</v>
      </c>
      <c r="D1876" s="143">
        <f t="shared" si="61"/>
        <v>0</v>
      </c>
      <c r="E1876" s="157">
        <v>8.02</v>
      </c>
      <c r="F1876" s="165"/>
      <c r="G1876" s="166">
        <v>1167</v>
      </c>
      <c r="H1876" s="167">
        <v>11.75</v>
      </c>
      <c r="I1876" s="179"/>
      <c r="J1876" s="167">
        <v>90.6</v>
      </c>
      <c r="K1876" s="167">
        <v>6.39</v>
      </c>
      <c r="L1876" s="167">
        <v>3</v>
      </c>
      <c r="M1876" s="168">
        <v>0.56527777777777777</v>
      </c>
      <c r="N1876" s="67"/>
    </row>
    <row r="1877" spans="1:14" x14ac:dyDescent="0.25">
      <c r="A1877" s="66">
        <v>45321</v>
      </c>
      <c r="B1877" s="67" t="s">
        <v>22</v>
      </c>
      <c r="C1877" s="129" t="str">
        <f t="shared" ref="C1877:C1896" si="62">CONCATENATE(TEXT(A1877,"TT.MM.JJJJ"),"_",B1877)</f>
        <v>30.01.2024_BOYkl</v>
      </c>
      <c r="D1877" s="143">
        <f t="shared" ref="D1877:D1896" si="63">COUNTBLANK(E1877)+COUNTBLANK(G1877:H1877)+COUNTBLANK(K1877:L1877)</f>
        <v>0</v>
      </c>
      <c r="E1877" s="157">
        <v>7.5</v>
      </c>
      <c r="F1877" s="165"/>
      <c r="G1877" s="166">
        <v>302</v>
      </c>
      <c r="H1877" s="167">
        <v>10.210000000000001</v>
      </c>
      <c r="I1877" s="179"/>
      <c r="J1877" s="167">
        <v>82.1</v>
      </c>
      <c r="K1877" s="167">
        <v>6.56</v>
      </c>
      <c r="L1877" s="167">
        <v>17</v>
      </c>
      <c r="M1877" s="168">
        <v>0.4375</v>
      </c>
      <c r="N1877" s="67"/>
    </row>
    <row r="1878" spans="1:14" x14ac:dyDescent="0.25">
      <c r="A1878" s="66">
        <v>45321</v>
      </c>
      <c r="B1878" s="67" t="s">
        <v>25</v>
      </c>
      <c r="C1878" s="129" t="str">
        <f t="shared" si="62"/>
        <v>30.01.2024_BOYohB224</v>
      </c>
      <c r="D1878" s="143">
        <f t="shared" si="63"/>
        <v>0</v>
      </c>
      <c r="E1878" s="157">
        <v>7.79</v>
      </c>
      <c r="F1878" s="165"/>
      <c r="G1878" s="166">
        <v>594</v>
      </c>
      <c r="H1878" s="167">
        <v>9.68</v>
      </c>
      <c r="I1878" s="179"/>
      <c r="J1878" s="167">
        <v>79.2</v>
      </c>
      <c r="K1878" s="167">
        <v>7.38</v>
      </c>
      <c r="L1878" s="167">
        <v>63</v>
      </c>
      <c r="M1878" s="168">
        <v>0.57847222222222217</v>
      </c>
      <c r="N1878" s="67"/>
    </row>
    <row r="1879" spans="1:14" x14ac:dyDescent="0.25">
      <c r="A1879" s="66">
        <v>45321</v>
      </c>
      <c r="B1879" s="67" t="s">
        <v>28</v>
      </c>
      <c r="C1879" s="129" t="str">
        <f t="shared" si="62"/>
        <v>30.01.2024_BOYohBr</v>
      </c>
      <c r="D1879" s="143">
        <f t="shared" si="63"/>
        <v>0</v>
      </c>
      <c r="E1879" s="157">
        <v>7.52</v>
      </c>
      <c r="F1879" s="165"/>
      <c r="G1879" s="166">
        <v>410</v>
      </c>
      <c r="H1879" s="167">
        <v>9.61</v>
      </c>
      <c r="I1879" s="179"/>
      <c r="J1879" s="167">
        <v>78.599999999999994</v>
      </c>
      <c r="K1879" s="167">
        <v>7.32</v>
      </c>
      <c r="L1879" s="167">
        <v>40</v>
      </c>
      <c r="M1879" s="168">
        <v>0.51041666666666663</v>
      </c>
      <c r="N1879" s="67"/>
    </row>
    <row r="1880" spans="1:14" x14ac:dyDescent="0.25">
      <c r="A1880" s="66">
        <v>45321</v>
      </c>
      <c r="B1880" s="67" t="s">
        <v>30</v>
      </c>
      <c r="C1880" s="129" t="str">
        <f t="shared" si="62"/>
        <v>30.01.2024_BOYohKi</v>
      </c>
      <c r="D1880" s="143">
        <f t="shared" si="63"/>
        <v>0</v>
      </c>
      <c r="E1880" s="157">
        <v>7.59</v>
      </c>
      <c r="F1880" s="165"/>
      <c r="G1880" s="166">
        <v>548</v>
      </c>
      <c r="H1880" s="167">
        <v>9.7100000000000009</v>
      </c>
      <c r="I1880" s="179"/>
      <c r="J1880" s="167">
        <v>79.099999999999994</v>
      </c>
      <c r="K1880" s="167">
        <v>6.99</v>
      </c>
      <c r="L1880" s="167">
        <v>39</v>
      </c>
      <c r="M1880" s="168">
        <v>0.38125000000000003</v>
      </c>
      <c r="N1880" s="67"/>
    </row>
    <row r="1881" spans="1:14" x14ac:dyDescent="0.25">
      <c r="A1881" s="66">
        <v>45321</v>
      </c>
      <c r="B1881" s="67" t="s">
        <v>32</v>
      </c>
      <c r="C1881" s="129" t="str">
        <f t="shared" si="62"/>
        <v>30.01.2024_BOYohSp</v>
      </c>
      <c r="D1881" s="143">
        <f t="shared" si="63"/>
        <v>0</v>
      </c>
      <c r="E1881" s="157">
        <v>7.42</v>
      </c>
      <c r="F1881" s="165"/>
      <c r="G1881" s="166">
        <v>478</v>
      </c>
      <c r="H1881" s="167">
        <v>9.24</v>
      </c>
      <c r="I1881" s="179"/>
      <c r="J1881" s="167">
        <v>75.400000000000006</v>
      </c>
      <c r="K1881" s="167">
        <v>7.14</v>
      </c>
      <c r="L1881" s="167">
        <v>31</v>
      </c>
      <c r="M1881" s="168">
        <v>0.52777777777777779</v>
      </c>
      <c r="N1881" s="67"/>
    </row>
    <row r="1882" spans="1:14" x14ac:dyDescent="0.25">
      <c r="A1882" s="66">
        <v>45321</v>
      </c>
      <c r="B1882" s="67" t="s">
        <v>34</v>
      </c>
      <c r="C1882" s="129" t="str">
        <f t="shared" si="62"/>
        <v>30.01.2024_BOYuhHa</v>
      </c>
      <c r="D1882" s="143">
        <f t="shared" si="63"/>
        <v>0</v>
      </c>
      <c r="E1882" s="157">
        <v>7.62</v>
      </c>
      <c r="F1882" s="165"/>
      <c r="G1882" s="166">
        <v>673</v>
      </c>
      <c r="H1882" s="167">
        <v>10.220000000000001</v>
      </c>
      <c r="I1882" s="179"/>
      <c r="J1882" s="167">
        <v>83.1</v>
      </c>
      <c r="K1882" s="167">
        <v>7.02</v>
      </c>
      <c r="L1882" s="167">
        <v>33</v>
      </c>
      <c r="M1882" s="168">
        <v>0.36527777777777781</v>
      </c>
      <c r="N1882" s="67"/>
    </row>
    <row r="1883" spans="1:14" x14ac:dyDescent="0.25">
      <c r="A1883" s="66">
        <v>45321</v>
      </c>
      <c r="B1883" s="67" t="s">
        <v>36</v>
      </c>
      <c r="C1883" s="129" t="str">
        <f t="shared" si="62"/>
        <v>30.01.2024_BOYuhSp</v>
      </c>
      <c r="D1883" s="143">
        <f t="shared" si="63"/>
        <v>0</v>
      </c>
      <c r="E1883" s="157">
        <v>7.46</v>
      </c>
      <c r="F1883" s="165"/>
      <c r="G1883" s="166">
        <v>481</v>
      </c>
      <c r="H1883" s="167">
        <v>9.36</v>
      </c>
      <c r="I1883" s="179"/>
      <c r="J1883" s="167">
        <v>76.400000000000006</v>
      </c>
      <c r="K1883" s="167">
        <v>7.06</v>
      </c>
      <c r="L1883" s="167">
        <v>52</v>
      </c>
      <c r="M1883" s="168">
        <v>0.5229166666666667</v>
      </c>
      <c r="N1883" s="67"/>
    </row>
    <row r="1884" spans="1:14" x14ac:dyDescent="0.25">
      <c r="A1884" s="66">
        <v>45321</v>
      </c>
      <c r="B1884" s="67" t="s">
        <v>38</v>
      </c>
      <c r="C1884" s="129" t="str">
        <f t="shared" si="62"/>
        <v>30.01.2024_BRAob</v>
      </c>
      <c r="D1884" s="143">
        <f t="shared" si="63"/>
        <v>0</v>
      </c>
      <c r="E1884" s="157">
        <v>7.36</v>
      </c>
      <c r="F1884" s="165"/>
      <c r="G1884" s="166">
        <v>583</v>
      </c>
      <c r="H1884" s="167">
        <v>9.34</v>
      </c>
      <c r="I1884" s="179"/>
      <c r="J1884" s="167">
        <v>76.3</v>
      </c>
      <c r="K1884" s="167">
        <v>7.12</v>
      </c>
      <c r="L1884" s="167">
        <v>19</v>
      </c>
      <c r="M1884" s="168">
        <v>0.48472222222222222</v>
      </c>
      <c r="N1884" s="67"/>
    </row>
    <row r="1885" spans="1:14" x14ac:dyDescent="0.25">
      <c r="A1885" s="66">
        <v>45321</v>
      </c>
      <c r="B1885" s="67" t="s">
        <v>41</v>
      </c>
      <c r="C1885" s="129" t="str">
        <f t="shared" si="62"/>
        <v>30.01.2024_BRAohBo</v>
      </c>
      <c r="D1885" s="143">
        <f t="shared" si="63"/>
        <v>0</v>
      </c>
      <c r="E1885" s="157">
        <v>7.15</v>
      </c>
      <c r="F1885" s="165"/>
      <c r="G1885" s="166">
        <v>492</v>
      </c>
      <c r="H1885" s="167">
        <v>8.65</v>
      </c>
      <c r="I1885" s="179"/>
      <c r="J1885" s="167">
        <v>70.099999999999994</v>
      </c>
      <c r="K1885" s="167">
        <v>6.87</v>
      </c>
      <c r="L1885" s="167">
        <v>48</v>
      </c>
      <c r="M1885" s="168">
        <v>0.49513888888888885</v>
      </c>
      <c r="N1885" s="67"/>
    </row>
    <row r="1886" spans="1:14" x14ac:dyDescent="0.25">
      <c r="A1886" s="66">
        <v>45321</v>
      </c>
      <c r="B1886" s="67" t="s">
        <v>43</v>
      </c>
      <c r="C1886" s="129" t="str">
        <f t="shared" si="62"/>
        <v>30.01.2024_HAAob</v>
      </c>
      <c r="D1886" s="143">
        <f t="shared" si="63"/>
        <v>0</v>
      </c>
      <c r="E1886" s="157">
        <v>8.16</v>
      </c>
      <c r="F1886" s="165"/>
      <c r="G1886" s="166">
        <v>630</v>
      </c>
      <c r="H1886" s="167">
        <v>10.42</v>
      </c>
      <c r="I1886" s="179"/>
      <c r="J1886" s="167">
        <v>84.5</v>
      </c>
      <c r="K1886" s="167">
        <v>6.93</v>
      </c>
      <c r="L1886" s="167">
        <v>20</v>
      </c>
      <c r="M1886" s="168">
        <v>0.55138888888888882</v>
      </c>
      <c r="N1886" s="67"/>
    </row>
    <row r="1887" spans="1:14" x14ac:dyDescent="0.25">
      <c r="A1887" s="66">
        <v>45321</v>
      </c>
      <c r="B1887" s="67" t="s">
        <v>45</v>
      </c>
      <c r="C1887" s="129" t="str">
        <f t="shared" si="62"/>
        <v>30.01.2024_HAAun</v>
      </c>
      <c r="D1887" s="143">
        <f t="shared" si="63"/>
        <v>0</v>
      </c>
      <c r="E1887" s="157">
        <v>7.62</v>
      </c>
      <c r="F1887" s="165"/>
      <c r="G1887" s="166">
        <v>766</v>
      </c>
      <c r="H1887" s="167">
        <v>9.31</v>
      </c>
      <c r="I1887" s="179"/>
      <c r="J1887" s="167">
        <v>76.7</v>
      </c>
      <c r="K1887" s="167">
        <v>7.53</v>
      </c>
      <c r="L1887" s="167">
        <v>18</v>
      </c>
      <c r="M1887" s="168">
        <v>0.54375000000000007</v>
      </c>
      <c r="N1887" s="67"/>
    </row>
    <row r="1888" spans="1:14" x14ac:dyDescent="0.25">
      <c r="A1888" s="66">
        <v>45321</v>
      </c>
      <c r="B1888" s="67" t="s">
        <v>47</v>
      </c>
      <c r="C1888" s="129" t="str">
        <f t="shared" si="62"/>
        <v>30.01.2024_KIRob</v>
      </c>
      <c r="D1888" s="143">
        <f t="shared" si="63"/>
        <v>0</v>
      </c>
      <c r="E1888" s="157">
        <v>7.63</v>
      </c>
      <c r="F1888" s="165"/>
      <c r="G1888" s="166">
        <v>846</v>
      </c>
      <c r="H1888" s="167">
        <v>7.62</v>
      </c>
      <c r="I1888" s="179"/>
      <c r="J1888" s="167">
        <v>62.5</v>
      </c>
      <c r="K1888" s="167">
        <v>9.2799999999999994</v>
      </c>
      <c r="L1888" s="167">
        <v>23</v>
      </c>
      <c r="M1888" s="168">
        <v>0.39583333333333331</v>
      </c>
      <c r="N1888" s="67"/>
    </row>
    <row r="1889" spans="1:14" x14ac:dyDescent="0.25">
      <c r="A1889" s="66">
        <v>45321</v>
      </c>
      <c r="B1889" s="67" t="s">
        <v>49</v>
      </c>
      <c r="C1889" s="129" t="str">
        <f t="shared" si="62"/>
        <v>30.01.2024_KIRun</v>
      </c>
      <c r="D1889" s="143">
        <f t="shared" si="63"/>
        <v>0</v>
      </c>
      <c r="E1889" s="157">
        <v>7.69</v>
      </c>
      <c r="F1889" s="165"/>
      <c r="G1889" s="166">
        <v>825</v>
      </c>
      <c r="H1889" s="167">
        <v>8.58</v>
      </c>
      <c r="I1889" s="179"/>
      <c r="J1889" s="167">
        <v>74</v>
      </c>
      <c r="K1889" s="167">
        <v>9.2200000000000006</v>
      </c>
      <c r="L1889" s="167">
        <v>16</v>
      </c>
      <c r="M1889" s="168">
        <v>0.3888888888888889</v>
      </c>
      <c r="N1889" s="67"/>
    </row>
    <row r="1890" spans="1:14" x14ac:dyDescent="0.25">
      <c r="A1890" s="66">
        <v>45321</v>
      </c>
      <c r="B1890" s="67" t="s">
        <v>50</v>
      </c>
      <c r="C1890" s="129" t="str">
        <f t="shared" si="62"/>
        <v>30.01.2024_LIEohBo</v>
      </c>
      <c r="D1890" s="143">
        <f t="shared" si="63"/>
        <v>0</v>
      </c>
      <c r="E1890" s="157">
        <v>7.96</v>
      </c>
      <c r="F1890" s="165"/>
      <c r="G1890" s="166">
        <v>603</v>
      </c>
      <c r="H1890" s="167">
        <v>9.6300000000000008</v>
      </c>
      <c r="I1890" s="179"/>
      <c r="J1890" s="167">
        <v>78.8</v>
      </c>
      <c r="K1890" s="167">
        <v>7.22</v>
      </c>
      <c r="L1890" s="167">
        <v>13</v>
      </c>
      <c r="M1890" s="168">
        <v>0.37361111111111112</v>
      </c>
      <c r="N1890" s="67"/>
    </row>
    <row r="1891" spans="1:14" x14ac:dyDescent="0.25">
      <c r="A1891" s="66">
        <v>45321</v>
      </c>
      <c r="B1891" s="67" t="s">
        <v>53</v>
      </c>
      <c r="C1891" s="129" t="str">
        <f t="shared" si="62"/>
        <v>30.01.2024_NATohBo</v>
      </c>
      <c r="D1891" s="143">
        <f t="shared" si="63"/>
        <v>0</v>
      </c>
      <c r="E1891" s="157">
        <v>7.78</v>
      </c>
      <c r="F1891" s="165"/>
      <c r="G1891" s="166">
        <v>976</v>
      </c>
      <c r="H1891" s="167">
        <v>9.61</v>
      </c>
      <c r="I1891" s="179"/>
      <c r="J1891" s="167">
        <v>79.2</v>
      </c>
      <c r="K1891" s="167">
        <v>7.66</v>
      </c>
      <c r="L1891" s="167">
        <v>14</v>
      </c>
      <c r="M1891" s="168">
        <v>0.57013888888888886</v>
      </c>
      <c r="N1891" s="67"/>
    </row>
    <row r="1892" spans="1:14" x14ac:dyDescent="0.25">
      <c r="A1892" s="66">
        <v>45321</v>
      </c>
      <c r="B1892" s="67" t="s">
        <v>55</v>
      </c>
      <c r="C1892" s="129" t="str">
        <f t="shared" si="62"/>
        <v>30.01.2024_QUAohBo</v>
      </c>
      <c r="D1892" s="143">
        <f t="shared" si="63"/>
        <v>0</v>
      </c>
      <c r="E1892" s="157">
        <v>7.43</v>
      </c>
      <c r="F1892" s="165"/>
      <c r="G1892" s="166">
        <v>583</v>
      </c>
      <c r="H1892" s="167">
        <v>8.93</v>
      </c>
      <c r="I1892" s="179"/>
      <c r="J1892" s="167">
        <v>73.2</v>
      </c>
      <c r="K1892" s="167">
        <v>7.28</v>
      </c>
      <c r="L1892" s="167">
        <v>29</v>
      </c>
      <c r="M1892" s="168">
        <v>0.53472222222222221</v>
      </c>
      <c r="N1892" s="67"/>
    </row>
    <row r="1893" spans="1:14" x14ac:dyDescent="0.25">
      <c r="A1893" s="66">
        <v>45321</v>
      </c>
      <c r="B1893" s="67" t="s">
        <v>57</v>
      </c>
      <c r="C1893" s="129" t="str">
        <f t="shared" si="62"/>
        <v>30.01.2024_SCHohVo</v>
      </c>
      <c r="D1893" s="143">
        <f t="shared" si="63"/>
        <v>0</v>
      </c>
      <c r="E1893" s="157">
        <v>7.84</v>
      </c>
      <c r="F1893" s="165"/>
      <c r="G1893" s="166">
        <v>365</v>
      </c>
      <c r="H1893" s="167">
        <v>10</v>
      </c>
      <c r="I1893" s="179"/>
      <c r="J1893" s="167">
        <v>80.7</v>
      </c>
      <c r="K1893" s="167">
        <v>6.71</v>
      </c>
      <c r="L1893" s="167">
        <v>16</v>
      </c>
      <c r="M1893" s="168">
        <v>0.40763888888888888</v>
      </c>
      <c r="N1893" s="67"/>
    </row>
    <row r="1894" spans="1:14" x14ac:dyDescent="0.25">
      <c r="A1894" s="66">
        <v>45321</v>
      </c>
      <c r="B1894" s="67" t="s">
        <v>60</v>
      </c>
      <c r="C1894" s="129" t="str">
        <f t="shared" si="62"/>
        <v>30.01.2024_VORohBo</v>
      </c>
      <c r="D1894" s="143">
        <f t="shared" si="63"/>
        <v>0</v>
      </c>
      <c r="E1894" s="157">
        <v>7.43</v>
      </c>
      <c r="F1894" s="165"/>
      <c r="G1894" s="166">
        <v>683</v>
      </c>
      <c r="H1894" s="167">
        <v>8.52</v>
      </c>
      <c r="I1894" s="179"/>
      <c r="J1894" s="167">
        <v>70.5</v>
      </c>
      <c r="K1894" s="167">
        <v>7.57</v>
      </c>
      <c r="L1894" s="167">
        <v>24</v>
      </c>
      <c r="M1894" s="168">
        <v>0.42430555555555555</v>
      </c>
      <c r="N1894" s="67"/>
    </row>
    <row r="1895" spans="1:14" x14ac:dyDescent="0.25">
      <c r="A1895" s="66">
        <v>45321</v>
      </c>
      <c r="B1895" s="67" t="s">
        <v>62</v>
      </c>
      <c r="C1895" s="129" t="str">
        <f t="shared" si="62"/>
        <v>30.01.2024_VORuhSc</v>
      </c>
      <c r="D1895" s="143">
        <f t="shared" si="63"/>
        <v>0</v>
      </c>
      <c r="E1895" s="157">
        <v>7.26</v>
      </c>
      <c r="F1895" s="165"/>
      <c r="G1895" s="166">
        <v>610</v>
      </c>
      <c r="H1895" s="167">
        <v>8.85</v>
      </c>
      <c r="I1895" s="179"/>
      <c r="J1895" s="167">
        <v>72.8</v>
      </c>
      <c r="K1895" s="167">
        <v>7.29</v>
      </c>
      <c r="L1895" s="167">
        <v>17</v>
      </c>
      <c r="M1895" s="168">
        <v>0.4152777777777778</v>
      </c>
      <c r="N1895" s="67"/>
    </row>
    <row r="1896" spans="1:14" ht="16.5" customHeight="1" x14ac:dyDescent="0.25">
      <c r="A1896" s="66">
        <v>45321</v>
      </c>
      <c r="B1896" s="67" t="s">
        <v>64</v>
      </c>
      <c r="C1896" s="129" t="str">
        <f t="shared" si="62"/>
        <v>30.01.2024_WITob</v>
      </c>
      <c r="D1896" s="143">
        <f t="shared" si="63"/>
        <v>0</v>
      </c>
      <c r="E1896" s="157">
        <v>7.98</v>
      </c>
      <c r="F1896" s="165"/>
      <c r="G1896" s="166">
        <v>1045</v>
      </c>
      <c r="H1896" s="167">
        <v>9.8800000000000008</v>
      </c>
      <c r="I1896" s="179"/>
      <c r="J1896" s="167">
        <v>83.1</v>
      </c>
      <c r="K1896" s="167">
        <v>8.42</v>
      </c>
      <c r="L1896" s="167">
        <v>7</v>
      </c>
      <c r="M1896" s="168">
        <v>0.55833333333333335</v>
      </c>
      <c r="N1896" s="67"/>
    </row>
    <row r="1897" spans="1:14" x14ac:dyDescent="0.25">
      <c r="A1897" s="66">
        <v>45701</v>
      </c>
      <c r="B1897" s="67" t="s">
        <v>22</v>
      </c>
      <c r="C1897" s="129" t="str">
        <f t="shared" ref="C1897:C1916" si="64">CONCATENATE(TEXT(A1897,"TT.MM.JJJJ"),"_",B1897)</f>
        <v>13.02.2025_BOYkl</v>
      </c>
      <c r="D1897" s="143">
        <f t="shared" ref="D1897:D1916" si="65">COUNTBLANK(E1897)+COUNTBLANK(G1897:H1897)+COUNTBLANK(K1897:L1897)</f>
        <v>0</v>
      </c>
      <c r="E1897" s="157">
        <v>7.74</v>
      </c>
      <c r="F1897" s="165"/>
      <c r="G1897" s="166">
        <v>378</v>
      </c>
      <c r="H1897" s="167">
        <v>11.63</v>
      </c>
      <c r="I1897" s="179"/>
      <c r="J1897" s="167">
        <v>86.4</v>
      </c>
      <c r="K1897" s="167">
        <v>4.04</v>
      </c>
      <c r="L1897" s="167">
        <v>11</v>
      </c>
      <c r="M1897" s="168">
        <v>0.45694444444444443</v>
      </c>
      <c r="N1897" s="67"/>
    </row>
    <row r="1898" spans="1:14" x14ac:dyDescent="0.25">
      <c r="A1898" s="66">
        <v>45701</v>
      </c>
      <c r="B1898" s="67" t="s">
        <v>25</v>
      </c>
      <c r="C1898" s="129" t="str">
        <f t="shared" si="64"/>
        <v>13.02.2025_BOYohB224</v>
      </c>
      <c r="D1898" s="143">
        <f t="shared" si="65"/>
        <v>0</v>
      </c>
      <c r="E1898" s="157">
        <v>7.98</v>
      </c>
      <c r="F1898" s="165"/>
      <c r="G1898" s="166">
        <v>740</v>
      </c>
      <c r="H1898" s="167">
        <v>10.86</v>
      </c>
      <c r="I1898" s="179"/>
      <c r="J1898" s="167">
        <v>83</v>
      </c>
      <c r="K1898" s="167">
        <v>4.9800000000000004</v>
      </c>
      <c r="L1898" s="167">
        <v>45</v>
      </c>
      <c r="M1898" s="168">
        <v>0.62152777777777779</v>
      </c>
      <c r="N1898" s="67"/>
    </row>
    <row r="1899" spans="1:14" x14ac:dyDescent="0.25">
      <c r="A1899" s="66">
        <v>45701</v>
      </c>
      <c r="B1899" s="67" t="s">
        <v>28</v>
      </c>
      <c r="C1899" s="129" t="str">
        <f t="shared" si="64"/>
        <v>13.02.2025_BOYohBr</v>
      </c>
      <c r="D1899" s="143">
        <f t="shared" si="65"/>
        <v>0</v>
      </c>
      <c r="E1899" s="157">
        <v>7.05</v>
      </c>
      <c r="F1899" s="165"/>
      <c r="G1899" s="166">
        <v>474</v>
      </c>
      <c r="H1899" s="167">
        <v>10.36</v>
      </c>
      <c r="I1899" s="179"/>
      <c r="J1899" s="167">
        <v>80.7</v>
      </c>
      <c r="K1899" s="167">
        <v>5.79</v>
      </c>
      <c r="L1899" s="167">
        <v>24</v>
      </c>
      <c r="M1899" s="168">
        <v>0.52500000000000002</v>
      </c>
      <c r="N1899" s="67"/>
    </row>
    <row r="1900" spans="1:14" x14ac:dyDescent="0.25">
      <c r="A1900" s="66">
        <v>45701</v>
      </c>
      <c r="B1900" s="67" t="s">
        <v>30</v>
      </c>
      <c r="C1900" s="129" t="str">
        <f t="shared" si="64"/>
        <v>13.02.2025_BOYohKi</v>
      </c>
      <c r="D1900" s="143">
        <f t="shared" si="65"/>
        <v>0</v>
      </c>
      <c r="E1900" s="157">
        <v>7.47</v>
      </c>
      <c r="F1900" s="165"/>
      <c r="G1900" s="166">
        <v>636</v>
      </c>
      <c r="H1900" s="167">
        <v>10.27</v>
      </c>
      <c r="I1900" s="179"/>
      <c r="J1900" s="167">
        <v>79.099999999999994</v>
      </c>
      <c r="K1900" s="167">
        <v>5.28</v>
      </c>
      <c r="L1900" s="167">
        <v>34</v>
      </c>
      <c r="M1900" s="168">
        <v>0.38194444444444442</v>
      </c>
      <c r="N1900" s="67"/>
    </row>
    <row r="1901" spans="1:14" x14ac:dyDescent="0.25">
      <c r="A1901" s="66">
        <v>45701</v>
      </c>
      <c r="B1901" s="67" t="s">
        <v>32</v>
      </c>
      <c r="C1901" s="129" t="str">
        <f t="shared" si="64"/>
        <v>13.02.2025_BOYohSp</v>
      </c>
      <c r="D1901" s="143">
        <f t="shared" si="65"/>
        <v>0</v>
      </c>
      <c r="E1901" s="157">
        <v>7.51</v>
      </c>
      <c r="F1901" s="165"/>
      <c r="G1901" s="166">
        <v>573</v>
      </c>
      <c r="H1901" s="167">
        <v>10.4</v>
      </c>
      <c r="I1901" s="179"/>
      <c r="J1901" s="167">
        <v>79.8</v>
      </c>
      <c r="K1901" s="167">
        <v>5.01</v>
      </c>
      <c r="L1901" s="167">
        <v>23</v>
      </c>
      <c r="M1901" s="168">
        <v>0.54166666666666663</v>
      </c>
      <c r="N1901" s="67"/>
    </row>
    <row r="1902" spans="1:14" x14ac:dyDescent="0.25">
      <c r="A1902" s="66">
        <v>45701</v>
      </c>
      <c r="B1902" s="67" t="s">
        <v>34</v>
      </c>
      <c r="C1902" s="129" t="str">
        <f t="shared" si="64"/>
        <v>13.02.2025_BOYuhHa</v>
      </c>
      <c r="D1902" s="143">
        <f t="shared" si="65"/>
        <v>0</v>
      </c>
      <c r="E1902" s="157">
        <v>7.62</v>
      </c>
      <c r="F1902" s="165"/>
      <c r="G1902" s="166">
        <v>802</v>
      </c>
      <c r="H1902" s="167">
        <v>10.67</v>
      </c>
      <c r="I1902" s="179"/>
      <c r="J1902" s="167">
        <v>0.82399999999999995</v>
      </c>
      <c r="K1902" s="167">
        <v>5.57</v>
      </c>
      <c r="L1902" s="167">
        <v>23</v>
      </c>
      <c r="M1902" s="168">
        <v>0.36249999999999999</v>
      </c>
      <c r="N1902" s="67"/>
    </row>
    <row r="1903" spans="1:14" x14ac:dyDescent="0.25">
      <c r="A1903" s="66">
        <v>45701</v>
      </c>
      <c r="B1903" s="67" t="s">
        <v>36</v>
      </c>
      <c r="C1903" s="129" t="str">
        <f t="shared" si="64"/>
        <v>13.02.2025_BOYuhSp</v>
      </c>
      <c r="D1903" s="143">
        <f t="shared" si="65"/>
        <v>0</v>
      </c>
      <c r="E1903" s="157">
        <v>7.52</v>
      </c>
      <c r="F1903" s="165"/>
      <c r="G1903" s="166">
        <v>571</v>
      </c>
      <c r="H1903" s="167">
        <v>10.68</v>
      </c>
      <c r="I1903" s="179"/>
      <c r="J1903" s="167">
        <v>80.900000000000006</v>
      </c>
      <c r="K1903" s="167">
        <v>4.7300000000000004</v>
      </c>
      <c r="L1903" s="167">
        <v>42</v>
      </c>
      <c r="M1903" s="168">
        <v>0.53680555555555554</v>
      </c>
      <c r="N1903" s="67"/>
    </row>
    <row r="1904" spans="1:14" x14ac:dyDescent="0.25">
      <c r="A1904" s="66">
        <v>45701</v>
      </c>
      <c r="B1904" s="67" t="s">
        <v>38</v>
      </c>
      <c r="C1904" s="129" t="str">
        <f t="shared" si="64"/>
        <v>13.02.2025_BRAob</v>
      </c>
      <c r="D1904" s="143">
        <f t="shared" si="65"/>
        <v>0</v>
      </c>
      <c r="E1904" s="157">
        <v>7.5</v>
      </c>
      <c r="F1904" s="165"/>
      <c r="G1904" s="166">
        <v>664</v>
      </c>
      <c r="H1904" s="167">
        <v>10.4</v>
      </c>
      <c r="I1904" s="179"/>
      <c r="J1904" s="167">
        <v>78.599999999999994</v>
      </c>
      <c r="K1904" s="167">
        <v>4.62</v>
      </c>
      <c r="L1904" s="167">
        <v>13</v>
      </c>
      <c r="M1904" s="168">
        <v>0.49722222222222223</v>
      </c>
      <c r="N1904" s="67"/>
    </row>
    <row r="1905" spans="1:14" x14ac:dyDescent="0.25">
      <c r="A1905" s="66">
        <v>45701</v>
      </c>
      <c r="B1905" s="67" t="s">
        <v>41</v>
      </c>
      <c r="C1905" s="129" t="str">
        <f t="shared" si="64"/>
        <v>13.02.2025_BRAohBo</v>
      </c>
      <c r="D1905" s="143">
        <f t="shared" si="65"/>
        <v>0</v>
      </c>
      <c r="E1905" s="157">
        <v>7.61</v>
      </c>
      <c r="F1905" s="165"/>
      <c r="G1905" s="166">
        <v>606</v>
      </c>
      <c r="H1905" s="167">
        <v>10.47</v>
      </c>
      <c r="I1905" s="179"/>
      <c r="J1905" s="167">
        <v>78</v>
      </c>
      <c r="K1905" s="167">
        <v>4.09</v>
      </c>
      <c r="L1905" s="167">
        <v>36</v>
      </c>
      <c r="M1905" s="168">
        <v>0.50694444444444442</v>
      </c>
      <c r="N1905" s="67"/>
    </row>
    <row r="1906" spans="1:14" x14ac:dyDescent="0.25">
      <c r="A1906" s="66">
        <v>45701</v>
      </c>
      <c r="B1906" s="67" t="s">
        <v>43</v>
      </c>
      <c r="C1906" s="129" t="str">
        <f t="shared" si="64"/>
        <v>13.02.2025_HAAob</v>
      </c>
      <c r="D1906" s="143">
        <f t="shared" si="65"/>
        <v>0</v>
      </c>
      <c r="E1906" s="157">
        <v>8.09</v>
      </c>
      <c r="F1906" s="165"/>
      <c r="G1906" s="166">
        <v>686</v>
      </c>
      <c r="H1906" s="167">
        <v>11.38</v>
      </c>
      <c r="I1906" s="179"/>
      <c r="J1906" s="167">
        <v>85.2</v>
      </c>
      <c r="K1906" s="167">
        <v>4.1399999999999997</v>
      </c>
      <c r="L1906" s="167">
        <v>12</v>
      </c>
      <c r="M1906" s="168">
        <v>0.58611111111111114</v>
      </c>
      <c r="N1906" s="67"/>
    </row>
    <row r="1907" spans="1:14" x14ac:dyDescent="0.25">
      <c r="A1907" s="66">
        <v>45701</v>
      </c>
      <c r="B1907" s="67" t="s">
        <v>45</v>
      </c>
      <c r="C1907" s="129" t="str">
        <f t="shared" si="64"/>
        <v>13.02.2025_HAAun</v>
      </c>
      <c r="D1907" s="143">
        <f t="shared" si="65"/>
        <v>0</v>
      </c>
      <c r="E1907" s="157">
        <v>7.59</v>
      </c>
      <c r="F1907" s="165"/>
      <c r="G1907" s="166">
        <v>830</v>
      </c>
      <c r="H1907" s="167">
        <v>10.51</v>
      </c>
      <c r="I1907" s="179"/>
      <c r="J1907" s="167">
        <v>80.5</v>
      </c>
      <c r="K1907" s="167">
        <v>5.05</v>
      </c>
      <c r="L1907" s="167">
        <v>14</v>
      </c>
      <c r="M1907" s="168">
        <v>0.57916666666666672</v>
      </c>
      <c r="N1907" s="67"/>
    </row>
    <row r="1908" spans="1:14" x14ac:dyDescent="0.25">
      <c r="A1908" s="66">
        <v>45701</v>
      </c>
      <c r="B1908" s="67" t="s">
        <v>47</v>
      </c>
      <c r="C1908" s="129" t="str">
        <f t="shared" si="64"/>
        <v>13.02.2025_KIRob</v>
      </c>
      <c r="D1908" s="143">
        <f t="shared" si="65"/>
        <v>0</v>
      </c>
      <c r="E1908" s="157">
        <v>7.76</v>
      </c>
      <c r="F1908" s="165"/>
      <c r="G1908" s="166">
        <v>918</v>
      </c>
      <c r="H1908" s="167">
        <v>8.68</v>
      </c>
      <c r="I1908" s="179"/>
      <c r="J1908" s="167">
        <v>69.8</v>
      </c>
      <c r="K1908" s="167">
        <v>6.94</v>
      </c>
      <c r="L1908" s="167">
        <v>13</v>
      </c>
      <c r="M1908" s="168">
        <v>0.40486111111111112</v>
      </c>
      <c r="N1908" s="67"/>
    </row>
    <row r="1909" spans="1:14" x14ac:dyDescent="0.25">
      <c r="A1909" s="66">
        <v>45701</v>
      </c>
      <c r="B1909" s="67" t="s">
        <v>49</v>
      </c>
      <c r="C1909" s="129" t="str">
        <f t="shared" si="64"/>
        <v>13.02.2025_KIRun</v>
      </c>
      <c r="D1909" s="143">
        <f t="shared" si="65"/>
        <v>0</v>
      </c>
      <c r="E1909" s="157">
        <v>7.44</v>
      </c>
      <c r="F1909" s="165"/>
      <c r="G1909" s="166">
        <v>851</v>
      </c>
      <c r="H1909" s="167">
        <v>8.86</v>
      </c>
      <c r="I1909" s="179"/>
      <c r="J1909" s="167">
        <v>71.599999999999994</v>
      </c>
      <c r="K1909" s="167">
        <v>7.16</v>
      </c>
      <c r="L1909" s="167">
        <v>13</v>
      </c>
      <c r="M1909" s="168">
        <v>0.39374999999999999</v>
      </c>
      <c r="N1909" s="67"/>
    </row>
    <row r="1910" spans="1:14" x14ac:dyDescent="0.25">
      <c r="A1910" s="66">
        <v>45701</v>
      </c>
      <c r="B1910" s="67" t="s">
        <v>50</v>
      </c>
      <c r="C1910" s="129" t="str">
        <f t="shared" si="64"/>
        <v>13.02.2025_LIEohBo</v>
      </c>
      <c r="D1910" s="143">
        <f t="shared" si="65"/>
        <v>0</v>
      </c>
      <c r="E1910" s="157">
        <v>7.86</v>
      </c>
      <c r="F1910" s="165"/>
      <c r="G1910" s="166">
        <v>661</v>
      </c>
      <c r="H1910" s="167">
        <v>10.48</v>
      </c>
      <c r="I1910" s="179"/>
      <c r="J1910" s="167">
        <v>78.099999999999994</v>
      </c>
      <c r="K1910" s="167">
        <v>4.0999999999999996</v>
      </c>
      <c r="L1910" s="167">
        <v>9</v>
      </c>
      <c r="M1910" s="168">
        <v>0.37152777777777773</v>
      </c>
      <c r="N1910" s="67"/>
    </row>
    <row r="1911" spans="1:14" x14ac:dyDescent="0.25">
      <c r="A1911" s="66">
        <v>45701</v>
      </c>
      <c r="B1911" s="67" t="s">
        <v>53</v>
      </c>
      <c r="C1911" s="129" t="str">
        <f t="shared" si="64"/>
        <v>13.02.2025_NATohBo</v>
      </c>
      <c r="D1911" s="143">
        <f t="shared" si="65"/>
        <v>0</v>
      </c>
      <c r="E1911" s="157">
        <v>7.66</v>
      </c>
      <c r="F1911" s="165"/>
      <c r="G1911" s="166">
        <v>1404</v>
      </c>
      <c r="H1911" s="167">
        <v>10.34</v>
      </c>
      <c r="I1911" s="179"/>
      <c r="J1911" s="167">
        <v>80.3</v>
      </c>
      <c r="K1911" s="167">
        <v>5.64</v>
      </c>
      <c r="L1911" s="167">
        <v>8</v>
      </c>
      <c r="M1911" s="168">
        <v>0.61319444444444449</v>
      </c>
      <c r="N1911" s="67"/>
    </row>
    <row r="1912" spans="1:14" x14ac:dyDescent="0.25">
      <c r="A1912" s="66">
        <v>45701</v>
      </c>
      <c r="B1912" s="67" t="s">
        <v>55</v>
      </c>
      <c r="C1912" s="129" t="str">
        <f t="shared" si="64"/>
        <v>13.02.2025_QUAohBo</v>
      </c>
      <c r="D1912" s="143">
        <f t="shared" si="65"/>
        <v>0</v>
      </c>
      <c r="E1912" s="157">
        <v>7.45</v>
      </c>
      <c r="F1912" s="165"/>
      <c r="G1912" s="166">
        <v>713</v>
      </c>
      <c r="H1912" s="167">
        <v>7.52</v>
      </c>
      <c r="I1912" s="179"/>
      <c r="J1912" s="167">
        <v>55.8</v>
      </c>
      <c r="K1912" s="167">
        <v>4.67</v>
      </c>
      <c r="L1912" s="167">
        <v>12</v>
      </c>
      <c r="M1912" s="168">
        <v>0.54791666666666672</v>
      </c>
      <c r="N1912" s="67"/>
    </row>
    <row r="1913" spans="1:14" x14ac:dyDescent="0.25">
      <c r="A1913" s="66">
        <v>45701</v>
      </c>
      <c r="B1913" s="67" t="s">
        <v>57</v>
      </c>
      <c r="C1913" s="129" t="str">
        <f t="shared" si="64"/>
        <v>13.02.2025_SCHohVo</v>
      </c>
      <c r="D1913" s="143">
        <f t="shared" si="65"/>
        <v>0</v>
      </c>
      <c r="E1913" s="157">
        <v>7.8</v>
      </c>
      <c r="F1913" s="165"/>
      <c r="G1913" s="166">
        <v>429</v>
      </c>
      <c r="H1913" s="167">
        <v>10.99</v>
      </c>
      <c r="I1913" s="179"/>
      <c r="J1913" s="167">
        <v>82.2</v>
      </c>
      <c r="K1913" s="167">
        <v>4.16</v>
      </c>
      <c r="L1913" s="167">
        <v>8</v>
      </c>
      <c r="M1913" s="168">
        <v>0.41736111111111113</v>
      </c>
      <c r="N1913" s="67"/>
    </row>
    <row r="1914" spans="1:14" x14ac:dyDescent="0.25">
      <c r="A1914" s="66">
        <v>45701</v>
      </c>
      <c r="B1914" s="67" t="s">
        <v>60</v>
      </c>
      <c r="C1914" s="129" t="str">
        <f t="shared" si="64"/>
        <v>13.02.2025_VORohBo</v>
      </c>
      <c r="D1914" s="143">
        <f t="shared" si="65"/>
        <v>0</v>
      </c>
      <c r="E1914" s="157">
        <v>7.23</v>
      </c>
      <c r="F1914" s="165"/>
      <c r="G1914" s="166">
        <v>820</v>
      </c>
      <c r="H1914" s="167">
        <v>8.43</v>
      </c>
      <c r="I1914" s="179"/>
      <c r="J1914" s="167">
        <v>66.3</v>
      </c>
      <c r="K1914" s="167">
        <v>5.91</v>
      </c>
      <c r="L1914" s="167">
        <v>18</v>
      </c>
      <c r="M1914" s="168">
        <v>0.43472222222222223</v>
      </c>
      <c r="N1914" s="67"/>
    </row>
    <row r="1915" spans="1:14" x14ac:dyDescent="0.25">
      <c r="A1915" s="66">
        <v>45701</v>
      </c>
      <c r="B1915" s="67" t="s">
        <v>62</v>
      </c>
      <c r="C1915" s="129" t="str">
        <f t="shared" si="64"/>
        <v>13.02.2025_VORuhSc</v>
      </c>
      <c r="D1915" s="143">
        <f t="shared" si="65"/>
        <v>0</v>
      </c>
      <c r="E1915" s="157">
        <v>7.05</v>
      </c>
      <c r="F1915" s="165"/>
      <c r="G1915" s="166">
        <v>740</v>
      </c>
      <c r="H1915" s="167">
        <v>9.0399999999999991</v>
      </c>
      <c r="I1915" s="179"/>
      <c r="J1915" s="167">
        <v>70.2</v>
      </c>
      <c r="K1915" s="167">
        <v>5.63</v>
      </c>
      <c r="L1915" s="167">
        <v>8</v>
      </c>
      <c r="M1915" s="168">
        <v>0.42569444444444443</v>
      </c>
      <c r="N1915" s="67"/>
    </row>
    <row r="1916" spans="1:14" x14ac:dyDescent="0.25">
      <c r="A1916" s="66">
        <v>45701</v>
      </c>
      <c r="B1916" s="67" t="s">
        <v>64</v>
      </c>
      <c r="C1916" s="129" t="str">
        <f t="shared" si="64"/>
        <v>13.02.2025_WITob</v>
      </c>
      <c r="D1916" s="143">
        <f t="shared" si="65"/>
        <v>0</v>
      </c>
      <c r="E1916" s="157">
        <v>8.09</v>
      </c>
      <c r="F1916" s="165"/>
      <c r="G1916" s="166">
        <v>1157</v>
      </c>
      <c r="H1916" s="167">
        <v>11.15</v>
      </c>
      <c r="I1916" s="179"/>
      <c r="J1916" s="167">
        <v>84.9</v>
      </c>
      <c r="K1916" s="167">
        <v>4.83</v>
      </c>
      <c r="L1916" s="167">
        <v>3</v>
      </c>
      <c r="M1916" s="168">
        <v>0.60277777777777775</v>
      </c>
      <c r="N1916" s="67"/>
    </row>
    <row r="1917" spans="1:14" x14ac:dyDescent="0.25">
      <c r="A1917" s="203">
        <v>45720</v>
      </c>
      <c r="B1917" s="67" t="s">
        <v>22</v>
      </c>
      <c r="C1917" s="129" t="str">
        <f t="shared" ref="C1917" si="66">CONCATENATE(TEXT(A1917,"TT.MM.JJJJ"),"_",B1917)</f>
        <v>04.03.2025_BOYkl</v>
      </c>
      <c r="D1917" s="143">
        <f t="shared" ref="D1917:D1936" si="67">COUNTBLANK(E1917)+COUNTBLANK(G1917:H1917)+COUNTBLANK(K1917:L1917)</f>
        <v>0</v>
      </c>
      <c r="E1917" s="157">
        <v>7.75</v>
      </c>
      <c r="F1917" s="165"/>
      <c r="G1917" s="166">
        <v>431</v>
      </c>
      <c r="H1917" s="167">
        <v>13.75</v>
      </c>
      <c r="I1917" s="179"/>
      <c r="J1917" s="167">
        <v>105.8</v>
      </c>
      <c r="K1917" s="167">
        <v>5.96</v>
      </c>
      <c r="L1917" s="167">
        <v>8</v>
      </c>
      <c r="M1917" s="168">
        <v>0.50763888888888886</v>
      </c>
      <c r="N1917" s="67"/>
    </row>
    <row r="1918" spans="1:14" x14ac:dyDescent="0.25">
      <c r="A1918" s="203">
        <v>45720</v>
      </c>
      <c r="B1918" s="67" t="s">
        <v>25</v>
      </c>
      <c r="C1918" s="129" t="str">
        <f t="shared" ref="C1918:C1936" si="68">CONCATENATE(TEXT(A1918,"TT.MM.JJJJ"),"_",B1918)</f>
        <v>04.03.2025_BOYohB224</v>
      </c>
      <c r="D1918" s="143">
        <f t="shared" si="67"/>
        <v>0</v>
      </c>
      <c r="E1918" s="157">
        <v>7.78</v>
      </c>
      <c r="F1918" s="165"/>
      <c r="G1918" s="166">
        <v>865</v>
      </c>
      <c r="H1918" s="167">
        <v>12.71</v>
      </c>
      <c r="I1918" s="179"/>
      <c r="J1918" s="167">
        <v>101.7</v>
      </c>
      <c r="K1918" s="167">
        <v>7.49</v>
      </c>
      <c r="L1918" s="167">
        <v>40</v>
      </c>
      <c r="M1918" s="168">
        <v>0.7055555555555556</v>
      </c>
      <c r="N1918" s="67"/>
    </row>
    <row r="1919" spans="1:14" x14ac:dyDescent="0.25">
      <c r="A1919" s="203">
        <v>45720</v>
      </c>
      <c r="B1919" s="67" t="s">
        <v>28</v>
      </c>
      <c r="C1919" s="129" t="str">
        <f t="shared" si="68"/>
        <v>04.03.2025_BOYohBr</v>
      </c>
      <c r="D1919" s="143">
        <f t="shared" si="67"/>
        <v>0</v>
      </c>
      <c r="E1919" s="157">
        <v>7.48</v>
      </c>
      <c r="F1919" s="165"/>
      <c r="G1919" s="166">
        <v>545</v>
      </c>
      <c r="H1919" s="167">
        <v>12.53</v>
      </c>
      <c r="I1919" s="179"/>
      <c r="J1919" s="167">
        <v>98.8</v>
      </c>
      <c r="K1919" s="167">
        <v>6.93</v>
      </c>
      <c r="L1919" s="167">
        <v>20</v>
      </c>
      <c r="M1919" s="168">
        <v>0.59583333333333333</v>
      </c>
      <c r="N1919" s="67"/>
    </row>
    <row r="1920" spans="1:14" x14ac:dyDescent="0.25">
      <c r="A1920" s="203">
        <v>45720</v>
      </c>
      <c r="B1920" s="67" t="s">
        <v>30</v>
      </c>
      <c r="C1920" s="129" t="str">
        <f t="shared" si="68"/>
        <v>04.03.2025_BOYohKi</v>
      </c>
      <c r="D1920" s="143">
        <f t="shared" si="67"/>
        <v>0</v>
      </c>
      <c r="E1920" s="157">
        <v>7.81</v>
      </c>
      <c r="F1920" s="165"/>
      <c r="G1920" s="166">
        <v>758</v>
      </c>
      <c r="H1920" s="167">
        <v>12.95</v>
      </c>
      <c r="I1920" s="179"/>
      <c r="J1920" s="167">
        <v>94.8</v>
      </c>
      <c r="K1920" s="167">
        <v>4.22</v>
      </c>
      <c r="L1920" s="167">
        <v>39</v>
      </c>
      <c r="M1920" s="168">
        <v>0.41319444444444442</v>
      </c>
      <c r="N1920" s="67"/>
    </row>
    <row r="1921" spans="1:14" x14ac:dyDescent="0.25">
      <c r="A1921" s="203">
        <v>45720</v>
      </c>
      <c r="B1921" s="67" t="s">
        <v>32</v>
      </c>
      <c r="C1921" s="129" t="str">
        <f t="shared" si="68"/>
        <v>04.03.2025_BOYohSp</v>
      </c>
      <c r="D1921" s="143">
        <f t="shared" si="67"/>
        <v>0</v>
      </c>
      <c r="E1921" s="157">
        <v>7.34</v>
      </c>
      <c r="F1921" s="165"/>
      <c r="G1921" s="166">
        <v>669</v>
      </c>
      <c r="H1921" s="167">
        <v>12.22</v>
      </c>
      <c r="I1921" s="179"/>
      <c r="J1921" s="167">
        <v>97.7</v>
      </c>
      <c r="K1921" s="167">
        <v>7.4</v>
      </c>
      <c r="L1921" s="167">
        <v>29</v>
      </c>
      <c r="M1921" s="168">
        <v>0.63402777777777775</v>
      </c>
      <c r="N1921" s="67"/>
    </row>
    <row r="1922" spans="1:14" x14ac:dyDescent="0.25">
      <c r="A1922" s="203">
        <v>45720</v>
      </c>
      <c r="B1922" s="67" t="s">
        <v>34</v>
      </c>
      <c r="C1922" s="129" t="str">
        <f t="shared" si="68"/>
        <v>04.03.2025_BOYuhHa</v>
      </c>
      <c r="D1922" s="143">
        <f t="shared" si="67"/>
        <v>0</v>
      </c>
      <c r="E1922" s="157">
        <v>7.95</v>
      </c>
      <c r="F1922" s="165"/>
      <c r="G1922" s="166">
        <v>955</v>
      </c>
      <c r="H1922" s="167">
        <v>13.57</v>
      </c>
      <c r="I1922" s="179"/>
      <c r="J1922" s="167">
        <v>97.8</v>
      </c>
      <c r="K1922" s="167">
        <v>3.68</v>
      </c>
      <c r="L1922" s="167">
        <v>28</v>
      </c>
      <c r="M1922" s="168">
        <v>0.37777777777777777</v>
      </c>
      <c r="N1922" s="67"/>
    </row>
    <row r="1923" spans="1:14" x14ac:dyDescent="0.25">
      <c r="A1923" s="203">
        <v>45720</v>
      </c>
      <c r="B1923" s="67" t="s">
        <v>36</v>
      </c>
      <c r="C1923" s="129" t="str">
        <f t="shared" si="68"/>
        <v>04.03.2025_BOYuhSp</v>
      </c>
      <c r="D1923" s="143">
        <f t="shared" si="67"/>
        <v>0</v>
      </c>
      <c r="E1923" s="157">
        <v>7.24</v>
      </c>
      <c r="F1923" s="165"/>
      <c r="G1923" s="166">
        <v>674</v>
      </c>
      <c r="H1923" s="167">
        <v>12.73</v>
      </c>
      <c r="I1923" s="179"/>
      <c r="J1923" s="167">
        <v>100.2</v>
      </c>
      <c r="K1923" s="167">
        <v>6.73</v>
      </c>
      <c r="L1923" s="167">
        <v>37</v>
      </c>
      <c r="M1923" s="168">
        <v>0.62708333333333333</v>
      </c>
      <c r="N1923" s="67"/>
    </row>
    <row r="1924" spans="1:14" x14ac:dyDescent="0.25">
      <c r="A1924" s="203">
        <v>45720</v>
      </c>
      <c r="B1924" s="67" t="s">
        <v>38</v>
      </c>
      <c r="C1924" s="129" t="str">
        <f t="shared" si="68"/>
        <v>04.03.2025_BRAob</v>
      </c>
      <c r="D1924" s="143">
        <f t="shared" si="67"/>
        <v>0</v>
      </c>
      <c r="E1924" s="157">
        <v>7.55</v>
      </c>
      <c r="F1924" s="165"/>
      <c r="G1924" s="166">
        <v>781</v>
      </c>
      <c r="H1924" s="167">
        <v>11.86</v>
      </c>
      <c r="I1924" s="179"/>
      <c r="J1924" s="167">
        <v>95.7</v>
      </c>
      <c r="K1924" s="167">
        <v>7.7</v>
      </c>
      <c r="L1924" s="167">
        <v>11</v>
      </c>
      <c r="M1924" s="168">
        <v>0.56041666666666667</v>
      </c>
      <c r="N1924" s="67"/>
    </row>
    <row r="1925" spans="1:14" x14ac:dyDescent="0.25">
      <c r="A1925" s="203">
        <v>45720</v>
      </c>
      <c r="B1925" s="67" t="s">
        <v>41</v>
      </c>
      <c r="C1925" s="129" t="str">
        <f t="shared" si="68"/>
        <v>04.03.2025_BRAohBo</v>
      </c>
      <c r="D1925" s="143">
        <f t="shared" si="67"/>
        <v>0</v>
      </c>
      <c r="E1925" s="157">
        <v>7.81</v>
      </c>
      <c r="F1925" s="165"/>
      <c r="G1925" s="166">
        <v>713</v>
      </c>
      <c r="H1925" s="167">
        <v>12.58</v>
      </c>
      <c r="I1925" s="179"/>
      <c r="J1925" s="167">
        <v>100.7</v>
      </c>
      <c r="K1925" s="167">
        <v>7.46</v>
      </c>
      <c r="L1925" s="167">
        <v>35</v>
      </c>
      <c r="M1925" s="168">
        <v>0.57291666666666663</v>
      </c>
      <c r="N1925" s="67"/>
    </row>
    <row r="1926" spans="1:14" x14ac:dyDescent="0.25">
      <c r="A1926" s="203">
        <v>45720</v>
      </c>
      <c r="B1926" s="67" t="s">
        <v>43</v>
      </c>
      <c r="C1926" s="129" t="str">
        <f t="shared" si="68"/>
        <v>04.03.2025_HAAob</v>
      </c>
      <c r="D1926" s="143">
        <f t="shared" si="67"/>
        <v>0</v>
      </c>
      <c r="E1926" s="157">
        <v>8.1</v>
      </c>
      <c r="F1926" s="165"/>
      <c r="G1926" s="166">
        <v>815</v>
      </c>
      <c r="H1926" s="167">
        <v>12.39</v>
      </c>
      <c r="I1926" s="179"/>
      <c r="J1926" s="167">
        <v>102.4</v>
      </c>
      <c r="K1926" s="167">
        <v>8.67</v>
      </c>
      <c r="L1926" s="167">
        <v>10</v>
      </c>
      <c r="M1926" s="168">
        <v>0.66805555555555562</v>
      </c>
      <c r="N1926" s="67"/>
    </row>
    <row r="1927" spans="1:14" x14ac:dyDescent="0.25">
      <c r="A1927" s="203">
        <v>45720</v>
      </c>
      <c r="B1927" s="67" t="s">
        <v>45</v>
      </c>
      <c r="C1927" s="129" t="str">
        <f t="shared" si="68"/>
        <v>04.03.2025_HAAun</v>
      </c>
      <c r="D1927" s="143">
        <f t="shared" si="67"/>
        <v>0</v>
      </c>
      <c r="E1927" s="157">
        <v>7.78</v>
      </c>
      <c r="F1927" s="165"/>
      <c r="G1927" s="166">
        <v>1047</v>
      </c>
      <c r="H1927" s="167">
        <v>11.1</v>
      </c>
      <c r="I1927" s="179"/>
      <c r="J1927" s="167">
        <v>92.4</v>
      </c>
      <c r="K1927" s="167">
        <v>9.02</v>
      </c>
      <c r="L1927" s="167">
        <v>13</v>
      </c>
      <c r="M1927" s="168">
        <v>0.65833333333333333</v>
      </c>
      <c r="N1927" s="67"/>
    </row>
    <row r="1928" spans="1:14" x14ac:dyDescent="0.25">
      <c r="A1928" s="203">
        <v>45720</v>
      </c>
      <c r="B1928" s="67" t="s">
        <v>47</v>
      </c>
      <c r="C1928" s="129" t="str">
        <f t="shared" si="68"/>
        <v>04.03.2025_KIRob</v>
      </c>
      <c r="D1928" s="143">
        <f t="shared" si="67"/>
        <v>0</v>
      </c>
      <c r="E1928" s="157">
        <v>7.7</v>
      </c>
      <c r="F1928" s="165"/>
      <c r="G1928" s="166">
        <v>1081</v>
      </c>
      <c r="H1928" s="167">
        <v>11.13</v>
      </c>
      <c r="I1928" s="179"/>
      <c r="J1928" s="167">
        <v>86.7</v>
      </c>
      <c r="K1928" s="167">
        <v>6.52</v>
      </c>
      <c r="L1928" s="167">
        <v>13</v>
      </c>
      <c r="M1928" s="168">
        <v>0.44166666666666665</v>
      </c>
      <c r="N1928" s="67"/>
    </row>
    <row r="1929" spans="1:14" x14ac:dyDescent="0.25">
      <c r="A1929" s="203">
        <v>45720</v>
      </c>
      <c r="B1929" s="67" t="s">
        <v>49</v>
      </c>
      <c r="C1929" s="129" t="str">
        <f t="shared" si="68"/>
        <v>04.03.2025_KIRun</v>
      </c>
      <c r="D1929" s="143">
        <f t="shared" si="67"/>
        <v>0</v>
      </c>
      <c r="E1929" s="157">
        <v>7.73</v>
      </c>
      <c r="F1929" s="165"/>
      <c r="G1929" s="166">
        <v>989</v>
      </c>
      <c r="H1929" s="167">
        <v>11.2</v>
      </c>
      <c r="I1929" s="179"/>
      <c r="J1929" s="167">
        <v>87.6</v>
      </c>
      <c r="K1929" s="167">
        <v>6.79</v>
      </c>
      <c r="L1929" s="167">
        <v>15</v>
      </c>
      <c r="M1929" s="168">
        <v>0.4291666666666667</v>
      </c>
      <c r="N1929" s="67"/>
    </row>
    <row r="1930" spans="1:14" x14ac:dyDescent="0.25">
      <c r="A1930" s="203">
        <v>45720</v>
      </c>
      <c r="B1930" s="67" t="s">
        <v>50</v>
      </c>
      <c r="C1930" s="129" t="str">
        <f t="shared" si="68"/>
        <v>04.03.2025_LIEohBo</v>
      </c>
      <c r="D1930" s="143">
        <f t="shared" si="67"/>
        <v>0</v>
      </c>
      <c r="E1930" s="157">
        <v>8.2100000000000009</v>
      </c>
      <c r="F1930" s="165"/>
      <c r="G1930" s="166">
        <v>773</v>
      </c>
      <c r="H1930" s="167">
        <v>14.48</v>
      </c>
      <c r="I1930" s="179"/>
      <c r="J1930" s="167">
        <v>102.2</v>
      </c>
      <c r="K1930" s="167">
        <v>2.88</v>
      </c>
      <c r="L1930" s="167">
        <v>10</v>
      </c>
      <c r="M1930" s="168">
        <v>0.39583333333333331</v>
      </c>
      <c r="N1930" s="67"/>
    </row>
    <row r="1931" spans="1:14" x14ac:dyDescent="0.25">
      <c r="A1931" s="203">
        <v>45720</v>
      </c>
      <c r="B1931" s="67" t="s">
        <v>53</v>
      </c>
      <c r="C1931" s="129" t="str">
        <f t="shared" si="68"/>
        <v>04.03.2025_NATohBo</v>
      </c>
      <c r="D1931" s="143">
        <f t="shared" si="67"/>
        <v>0</v>
      </c>
      <c r="E1931" s="157">
        <v>7.29</v>
      </c>
      <c r="F1931" s="165"/>
      <c r="G1931" s="166">
        <v>1684</v>
      </c>
      <c r="H1931" s="167">
        <v>11.63</v>
      </c>
      <c r="I1931" s="179"/>
      <c r="J1931" s="167">
        <v>97.1</v>
      </c>
      <c r="K1931" s="167">
        <v>9.19</v>
      </c>
      <c r="L1931" s="167">
        <v>7</v>
      </c>
      <c r="M1931" s="168">
        <v>0.69374999999999998</v>
      </c>
      <c r="N1931" s="67"/>
    </row>
    <row r="1932" spans="1:14" x14ac:dyDescent="0.25">
      <c r="A1932" s="203">
        <v>45720</v>
      </c>
      <c r="B1932" s="67" t="s">
        <v>55</v>
      </c>
      <c r="C1932" s="129" t="str">
        <f t="shared" si="68"/>
        <v>04.03.2025_QUAohBo</v>
      </c>
      <c r="D1932" s="143">
        <f t="shared" si="67"/>
        <v>0</v>
      </c>
      <c r="E1932" s="157">
        <v>7.59</v>
      </c>
      <c r="F1932" s="165"/>
      <c r="G1932" s="166">
        <v>830</v>
      </c>
      <c r="H1932" s="167">
        <v>9.82</v>
      </c>
      <c r="I1932" s="179"/>
      <c r="J1932" s="167">
        <v>82.7</v>
      </c>
      <c r="K1932" s="167">
        <v>9.2899999999999991</v>
      </c>
      <c r="L1932" s="167">
        <v>12</v>
      </c>
      <c r="M1932" s="168">
        <v>0.64583333333333337</v>
      </c>
      <c r="N1932" s="67"/>
    </row>
    <row r="1933" spans="1:14" x14ac:dyDescent="0.25">
      <c r="A1933" s="203">
        <v>45720</v>
      </c>
      <c r="B1933" s="67" t="s">
        <v>57</v>
      </c>
      <c r="C1933" s="129" t="str">
        <f t="shared" si="68"/>
        <v>04.03.2025_SCHohVo</v>
      </c>
      <c r="D1933" s="143">
        <f t="shared" si="67"/>
        <v>0</v>
      </c>
      <c r="E1933" s="157">
        <v>7.83</v>
      </c>
      <c r="F1933" s="165"/>
      <c r="G1933" s="166">
        <v>567</v>
      </c>
      <c r="H1933" s="167">
        <v>13.57</v>
      </c>
      <c r="I1933" s="179"/>
      <c r="J1933" s="167">
        <v>98.9</v>
      </c>
      <c r="K1933" s="167">
        <v>3.81</v>
      </c>
      <c r="L1933" s="167">
        <v>8</v>
      </c>
      <c r="M1933" s="168">
        <v>0.45555555555555555</v>
      </c>
      <c r="N1933" s="67"/>
    </row>
    <row r="1934" spans="1:14" x14ac:dyDescent="0.25">
      <c r="A1934" s="203">
        <v>45720</v>
      </c>
      <c r="B1934" s="67" t="s">
        <v>60</v>
      </c>
      <c r="C1934" s="129" t="str">
        <f t="shared" si="68"/>
        <v>04.03.2025_VORohBo</v>
      </c>
      <c r="D1934" s="143">
        <f t="shared" si="67"/>
        <v>0</v>
      </c>
      <c r="E1934" s="157">
        <v>7.45</v>
      </c>
      <c r="F1934" s="165"/>
      <c r="G1934" s="166">
        <v>986</v>
      </c>
      <c r="H1934" s="167">
        <v>11.18</v>
      </c>
      <c r="I1934" s="179"/>
      <c r="J1934" s="167">
        <v>84</v>
      </c>
      <c r="K1934" s="167">
        <v>5.0599999999999996</v>
      </c>
      <c r="L1934" s="167">
        <v>16</v>
      </c>
      <c r="M1934" s="168">
        <v>0.48472222222222222</v>
      </c>
      <c r="N1934" s="67"/>
    </row>
    <row r="1935" spans="1:14" x14ac:dyDescent="0.25">
      <c r="A1935" s="203">
        <v>45720</v>
      </c>
      <c r="B1935" s="67" t="s">
        <v>62</v>
      </c>
      <c r="C1935" s="129" t="str">
        <f t="shared" si="68"/>
        <v>04.03.2025_VORuhSc</v>
      </c>
      <c r="D1935" s="143">
        <f t="shared" si="67"/>
        <v>0</v>
      </c>
      <c r="E1935" s="157">
        <v>7.01</v>
      </c>
      <c r="F1935" s="165"/>
      <c r="G1935" s="166">
        <v>916</v>
      </c>
      <c r="H1935" s="167">
        <v>10.85</v>
      </c>
      <c r="I1935" s="179"/>
      <c r="J1935" s="167">
        <v>81.900000000000006</v>
      </c>
      <c r="K1935" s="167">
        <v>5.18</v>
      </c>
      <c r="L1935" s="167">
        <v>7</v>
      </c>
      <c r="M1935" s="168">
        <v>0.46875</v>
      </c>
      <c r="N1935" s="67"/>
    </row>
    <row r="1936" spans="1:14" x14ac:dyDescent="0.25">
      <c r="A1936" s="203">
        <v>45720</v>
      </c>
      <c r="B1936" s="67" t="s">
        <v>64</v>
      </c>
      <c r="C1936" s="129" t="str">
        <f t="shared" si="68"/>
        <v>04.03.2025_WITob</v>
      </c>
      <c r="D1936" s="143">
        <f t="shared" si="67"/>
        <v>0</v>
      </c>
      <c r="E1936" s="157">
        <v>7.37</v>
      </c>
      <c r="F1936" s="165"/>
      <c r="G1936" s="166">
        <v>1017</v>
      </c>
      <c r="H1936" s="167">
        <v>11.31</v>
      </c>
      <c r="I1936" s="179"/>
      <c r="J1936" s="167">
        <v>95.2</v>
      </c>
      <c r="K1936" s="167">
        <v>9.48</v>
      </c>
      <c r="L1936" s="167">
        <v>3</v>
      </c>
      <c r="M1936" s="168">
        <v>0.67847222222222225</v>
      </c>
      <c r="N1936" s="67"/>
    </row>
    <row r="1937" spans="1:14" x14ac:dyDescent="0.25">
      <c r="A1937" s="66">
        <v>38467</v>
      </c>
      <c r="B1937" s="67" t="s">
        <v>22</v>
      </c>
      <c r="C1937" s="129" t="str">
        <f t="shared" ref="C1937:C1956" si="69">CONCATENATE(TEXT(A1937,"TT.MM.JJJJ"),"_",B1937)</f>
        <v>25.04.2005_BOYkl</v>
      </c>
      <c r="D1937" s="143">
        <f t="shared" ref="D1937:D1956" si="70">COUNTBLANK(E1937)+COUNTBLANK(G1937:H1937)+COUNTBLANK(K1937:L1937)</f>
        <v>0</v>
      </c>
      <c r="E1937" s="157">
        <v>7.36</v>
      </c>
      <c r="F1937" s="165"/>
      <c r="G1937" s="166">
        <v>408</v>
      </c>
      <c r="H1937" s="167">
        <v>10.14</v>
      </c>
      <c r="I1937" s="179"/>
      <c r="J1937" s="167">
        <v>88.2</v>
      </c>
      <c r="K1937" s="167">
        <v>10.38</v>
      </c>
      <c r="L1937" s="167">
        <v>15</v>
      </c>
      <c r="M1937" s="168">
        <v>0.44375000000000003</v>
      </c>
      <c r="N1937" s="67"/>
    </row>
    <row r="1938" spans="1:14" x14ac:dyDescent="0.25">
      <c r="A1938" s="66">
        <v>38467</v>
      </c>
      <c r="B1938" s="67" t="s">
        <v>25</v>
      </c>
      <c r="C1938" s="129" t="str">
        <f t="shared" si="69"/>
        <v>25.04.2005_BOYohB224</v>
      </c>
      <c r="D1938" s="143">
        <f t="shared" si="70"/>
        <v>0</v>
      </c>
      <c r="E1938" s="157">
        <v>7.86</v>
      </c>
      <c r="F1938" s="165"/>
      <c r="G1938" s="166">
        <v>608</v>
      </c>
      <c r="H1938" s="167">
        <v>9.3800000000000008</v>
      </c>
      <c r="I1938" s="179"/>
      <c r="J1938" s="167">
        <v>84.5</v>
      </c>
      <c r="K1938" s="167">
        <v>11.91</v>
      </c>
      <c r="L1938" s="167">
        <v>63</v>
      </c>
      <c r="M1938" s="168">
        <v>0.62013888888888891</v>
      </c>
      <c r="N1938" s="67"/>
    </row>
    <row r="1939" spans="1:14" x14ac:dyDescent="0.25">
      <c r="A1939" s="66">
        <v>38467</v>
      </c>
      <c r="B1939" s="67" t="s">
        <v>28</v>
      </c>
      <c r="C1939" s="129" t="str">
        <f t="shared" si="69"/>
        <v>25.04.2005_BOYohBr</v>
      </c>
      <c r="D1939" s="143">
        <f t="shared" si="70"/>
        <v>0</v>
      </c>
      <c r="E1939" s="157">
        <v>7.41</v>
      </c>
      <c r="F1939" s="165"/>
      <c r="G1939" s="166">
        <v>465</v>
      </c>
      <c r="H1939" s="167">
        <v>9.44</v>
      </c>
      <c r="I1939" s="179"/>
      <c r="J1939" s="167">
        <v>82.8</v>
      </c>
      <c r="K1939" s="167">
        <v>10.69</v>
      </c>
      <c r="L1939" s="167">
        <v>30</v>
      </c>
      <c r="M1939" s="168">
        <v>0.52777777777777779</v>
      </c>
      <c r="N1939" s="67"/>
    </row>
    <row r="1940" spans="1:14" x14ac:dyDescent="0.25">
      <c r="A1940" s="66">
        <v>38467</v>
      </c>
      <c r="B1940" s="67" t="s">
        <v>30</v>
      </c>
      <c r="C1940" s="129" t="str">
        <f t="shared" si="69"/>
        <v>25.04.2005_BOYohKi</v>
      </c>
      <c r="D1940" s="143">
        <f t="shared" si="70"/>
        <v>0</v>
      </c>
      <c r="E1940" s="157">
        <v>7.53</v>
      </c>
      <c r="F1940" s="165"/>
      <c r="G1940" s="166">
        <v>535</v>
      </c>
      <c r="H1940" s="167">
        <v>9.0399999999999991</v>
      </c>
      <c r="I1940" s="179"/>
      <c r="J1940" s="167">
        <v>79.3</v>
      </c>
      <c r="K1940" s="167">
        <v>10.7</v>
      </c>
      <c r="L1940" s="167">
        <v>59</v>
      </c>
      <c r="M1940" s="168">
        <v>0.37986111111111115</v>
      </c>
      <c r="N1940" s="67"/>
    </row>
    <row r="1941" spans="1:14" x14ac:dyDescent="0.25">
      <c r="A1941" s="66">
        <v>38467</v>
      </c>
      <c r="B1941" s="67" t="s">
        <v>32</v>
      </c>
      <c r="C1941" s="129" t="str">
        <f t="shared" si="69"/>
        <v>25.04.2005_BOYohSp</v>
      </c>
      <c r="D1941" s="143">
        <f t="shared" si="70"/>
        <v>0</v>
      </c>
      <c r="E1941" s="157">
        <v>7.6</v>
      </c>
      <c r="F1941" s="165"/>
      <c r="G1941" s="166">
        <v>559</v>
      </c>
      <c r="H1941" s="167">
        <v>9.17</v>
      </c>
      <c r="I1941" s="179"/>
      <c r="J1941" s="167">
        <v>80.7</v>
      </c>
      <c r="K1941" s="167">
        <v>10.74</v>
      </c>
      <c r="L1941" s="167">
        <v>39</v>
      </c>
      <c r="M1941" s="168">
        <v>0.55763888888888891</v>
      </c>
      <c r="N1941" s="67"/>
    </row>
    <row r="1942" spans="1:14" x14ac:dyDescent="0.25">
      <c r="A1942" s="66">
        <v>38467</v>
      </c>
      <c r="B1942" s="67" t="s">
        <v>34</v>
      </c>
      <c r="C1942" s="129" t="str">
        <f t="shared" si="69"/>
        <v>25.04.2005_BOYuhHa</v>
      </c>
      <c r="D1942" s="143">
        <f t="shared" si="70"/>
        <v>0</v>
      </c>
      <c r="E1942" s="157">
        <v>7.62</v>
      </c>
      <c r="F1942" s="165"/>
      <c r="G1942" s="166">
        <v>517</v>
      </c>
      <c r="H1942" s="167">
        <v>9.2200000000000006</v>
      </c>
      <c r="I1942" s="179"/>
      <c r="J1942" s="167">
        <v>82.5</v>
      </c>
      <c r="K1942" s="167">
        <v>11.4</v>
      </c>
      <c r="L1942" s="167">
        <v>50</v>
      </c>
      <c r="M1942" s="168">
        <v>0.35972222222222222</v>
      </c>
      <c r="N1942" s="67"/>
    </row>
    <row r="1943" spans="1:14" x14ac:dyDescent="0.25">
      <c r="A1943" s="66">
        <v>38467</v>
      </c>
      <c r="B1943" s="67" t="s">
        <v>36</v>
      </c>
      <c r="C1943" s="129" t="str">
        <f t="shared" si="69"/>
        <v>25.04.2005_BOYuhSp</v>
      </c>
      <c r="D1943" s="143">
        <f t="shared" si="70"/>
        <v>0</v>
      </c>
      <c r="E1943" s="157">
        <v>7.5</v>
      </c>
      <c r="F1943" s="165"/>
      <c r="G1943" s="166">
        <v>536</v>
      </c>
      <c r="H1943" s="167">
        <v>9.32</v>
      </c>
      <c r="I1943" s="179"/>
      <c r="J1943" s="167">
        <v>81.5</v>
      </c>
      <c r="K1943" s="167">
        <v>10.55</v>
      </c>
      <c r="L1943" s="167">
        <v>54</v>
      </c>
      <c r="M1943" s="168">
        <v>0.54999999999999993</v>
      </c>
      <c r="N1943" s="67"/>
    </row>
    <row r="1944" spans="1:14" x14ac:dyDescent="0.25">
      <c r="A1944" s="66">
        <v>38467</v>
      </c>
      <c r="B1944" s="67" t="s">
        <v>38</v>
      </c>
      <c r="C1944" s="129" t="str">
        <f t="shared" si="69"/>
        <v>25.04.2005_BRAob</v>
      </c>
      <c r="D1944" s="143">
        <f t="shared" si="70"/>
        <v>0</v>
      </c>
      <c r="E1944" s="157">
        <v>7.4</v>
      </c>
      <c r="F1944" s="165"/>
      <c r="G1944" s="166">
        <v>656</v>
      </c>
      <c r="H1944" s="167">
        <v>9.35</v>
      </c>
      <c r="I1944" s="179"/>
      <c r="J1944" s="167">
        <v>81.5</v>
      </c>
      <c r="K1944" s="167">
        <v>10.42</v>
      </c>
      <c r="L1944" s="167">
        <v>16</v>
      </c>
      <c r="M1944" s="168">
        <v>0.49652777777777773</v>
      </c>
      <c r="N1944" s="67"/>
    </row>
    <row r="1945" spans="1:14" x14ac:dyDescent="0.25">
      <c r="A1945" s="66">
        <v>38467</v>
      </c>
      <c r="B1945" s="67" t="s">
        <v>41</v>
      </c>
      <c r="C1945" s="129" t="str">
        <f t="shared" si="69"/>
        <v>25.04.2005_BRAohBo</v>
      </c>
      <c r="D1945" s="143">
        <f t="shared" si="70"/>
        <v>0</v>
      </c>
      <c r="E1945" s="157">
        <v>7.33</v>
      </c>
      <c r="F1945" s="165"/>
      <c r="G1945" s="166">
        <v>505</v>
      </c>
      <c r="H1945" s="167">
        <v>9.24</v>
      </c>
      <c r="I1945" s="179"/>
      <c r="J1945" s="167">
        <v>81</v>
      </c>
      <c r="K1945" s="167">
        <v>10.68</v>
      </c>
      <c r="L1945" s="167">
        <v>38</v>
      </c>
      <c r="M1945" s="168">
        <v>0.5083333333333333</v>
      </c>
      <c r="N1945" s="67"/>
    </row>
    <row r="1946" spans="1:14" x14ac:dyDescent="0.25">
      <c r="A1946" s="66">
        <v>38467</v>
      </c>
      <c r="B1946" s="67" t="s">
        <v>43</v>
      </c>
      <c r="C1946" s="129" t="str">
        <f t="shared" si="69"/>
        <v>25.04.2005_HAAob</v>
      </c>
      <c r="D1946" s="143">
        <f t="shared" si="70"/>
        <v>0</v>
      </c>
      <c r="E1946" s="157">
        <v>7.89</v>
      </c>
      <c r="F1946" s="165"/>
      <c r="G1946" s="166">
        <v>601</v>
      </c>
      <c r="H1946" s="167">
        <v>9.56</v>
      </c>
      <c r="I1946" s="179"/>
      <c r="J1946" s="167">
        <v>89.6</v>
      </c>
      <c r="K1946" s="167">
        <v>13.6</v>
      </c>
      <c r="L1946" s="167">
        <v>17</v>
      </c>
      <c r="M1946" s="168">
        <v>0.58680555555555558</v>
      </c>
      <c r="N1946" s="67"/>
    </row>
    <row r="1947" spans="1:14" x14ac:dyDescent="0.25">
      <c r="A1947" s="66">
        <v>38467</v>
      </c>
      <c r="B1947" s="67" t="s">
        <v>45</v>
      </c>
      <c r="C1947" s="129" t="str">
        <f t="shared" si="69"/>
        <v>25.04.2005_HAAun</v>
      </c>
      <c r="D1947" s="143">
        <f t="shared" si="70"/>
        <v>0</v>
      </c>
      <c r="E1947" s="157">
        <v>7.4</v>
      </c>
      <c r="F1947" s="165"/>
      <c r="G1947" s="166">
        <v>700</v>
      </c>
      <c r="H1947" s="167">
        <v>8.8800000000000008</v>
      </c>
      <c r="I1947" s="179"/>
      <c r="J1947" s="167">
        <v>80.2</v>
      </c>
      <c r="K1947" s="167">
        <v>12</v>
      </c>
      <c r="L1947" s="167">
        <v>19</v>
      </c>
      <c r="M1947" s="168">
        <v>0.57916666666666672</v>
      </c>
      <c r="N1947" s="67"/>
    </row>
    <row r="1948" spans="1:14" x14ac:dyDescent="0.25">
      <c r="A1948" s="66">
        <v>38467</v>
      </c>
      <c r="B1948" s="67" t="s">
        <v>47</v>
      </c>
      <c r="C1948" s="129" t="str">
        <f t="shared" si="69"/>
        <v>25.04.2005_KIRob</v>
      </c>
      <c r="D1948" s="143">
        <f t="shared" si="70"/>
        <v>0</v>
      </c>
      <c r="E1948" s="157">
        <v>7.69</v>
      </c>
      <c r="F1948" s="165"/>
      <c r="G1948" s="166">
        <v>994</v>
      </c>
      <c r="H1948" s="167">
        <v>8.76</v>
      </c>
      <c r="I1948" s="179"/>
      <c r="J1948" s="167">
        <v>77</v>
      </c>
      <c r="K1948" s="167">
        <v>10.66</v>
      </c>
      <c r="L1948" s="167">
        <v>13</v>
      </c>
      <c r="M1948" s="168">
        <v>0.3972222222222222</v>
      </c>
      <c r="N1948" s="67"/>
    </row>
    <row r="1949" spans="1:14" x14ac:dyDescent="0.25">
      <c r="A1949" s="66">
        <v>38467</v>
      </c>
      <c r="B1949" s="67" t="s">
        <v>49</v>
      </c>
      <c r="C1949" s="129" t="str">
        <f t="shared" si="69"/>
        <v>25.04.2005_KIRun</v>
      </c>
      <c r="D1949" s="143">
        <f t="shared" si="70"/>
        <v>0</v>
      </c>
      <c r="E1949" s="157">
        <v>7.66</v>
      </c>
      <c r="F1949" s="165"/>
      <c r="G1949" s="166">
        <v>913</v>
      </c>
      <c r="H1949" s="167">
        <v>9.32</v>
      </c>
      <c r="I1949" s="179"/>
      <c r="J1949" s="167">
        <v>82.6</v>
      </c>
      <c r="K1949" s="167">
        <v>11</v>
      </c>
      <c r="L1949" s="167">
        <v>13</v>
      </c>
      <c r="M1949" s="168">
        <v>0.38958333333333334</v>
      </c>
      <c r="N1949" s="67"/>
    </row>
    <row r="1950" spans="1:14" x14ac:dyDescent="0.25">
      <c r="A1950" s="66">
        <v>38467</v>
      </c>
      <c r="B1950" s="67" t="s">
        <v>50</v>
      </c>
      <c r="C1950" s="129" t="str">
        <f t="shared" si="69"/>
        <v>25.04.2005_LIEohBo</v>
      </c>
      <c r="D1950" s="143">
        <f t="shared" si="70"/>
        <v>0</v>
      </c>
      <c r="E1950" s="157">
        <v>7.92</v>
      </c>
      <c r="F1950" s="165"/>
      <c r="G1950" s="166">
        <v>587</v>
      </c>
      <c r="H1950" s="167">
        <v>10.88</v>
      </c>
      <c r="I1950" s="179"/>
      <c r="J1950" s="167">
        <v>95</v>
      </c>
      <c r="K1950" s="167">
        <v>10.45</v>
      </c>
      <c r="L1950" s="167">
        <v>14</v>
      </c>
      <c r="M1950" s="168">
        <v>0.36874999999999997</v>
      </c>
      <c r="N1950" s="67"/>
    </row>
    <row r="1951" spans="1:14" x14ac:dyDescent="0.25">
      <c r="A1951" s="66">
        <v>38467</v>
      </c>
      <c r="B1951" s="67" t="s">
        <v>53</v>
      </c>
      <c r="C1951" s="129" t="str">
        <f t="shared" si="69"/>
        <v>25.04.2005_NATohBo</v>
      </c>
      <c r="D1951" s="143">
        <f t="shared" si="70"/>
        <v>0</v>
      </c>
      <c r="E1951" s="157">
        <v>7.86</v>
      </c>
      <c r="F1951" s="165"/>
      <c r="G1951" s="166">
        <v>709</v>
      </c>
      <c r="H1951" s="167">
        <v>9.56</v>
      </c>
      <c r="I1951" s="179"/>
      <c r="J1951" s="167">
        <v>88.8</v>
      </c>
      <c r="K1951" s="167">
        <v>13.31</v>
      </c>
      <c r="L1951" s="167">
        <v>16</v>
      </c>
      <c r="M1951" s="168">
        <v>0.61111111111111105</v>
      </c>
      <c r="N1951" s="67"/>
    </row>
    <row r="1952" spans="1:14" x14ac:dyDescent="0.25">
      <c r="A1952" s="66">
        <v>38467</v>
      </c>
      <c r="B1952" s="67" t="s">
        <v>55</v>
      </c>
      <c r="C1952" s="129" t="str">
        <f t="shared" si="69"/>
        <v>25.04.2005_QUAohBo</v>
      </c>
      <c r="D1952" s="143">
        <f t="shared" si="70"/>
        <v>0</v>
      </c>
      <c r="E1952" s="157">
        <v>7.54</v>
      </c>
      <c r="F1952" s="165"/>
      <c r="G1952" s="166">
        <v>709</v>
      </c>
      <c r="H1952" s="167">
        <v>8.8699999999999992</v>
      </c>
      <c r="I1952" s="179"/>
      <c r="J1952" s="167">
        <v>79.099999999999994</v>
      </c>
      <c r="K1952" s="167">
        <v>11.34</v>
      </c>
      <c r="L1952" s="167">
        <v>19</v>
      </c>
      <c r="M1952" s="168">
        <v>0.5625</v>
      </c>
      <c r="N1952" s="67"/>
    </row>
    <row r="1953" spans="1:14" x14ac:dyDescent="0.25">
      <c r="A1953" s="66">
        <v>38467</v>
      </c>
      <c r="B1953" s="67" t="s">
        <v>57</v>
      </c>
      <c r="C1953" s="129" t="str">
        <f t="shared" si="69"/>
        <v>25.04.2005_SCHohVo</v>
      </c>
      <c r="D1953" s="143">
        <f t="shared" si="70"/>
        <v>0</v>
      </c>
      <c r="E1953" s="157">
        <v>7.57</v>
      </c>
      <c r="F1953" s="165"/>
      <c r="G1953" s="166">
        <v>314</v>
      </c>
      <c r="H1953" s="167">
        <v>9.81</v>
      </c>
      <c r="I1953" s="179"/>
      <c r="J1953" s="167">
        <v>85.9</v>
      </c>
      <c r="K1953" s="167">
        <v>10.54</v>
      </c>
      <c r="L1953" s="167">
        <v>9</v>
      </c>
      <c r="M1953" s="168">
        <v>0.40833333333333338</v>
      </c>
      <c r="N1953" s="67"/>
    </row>
    <row r="1954" spans="1:14" x14ac:dyDescent="0.25">
      <c r="A1954" s="66">
        <v>38467</v>
      </c>
      <c r="B1954" s="67" t="s">
        <v>60</v>
      </c>
      <c r="C1954" s="129" t="str">
        <f t="shared" si="69"/>
        <v>25.04.2005_VORohBo</v>
      </c>
      <c r="D1954" s="143">
        <f t="shared" si="70"/>
        <v>0</v>
      </c>
      <c r="E1954" s="157">
        <v>7.45</v>
      </c>
      <c r="F1954" s="165"/>
      <c r="G1954" s="166">
        <v>691</v>
      </c>
      <c r="H1954" s="167">
        <v>8.91</v>
      </c>
      <c r="I1954" s="179"/>
      <c r="J1954" s="167">
        <v>78</v>
      </c>
      <c r="K1954" s="167">
        <v>10.52</v>
      </c>
      <c r="L1954" s="167">
        <v>20</v>
      </c>
      <c r="M1954" s="168">
        <v>0.42777777777777781</v>
      </c>
      <c r="N1954" s="67"/>
    </row>
    <row r="1955" spans="1:14" x14ac:dyDescent="0.25">
      <c r="A1955" s="66">
        <v>38467</v>
      </c>
      <c r="B1955" s="67" t="s">
        <v>62</v>
      </c>
      <c r="C1955" s="129" t="str">
        <f t="shared" si="69"/>
        <v>25.04.2005_VORuhSc</v>
      </c>
      <c r="D1955" s="143">
        <f t="shared" si="70"/>
        <v>0</v>
      </c>
      <c r="E1955" s="157">
        <v>7.3</v>
      </c>
      <c r="F1955" s="165"/>
      <c r="G1955" s="166">
        <v>630</v>
      </c>
      <c r="H1955" s="167">
        <v>8.8800000000000008</v>
      </c>
      <c r="I1955" s="179"/>
      <c r="J1955" s="167">
        <v>77.7</v>
      </c>
      <c r="K1955" s="167">
        <v>10.54</v>
      </c>
      <c r="L1955" s="167">
        <v>16</v>
      </c>
      <c r="M1955" s="168">
        <v>0.41875000000000001</v>
      </c>
      <c r="N1955" s="67"/>
    </row>
    <row r="1956" spans="1:14" x14ac:dyDescent="0.25">
      <c r="A1956" s="66">
        <v>38467</v>
      </c>
      <c r="B1956" s="67" t="s">
        <v>64</v>
      </c>
      <c r="C1956" s="129" t="str">
        <f t="shared" si="69"/>
        <v>25.04.2005_WITob</v>
      </c>
      <c r="D1956" s="143">
        <f t="shared" si="70"/>
        <v>0</v>
      </c>
      <c r="E1956" s="157">
        <v>8.02</v>
      </c>
      <c r="F1956" s="165"/>
      <c r="G1956" s="166">
        <v>1141</v>
      </c>
      <c r="H1956" s="167">
        <v>9.99</v>
      </c>
      <c r="I1956" s="179"/>
      <c r="J1956" s="167">
        <v>89.5</v>
      </c>
      <c r="K1956" s="167">
        <v>11.51</v>
      </c>
      <c r="L1956" s="167">
        <v>3</v>
      </c>
      <c r="M1956" s="168">
        <v>0.59652777777777777</v>
      </c>
      <c r="N1956" s="67"/>
    </row>
    <row r="1957" spans="1:14" x14ac:dyDescent="0.25">
      <c r="A1957" s="66">
        <v>45796</v>
      </c>
      <c r="B1957" s="67" t="s">
        <v>22</v>
      </c>
      <c r="C1957" s="129" t="str">
        <f t="shared" ref="C1957:C1976" si="71">CONCATENATE(TEXT(A1957,"TT.MM.JJJJ"),"_",B1957)</f>
        <v>19.05.2025_BOYkl</v>
      </c>
      <c r="D1957" s="143">
        <f t="shared" ref="D1957:D1976" si="72">COUNTBLANK(E1957)+COUNTBLANK(G1957:H1957)+COUNTBLANK(K1957:L1957)</f>
        <v>0</v>
      </c>
      <c r="E1957" s="157">
        <v>7.88</v>
      </c>
      <c r="F1957" s="165"/>
      <c r="G1957" s="166">
        <v>494</v>
      </c>
      <c r="H1957" s="167">
        <v>10.16</v>
      </c>
      <c r="I1957" s="179"/>
      <c r="J1957" s="167">
        <v>90.1</v>
      </c>
      <c r="K1957" s="167">
        <v>11.14</v>
      </c>
      <c r="L1957" s="167">
        <v>3</v>
      </c>
      <c r="M1957" s="168">
        <v>0.47152777777777777</v>
      </c>
      <c r="N1957" s="67"/>
    </row>
    <row r="1958" spans="1:14" x14ac:dyDescent="0.25">
      <c r="A1958" s="66">
        <v>45796</v>
      </c>
      <c r="B1958" s="67" t="s">
        <v>25</v>
      </c>
      <c r="C1958" s="129" t="str">
        <f t="shared" si="71"/>
        <v>19.05.2025_BOYohB224</v>
      </c>
      <c r="D1958" s="143">
        <f t="shared" si="72"/>
        <v>0</v>
      </c>
      <c r="E1958" s="157">
        <v>8.0500000000000007</v>
      </c>
      <c r="F1958" s="165"/>
      <c r="G1958" s="166">
        <v>1142</v>
      </c>
      <c r="H1958" s="167">
        <v>8.86</v>
      </c>
      <c r="I1958" s="179"/>
      <c r="J1958" s="167">
        <v>99.1</v>
      </c>
      <c r="K1958" s="167">
        <v>22.19</v>
      </c>
      <c r="L1958" s="167">
        <v>37</v>
      </c>
      <c r="M1958" s="168">
        <v>0.69166666666666676</v>
      </c>
      <c r="N1958" s="67"/>
    </row>
    <row r="1959" spans="1:14" x14ac:dyDescent="0.25">
      <c r="A1959" s="66">
        <v>45796</v>
      </c>
      <c r="B1959" s="67" t="s">
        <v>28</v>
      </c>
      <c r="C1959" s="129" t="str">
        <f t="shared" si="71"/>
        <v>19.05.2025_BOYohBr</v>
      </c>
      <c r="D1959" s="143">
        <f t="shared" si="72"/>
        <v>0</v>
      </c>
      <c r="E1959" s="157">
        <v>7.64</v>
      </c>
      <c r="F1959" s="165"/>
      <c r="G1959" s="166">
        <v>650</v>
      </c>
      <c r="H1959" s="167">
        <v>8.56</v>
      </c>
      <c r="I1959" s="179"/>
      <c r="J1959" s="167">
        <v>78.3</v>
      </c>
      <c r="K1959" s="167">
        <v>12.6</v>
      </c>
      <c r="L1959" s="167">
        <v>18</v>
      </c>
      <c r="M1959" s="168">
        <v>0.57916666666666672</v>
      </c>
      <c r="N1959" s="67"/>
    </row>
    <row r="1960" spans="1:14" x14ac:dyDescent="0.25">
      <c r="A1960" s="66">
        <v>45796</v>
      </c>
      <c r="B1960" s="67" t="s">
        <v>30</v>
      </c>
      <c r="C1960" s="129" t="str">
        <f t="shared" si="71"/>
        <v>19.05.2025_BOYohKi</v>
      </c>
      <c r="D1960" s="143">
        <f t="shared" si="72"/>
        <v>0</v>
      </c>
      <c r="E1960" s="157">
        <v>7.65</v>
      </c>
      <c r="F1960" s="165"/>
      <c r="G1960" s="166">
        <v>969</v>
      </c>
      <c r="H1960" s="167">
        <v>10.37</v>
      </c>
      <c r="I1960" s="179"/>
      <c r="J1960" s="167">
        <v>92.8</v>
      </c>
      <c r="K1960" s="167">
        <v>11.53</v>
      </c>
      <c r="L1960" s="167">
        <v>33</v>
      </c>
      <c r="M1960" s="168">
        <v>0.38819444444444445</v>
      </c>
      <c r="N1960" s="67"/>
    </row>
    <row r="1961" spans="1:14" x14ac:dyDescent="0.25">
      <c r="A1961" s="66">
        <v>45796</v>
      </c>
      <c r="B1961" s="67" t="s">
        <v>32</v>
      </c>
      <c r="C1961" s="129" t="str">
        <f t="shared" si="71"/>
        <v>19.05.2025_BOYohSp</v>
      </c>
      <c r="D1961" s="143">
        <f t="shared" si="72"/>
        <v>0</v>
      </c>
      <c r="E1961" s="157">
        <v>7.6</v>
      </c>
      <c r="F1961" s="165"/>
      <c r="G1961" s="166">
        <v>747</v>
      </c>
      <c r="H1961" s="167">
        <v>8.57</v>
      </c>
      <c r="I1961" s="179"/>
      <c r="J1961" s="167">
        <v>79.2</v>
      </c>
      <c r="K1961" s="167">
        <v>12.89</v>
      </c>
      <c r="L1961" s="167">
        <v>25</v>
      </c>
      <c r="M1961" s="168">
        <v>0.62083333333333335</v>
      </c>
      <c r="N1961" s="67"/>
    </row>
    <row r="1962" spans="1:14" x14ac:dyDescent="0.25">
      <c r="A1962" s="66">
        <v>45796</v>
      </c>
      <c r="B1962" s="67" t="s">
        <v>34</v>
      </c>
      <c r="C1962" s="129" t="str">
        <f t="shared" si="71"/>
        <v>19.05.2025_BOYuhHa</v>
      </c>
      <c r="D1962" s="143">
        <f t="shared" si="72"/>
        <v>0</v>
      </c>
      <c r="E1962" s="157">
        <v>7.89</v>
      </c>
      <c r="F1962" s="165"/>
      <c r="G1962" s="166">
        <v>1267</v>
      </c>
      <c r="H1962" s="167">
        <v>10.31</v>
      </c>
      <c r="I1962" s="179"/>
      <c r="J1962" s="167">
        <v>90.8</v>
      </c>
      <c r="K1962" s="167">
        <v>10.84</v>
      </c>
      <c r="L1962" s="167">
        <v>14</v>
      </c>
      <c r="M1962" s="168">
        <v>0.35902777777777778</v>
      </c>
      <c r="N1962" s="67"/>
    </row>
    <row r="1963" spans="1:14" x14ac:dyDescent="0.25">
      <c r="A1963" s="66">
        <v>45796</v>
      </c>
      <c r="B1963" s="67" t="s">
        <v>36</v>
      </c>
      <c r="C1963" s="129" t="str">
        <f t="shared" si="71"/>
        <v>19.05.2025_BOYuhSp</v>
      </c>
      <c r="D1963" s="143">
        <f t="shared" si="72"/>
        <v>0</v>
      </c>
      <c r="E1963" s="157">
        <v>7.71</v>
      </c>
      <c r="F1963" s="165"/>
      <c r="G1963" s="166">
        <v>745</v>
      </c>
      <c r="H1963" s="167">
        <v>8.93</v>
      </c>
      <c r="I1963" s="179"/>
      <c r="J1963" s="167">
        <v>81.3</v>
      </c>
      <c r="K1963" s="167">
        <v>12.29</v>
      </c>
      <c r="L1963" s="167">
        <v>15</v>
      </c>
      <c r="M1963" s="168">
        <v>0.61527777777777781</v>
      </c>
      <c r="N1963" s="67"/>
    </row>
    <row r="1964" spans="1:14" x14ac:dyDescent="0.25">
      <c r="A1964" s="66">
        <v>45796</v>
      </c>
      <c r="B1964" s="67" t="s">
        <v>38</v>
      </c>
      <c r="C1964" s="129" t="str">
        <f t="shared" si="71"/>
        <v>19.05.2025_BRAob</v>
      </c>
      <c r="D1964" s="143">
        <f t="shared" si="72"/>
        <v>0</v>
      </c>
      <c r="E1964" s="157">
        <v>8.08</v>
      </c>
      <c r="F1964" s="165"/>
      <c r="G1964" s="166">
        <v>815</v>
      </c>
      <c r="H1964" s="167">
        <v>9.26</v>
      </c>
      <c r="I1964" s="179"/>
      <c r="J1964" s="167">
        <v>87.6</v>
      </c>
      <c r="K1964" s="167">
        <v>13.92</v>
      </c>
      <c r="L1964" s="167">
        <v>7</v>
      </c>
      <c r="M1964" s="168">
        <v>0.54097222222222219</v>
      </c>
      <c r="N1964" s="67"/>
    </row>
    <row r="1965" spans="1:14" x14ac:dyDescent="0.25">
      <c r="A1965" s="66">
        <v>45796</v>
      </c>
      <c r="B1965" s="67" t="s">
        <v>41</v>
      </c>
      <c r="C1965" s="129" t="str">
        <f t="shared" si="71"/>
        <v>19.05.2025_BRAohBo</v>
      </c>
      <c r="D1965" s="143">
        <f t="shared" si="72"/>
        <v>0</v>
      </c>
      <c r="E1965" s="157">
        <v>8.02</v>
      </c>
      <c r="F1965" s="165"/>
      <c r="G1965" s="166">
        <v>813</v>
      </c>
      <c r="H1965" s="167">
        <v>8.33</v>
      </c>
      <c r="I1965" s="179"/>
      <c r="J1965" s="167">
        <v>81.099999999999994</v>
      </c>
      <c r="K1965" s="167">
        <v>15.52</v>
      </c>
      <c r="L1965" s="167">
        <v>0</v>
      </c>
      <c r="M1965" s="168">
        <v>0.5625</v>
      </c>
      <c r="N1965" s="67"/>
    </row>
    <row r="1966" spans="1:14" x14ac:dyDescent="0.25">
      <c r="A1966" s="66">
        <v>45796</v>
      </c>
      <c r="B1966" s="67" t="s">
        <v>43</v>
      </c>
      <c r="C1966" s="129" t="str">
        <f t="shared" si="71"/>
        <v>19.05.2025_HAAob</v>
      </c>
      <c r="D1966" s="143">
        <f t="shared" si="72"/>
        <v>0</v>
      </c>
      <c r="E1966" s="157">
        <v>7.82</v>
      </c>
      <c r="F1966" s="165"/>
      <c r="G1966" s="166">
        <v>698</v>
      </c>
      <c r="H1966" s="167">
        <v>8.83</v>
      </c>
      <c r="I1966" s="179"/>
      <c r="J1966" s="167">
        <v>88</v>
      </c>
      <c r="K1966" s="167">
        <v>16.32</v>
      </c>
      <c r="L1966" s="167">
        <v>7</v>
      </c>
      <c r="M1966" s="168">
        <v>0.65763888888888888</v>
      </c>
      <c r="N1966" s="67"/>
    </row>
    <row r="1967" spans="1:14" x14ac:dyDescent="0.25">
      <c r="A1967" s="66">
        <v>45796</v>
      </c>
      <c r="B1967" s="67" t="s">
        <v>45</v>
      </c>
      <c r="C1967" s="129" t="str">
        <f t="shared" si="71"/>
        <v>19.05.2025_HAAun</v>
      </c>
      <c r="D1967" s="143">
        <f t="shared" si="72"/>
        <v>0</v>
      </c>
      <c r="E1967" s="157">
        <v>7.65</v>
      </c>
      <c r="F1967" s="165"/>
      <c r="G1967" s="166">
        <v>1174</v>
      </c>
      <c r="H1967" s="167">
        <v>8.5</v>
      </c>
      <c r="I1967" s="179"/>
      <c r="J1967" s="167">
        <v>82.5</v>
      </c>
      <c r="K1967" s="167">
        <v>15.26</v>
      </c>
      <c r="L1967" s="167">
        <v>7</v>
      </c>
      <c r="M1967" s="168">
        <v>0.64583333333333337</v>
      </c>
      <c r="N1967" s="67"/>
    </row>
    <row r="1968" spans="1:14" x14ac:dyDescent="0.25">
      <c r="A1968" s="66">
        <v>45796</v>
      </c>
      <c r="B1968" s="67" t="s">
        <v>47</v>
      </c>
      <c r="C1968" s="129" t="str">
        <f t="shared" si="71"/>
        <v>19.05.2025_KIRob</v>
      </c>
      <c r="D1968" s="143">
        <f t="shared" si="72"/>
        <v>0</v>
      </c>
      <c r="E1968" s="157">
        <v>7.57</v>
      </c>
      <c r="F1968" s="165"/>
      <c r="G1968" s="166">
        <v>1105</v>
      </c>
      <c r="H1968" s="167">
        <v>8.69</v>
      </c>
      <c r="I1968" s="179"/>
      <c r="J1968" s="167">
        <v>77.8</v>
      </c>
      <c r="K1968" s="167">
        <v>11.5</v>
      </c>
      <c r="L1968" s="167">
        <v>14</v>
      </c>
      <c r="M1968" s="168">
        <v>0.40763888888888888</v>
      </c>
      <c r="N1968" s="67"/>
    </row>
    <row r="1969" spans="1:14" x14ac:dyDescent="0.25">
      <c r="A1969" s="66">
        <v>45796</v>
      </c>
      <c r="B1969" s="67" t="s">
        <v>49</v>
      </c>
      <c r="C1969" s="129" t="str">
        <f t="shared" si="71"/>
        <v>19.05.2025_KIRun</v>
      </c>
      <c r="D1969" s="143">
        <f t="shared" si="72"/>
        <v>0</v>
      </c>
      <c r="E1969" s="157">
        <v>7.57</v>
      </c>
      <c r="F1969" s="165"/>
      <c r="G1969" s="166">
        <v>1135</v>
      </c>
      <c r="H1969" s="167">
        <v>9.4600000000000009</v>
      </c>
      <c r="I1969" s="179"/>
      <c r="J1969" s="167">
        <v>85.3</v>
      </c>
      <c r="K1969" s="167">
        <v>11.86</v>
      </c>
      <c r="L1969" s="167">
        <v>11</v>
      </c>
      <c r="M1969" s="168">
        <v>0.39930555555555558</v>
      </c>
      <c r="N1969" s="67"/>
    </row>
    <row r="1970" spans="1:14" x14ac:dyDescent="0.25">
      <c r="A1970" s="66">
        <v>45796</v>
      </c>
      <c r="B1970" s="67" t="s">
        <v>50</v>
      </c>
      <c r="C1970" s="129" t="str">
        <f t="shared" si="71"/>
        <v>19.05.2025_LIEohBo</v>
      </c>
      <c r="D1970" s="143">
        <f t="shared" si="72"/>
        <v>0</v>
      </c>
      <c r="E1970" s="157">
        <v>7.65</v>
      </c>
      <c r="F1970" s="165"/>
      <c r="G1970" s="166">
        <v>869</v>
      </c>
      <c r="H1970" s="167">
        <v>9.6999999999999993</v>
      </c>
      <c r="I1970" s="179"/>
      <c r="J1970" s="167">
        <v>84.3</v>
      </c>
      <c r="K1970" s="167">
        <v>10.24</v>
      </c>
      <c r="L1970" s="167">
        <v>11</v>
      </c>
      <c r="M1970" s="168">
        <v>0.37222222222222223</v>
      </c>
      <c r="N1970" s="67"/>
    </row>
    <row r="1971" spans="1:14" x14ac:dyDescent="0.25">
      <c r="A1971" s="66">
        <v>45796</v>
      </c>
      <c r="B1971" s="67" t="s">
        <v>53</v>
      </c>
      <c r="C1971" s="129" t="str">
        <f t="shared" si="71"/>
        <v>19.05.2025_NATohBo</v>
      </c>
      <c r="D1971" s="143">
        <f t="shared" si="72"/>
        <v>0</v>
      </c>
      <c r="E1971" s="157">
        <v>7.37</v>
      </c>
      <c r="F1971" s="165"/>
      <c r="G1971" s="166">
        <v>2427</v>
      </c>
      <c r="H1971" s="167">
        <v>7.95</v>
      </c>
      <c r="I1971" s="179"/>
      <c r="J1971" s="167">
        <v>83.3</v>
      </c>
      <c r="K1971" s="167">
        <v>18.670000000000002</v>
      </c>
      <c r="L1971" s="167">
        <v>1</v>
      </c>
      <c r="M1971" s="168">
        <v>0.67986111111111114</v>
      </c>
      <c r="N1971" s="67"/>
    </row>
    <row r="1972" spans="1:14" x14ac:dyDescent="0.25">
      <c r="A1972" s="66">
        <v>45796</v>
      </c>
      <c r="B1972" s="67" t="s">
        <v>55</v>
      </c>
      <c r="C1972" s="129" t="str">
        <f t="shared" si="71"/>
        <v>19.05.2025_QUAohBo</v>
      </c>
      <c r="D1972" s="143">
        <f t="shared" si="72"/>
        <v>0</v>
      </c>
      <c r="E1972" s="157">
        <v>7.44</v>
      </c>
      <c r="F1972" s="165"/>
      <c r="G1972" s="166">
        <v>957</v>
      </c>
      <c r="H1972" s="167">
        <v>7.31</v>
      </c>
      <c r="I1972" s="179"/>
      <c r="J1972" s="167">
        <v>70.5</v>
      </c>
      <c r="K1972" s="167">
        <v>14.77</v>
      </c>
      <c r="L1972" s="167">
        <v>10</v>
      </c>
      <c r="M1972" s="168">
        <v>0.63124999999999998</v>
      </c>
      <c r="N1972" s="67"/>
    </row>
    <row r="1973" spans="1:14" x14ac:dyDescent="0.25">
      <c r="A1973" s="66">
        <v>45796</v>
      </c>
      <c r="B1973" s="67" t="s">
        <v>57</v>
      </c>
      <c r="C1973" s="129" t="str">
        <f t="shared" si="71"/>
        <v>19.05.2025_SCHohVo</v>
      </c>
      <c r="D1973" s="143">
        <f t="shared" si="72"/>
        <v>0</v>
      </c>
      <c r="E1973" s="157">
        <v>7.79</v>
      </c>
      <c r="F1973" s="165"/>
      <c r="G1973" s="166">
        <v>830</v>
      </c>
      <c r="H1973" s="167">
        <v>10.59</v>
      </c>
      <c r="I1973" s="179"/>
      <c r="J1973" s="167">
        <v>94.3</v>
      </c>
      <c r="K1973" s="167">
        <v>11.3</v>
      </c>
      <c r="L1973" s="167">
        <v>2</v>
      </c>
      <c r="M1973" s="168">
        <v>0.42152777777777778</v>
      </c>
      <c r="N1973" s="67"/>
    </row>
    <row r="1974" spans="1:14" x14ac:dyDescent="0.25">
      <c r="A1974" s="66">
        <v>45796</v>
      </c>
      <c r="B1974" s="67" t="s">
        <v>60</v>
      </c>
      <c r="C1974" s="129" t="str">
        <f t="shared" si="71"/>
        <v>19.05.2025_VORohBo</v>
      </c>
      <c r="D1974" s="143">
        <f t="shared" si="72"/>
        <v>0</v>
      </c>
      <c r="E1974" s="157">
        <v>7.48</v>
      </c>
      <c r="F1974" s="165"/>
      <c r="G1974" s="166">
        <v>1252</v>
      </c>
      <c r="H1974" s="167">
        <v>8.5500000000000007</v>
      </c>
      <c r="I1974" s="179"/>
      <c r="J1974" s="167">
        <v>76.3</v>
      </c>
      <c r="K1974" s="167">
        <v>11.39</v>
      </c>
      <c r="L1974" s="167">
        <v>11</v>
      </c>
      <c r="M1974" s="168">
        <v>0.45277777777777778</v>
      </c>
      <c r="N1974" s="67"/>
    </row>
    <row r="1975" spans="1:14" x14ac:dyDescent="0.25">
      <c r="A1975" s="66">
        <v>45796</v>
      </c>
      <c r="B1975" s="67" t="s">
        <v>62</v>
      </c>
      <c r="C1975" s="129" t="str">
        <f t="shared" si="71"/>
        <v>19.05.2025_VORuhSc</v>
      </c>
      <c r="D1975" s="143">
        <f t="shared" si="72"/>
        <v>0</v>
      </c>
      <c r="E1975" s="157">
        <v>7.04</v>
      </c>
      <c r="F1975" s="165"/>
      <c r="G1975" s="166">
        <v>1256</v>
      </c>
      <c r="H1975" s="167">
        <v>9.3000000000000007</v>
      </c>
      <c r="I1975" s="179"/>
      <c r="J1975" s="167">
        <v>83.5</v>
      </c>
      <c r="K1975" s="167">
        <v>11.46</v>
      </c>
      <c r="L1975" s="167">
        <v>5</v>
      </c>
      <c r="M1975" s="168">
        <v>0.44027777777777777</v>
      </c>
      <c r="N1975" s="67"/>
    </row>
    <row r="1976" spans="1:14" x14ac:dyDescent="0.25">
      <c r="A1976" s="66">
        <v>45796</v>
      </c>
      <c r="B1976" s="67" t="s">
        <v>64</v>
      </c>
      <c r="C1976" s="129" t="str">
        <f t="shared" si="71"/>
        <v>19.05.2025_WITob</v>
      </c>
      <c r="D1976" s="143">
        <f t="shared" si="72"/>
        <v>0</v>
      </c>
      <c r="E1976" s="157">
        <v>7.88</v>
      </c>
      <c r="F1976" s="165"/>
      <c r="G1976" s="166">
        <v>1552</v>
      </c>
      <c r="H1976" s="167">
        <v>9.14</v>
      </c>
      <c r="I1976" s="179"/>
      <c r="J1976" s="167">
        <v>88.7</v>
      </c>
      <c r="K1976" s="167">
        <v>15.04</v>
      </c>
      <c r="L1976" s="167">
        <v>2</v>
      </c>
      <c r="M1976" s="168">
        <v>0.66736111111111107</v>
      </c>
      <c r="N1976" s="67"/>
    </row>
    <row r="1977" spans="1:14" x14ac:dyDescent="0.25">
      <c r="A1977" s="66">
        <v>45831</v>
      </c>
      <c r="B1977" s="67" t="s">
        <v>22</v>
      </c>
      <c r="C1977" s="129" t="str">
        <f t="shared" ref="C1977:C1999" si="73">CONCATENATE(TEXT(A1977,"TT.MM.JJJJ"),"_",B1977)</f>
        <v>23.06.2025_BOYkl</v>
      </c>
      <c r="D1977" s="143">
        <f t="shared" ref="D1977:D1999" si="74">COUNTBLANK(E1977)+COUNTBLANK(G1977:H1977)+COUNTBLANK(K1977:L1977)</f>
        <v>0</v>
      </c>
      <c r="E1977" s="157">
        <v>8.14</v>
      </c>
      <c r="F1977" s="165"/>
      <c r="G1977" s="166">
        <v>414</v>
      </c>
      <c r="H1977" s="167">
        <v>8</v>
      </c>
      <c r="I1977" s="179"/>
      <c r="J1977" s="167">
        <v>86.3</v>
      </c>
      <c r="K1977" s="167">
        <v>17.190000000000001</v>
      </c>
      <c r="L1977" s="167">
        <v>2</v>
      </c>
      <c r="M1977" s="168">
        <v>0.4548611111111111</v>
      </c>
      <c r="N1977" s="67" t="s">
        <v>377</v>
      </c>
    </row>
    <row r="1978" spans="1:14" x14ac:dyDescent="0.25">
      <c r="A1978" s="66">
        <v>45831</v>
      </c>
      <c r="B1978" s="67" t="s">
        <v>25</v>
      </c>
      <c r="C1978" s="129" t="str">
        <f t="shared" si="73"/>
        <v>23.06.2025_BOYohB224</v>
      </c>
      <c r="D1978" s="143">
        <f t="shared" si="74"/>
        <v>0</v>
      </c>
      <c r="E1978" s="157">
        <v>7.88</v>
      </c>
      <c r="F1978" s="165"/>
      <c r="G1978" s="166">
        <v>1022</v>
      </c>
      <c r="H1978" s="167">
        <v>11.05</v>
      </c>
      <c r="I1978" s="179"/>
      <c r="J1978" s="167">
        <v>126.1</v>
      </c>
      <c r="K1978" s="167">
        <v>21</v>
      </c>
      <c r="L1978" s="167">
        <v>35</v>
      </c>
      <c r="M1978" s="168">
        <v>0.62361111111111112</v>
      </c>
      <c r="N1978" s="67"/>
    </row>
    <row r="1979" spans="1:14" x14ac:dyDescent="0.25">
      <c r="A1979" s="66">
        <v>45831</v>
      </c>
      <c r="B1979" s="67" t="s">
        <v>28</v>
      </c>
      <c r="C1979" s="129" t="str">
        <f t="shared" si="73"/>
        <v>23.06.2025_BOYohBr</v>
      </c>
      <c r="D1979" s="143">
        <f t="shared" si="74"/>
        <v>0</v>
      </c>
      <c r="E1979" s="157">
        <v>7.7</v>
      </c>
      <c r="F1979" s="165"/>
      <c r="G1979" s="166">
        <v>553</v>
      </c>
      <c r="H1979" s="167">
        <v>7.42</v>
      </c>
      <c r="I1979" s="179"/>
      <c r="J1979" s="167">
        <v>74.3</v>
      </c>
      <c r="K1979" s="167">
        <v>14.61</v>
      </c>
      <c r="L1979" s="167">
        <v>9</v>
      </c>
      <c r="M1979" s="168">
        <v>0.5395833333333333</v>
      </c>
      <c r="N1979" s="67"/>
    </row>
    <row r="1980" spans="1:14" x14ac:dyDescent="0.25">
      <c r="A1980" s="66">
        <v>45831</v>
      </c>
      <c r="B1980" s="67" t="s">
        <v>30</v>
      </c>
      <c r="C1980" s="129" t="str">
        <f t="shared" si="73"/>
        <v>23.06.2025_BOYohKi</v>
      </c>
      <c r="D1980" s="143">
        <f t="shared" si="74"/>
        <v>0</v>
      </c>
      <c r="E1980" s="157">
        <v>7.75</v>
      </c>
      <c r="F1980" s="165"/>
      <c r="G1980" s="166">
        <v>856</v>
      </c>
      <c r="H1980" s="167">
        <v>8.75</v>
      </c>
      <c r="I1980" s="179"/>
      <c r="J1980" s="167">
        <v>90.7</v>
      </c>
      <c r="K1980" s="167">
        <v>16.32</v>
      </c>
      <c r="L1980" s="167">
        <v>28</v>
      </c>
      <c r="M1980" s="168">
        <v>0.38541666666666669</v>
      </c>
      <c r="N1980" s="67"/>
    </row>
    <row r="1981" spans="1:14" x14ac:dyDescent="0.25">
      <c r="A1981" s="66">
        <v>45831</v>
      </c>
      <c r="B1981" s="67" t="s">
        <v>32</v>
      </c>
      <c r="C1981" s="129" t="str">
        <f t="shared" si="73"/>
        <v>23.06.2025_BOYohSp</v>
      </c>
      <c r="D1981" s="143">
        <f t="shared" si="74"/>
        <v>0</v>
      </c>
      <c r="E1981" s="157">
        <v>7.57</v>
      </c>
      <c r="F1981" s="165"/>
      <c r="G1981" s="166">
        <v>617</v>
      </c>
      <c r="H1981" s="167">
        <v>7.02</v>
      </c>
      <c r="I1981" s="179"/>
      <c r="J1981" s="167">
        <v>71.400000000000006</v>
      </c>
      <c r="K1981" s="167">
        <v>15.49</v>
      </c>
      <c r="L1981" s="167">
        <v>15</v>
      </c>
      <c r="M1981" s="168">
        <v>0.56458333333333333</v>
      </c>
      <c r="N1981" s="67"/>
    </row>
    <row r="1982" spans="1:14" x14ac:dyDescent="0.25">
      <c r="A1982" s="66">
        <v>45831</v>
      </c>
      <c r="B1982" s="67" t="s">
        <v>34</v>
      </c>
      <c r="C1982" s="129" t="str">
        <f t="shared" si="73"/>
        <v>23.06.2025_BOYuhHa</v>
      </c>
      <c r="D1982" s="143">
        <f t="shared" si="74"/>
        <v>0</v>
      </c>
      <c r="E1982" s="157">
        <v>7.74</v>
      </c>
      <c r="F1982" s="165"/>
      <c r="G1982" s="166">
        <v>1170</v>
      </c>
      <c r="H1982" s="167">
        <v>8.59</v>
      </c>
      <c r="I1982" s="179"/>
      <c r="J1982" s="167">
        <v>91.5</v>
      </c>
      <c r="K1982" s="167">
        <v>17.940000000000001</v>
      </c>
      <c r="L1982" s="167">
        <v>12</v>
      </c>
      <c r="M1982" s="168">
        <v>0.36388888888888887</v>
      </c>
      <c r="N1982" s="67"/>
    </row>
    <row r="1983" spans="1:14" x14ac:dyDescent="0.25">
      <c r="A1983" s="66">
        <v>45831</v>
      </c>
      <c r="B1983" s="67" t="s">
        <v>36</v>
      </c>
      <c r="C1983" s="129" t="str">
        <f t="shared" si="73"/>
        <v>23.06.2025_BOYuhSp</v>
      </c>
      <c r="D1983" s="143">
        <f t="shared" si="74"/>
        <v>0</v>
      </c>
      <c r="E1983" s="157">
        <v>7.75</v>
      </c>
      <c r="F1983" s="165"/>
      <c r="G1983" s="166">
        <v>626</v>
      </c>
      <c r="H1983" s="167">
        <v>7.7</v>
      </c>
      <c r="I1983" s="179"/>
      <c r="J1983" s="167">
        <v>78.900000000000006</v>
      </c>
      <c r="K1983" s="167">
        <v>15.83</v>
      </c>
      <c r="L1983" s="167">
        <v>26</v>
      </c>
      <c r="M1983" s="168">
        <v>0.55972222222222223</v>
      </c>
      <c r="N1983" s="67"/>
    </row>
    <row r="1984" spans="1:14" x14ac:dyDescent="0.25">
      <c r="A1984" s="66">
        <v>45831</v>
      </c>
      <c r="B1984" s="67" t="s">
        <v>38</v>
      </c>
      <c r="C1984" s="129" t="str">
        <f t="shared" si="73"/>
        <v>23.06.2025_BRAob</v>
      </c>
      <c r="D1984" s="143">
        <f t="shared" si="74"/>
        <v>0</v>
      </c>
      <c r="E1984" s="157">
        <v>7.76</v>
      </c>
      <c r="F1984" s="165"/>
      <c r="G1984" s="166">
        <v>700</v>
      </c>
      <c r="H1984" s="167">
        <v>8.64</v>
      </c>
      <c r="I1984" s="179"/>
      <c r="J1984" s="167">
        <v>91</v>
      </c>
      <c r="K1984" s="167">
        <v>17.100000000000001</v>
      </c>
      <c r="L1984" s="167">
        <v>5</v>
      </c>
      <c r="M1984" s="168">
        <v>0.51736111111111105</v>
      </c>
      <c r="N1984" s="67"/>
    </row>
    <row r="1985" spans="1:14" x14ac:dyDescent="0.25">
      <c r="A1985" s="66">
        <v>45831</v>
      </c>
      <c r="B1985" s="67" t="s">
        <v>41</v>
      </c>
      <c r="C1985" s="129" t="str">
        <f t="shared" si="73"/>
        <v>23.06.2025_BRAohBo</v>
      </c>
      <c r="D1985" s="143">
        <f t="shared" si="74"/>
        <v>0</v>
      </c>
      <c r="E1985" s="157">
        <v>7.7</v>
      </c>
      <c r="F1985" s="165"/>
      <c r="G1985" s="166">
        <v>695</v>
      </c>
      <c r="H1985" s="167">
        <v>7.37</v>
      </c>
      <c r="I1985" s="179"/>
      <c r="J1985" s="167">
        <v>79.3</v>
      </c>
      <c r="K1985" s="167">
        <v>18.02</v>
      </c>
      <c r="L1985" s="167">
        <v>16</v>
      </c>
      <c r="M1985" s="168">
        <v>0.52569444444444446</v>
      </c>
      <c r="N1985" s="67"/>
    </row>
    <row r="1986" spans="1:14" x14ac:dyDescent="0.25">
      <c r="A1986" s="66">
        <v>45831</v>
      </c>
      <c r="B1986" s="67" t="s">
        <v>43</v>
      </c>
      <c r="C1986" s="129" t="str">
        <f t="shared" si="73"/>
        <v>23.06.2025_HAAob</v>
      </c>
      <c r="D1986" s="143">
        <f t="shared" si="74"/>
        <v>0</v>
      </c>
      <c r="E1986" s="157">
        <v>7.88</v>
      </c>
      <c r="F1986" s="165"/>
      <c r="G1986" s="166">
        <v>766</v>
      </c>
      <c r="H1986" s="167">
        <v>7.88</v>
      </c>
      <c r="I1986" s="179"/>
      <c r="J1986" s="167">
        <v>84.5</v>
      </c>
      <c r="K1986" s="167">
        <v>18</v>
      </c>
      <c r="L1986" s="167">
        <v>4</v>
      </c>
      <c r="M1986" s="168">
        <v>0.59444444444444444</v>
      </c>
      <c r="N1986" s="67"/>
    </row>
    <row r="1987" spans="1:14" x14ac:dyDescent="0.25">
      <c r="A1987" s="66">
        <v>45831</v>
      </c>
      <c r="B1987" s="67" t="s">
        <v>45</v>
      </c>
      <c r="C1987" s="129" t="str">
        <f t="shared" si="73"/>
        <v>23.06.2025_HAAun</v>
      </c>
      <c r="D1987" s="143">
        <f t="shared" si="74"/>
        <v>0</v>
      </c>
      <c r="E1987" s="157">
        <v>7.77</v>
      </c>
      <c r="F1987" s="165"/>
      <c r="G1987" s="166">
        <v>1150</v>
      </c>
      <c r="H1987" s="167">
        <v>7.97</v>
      </c>
      <c r="I1987" s="179"/>
      <c r="J1987" s="167">
        <v>83.7</v>
      </c>
      <c r="K1987" s="167">
        <v>16.89</v>
      </c>
      <c r="L1987" s="167">
        <v>7</v>
      </c>
      <c r="M1987" s="168">
        <v>0.58611111111111114</v>
      </c>
      <c r="N1987" s="67"/>
    </row>
    <row r="1988" spans="1:14" x14ac:dyDescent="0.25">
      <c r="A1988" s="66">
        <v>45831</v>
      </c>
      <c r="B1988" s="67" t="s">
        <v>47</v>
      </c>
      <c r="C1988" s="129" t="str">
        <f t="shared" si="73"/>
        <v>23.06.2025_KIRob</v>
      </c>
      <c r="D1988" s="143">
        <f t="shared" si="74"/>
        <v>0</v>
      </c>
      <c r="E1988" s="157">
        <v>7.51</v>
      </c>
      <c r="F1988" s="165"/>
      <c r="G1988" s="166">
        <v>567</v>
      </c>
      <c r="H1988" s="167">
        <v>6.64</v>
      </c>
      <c r="I1988" s="179"/>
      <c r="J1988" s="167">
        <v>67.900000000000006</v>
      </c>
      <c r="K1988" s="167">
        <v>15.65</v>
      </c>
      <c r="L1988" s="167">
        <v>7</v>
      </c>
      <c r="M1988" s="168">
        <v>0.40486111111111112</v>
      </c>
      <c r="N1988" s="67"/>
    </row>
    <row r="1989" spans="1:14" x14ac:dyDescent="0.25">
      <c r="A1989" s="66">
        <v>45831</v>
      </c>
      <c r="B1989" s="67" t="s">
        <v>49</v>
      </c>
      <c r="C1989" s="129" t="str">
        <f t="shared" si="73"/>
        <v>23.06.2025_KIRun</v>
      </c>
      <c r="D1989" s="143">
        <f t="shared" si="74"/>
        <v>0</v>
      </c>
      <c r="E1989" s="157">
        <v>7.63</v>
      </c>
      <c r="F1989" s="165"/>
      <c r="G1989" s="166">
        <v>979</v>
      </c>
      <c r="H1989" s="167">
        <v>8.33</v>
      </c>
      <c r="I1989" s="179"/>
      <c r="J1989" s="167">
        <v>84.7</v>
      </c>
      <c r="K1989" s="167">
        <v>15.39</v>
      </c>
      <c r="L1989" s="167">
        <v>8</v>
      </c>
      <c r="M1989" s="168">
        <v>0.3972222222222222</v>
      </c>
      <c r="N1989" s="67"/>
    </row>
    <row r="1990" spans="1:14" x14ac:dyDescent="0.25">
      <c r="A1990" s="66">
        <v>45831</v>
      </c>
      <c r="B1990" s="67" t="s">
        <v>50</v>
      </c>
      <c r="C1990" s="129" t="str">
        <f t="shared" si="73"/>
        <v>23.06.2025_LIEohBo</v>
      </c>
      <c r="D1990" s="143">
        <f t="shared" si="74"/>
        <v>0</v>
      </c>
      <c r="E1990" s="157">
        <v>7.54</v>
      </c>
      <c r="F1990" s="165"/>
      <c r="G1990" s="166">
        <v>780</v>
      </c>
      <c r="H1990" s="167">
        <v>3.74</v>
      </c>
      <c r="I1990" s="179"/>
      <c r="J1990" s="167">
        <v>39.5</v>
      </c>
      <c r="K1990" s="167">
        <v>17.440000000000001</v>
      </c>
      <c r="L1990" s="167">
        <v>8</v>
      </c>
      <c r="M1990" s="168">
        <v>0.3756944444444445</v>
      </c>
      <c r="N1990" s="67"/>
    </row>
    <row r="1991" spans="1:14" x14ac:dyDescent="0.25">
      <c r="A1991" s="66">
        <v>45831</v>
      </c>
      <c r="B1991" s="67" t="s">
        <v>53</v>
      </c>
      <c r="C1991" s="129" t="str">
        <f t="shared" si="73"/>
        <v>23.06.2025_NATohBo</v>
      </c>
      <c r="D1991" s="143">
        <f t="shared" si="74"/>
        <v>0</v>
      </c>
      <c r="E1991" s="157">
        <v>7.24</v>
      </c>
      <c r="F1991" s="165"/>
      <c r="G1991" s="166">
        <v>2266</v>
      </c>
      <c r="H1991" s="167">
        <v>6.78</v>
      </c>
      <c r="I1991" s="179"/>
      <c r="J1991" s="167">
        <v>72.8</v>
      </c>
      <c r="K1991" s="167">
        <v>18</v>
      </c>
      <c r="L1991" s="167">
        <v>9</v>
      </c>
      <c r="M1991" s="168">
        <v>0.61388888888888882</v>
      </c>
      <c r="N1991" s="67"/>
    </row>
    <row r="1992" spans="1:14" x14ac:dyDescent="0.25">
      <c r="A1992" s="66">
        <v>45831</v>
      </c>
      <c r="B1992" s="67" t="s">
        <v>55</v>
      </c>
      <c r="C1992" s="129" t="str">
        <f t="shared" si="73"/>
        <v>23.06.2025_QUAohBo</v>
      </c>
      <c r="D1992" s="143">
        <f t="shared" si="74"/>
        <v>0</v>
      </c>
      <c r="E1992" s="157">
        <v>7.4</v>
      </c>
      <c r="F1992" s="165"/>
      <c r="G1992" s="166">
        <v>865</v>
      </c>
      <c r="H1992" s="167">
        <v>3.68</v>
      </c>
      <c r="I1992" s="179"/>
      <c r="J1992" s="167">
        <v>39.1</v>
      </c>
      <c r="K1992" s="167">
        <v>17.48</v>
      </c>
      <c r="L1992" s="167">
        <v>7</v>
      </c>
      <c r="M1992" s="168">
        <v>0.57291666666666663</v>
      </c>
      <c r="N1992" s="67"/>
    </row>
    <row r="1993" spans="1:14" x14ac:dyDescent="0.25">
      <c r="A1993" s="66">
        <v>45831</v>
      </c>
      <c r="B1993" s="67" t="s">
        <v>356</v>
      </c>
      <c r="C1993" s="129" t="str">
        <f t="shared" si="73"/>
        <v>23.06.2025_ROTB</v>
      </c>
      <c r="D1993" s="143">
        <f t="shared" si="74"/>
        <v>0</v>
      </c>
      <c r="E1993" s="157">
        <v>7.55</v>
      </c>
      <c r="F1993" s="165"/>
      <c r="G1993" s="166">
        <v>1241</v>
      </c>
      <c r="H1993" s="167">
        <v>7.3</v>
      </c>
      <c r="I1993" s="179"/>
      <c r="J1993" s="167">
        <v>76.599999999999994</v>
      </c>
      <c r="K1993" s="167">
        <v>16.829999999999998</v>
      </c>
      <c r="L1993" s="167">
        <v>13</v>
      </c>
      <c r="M1993" s="168">
        <v>0.47986111111111113</v>
      </c>
      <c r="N1993" s="67"/>
    </row>
    <row r="1994" spans="1:14" x14ac:dyDescent="0.25">
      <c r="A1994" s="66">
        <v>45831</v>
      </c>
      <c r="B1994" s="67" t="s">
        <v>57</v>
      </c>
      <c r="C1994" s="129" t="str">
        <f t="shared" si="73"/>
        <v>23.06.2025_SCHohVo</v>
      </c>
      <c r="D1994" s="143">
        <f t="shared" si="74"/>
        <v>5</v>
      </c>
      <c r="E1994" s="157"/>
      <c r="F1994" s="165"/>
      <c r="G1994" s="166"/>
      <c r="H1994" s="167"/>
      <c r="I1994" s="179"/>
      <c r="J1994" s="167"/>
      <c r="K1994" s="167"/>
      <c r="L1994" s="167"/>
      <c r="M1994" s="168"/>
      <c r="N1994" s="67" t="s">
        <v>370</v>
      </c>
    </row>
    <row r="1995" spans="1:14" x14ac:dyDescent="0.25">
      <c r="A1995" s="66">
        <v>45831</v>
      </c>
      <c r="B1995" s="67" t="s">
        <v>357</v>
      </c>
      <c r="C1995" s="129" t="str">
        <f t="shared" si="73"/>
        <v>23.06.2025_SCHW</v>
      </c>
      <c r="D1995" s="143">
        <f t="shared" si="74"/>
        <v>0</v>
      </c>
      <c r="E1995" s="157">
        <v>7.71</v>
      </c>
      <c r="F1995" s="165"/>
      <c r="G1995" s="166">
        <v>1275</v>
      </c>
      <c r="H1995" s="167">
        <v>7.16</v>
      </c>
      <c r="I1995" s="179"/>
      <c r="J1995" s="167">
        <v>76.400000000000006</v>
      </c>
      <c r="K1995" s="167">
        <v>17.62</v>
      </c>
      <c r="L1995" s="167">
        <v>15</v>
      </c>
      <c r="M1995" s="168">
        <v>0.47638888888888892</v>
      </c>
      <c r="N1995" s="67"/>
    </row>
    <row r="1996" spans="1:14" x14ac:dyDescent="0.25">
      <c r="A1996" s="66">
        <v>45831</v>
      </c>
      <c r="B1996" s="67" t="s">
        <v>358</v>
      </c>
      <c r="C1996" s="129" t="str">
        <f t="shared" si="73"/>
        <v>23.06.2025_SPE</v>
      </c>
      <c r="D1996" s="143">
        <f t="shared" si="74"/>
        <v>5</v>
      </c>
      <c r="E1996" s="157"/>
      <c r="F1996" s="165"/>
      <c r="G1996" s="166"/>
      <c r="H1996" s="167"/>
      <c r="I1996" s="179"/>
      <c r="J1996" s="167"/>
      <c r="K1996" s="167"/>
      <c r="L1996" s="167"/>
      <c r="M1996" s="168"/>
      <c r="N1996" s="67" t="s">
        <v>376</v>
      </c>
    </row>
    <row r="1997" spans="1:14" x14ac:dyDescent="0.25">
      <c r="A1997" s="66">
        <v>45831</v>
      </c>
      <c r="B1997" s="67" t="s">
        <v>60</v>
      </c>
      <c r="C1997" s="129" t="str">
        <f t="shared" si="73"/>
        <v>23.06.2025_VORohBo</v>
      </c>
      <c r="D1997" s="143">
        <f t="shared" si="74"/>
        <v>0</v>
      </c>
      <c r="E1997" s="157">
        <v>7.29</v>
      </c>
      <c r="F1997" s="165"/>
      <c r="G1997" s="166">
        <v>1125</v>
      </c>
      <c r="H1997" s="167">
        <v>6.76</v>
      </c>
      <c r="I1997" s="179"/>
      <c r="J1997" s="167">
        <v>69</v>
      </c>
      <c r="K1997" s="167">
        <v>15.46</v>
      </c>
      <c r="L1997" s="167">
        <v>10</v>
      </c>
      <c r="M1997" s="168">
        <v>0.4375</v>
      </c>
      <c r="N1997" s="67"/>
    </row>
    <row r="1998" spans="1:14" x14ac:dyDescent="0.25">
      <c r="A1998" s="66">
        <v>45831</v>
      </c>
      <c r="B1998" s="67" t="s">
        <v>62</v>
      </c>
      <c r="C1998" s="129" t="str">
        <f t="shared" si="73"/>
        <v>23.06.2025_VORuhSc</v>
      </c>
      <c r="D1998" s="143">
        <f t="shared" si="74"/>
        <v>0</v>
      </c>
      <c r="E1998" s="157">
        <v>7.16</v>
      </c>
      <c r="F1998" s="165"/>
      <c r="G1998" s="166">
        <v>1130</v>
      </c>
      <c r="H1998" s="167">
        <v>6.02</v>
      </c>
      <c r="I1998" s="179"/>
      <c r="J1998" s="167">
        <v>61.5</v>
      </c>
      <c r="K1998" s="167">
        <v>15.53</v>
      </c>
      <c r="L1998" s="167">
        <v>5</v>
      </c>
      <c r="M1998" s="168">
        <v>0.4284722222222222</v>
      </c>
      <c r="N1998" s="67"/>
    </row>
    <row r="1999" spans="1:14" x14ac:dyDescent="0.25">
      <c r="A1999" s="66">
        <v>45831</v>
      </c>
      <c r="B1999" s="67" t="s">
        <v>64</v>
      </c>
      <c r="C1999" s="129" t="str">
        <f t="shared" si="73"/>
        <v>23.06.2025_WITob</v>
      </c>
      <c r="D1999" s="143">
        <f t="shared" si="74"/>
        <v>0</v>
      </c>
      <c r="E1999" s="157">
        <v>7.55</v>
      </c>
      <c r="F1999" s="165"/>
      <c r="G1999" s="166">
        <v>1273</v>
      </c>
      <c r="H1999" s="167">
        <v>8.4499999999999993</v>
      </c>
      <c r="I1999" s="179"/>
      <c r="J1999" s="167">
        <v>89.3</v>
      </c>
      <c r="K1999" s="167">
        <v>12.72</v>
      </c>
      <c r="L1999" s="167">
        <v>2</v>
      </c>
      <c r="M1999" s="168">
        <v>0.60138888888888886</v>
      </c>
      <c r="N1999" s="67"/>
    </row>
    <row r="2000" spans="1:14" x14ac:dyDescent="0.25">
      <c r="A2000" s="66">
        <v>45853</v>
      </c>
      <c r="B2000" s="67" t="s">
        <v>22</v>
      </c>
      <c r="C2000" s="129" t="str">
        <f t="shared" ref="C2000" si="75">CONCATENATE(TEXT(A2000,"TT.MM.JJJJ"),"_",B2000)</f>
        <v>15.07.2025_BOYkl</v>
      </c>
      <c r="D2000" s="143">
        <f t="shared" ref="D2000" si="76">COUNTBLANK(E2000)+COUNTBLANK(G2000:H2000)+COUNTBLANK(K2000:L2000)</f>
        <v>5</v>
      </c>
      <c r="E2000" s="157"/>
      <c r="F2000" s="165"/>
      <c r="G2000" s="166"/>
      <c r="H2000" s="167"/>
      <c r="I2000" s="179"/>
      <c r="J2000" s="167"/>
      <c r="K2000" s="167"/>
      <c r="L2000" s="167"/>
      <c r="M2000" s="168"/>
      <c r="N2000" s="67" t="s">
        <v>376</v>
      </c>
    </row>
    <row r="2001" spans="1:14" x14ac:dyDescent="0.25">
      <c r="A2001" s="66">
        <v>45853</v>
      </c>
      <c r="B2001" s="67" t="s">
        <v>25</v>
      </c>
      <c r="C2001" s="129" t="str">
        <f t="shared" ref="C2001:C2022" si="77">CONCATENATE(TEXT(A2001,"TT.MM.JJJJ"),"_",B2001)</f>
        <v>15.07.2025_BOYohB224</v>
      </c>
      <c r="D2001" s="143">
        <f t="shared" ref="D2001:D2022" si="78">COUNTBLANK(E2001)+COUNTBLANK(G2001:H2001)+COUNTBLANK(K2001:L2001)</f>
        <v>0</v>
      </c>
      <c r="E2001" s="157">
        <v>8.1</v>
      </c>
      <c r="F2001" s="165"/>
      <c r="G2001" s="166">
        <v>946</v>
      </c>
      <c r="H2001" s="167">
        <v>10.89</v>
      </c>
      <c r="I2001" s="179"/>
      <c r="J2001" s="167">
        <v>125.1</v>
      </c>
      <c r="K2001" s="167">
        <v>22.25</v>
      </c>
      <c r="L2001" s="167">
        <v>37</v>
      </c>
      <c r="M2001" s="168">
        <v>0.62152777777777779</v>
      </c>
      <c r="N2001" s="67"/>
    </row>
    <row r="2002" spans="1:14" x14ac:dyDescent="0.25">
      <c r="A2002" s="66">
        <v>45853</v>
      </c>
      <c r="B2002" s="67" t="s">
        <v>28</v>
      </c>
      <c r="C2002" s="129" t="str">
        <f t="shared" si="77"/>
        <v>15.07.2025_BOYohBr</v>
      </c>
      <c r="D2002" s="143">
        <f t="shared" si="78"/>
        <v>0</v>
      </c>
      <c r="E2002" s="157">
        <v>7.57</v>
      </c>
      <c r="F2002" s="165"/>
      <c r="G2002" s="166">
        <v>486</v>
      </c>
      <c r="H2002" s="167">
        <v>6.66</v>
      </c>
      <c r="I2002" s="179"/>
      <c r="J2002" s="167">
        <v>66.2</v>
      </c>
      <c r="K2002" s="167">
        <v>15.19</v>
      </c>
      <c r="L2002" s="167">
        <v>13</v>
      </c>
      <c r="M2002" s="168">
        <v>0.52708333333333335</v>
      </c>
      <c r="N2002" s="67"/>
    </row>
    <row r="2003" spans="1:14" x14ac:dyDescent="0.25">
      <c r="A2003" s="66">
        <v>45853</v>
      </c>
      <c r="B2003" s="67" t="s">
        <v>30</v>
      </c>
      <c r="C2003" s="129" t="str">
        <f t="shared" si="77"/>
        <v>15.07.2025_BOYohKi</v>
      </c>
      <c r="D2003" s="143">
        <f t="shared" si="78"/>
        <v>0</v>
      </c>
      <c r="E2003" s="157">
        <v>7.6</v>
      </c>
      <c r="F2003" s="165"/>
      <c r="G2003" s="166">
        <v>814</v>
      </c>
      <c r="H2003" s="167">
        <v>7.56</v>
      </c>
      <c r="I2003" s="179"/>
      <c r="J2003" s="167">
        <v>75.8</v>
      </c>
      <c r="K2003" s="167">
        <v>15.7</v>
      </c>
      <c r="L2003" s="167">
        <v>29</v>
      </c>
      <c r="M2003" s="168">
        <v>0.37361111111111112</v>
      </c>
      <c r="N2003" s="67"/>
    </row>
    <row r="2004" spans="1:14" x14ac:dyDescent="0.25">
      <c r="A2004" s="66">
        <v>45853</v>
      </c>
      <c r="B2004" s="67" t="s">
        <v>32</v>
      </c>
      <c r="C2004" s="129" t="str">
        <f t="shared" si="77"/>
        <v>15.07.2025_BOYohSp</v>
      </c>
      <c r="D2004" s="143">
        <f t="shared" si="78"/>
        <v>0</v>
      </c>
      <c r="E2004" s="157">
        <v>7.64</v>
      </c>
      <c r="F2004" s="165"/>
      <c r="G2004" s="166">
        <v>487</v>
      </c>
      <c r="H2004" s="167">
        <v>6.5</v>
      </c>
      <c r="I2004" s="179"/>
      <c r="J2004" s="167">
        <v>65.5</v>
      </c>
      <c r="K2004" s="167">
        <v>15.99</v>
      </c>
      <c r="L2004" s="167">
        <v>19</v>
      </c>
      <c r="M2004" s="168">
        <v>0.55833333333333335</v>
      </c>
      <c r="N2004" s="67"/>
    </row>
    <row r="2005" spans="1:14" x14ac:dyDescent="0.25">
      <c r="A2005" s="66">
        <v>45853</v>
      </c>
      <c r="B2005" s="67" t="s">
        <v>34</v>
      </c>
      <c r="C2005" s="129" t="str">
        <f t="shared" si="77"/>
        <v>15.07.2025_BOYuhHa</v>
      </c>
      <c r="D2005" s="143">
        <f t="shared" si="78"/>
        <v>0</v>
      </c>
      <c r="E2005" s="157">
        <v>7.78</v>
      </c>
      <c r="F2005" s="165"/>
      <c r="G2005" s="166">
        <v>1156</v>
      </c>
      <c r="H2005" s="167">
        <v>8.08</v>
      </c>
      <c r="I2005" s="179"/>
      <c r="J2005" s="167">
        <v>84</v>
      </c>
      <c r="K2005" s="167">
        <v>17.32</v>
      </c>
      <c r="L2005" s="167">
        <v>12</v>
      </c>
      <c r="M2005" s="168">
        <v>0.3520833333333333</v>
      </c>
      <c r="N2005" s="67"/>
    </row>
    <row r="2006" spans="1:14" x14ac:dyDescent="0.25">
      <c r="A2006" s="66">
        <v>45853</v>
      </c>
      <c r="B2006" s="67" t="s">
        <v>36</v>
      </c>
      <c r="C2006" s="129" t="str">
        <f t="shared" si="77"/>
        <v>15.07.2025_BOYuhSp</v>
      </c>
      <c r="D2006" s="143">
        <f t="shared" si="78"/>
        <v>0</v>
      </c>
      <c r="E2006" s="157">
        <v>7.71</v>
      </c>
      <c r="F2006" s="165"/>
      <c r="G2006" s="166">
        <v>500</v>
      </c>
      <c r="H2006" s="167">
        <v>6.76</v>
      </c>
      <c r="I2006" s="179"/>
      <c r="J2006" s="167">
        <v>68.7</v>
      </c>
      <c r="K2006" s="167">
        <v>16.309999999999999</v>
      </c>
      <c r="L2006" s="167">
        <v>28</v>
      </c>
      <c r="M2006" s="168">
        <v>0.55208333333333337</v>
      </c>
      <c r="N2006" s="67"/>
    </row>
    <row r="2007" spans="1:14" x14ac:dyDescent="0.25">
      <c r="A2007" s="66">
        <v>45853</v>
      </c>
      <c r="B2007" s="67" t="s">
        <v>38</v>
      </c>
      <c r="C2007" s="129" t="str">
        <f t="shared" si="77"/>
        <v>15.07.2025_BRAob</v>
      </c>
      <c r="D2007" s="143">
        <f t="shared" si="78"/>
        <v>0</v>
      </c>
      <c r="E2007" s="157">
        <v>7.9</v>
      </c>
      <c r="F2007" s="165"/>
      <c r="G2007" s="166">
        <v>717</v>
      </c>
      <c r="H2007" s="167">
        <v>9.0500000000000007</v>
      </c>
      <c r="I2007" s="179"/>
      <c r="J2007" s="167">
        <v>93.5</v>
      </c>
      <c r="K2007" s="167">
        <v>16.760000000000002</v>
      </c>
      <c r="L2007" s="167">
        <v>4</v>
      </c>
      <c r="M2007" s="168">
        <v>0.4993055555555555</v>
      </c>
      <c r="N2007" s="67"/>
    </row>
    <row r="2008" spans="1:14" x14ac:dyDescent="0.25">
      <c r="A2008" s="66">
        <v>45853</v>
      </c>
      <c r="B2008" s="67" t="s">
        <v>41</v>
      </c>
      <c r="C2008" s="129" t="str">
        <f t="shared" si="77"/>
        <v>15.07.2025_BRAohBo</v>
      </c>
      <c r="D2008" s="143">
        <f t="shared" si="78"/>
        <v>0</v>
      </c>
      <c r="E2008" s="157">
        <v>7.76</v>
      </c>
      <c r="F2008" s="165"/>
      <c r="G2008" s="166">
        <v>415</v>
      </c>
      <c r="H2008" s="167">
        <v>7.49</v>
      </c>
      <c r="I2008" s="179"/>
      <c r="J2008" s="167">
        <v>77.900000000000006</v>
      </c>
      <c r="K2008" s="167">
        <v>17.34</v>
      </c>
      <c r="L2008" s="167">
        <v>19</v>
      </c>
      <c r="M2008" s="168">
        <v>0.51041666666666663</v>
      </c>
      <c r="N2008" s="67"/>
    </row>
    <row r="2009" spans="1:14" x14ac:dyDescent="0.25">
      <c r="A2009" s="66">
        <v>45853</v>
      </c>
      <c r="B2009" s="67" t="s">
        <v>43</v>
      </c>
      <c r="C2009" s="129" t="str">
        <f t="shared" si="77"/>
        <v>15.07.2025_HAAob</v>
      </c>
      <c r="D2009" s="143">
        <f t="shared" si="78"/>
        <v>0</v>
      </c>
      <c r="E2009" s="157">
        <v>7.91</v>
      </c>
      <c r="F2009" s="165"/>
      <c r="G2009" s="166">
        <v>668</v>
      </c>
      <c r="H2009" s="167">
        <v>8.5500000000000007</v>
      </c>
      <c r="I2009" s="179"/>
      <c r="J2009" s="167">
        <v>90.8</v>
      </c>
      <c r="K2009" s="167">
        <v>18.47</v>
      </c>
      <c r="L2009" s="167">
        <v>4</v>
      </c>
      <c r="M2009" s="168">
        <v>0.58958333333333335</v>
      </c>
      <c r="N2009" s="67"/>
    </row>
    <row r="2010" spans="1:14" x14ac:dyDescent="0.25">
      <c r="A2010" s="66">
        <v>45853</v>
      </c>
      <c r="B2010" s="67" t="s">
        <v>45</v>
      </c>
      <c r="C2010" s="129" t="str">
        <f t="shared" si="77"/>
        <v>15.07.2025_HAAun</v>
      </c>
      <c r="D2010" s="143">
        <f t="shared" si="78"/>
        <v>0</v>
      </c>
      <c r="E2010" s="157">
        <v>7.58</v>
      </c>
      <c r="F2010" s="165"/>
      <c r="G2010" s="166">
        <v>1037</v>
      </c>
      <c r="H2010" s="167">
        <v>8.08</v>
      </c>
      <c r="I2010" s="179"/>
      <c r="J2010" s="167">
        <v>83.8</v>
      </c>
      <c r="K2010" s="167">
        <v>17.27</v>
      </c>
      <c r="L2010" s="167">
        <v>8</v>
      </c>
      <c r="M2010" s="168">
        <v>0.57986111111111105</v>
      </c>
      <c r="N2010" s="67"/>
    </row>
    <row r="2011" spans="1:14" x14ac:dyDescent="0.25">
      <c r="A2011" s="66">
        <v>45853</v>
      </c>
      <c r="B2011" s="67" t="s">
        <v>47</v>
      </c>
      <c r="C2011" s="129" t="str">
        <f t="shared" si="77"/>
        <v>15.07.2025_KIRob</v>
      </c>
      <c r="D2011" s="143">
        <f t="shared" si="78"/>
        <v>0</v>
      </c>
      <c r="E2011" s="157">
        <v>7.66</v>
      </c>
      <c r="F2011" s="165"/>
      <c r="G2011" s="166">
        <v>824</v>
      </c>
      <c r="H2011" s="167">
        <v>6.08</v>
      </c>
      <c r="I2011" s="179"/>
      <c r="J2011" s="167">
        <v>61.3</v>
      </c>
      <c r="K2011" s="167">
        <v>15.18</v>
      </c>
      <c r="L2011" s="167">
        <v>9</v>
      </c>
      <c r="M2011" s="168">
        <v>0.39652777777777781</v>
      </c>
      <c r="N2011" s="67"/>
    </row>
    <row r="2012" spans="1:14" x14ac:dyDescent="0.25">
      <c r="A2012" s="66">
        <v>45853</v>
      </c>
      <c r="B2012" s="67" t="s">
        <v>49</v>
      </c>
      <c r="C2012" s="129" t="str">
        <f t="shared" si="77"/>
        <v>15.07.2025_KIRun</v>
      </c>
      <c r="D2012" s="143">
        <f t="shared" si="78"/>
        <v>0</v>
      </c>
      <c r="E2012" s="157">
        <v>7.68</v>
      </c>
      <c r="F2012" s="165"/>
      <c r="G2012" s="166">
        <v>1078</v>
      </c>
      <c r="H2012" s="167">
        <v>8.24</v>
      </c>
      <c r="I2012" s="179"/>
      <c r="J2012" s="167">
        <v>81.7</v>
      </c>
      <c r="K2012" s="167">
        <v>15</v>
      </c>
      <c r="L2012" s="167">
        <v>12</v>
      </c>
      <c r="M2012" s="168">
        <v>0.38541666666666669</v>
      </c>
      <c r="N2012" s="67"/>
    </row>
    <row r="2013" spans="1:14" x14ac:dyDescent="0.25">
      <c r="A2013" s="66">
        <v>45853</v>
      </c>
      <c r="B2013" s="67" t="s">
        <v>50</v>
      </c>
      <c r="C2013" s="129" t="str">
        <f t="shared" si="77"/>
        <v>15.07.2025_LIEohBo</v>
      </c>
      <c r="D2013" s="143">
        <f t="shared" si="78"/>
        <v>0</v>
      </c>
      <c r="E2013" s="157">
        <v>7.45</v>
      </c>
      <c r="F2013" s="165"/>
      <c r="G2013" s="166">
        <v>773</v>
      </c>
      <c r="H2013" s="167">
        <v>4.7699999999999996</v>
      </c>
      <c r="I2013" s="179"/>
      <c r="J2013" s="167">
        <v>49.7</v>
      </c>
      <c r="K2013" s="167">
        <v>17.3</v>
      </c>
      <c r="L2013" s="167">
        <v>11</v>
      </c>
      <c r="M2013" s="168">
        <v>0.36388888888888887</v>
      </c>
      <c r="N2013" s="67"/>
    </row>
    <row r="2014" spans="1:14" x14ac:dyDescent="0.25">
      <c r="A2014" s="66">
        <v>45853</v>
      </c>
      <c r="B2014" s="67" t="s">
        <v>53</v>
      </c>
      <c r="C2014" s="129" t="str">
        <f t="shared" si="77"/>
        <v>15.07.2025_NATohBo</v>
      </c>
      <c r="D2014" s="143">
        <f t="shared" si="78"/>
        <v>0</v>
      </c>
      <c r="E2014" s="157">
        <v>7.53</v>
      </c>
      <c r="F2014" s="165"/>
      <c r="G2014" s="166">
        <v>1762</v>
      </c>
      <c r="H2014" s="167">
        <v>6.83</v>
      </c>
      <c r="I2014" s="179"/>
      <c r="J2014" s="167">
        <v>72.8</v>
      </c>
      <c r="K2014" s="167">
        <v>18.329999999999998</v>
      </c>
      <c r="L2014" s="167">
        <v>6</v>
      </c>
      <c r="M2014" s="168">
        <v>0.61041666666666672</v>
      </c>
      <c r="N2014" s="67"/>
    </row>
    <row r="2015" spans="1:14" x14ac:dyDescent="0.25">
      <c r="A2015" s="66">
        <v>45853</v>
      </c>
      <c r="B2015" s="67" t="s">
        <v>55</v>
      </c>
      <c r="C2015" s="129" t="str">
        <f t="shared" si="77"/>
        <v>15.07.2025_QUAohBo</v>
      </c>
      <c r="D2015" s="143">
        <f t="shared" si="78"/>
        <v>0</v>
      </c>
      <c r="E2015" s="157">
        <v>7.24</v>
      </c>
      <c r="F2015" s="165"/>
      <c r="G2015" s="166">
        <v>887</v>
      </c>
      <c r="H2015" s="167">
        <v>2.4</v>
      </c>
      <c r="I2015" s="179"/>
      <c r="J2015" s="167">
        <v>25.2</v>
      </c>
      <c r="K2015" s="167">
        <v>17.54</v>
      </c>
      <c r="L2015" s="167">
        <v>3</v>
      </c>
      <c r="M2015" s="168">
        <v>0.56874999999999998</v>
      </c>
      <c r="N2015" s="204"/>
    </row>
    <row r="2016" spans="1:14" x14ac:dyDescent="0.25">
      <c r="A2016" s="66">
        <v>45853</v>
      </c>
      <c r="B2016" s="67" t="s">
        <v>356</v>
      </c>
      <c r="C2016" s="129" t="str">
        <f t="shared" ref="C2016:C2020" si="79">CONCATENATE(TEXT(A2016,"TT.MM.JJJJ"),"_",B2016)</f>
        <v>15.07.2025_ROTB</v>
      </c>
      <c r="D2016" s="143">
        <f t="shared" ref="D2016:D2020" si="80">COUNTBLANK(E2016)+COUNTBLANK(G2016:H2016)+COUNTBLANK(K2016:L2016)</f>
        <v>0</v>
      </c>
      <c r="E2016" s="157">
        <v>7.71</v>
      </c>
      <c r="F2016" s="165"/>
      <c r="G2016" s="166">
        <v>1313</v>
      </c>
      <c r="H2016" s="167">
        <v>8.1</v>
      </c>
      <c r="I2016" s="179"/>
      <c r="J2016" s="167">
        <v>82.8</v>
      </c>
      <c r="K2016" s="167">
        <v>16.329999999999998</v>
      </c>
      <c r="L2016" s="167">
        <v>17</v>
      </c>
      <c r="M2016" s="168">
        <v>0.46666666666666662</v>
      </c>
      <c r="N2016" s="67"/>
    </row>
    <row r="2017" spans="1:14" x14ac:dyDescent="0.25">
      <c r="A2017" s="66">
        <v>45853</v>
      </c>
      <c r="B2017" s="67" t="s">
        <v>57</v>
      </c>
      <c r="C2017" s="129" t="str">
        <f t="shared" si="79"/>
        <v>15.07.2025_SCHohVo</v>
      </c>
      <c r="D2017" s="143">
        <f t="shared" si="80"/>
        <v>5</v>
      </c>
      <c r="E2017" s="157"/>
      <c r="F2017" s="165"/>
      <c r="G2017" s="166"/>
      <c r="H2017" s="167"/>
      <c r="I2017" s="179"/>
      <c r="J2017" s="167"/>
      <c r="K2017" s="167"/>
      <c r="L2017" s="167"/>
      <c r="M2017" s="168"/>
      <c r="N2017" s="67" t="s">
        <v>376</v>
      </c>
    </row>
    <row r="2018" spans="1:14" x14ac:dyDescent="0.25">
      <c r="A2018" s="66">
        <v>45853</v>
      </c>
      <c r="B2018" s="67" t="s">
        <v>357</v>
      </c>
      <c r="C2018" s="129" t="str">
        <f t="shared" si="79"/>
        <v>15.07.2025_SCHW</v>
      </c>
      <c r="D2018" s="143">
        <f t="shared" si="80"/>
        <v>0</v>
      </c>
      <c r="E2018" s="157">
        <v>7.82</v>
      </c>
      <c r="F2018" s="165"/>
      <c r="G2018" s="166">
        <v>1434</v>
      </c>
      <c r="H2018" s="167">
        <v>7.43</v>
      </c>
      <c r="I2018" s="179"/>
      <c r="J2018" s="167">
        <v>77.099999999999994</v>
      </c>
      <c r="K2018" s="167">
        <v>17.03</v>
      </c>
      <c r="L2018" s="167">
        <v>25</v>
      </c>
      <c r="M2018" s="168">
        <v>0.46249999999999997</v>
      </c>
      <c r="N2018" s="67"/>
    </row>
    <row r="2019" spans="1:14" x14ac:dyDescent="0.25">
      <c r="A2019" s="66">
        <v>45853</v>
      </c>
      <c r="B2019" s="67" t="s">
        <v>358</v>
      </c>
      <c r="C2019" s="129" t="str">
        <f t="shared" si="79"/>
        <v>15.07.2025_SPE</v>
      </c>
      <c r="D2019" s="143">
        <f t="shared" si="80"/>
        <v>5</v>
      </c>
      <c r="E2019" s="157"/>
      <c r="F2019" s="165"/>
      <c r="G2019" s="166"/>
      <c r="H2019" s="167"/>
      <c r="I2019" s="179"/>
      <c r="J2019" s="167"/>
      <c r="K2019" s="167"/>
      <c r="L2019" s="167"/>
      <c r="M2019" s="168"/>
      <c r="N2019" s="67" t="s">
        <v>376</v>
      </c>
    </row>
    <row r="2020" spans="1:14" x14ac:dyDescent="0.25">
      <c r="A2020" s="66">
        <v>45853</v>
      </c>
      <c r="B2020" s="67" t="s">
        <v>60</v>
      </c>
      <c r="C2020" s="129" t="str">
        <f t="shared" si="79"/>
        <v>15.07.2025_VORohBo</v>
      </c>
      <c r="D2020" s="143">
        <f t="shared" si="80"/>
        <v>0</v>
      </c>
      <c r="E2020" s="157">
        <v>7.36</v>
      </c>
      <c r="F2020" s="165"/>
      <c r="G2020" s="166">
        <v>1085</v>
      </c>
      <c r="H2020" s="167">
        <v>5.91</v>
      </c>
      <c r="I2020" s="179"/>
      <c r="J2020" s="167">
        <v>58.7</v>
      </c>
      <c r="K2020" s="167">
        <v>15.1</v>
      </c>
      <c r="L2020" s="167">
        <v>9</v>
      </c>
      <c r="M2020" s="168">
        <v>0.4284722222222222</v>
      </c>
      <c r="N2020" s="67"/>
    </row>
    <row r="2021" spans="1:14" x14ac:dyDescent="0.25">
      <c r="A2021" s="66">
        <v>45853</v>
      </c>
      <c r="B2021" s="67" t="s">
        <v>62</v>
      </c>
      <c r="C2021" s="129" t="str">
        <f t="shared" si="77"/>
        <v>15.07.2025_VORuhSc</v>
      </c>
      <c r="D2021" s="143">
        <f t="shared" si="78"/>
        <v>0</v>
      </c>
      <c r="E2021" s="157">
        <v>7.08</v>
      </c>
      <c r="F2021" s="165"/>
      <c r="G2021" s="166">
        <v>1170</v>
      </c>
      <c r="H2021" s="167">
        <v>5.89</v>
      </c>
      <c r="I2021" s="179"/>
      <c r="J2021" s="167">
        <v>58.7</v>
      </c>
      <c r="K2021" s="167">
        <v>15.14</v>
      </c>
      <c r="L2021" s="167">
        <v>4</v>
      </c>
      <c r="M2021" s="168">
        <v>0.41805555555555557</v>
      </c>
      <c r="N2021" s="67"/>
    </row>
    <row r="2022" spans="1:14" x14ac:dyDescent="0.25">
      <c r="A2022" s="66">
        <v>45853</v>
      </c>
      <c r="B2022" s="67" t="s">
        <v>64</v>
      </c>
      <c r="C2022" s="129" t="str">
        <f t="shared" si="77"/>
        <v>15.07.2025_WITob</v>
      </c>
      <c r="D2022" s="143">
        <f t="shared" si="78"/>
        <v>0</v>
      </c>
      <c r="E2022" s="157">
        <v>7.84</v>
      </c>
      <c r="F2022" s="165"/>
      <c r="G2022" s="166">
        <v>1298</v>
      </c>
      <c r="H2022" s="167">
        <v>8.93</v>
      </c>
      <c r="I2022" s="179"/>
      <c r="J2022" s="167">
        <v>94</v>
      </c>
      <c r="K2022" s="167">
        <v>17.739999999999998</v>
      </c>
      <c r="L2022" s="167">
        <v>1</v>
      </c>
      <c r="M2022" s="168">
        <v>0.59861111111111109</v>
      </c>
      <c r="N2022" s="67"/>
    </row>
    <row r="2023" spans="1:14" x14ac:dyDescent="0.25">
      <c r="A2023" s="66">
        <v>45883</v>
      </c>
      <c r="B2023" s="67" t="s">
        <v>22</v>
      </c>
      <c r="C2023" s="129" t="str">
        <f t="shared" ref="C2023:C2045" si="81">CONCATENATE(TEXT(A2023,"TT.MM.JJJJ"),"_",B2023)</f>
        <v>14.08.2025_BOYkl</v>
      </c>
      <c r="D2023" s="143">
        <f t="shared" ref="D2023:D2045" si="82">COUNTBLANK(E2023)+COUNTBLANK(G2023:H2023)+COUNTBLANK(K2023:L2023)</f>
        <v>5</v>
      </c>
      <c r="E2023" s="157"/>
      <c r="F2023" s="165"/>
      <c r="G2023" s="166"/>
      <c r="H2023" s="167"/>
      <c r="I2023" s="179"/>
      <c r="J2023" s="167"/>
      <c r="K2023" s="167"/>
      <c r="L2023" s="167"/>
      <c r="M2023" s="168"/>
      <c r="N2023" s="67" t="s">
        <v>376</v>
      </c>
    </row>
    <row r="2024" spans="1:14" x14ac:dyDescent="0.25">
      <c r="A2024" s="66">
        <v>45883</v>
      </c>
      <c r="B2024" s="67" t="s">
        <v>25</v>
      </c>
      <c r="C2024" s="129" t="str">
        <f t="shared" si="81"/>
        <v>14.08.2025_BOYohB224</v>
      </c>
      <c r="D2024" s="143">
        <f t="shared" si="82"/>
        <v>0</v>
      </c>
      <c r="E2024" s="157">
        <v>8.25</v>
      </c>
      <c r="F2024" s="165"/>
      <c r="G2024" s="166">
        <v>1130</v>
      </c>
      <c r="H2024" s="167">
        <v>11.55</v>
      </c>
      <c r="I2024" s="179"/>
      <c r="J2024" s="167">
        <v>137.4</v>
      </c>
      <c r="K2024" s="167">
        <v>24.62</v>
      </c>
      <c r="L2024" s="167">
        <v>38</v>
      </c>
      <c r="M2024" s="168">
        <v>0.60972222222222217</v>
      </c>
      <c r="N2024" s="67"/>
    </row>
    <row r="2025" spans="1:14" x14ac:dyDescent="0.25">
      <c r="A2025" s="66">
        <v>45883</v>
      </c>
      <c r="B2025" s="67" t="s">
        <v>28</v>
      </c>
      <c r="C2025" s="129" t="str">
        <f t="shared" si="81"/>
        <v>14.08.2025_BOYohBr</v>
      </c>
      <c r="D2025" s="143">
        <f t="shared" si="82"/>
        <v>0</v>
      </c>
      <c r="E2025" s="157">
        <v>7.87</v>
      </c>
      <c r="F2025" s="165"/>
      <c r="G2025" s="166">
        <v>580</v>
      </c>
      <c r="H2025" s="167">
        <v>7.7</v>
      </c>
      <c r="I2025" s="179"/>
      <c r="J2025" s="167">
        <v>75.3</v>
      </c>
      <c r="K2025" s="167">
        <v>14.66</v>
      </c>
      <c r="L2025" s="167">
        <v>13</v>
      </c>
      <c r="M2025" s="168">
        <v>0.51111111111111118</v>
      </c>
      <c r="N2025" s="67"/>
    </row>
    <row r="2026" spans="1:14" x14ac:dyDescent="0.25">
      <c r="A2026" s="66">
        <v>45883</v>
      </c>
      <c r="B2026" s="67" t="s">
        <v>30</v>
      </c>
      <c r="C2026" s="129" t="str">
        <f t="shared" si="81"/>
        <v>14.08.2025_BOYohKi</v>
      </c>
      <c r="D2026" s="143">
        <f t="shared" si="82"/>
        <v>0</v>
      </c>
      <c r="E2026" s="157">
        <v>7.75</v>
      </c>
      <c r="F2026" s="165"/>
      <c r="G2026" s="166">
        <v>940</v>
      </c>
      <c r="H2026" s="167">
        <v>8.32</v>
      </c>
      <c r="I2026" s="179"/>
      <c r="J2026" s="167">
        <v>85.6</v>
      </c>
      <c r="K2026" s="167">
        <v>17.22</v>
      </c>
      <c r="L2026" s="167">
        <v>22</v>
      </c>
      <c r="M2026" s="168">
        <v>0.37638888888888888</v>
      </c>
      <c r="N2026" s="67"/>
    </row>
    <row r="2027" spans="1:14" x14ac:dyDescent="0.25">
      <c r="A2027" s="66">
        <v>45883</v>
      </c>
      <c r="B2027" s="67" t="s">
        <v>32</v>
      </c>
      <c r="C2027" s="129" t="str">
        <f t="shared" si="81"/>
        <v>14.08.2025_BOYohSp</v>
      </c>
      <c r="D2027" s="143">
        <f t="shared" si="82"/>
        <v>0</v>
      </c>
      <c r="E2027" s="157">
        <v>7.97</v>
      </c>
      <c r="F2027" s="165"/>
      <c r="G2027" s="166">
        <v>604</v>
      </c>
      <c r="H2027" s="167">
        <v>8.06</v>
      </c>
      <c r="I2027" s="179"/>
      <c r="J2027" s="167">
        <v>81.5</v>
      </c>
      <c r="K2027" s="167">
        <v>16.420000000000002</v>
      </c>
      <c r="L2027" s="167">
        <v>13</v>
      </c>
      <c r="M2027" s="168">
        <v>0.54305555555555551</v>
      </c>
      <c r="N2027" s="67"/>
    </row>
    <row r="2028" spans="1:14" x14ac:dyDescent="0.25">
      <c r="A2028" s="66">
        <v>45883</v>
      </c>
      <c r="B2028" s="67" t="s">
        <v>34</v>
      </c>
      <c r="C2028" s="129" t="str">
        <f t="shared" si="81"/>
        <v>14.08.2025_BOYuhHa</v>
      </c>
      <c r="D2028" s="143">
        <f t="shared" si="82"/>
        <v>0</v>
      </c>
      <c r="E2028" s="157">
        <v>7.22</v>
      </c>
      <c r="F2028" s="165"/>
      <c r="G2028" s="166">
        <v>1207</v>
      </c>
      <c r="H2028" s="167">
        <v>7.4</v>
      </c>
      <c r="I2028" s="179"/>
      <c r="J2028" s="167">
        <v>80.3</v>
      </c>
      <c r="K2028" s="167">
        <v>19.760000000000002</v>
      </c>
      <c r="L2028" s="167">
        <v>9</v>
      </c>
      <c r="M2028" s="168">
        <v>0.35486111111111113</v>
      </c>
      <c r="N2028" s="67"/>
    </row>
    <row r="2029" spans="1:14" x14ac:dyDescent="0.25">
      <c r="A2029" s="66">
        <v>45883</v>
      </c>
      <c r="B2029" s="67" t="s">
        <v>36</v>
      </c>
      <c r="C2029" s="129" t="str">
        <f t="shared" si="81"/>
        <v>14.08.2025_BOYuhSp</v>
      </c>
      <c r="D2029" s="143">
        <f t="shared" si="82"/>
        <v>0</v>
      </c>
      <c r="E2029" s="157">
        <v>8.18</v>
      </c>
      <c r="F2029" s="165"/>
      <c r="G2029" s="166">
        <v>627</v>
      </c>
      <c r="H2029" s="167">
        <v>9.33</v>
      </c>
      <c r="I2029" s="179"/>
      <c r="J2029" s="167">
        <v>96.1</v>
      </c>
      <c r="K2029" s="167">
        <v>17.09</v>
      </c>
      <c r="L2029" s="167">
        <v>21</v>
      </c>
      <c r="M2029" s="168">
        <v>0.53611111111111109</v>
      </c>
      <c r="N2029" s="67"/>
    </row>
    <row r="2030" spans="1:14" x14ac:dyDescent="0.25">
      <c r="A2030" s="66">
        <v>45883</v>
      </c>
      <c r="B2030" s="67" t="s">
        <v>38</v>
      </c>
      <c r="C2030" s="129" t="str">
        <f t="shared" si="81"/>
        <v>14.08.2025_BRAob</v>
      </c>
      <c r="D2030" s="143">
        <f t="shared" si="82"/>
        <v>0</v>
      </c>
      <c r="E2030" s="157">
        <v>8.1</v>
      </c>
      <c r="F2030" s="165"/>
      <c r="G2030" s="166">
        <v>711</v>
      </c>
      <c r="H2030" s="167">
        <v>8.77</v>
      </c>
      <c r="I2030" s="179"/>
      <c r="J2030" s="167">
        <v>94.8</v>
      </c>
      <c r="K2030" s="167">
        <v>19.36</v>
      </c>
      <c r="L2030" s="167">
        <v>4</v>
      </c>
      <c r="M2030" s="168">
        <v>0.49027777777777781</v>
      </c>
      <c r="N2030" s="67"/>
    </row>
    <row r="2031" spans="1:14" x14ac:dyDescent="0.25">
      <c r="A2031" s="66">
        <v>45883</v>
      </c>
      <c r="B2031" s="67" t="s">
        <v>41</v>
      </c>
      <c r="C2031" s="129" t="str">
        <f t="shared" si="81"/>
        <v>14.08.2025_BRAohBo</v>
      </c>
      <c r="D2031" s="143">
        <f t="shared" si="82"/>
        <v>5</v>
      </c>
      <c r="E2031" s="157"/>
      <c r="F2031" s="165"/>
      <c r="G2031" s="166"/>
      <c r="H2031" s="167"/>
      <c r="I2031" s="179"/>
      <c r="J2031" s="167"/>
      <c r="K2031" s="167"/>
      <c r="L2031" s="167"/>
      <c r="M2031" s="168"/>
      <c r="N2031" s="67" t="s">
        <v>376</v>
      </c>
    </row>
    <row r="2032" spans="1:14" x14ac:dyDescent="0.25">
      <c r="A2032" s="66">
        <v>45883</v>
      </c>
      <c r="B2032" s="67" t="s">
        <v>43</v>
      </c>
      <c r="C2032" s="129" t="str">
        <f t="shared" si="81"/>
        <v>14.08.2025_HAAob</v>
      </c>
      <c r="D2032" s="143">
        <f t="shared" si="82"/>
        <v>0</v>
      </c>
      <c r="E2032" s="157">
        <v>7.95</v>
      </c>
      <c r="F2032" s="165"/>
      <c r="G2032" s="166">
        <v>975</v>
      </c>
      <c r="H2032" s="167">
        <v>8.0500000000000007</v>
      </c>
      <c r="I2032" s="179"/>
      <c r="J2032" s="167">
        <v>89.4</v>
      </c>
      <c r="K2032" s="167">
        <v>21</v>
      </c>
      <c r="L2032" s="167">
        <v>2</v>
      </c>
      <c r="M2032" s="168">
        <v>0.57430555555555551</v>
      </c>
      <c r="N2032" s="67"/>
    </row>
    <row r="2033" spans="1:14" x14ac:dyDescent="0.25">
      <c r="A2033" s="66">
        <v>45883</v>
      </c>
      <c r="B2033" s="67" t="s">
        <v>45</v>
      </c>
      <c r="C2033" s="129" t="str">
        <f t="shared" si="81"/>
        <v>14.08.2025_HAAun</v>
      </c>
      <c r="D2033" s="143">
        <f t="shared" si="82"/>
        <v>0</v>
      </c>
      <c r="E2033" s="157">
        <v>8.06</v>
      </c>
      <c r="F2033" s="165"/>
      <c r="G2033" s="166">
        <v>1457</v>
      </c>
      <c r="H2033" s="167">
        <v>8.3000000000000007</v>
      </c>
      <c r="I2033" s="179"/>
      <c r="J2033" s="167">
        <v>89.5</v>
      </c>
      <c r="K2033" s="167">
        <v>19.34</v>
      </c>
      <c r="L2033" s="167">
        <v>6</v>
      </c>
      <c r="M2033" s="168">
        <v>0.56666666666666665</v>
      </c>
      <c r="N2033" s="67"/>
    </row>
    <row r="2034" spans="1:14" x14ac:dyDescent="0.25">
      <c r="A2034" s="66">
        <v>45883</v>
      </c>
      <c r="B2034" s="67" t="s">
        <v>47</v>
      </c>
      <c r="C2034" s="129" t="str">
        <f t="shared" si="81"/>
        <v>14.08.2025_KIRob</v>
      </c>
      <c r="D2034" s="143">
        <f t="shared" si="82"/>
        <v>0</v>
      </c>
      <c r="E2034" s="157">
        <v>8.0500000000000007</v>
      </c>
      <c r="F2034" s="165"/>
      <c r="G2034" s="166">
        <v>1191</v>
      </c>
      <c r="H2034" s="167">
        <v>8.19</v>
      </c>
      <c r="I2034" s="179"/>
      <c r="J2034" s="167">
        <v>84.1</v>
      </c>
      <c r="K2034" s="167">
        <v>16.98</v>
      </c>
      <c r="L2034" s="167">
        <v>10</v>
      </c>
      <c r="M2034" s="168">
        <v>0.39583333333333331</v>
      </c>
      <c r="N2034" s="67"/>
    </row>
    <row r="2035" spans="1:14" x14ac:dyDescent="0.25">
      <c r="A2035" s="66">
        <v>45883</v>
      </c>
      <c r="B2035" s="67" t="s">
        <v>49</v>
      </c>
      <c r="C2035" s="129" t="str">
        <f t="shared" si="81"/>
        <v>14.08.2025_KIRun</v>
      </c>
      <c r="D2035" s="143">
        <f t="shared" si="82"/>
        <v>0</v>
      </c>
      <c r="E2035" s="157">
        <v>8.02</v>
      </c>
      <c r="F2035" s="165"/>
      <c r="G2035" s="166">
        <v>1052</v>
      </c>
      <c r="H2035" s="167">
        <v>8.8000000000000007</v>
      </c>
      <c r="I2035" s="179"/>
      <c r="J2035" s="167">
        <v>89.5</v>
      </c>
      <c r="K2035" s="167">
        <v>16.5</v>
      </c>
      <c r="L2035" s="167">
        <v>8</v>
      </c>
      <c r="M2035" s="168">
        <v>0.38750000000000001</v>
      </c>
      <c r="N2035" s="67"/>
    </row>
    <row r="2036" spans="1:14" x14ac:dyDescent="0.25">
      <c r="A2036" s="66">
        <v>45883</v>
      </c>
      <c r="B2036" s="67" t="s">
        <v>50</v>
      </c>
      <c r="C2036" s="129" t="str">
        <f t="shared" si="81"/>
        <v>14.08.2025_LIEohBo</v>
      </c>
      <c r="D2036" s="143">
        <f t="shared" si="82"/>
        <v>0</v>
      </c>
      <c r="E2036" s="157">
        <v>7.3</v>
      </c>
      <c r="F2036" s="165"/>
      <c r="G2036" s="166">
        <v>730</v>
      </c>
      <c r="H2036" s="167">
        <v>6.06</v>
      </c>
      <c r="I2036" s="179"/>
      <c r="J2036" s="167">
        <v>66.900000000000006</v>
      </c>
      <c r="K2036" s="167">
        <v>20.54</v>
      </c>
      <c r="L2036" s="167">
        <v>13</v>
      </c>
      <c r="M2036" s="168">
        <v>0.36736111111111108</v>
      </c>
      <c r="N2036" s="67"/>
    </row>
    <row r="2037" spans="1:14" x14ac:dyDescent="0.25">
      <c r="A2037" s="66">
        <v>45883</v>
      </c>
      <c r="B2037" s="67" t="s">
        <v>53</v>
      </c>
      <c r="C2037" s="129" t="str">
        <f t="shared" si="81"/>
        <v>14.08.2025_NATohBo</v>
      </c>
      <c r="D2037" s="143">
        <f t="shared" si="82"/>
        <v>0</v>
      </c>
      <c r="E2037" s="157">
        <v>7.36</v>
      </c>
      <c r="F2037" s="165"/>
      <c r="G2037" s="166">
        <v>3405</v>
      </c>
      <c r="H2037" s="167">
        <v>6.48</v>
      </c>
      <c r="I2037" s="179"/>
      <c r="J2037" s="167">
        <v>71.3</v>
      </c>
      <c r="K2037" s="167">
        <v>20.13</v>
      </c>
      <c r="L2037" s="167">
        <v>5</v>
      </c>
      <c r="M2037" s="168">
        <v>0.59861111111111109</v>
      </c>
      <c r="N2037" s="67"/>
    </row>
    <row r="2038" spans="1:14" x14ac:dyDescent="0.25">
      <c r="A2038" s="66">
        <v>45883</v>
      </c>
      <c r="B2038" s="67" t="s">
        <v>55</v>
      </c>
      <c r="C2038" s="129" t="str">
        <f t="shared" si="81"/>
        <v>14.08.2025_QUAohBo</v>
      </c>
      <c r="D2038" s="143">
        <f t="shared" si="82"/>
        <v>5</v>
      </c>
      <c r="E2038" s="157"/>
      <c r="F2038" s="165"/>
      <c r="G2038" s="166"/>
      <c r="H2038" s="167"/>
      <c r="I2038" s="179"/>
      <c r="J2038" s="167"/>
      <c r="K2038" s="167"/>
      <c r="L2038" s="167"/>
      <c r="M2038" s="168"/>
      <c r="N2038" s="67" t="s">
        <v>376</v>
      </c>
    </row>
    <row r="2039" spans="1:14" x14ac:dyDescent="0.25">
      <c r="A2039" s="66">
        <v>45883</v>
      </c>
      <c r="B2039" s="67" t="s">
        <v>356</v>
      </c>
      <c r="C2039" s="129" t="str">
        <f t="shared" si="81"/>
        <v>14.08.2025_ROTB</v>
      </c>
      <c r="D2039" s="143">
        <f t="shared" si="82"/>
        <v>0</v>
      </c>
      <c r="E2039" s="157">
        <v>7.99</v>
      </c>
      <c r="F2039" s="165"/>
      <c r="G2039" s="166">
        <v>1423</v>
      </c>
      <c r="H2039" s="167">
        <v>8.15</v>
      </c>
      <c r="I2039" s="179"/>
      <c r="J2039" s="167">
        <v>86.5</v>
      </c>
      <c r="K2039" s="167">
        <v>18.45</v>
      </c>
      <c r="L2039" s="167">
        <v>16</v>
      </c>
      <c r="M2039" s="168">
        <v>0.45763888888888887</v>
      </c>
      <c r="N2039" s="67"/>
    </row>
    <row r="2040" spans="1:14" x14ac:dyDescent="0.25">
      <c r="A2040" s="66">
        <v>45883</v>
      </c>
      <c r="B2040" s="67" t="s">
        <v>57</v>
      </c>
      <c r="C2040" s="129" t="str">
        <f t="shared" si="81"/>
        <v>14.08.2025_SCHohVo</v>
      </c>
      <c r="D2040" s="143">
        <f t="shared" si="82"/>
        <v>5</v>
      </c>
      <c r="E2040" s="157"/>
      <c r="F2040" s="165"/>
      <c r="G2040" s="166"/>
      <c r="H2040" s="167"/>
      <c r="I2040" s="179"/>
      <c r="J2040" s="167"/>
      <c r="K2040" s="167"/>
      <c r="L2040" s="167"/>
      <c r="M2040" s="168"/>
      <c r="N2040" s="67" t="s">
        <v>376</v>
      </c>
    </row>
    <row r="2041" spans="1:14" x14ac:dyDescent="0.25">
      <c r="A2041" s="66">
        <v>45883</v>
      </c>
      <c r="B2041" s="67" t="s">
        <v>357</v>
      </c>
      <c r="C2041" s="129" t="str">
        <f t="shared" si="81"/>
        <v>14.08.2025_SCHW</v>
      </c>
      <c r="D2041" s="143">
        <f t="shared" si="82"/>
        <v>0</v>
      </c>
      <c r="E2041" s="157">
        <v>8.15</v>
      </c>
      <c r="F2041" s="165"/>
      <c r="G2041" s="166">
        <v>1627</v>
      </c>
      <c r="H2041" s="167">
        <v>7.26</v>
      </c>
      <c r="I2041" s="179"/>
      <c r="J2041" s="167">
        <v>78.8</v>
      </c>
      <c r="K2041" s="167">
        <v>19.37</v>
      </c>
      <c r="L2041" s="167">
        <v>20</v>
      </c>
      <c r="M2041" s="168">
        <v>0.45347222222222222</v>
      </c>
      <c r="N2041" s="67"/>
    </row>
    <row r="2042" spans="1:14" x14ac:dyDescent="0.25">
      <c r="A2042" s="66">
        <v>45883</v>
      </c>
      <c r="B2042" s="67" t="s">
        <v>358</v>
      </c>
      <c r="C2042" s="129" t="str">
        <f t="shared" si="81"/>
        <v>14.08.2025_SPE</v>
      </c>
      <c r="D2042" s="143">
        <f t="shared" si="82"/>
        <v>5</v>
      </c>
      <c r="E2042" s="157"/>
      <c r="F2042" s="165"/>
      <c r="G2042" s="166"/>
      <c r="H2042" s="167"/>
      <c r="I2042" s="179"/>
      <c r="J2042" s="167"/>
      <c r="K2042" s="167"/>
      <c r="L2042" s="167"/>
      <c r="M2042" s="168"/>
      <c r="N2042" s="67" t="s">
        <v>376</v>
      </c>
    </row>
    <row r="2043" spans="1:14" x14ac:dyDescent="0.25">
      <c r="A2043" s="66">
        <v>45883</v>
      </c>
      <c r="B2043" s="67" t="s">
        <v>60</v>
      </c>
      <c r="C2043" s="129" t="str">
        <f t="shared" si="81"/>
        <v>14.08.2025_VORohBo</v>
      </c>
      <c r="D2043" s="143">
        <f t="shared" si="82"/>
        <v>0</v>
      </c>
      <c r="E2043" s="157">
        <v>7.78</v>
      </c>
      <c r="F2043" s="165"/>
      <c r="G2043" s="166">
        <v>810</v>
      </c>
      <c r="H2043" s="167">
        <v>7.19</v>
      </c>
      <c r="I2043" s="179"/>
      <c r="J2043" s="167">
        <v>73.3</v>
      </c>
      <c r="K2043" s="167">
        <v>16.7</v>
      </c>
      <c r="L2043" s="167">
        <v>9</v>
      </c>
      <c r="M2043" s="168">
        <v>0.4236111111111111</v>
      </c>
      <c r="N2043" s="67"/>
    </row>
    <row r="2044" spans="1:14" x14ac:dyDescent="0.25">
      <c r="A2044" s="66">
        <v>45883</v>
      </c>
      <c r="B2044" s="67" t="s">
        <v>62</v>
      </c>
      <c r="C2044" s="129" t="str">
        <f t="shared" si="81"/>
        <v>14.08.2025_VORuhSc</v>
      </c>
      <c r="D2044" s="143">
        <f t="shared" si="82"/>
        <v>0</v>
      </c>
      <c r="E2044" s="157">
        <v>7.4</v>
      </c>
      <c r="F2044" s="165"/>
      <c r="G2044" s="166">
        <v>1236</v>
      </c>
      <c r="H2044" s="167">
        <v>6.59</v>
      </c>
      <c r="I2044" s="179"/>
      <c r="J2044" s="167">
        <v>67.2</v>
      </c>
      <c r="K2044" s="167">
        <v>16.66</v>
      </c>
      <c r="L2044" s="167">
        <v>3</v>
      </c>
      <c r="M2044" s="168">
        <v>0.41388888888888892</v>
      </c>
      <c r="N2044" s="67"/>
    </row>
    <row r="2045" spans="1:14" x14ac:dyDescent="0.25">
      <c r="A2045" s="66">
        <v>45883</v>
      </c>
      <c r="B2045" s="67" t="s">
        <v>64</v>
      </c>
      <c r="C2045" s="129" t="str">
        <f t="shared" si="81"/>
        <v>14.08.2025_WITob</v>
      </c>
      <c r="D2045" s="143">
        <f t="shared" si="82"/>
        <v>0</v>
      </c>
      <c r="E2045" s="157">
        <v>8.15</v>
      </c>
      <c r="F2045" s="165"/>
      <c r="G2045" s="166">
        <v>1270</v>
      </c>
      <c r="H2045" s="167">
        <v>8.32</v>
      </c>
      <c r="I2045" s="179"/>
      <c r="J2045" s="167">
        <v>94.4</v>
      </c>
      <c r="K2045" s="167">
        <v>21.97</v>
      </c>
      <c r="L2045" s="167">
        <v>1</v>
      </c>
      <c r="M2045" s="168">
        <v>0.5854166666666667</v>
      </c>
      <c r="N2045" s="67"/>
    </row>
    <row r="2046" spans="1:14" x14ac:dyDescent="0.25">
      <c r="A2046" s="66">
        <v>45908</v>
      </c>
      <c r="B2046" s="67" t="s">
        <v>22</v>
      </c>
      <c r="C2046" s="129" t="str">
        <f t="shared" ref="C2046" si="83">CONCATENATE(TEXT(A2046,"TT.MM.JJJJ"),"_",B2046)</f>
        <v>08.09.2025_BOYkl</v>
      </c>
      <c r="D2046" s="143">
        <f t="shared" ref="D2046" si="84">COUNTBLANK(E2046)+COUNTBLANK(G2046:H2046)+COUNTBLANK(K2046:L2046)</f>
        <v>5</v>
      </c>
      <c r="E2046" s="157"/>
      <c r="F2046" s="165"/>
      <c r="G2046" s="166"/>
      <c r="H2046" s="167"/>
      <c r="I2046" s="179"/>
      <c r="J2046" s="167"/>
      <c r="K2046" s="167"/>
      <c r="L2046" s="167"/>
      <c r="M2046" s="168"/>
      <c r="N2046" s="67" t="s">
        <v>376</v>
      </c>
    </row>
    <row r="2047" spans="1:14" x14ac:dyDescent="0.25">
      <c r="A2047" s="66">
        <v>45908</v>
      </c>
      <c r="B2047" s="67" t="s">
        <v>25</v>
      </c>
      <c r="C2047" s="129" t="str">
        <f t="shared" ref="C2047:C2068" si="85">CONCATENATE(TEXT(A2047,"TT.MM.JJJJ"),"_",B2047)</f>
        <v>08.09.2025_BOYohB224</v>
      </c>
      <c r="D2047" s="143">
        <f t="shared" ref="D2047:D2068" si="86">COUNTBLANK(E2047)+COUNTBLANK(G2047:H2047)+COUNTBLANK(K2047:L2047)</f>
        <v>0</v>
      </c>
      <c r="E2047" s="157">
        <v>7.94</v>
      </c>
      <c r="F2047" s="165"/>
      <c r="G2047" s="166">
        <v>1078</v>
      </c>
      <c r="H2047" s="167">
        <v>10.99</v>
      </c>
      <c r="I2047" s="179"/>
      <c r="J2047" s="167">
        <v>114.4</v>
      </c>
      <c r="K2047" s="167">
        <v>17.600000000000001</v>
      </c>
      <c r="L2047" s="167">
        <v>39</v>
      </c>
      <c r="M2047" s="168">
        <v>0.61875000000000002</v>
      </c>
      <c r="N2047" s="67"/>
    </row>
    <row r="2048" spans="1:14" x14ac:dyDescent="0.25">
      <c r="A2048" s="66">
        <v>45908</v>
      </c>
      <c r="B2048" s="67" t="s">
        <v>28</v>
      </c>
      <c r="C2048" s="129" t="str">
        <f t="shared" si="85"/>
        <v>08.09.2025_BOYohBr</v>
      </c>
      <c r="D2048" s="143">
        <f t="shared" si="86"/>
        <v>0</v>
      </c>
      <c r="E2048" s="157">
        <v>7.58</v>
      </c>
      <c r="F2048" s="165"/>
      <c r="G2048" s="166">
        <v>587</v>
      </c>
      <c r="H2048" s="167">
        <v>7.7</v>
      </c>
      <c r="I2048" s="179"/>
      <c r="J2048" s="167">
        <v>73.900000000000006</v>
      </c>
      <c r="K2048" s="167">
        <v>13.6</v>
      </c>
      <c r="L2048" s="167">
        <v>12</v>
      </c>
      <c r="M2048" s="168">
        <v>0.52916666666666667</v>
      </c>
      <c r="N2048" s="67"/>
    </row>
    <row r="2049" spans="1:14" x14ac:dyDescent="0.25">
      <c r="A2049" s="66">
        <v>45908</v>
      </c>
      <c r="B2049" s="67" t="s">
        <v>30</v>
      </c>
      <c r="C2049" s="129" t="str">
        <f t="shared" si="85"/>
        <v>08.09.2025_BOYohKi</v>
      </c>
      <c r="D2049" s="143">
        <f t="shared" si="86"/>
        <v>0</v>
      </c>
      <c r="E2049" s="157">
        <v>7.49</v>
      </c>
      <c r="F2049" s="165"/>
      <c r="G2049" s="166">
        <v>931</v>
      </c>
      <c r="H2049" s="167">
        <v>8.66</v>
      </c>
      <c r="I2049" s="179"/>
      <c r="J2049" s="167">
        <v>85.4</v>
      </c>
      <c r="K2049" s="167">
        <v>14.68</v>
      </c>
      <c r="L2049" s="167">
        <v>23</v>
      </c>
      <c r="M2049" s="168">
        <v>0.37708333333333338</v>
      </c>
      <c r="N2049" s="67"/>
    </row>
    <row r="2050" spans="1:14" x14ac:dyDescent="0.25">
      <c r="A2050" s="66">
        <v>45908</v>
      </c>
      <c r="B2050" s="67" t="s">
        <v>32</v>
      </c>
      <c r="C2050" s="129" t="str">
        <f t="shared" si="85"/>
        <v>08.09.2025_BOYohSp</v>
      </c>
      <c r="D2050" s="143">
        <f t="shared" si="86"/>
        <v>0</v>
      </c>
      <c r="E2050" s="157">
        <v>7.58</v>
      </c>
      <c r="F2050" s="165"/>
      <c r="G2050" s="166">
        <v>484</v>
      </c>
      <c r="H2050" s="167">
        <v>8.1999999999999993</v>
      </c>
      <c r="I2050" s="179"/>
      <c r="J2050" s="167">
        <v>80</v>
      </c>
      <c r="K2050" s="167">
        <v>14.29</v>
      </c>
      <c r="L2050" s="167">
        <v>16</v>
      </c>
      <c r="M2050" s="168">
        <v>0.55902777777777779</v>
      </c>
      <c r="N2050" s="67"/>
    </row>
    <row r="2051" spans="1:14" x14ac:dyDescent="0.25">
      <c r="A2051" s="66">
        <v>45908</v>
      </c>
      <c r="B2051" s="67" t="s">
        <v>34</v>
      </c>
      <c r="C2051" s="129" t="str">
        <f t="shared" si="85"/>
        <v>08.09.2025_BOYuhHa</v>
      </c>
      <c r="D2051" s="143">
        <f t="shared" si="86"/>
        <v>0</v>
      </c>
      <c r="E2051" s="157">
        <v>7.86</v>
      </c>
      <c r="F2051" s="165"/>
      <c r="G2051" s="166">
        <v>1199</v>
      </c>
      <c r="H2051" s="167">
        <v>8.73</v>
      </c>
      <c r="I2051" s="179"/>
      <c r="J2051" s="167">
        <v>88</v>
      </c>
      <c r="K2051" s="167">
        <v>15.71</v>
      </c>
      <c r="L2051" s="167">
        <v>7</v>
      </c>
      <c r="M2051" s="168">
        <v>0.35416666666666669</v>
      </c>
      <c r="N2051" s="67"/>
    </row>
    <row r="2052" spans="1:14" x14ac:dyDescent="0.25">
      <c r="A2052" s="66">
        <v>45908</v>
      </c>
      <c r="B2052" s="67" t="s">
        <v>36</v>
      </c>
      <c r="C2052" s="129" t="str">
        <f t="shared" si="85"/>
        <v>08.09.2025_BOYuhSp</v>
      </c>
      <c r="D2052" s="143">
        <f t="shared" si="86"/>
        <v>0</v>
      </c>
      <c r="E2052" s="157">
        <v>7.73</v>
      </c>
      <c r="F2052" s="165"/>
      <c r="G2052" s="166">
        <v>613</v>
      </c>
      <c r="H2052" s="167">
        <v>8.51</v>
      </c>
      <c r="I2052" s="179"/>
      <c r="J2052" s="167">
        <v>83.4</v>
      </c>
      <c r="K2052" s="167">
        <v>14.58</v>
      </c>
      <c r="L2052" s="167">
        <v>18</v>
      </c>
      <c r="M2052" s="168">
        <v>0.55347222222222225</v>
      </c>
      <c r="N2052" s="67"/>
    </row>
    <row r="2053" spans="1:14" x14ac:dyDescent="0.25">
      <c r="A2053" s="66">
        <v>45908</v>
      </c>
      <c r="B2053" s="67" t="s">
        <v>38</v>
      </c>
      <c r="C2053" s="129" t="str">
        <f t="shared" si="85"/>
        <v>08.09.2025_BRAob</v>
      </c>
      <c r="D2053" s="143">
        <f t="shared" si="86"/>
        <v>0</v>
      </c>
      <c r="E2053" s="157">
        <v>7.91</v>
      </c>
      <c r="F2053" s="165"/>
      <c r="G2053" s="166">
        <v>753</v>
      </c>
      <c r="H2053" s="167">
        <v>8.82</v>
      </c>
      <c r="I2053" s="179"/>
      <c r="J2053" s="167">
        <v>90.7</v>
      </c>
      <c r="K2053" s="167">
        <v>16.690000000000001</v>
      </c>
      <c r="L2053" s="167">
        <v>8</v>
      </c>
      <c r="M2053" s="168">
        <v>0.50416666666666665</v>
      </c>
      <c r="N2053" s="67"/>
    </row>
    <row r="2054" spans="1:14" x14ac:dyDescent="0.25">
      <c r="A2054" s="66">
        <v>45908</v>
      </c>
      <c r="B2054" s="67" t="s">
        <v>41</v>
      </c>
      <c r="C2054" s="129" t="str">
        <f t="shared" si="85"/>
        <v>08.09.2025_BRAohBo</v>
      </c>
      <c r="D2054" s="143">
        <f t="shared" si="86"/>
        <v>5</v>
      </c>
      <c r="E2054" s="157"/>
      <c r="F2054" s="165"/>
      <c r="G2054" s="166"/>
      <c r="H2054" s="167"/>
      <c r="I2054" s="179"/>
      <c r="J2054" s="167"/>
      <c r="K2054" s="167"/>
      <c r="L2054" s="167"/>
      <c r="M2054" s="168"/>
      <c r="N2054" s="67" t="s">
        <v>376</v>
      </c>
    </row>
    <row r="2055" spans="1:14" x14ac:dyDescent="0.25">
      <c r="A2055" s="66">
        <v>45908</v>
      </c>
      <c r="B2055" s="67" t="s">
        <v>43</v>
      </c>
      <c r="C2055" s="129" t="str">
        <f t="shared" si="85"/>
        <v>08.09.2025_HAAob</v>
      </c>
      <c r="D2055" s="143">
        <f t="shared" si="86"/>
        <v>0</v>
      </c>
      <c r="E2055" s="157">
        <v>7.79</v>
      </c>
      <c r="F2055" s="165"/>
      <c r="G2055" s="166">
        <v>1064</v>
      </c>
      <c r="H2055" s="167">
        <v>9</v>
      </c>
      <c r="I2055" s="179"/>
      <c r="J2055" s="167">
        <v>93.2</v>
      </c>
      <c r="K2055" s="167">
        <v>17.14</v>
      </c>
      <c r="L2055" s="167">
        <v>2</v>
      </c>
      <c r="M2055" s="168">
        <v>0.5854166666666667</v>
      </c>
      <c r="N2055" s="67"/>
    </row>
    <row r="2056" spans="1:14" x14ac:dyDescent="0.25">
      <c r="A2056" s="66">
        <v>45908</v>
      </c>
      <c r="B2056" s="67" t="s">
        <v>45</v>
      </c>
      <c r="C2056" s="129" t="str">
        <f t="shared" si="85"/>
        <v>08.09.2025_HAAun</v>
      </c>
      <c r="D2056" s="143">
        <f t="shared" si="86"/>
        <v>0</v>
      </c>
      <c r="E2056" s="157">
        <v>7.53</v>
      </c>
      <c r="F2056" s="165"/>
      <c r="G2056" s="166">
        <v>1362</v>
      </c>
      <c r="H2056" s="167">
        <v>7.89</v>
      </c>
      <c r="I2056" s="179"/>
      <c r="J2056" s="167">
        <v>80.099999999999994</v>
      </c>
      <c r="K2056" s="167">
        <v>16.14</v>
      </c>
      <c r="L2056" s="167">
        <v>6</v>
      </c>
      <c r="M2056" s="168">
        <v>0.57708333333333328</v>
      </c>
      <c r="N2056" s="67"/>
    </row>
    <row r="2057" spans="1:14" x14ac:dyDescent="0.25">
      <c r="A2057" s="66">
        <v>45908</v>
      </c>
      <c r="B2057" s="67" t="s">
        <v>47</v>
      </c>
      <c r="C2057" s="129" t="str">
        <f t="shared" si="85"/>
        <v>08.09.2025_KIRob</v>
      </c>
      <c r="D2057" s="143">
        <f t="shared" si="86"/>
        <v>0</v>
      </c>
      <c r="E2057" s="157">
        <v>7.49</v>
      </c>
      <c r="F2057" s="165"/>
      <c r="G2057" s="166">
        <v>142</v>
      </c>
      <c r="H2057" s="167">
        <v>8.4499999999999993</v>
      </c>
      <c r="I2057" s="179"/>
      <c r="J2057" s="167">
        <v>83.7</v>
      </c>
      <c r="K2057" s="167">
        <v>14.99</v>
      </c>
      <c r="L2057" s="167">
        <v>11</v>
      </c>
      <c r="M2057" s="168">
        <v>0.39583333333333331</v>
      </c>
      <c r="N2057" s="67"/>
    </row>
    <row r="2058" spans="1:14" x14ac:dyDescent="0.25">
      <c r="A2058" s="66">
        <v>45908</v>
      </c>
      <c r="B2058" s="67" t="s">
        <v>49</v>
      </c>
      <c r="C2058" s="129" t="str">
        <f t="shared" si="85"/>
        <v>08.09.2025_KIRun</v>
      </c>
      <c r="D2058" s="143">
        <f t="shared" si="86"/>
        <v>0</v>
      </c>
      <c r="E2058" s="157">
        <v>7.47</v>
      </c>
      <c r="F2058" s="165"/>
      <c r="G2058" s="166">
        <v>1039</v>
      </c>
      <c r="H2058" s="167">
        <v>8.8699999999999992</v>
      </c>
      <c r="I2058" s="179"/>
      <c r="J2058" s="167">
        <v>87.9</v>
      </c>
      <c r="K2058" s="167">
        <v>14.85</v>
      </c>
      <c r="L2058" s="167">
        <v>9</v>
      </c>
      <c r="M2058" s="168">
        <v>0.38819444444444445</v>
      </c>
      <c r="N2058" s="67"/>
    </row>
    <row r="2059" spans="1:14" x14ac:dyDescent="0.25">
      <c r="A2059" s="66">
        <v>45908</v>
      </c>
      <c r="B2059" s="67" t="s">
        <v>50</v>
      </c>
      <c r="C2059" s="129" t="str">
        <f t="shared" si="85"/>
        <v>08.09.2025_LIEohBo</v>
      </c>
      <c r="D2059" s="143">
        <f t="shared" si="86"/>
        <v>0</v>
      </c>
      <c r="E2059" s="157">
        <v>7.3</v>
      </c>
      <c r="F2059" s="165"/>
      <c r="G2059" s="166">
        <v>705</v>
      </c>
      <c r="H2059" s="167">
        <v>3.01</v>
      </c>
      <c r="I2059" s="179"/>
      <c r="J2059" s="167">
        <v>31</v>
      </c>
      <c r="K2059" s="167">
        <v>16.5</v>
      </c>
      <c r="L2059" s="167">
        <v>13</v>
      </c>
      <c r="M2059" s="168">
        <v>0.3659722222222222</v>
      </c>
      <c r="N2059" s="67"/>
    </row>
    <row r="2060" spans="1:14" x14ac:dyDescent="0.25">
      <c r="A2060" s="66">
        <v>45908</v>
      </c>
      <c r="B2060" s="67" t="s">
        <v>53</v>
      </c>
      <c r="C2060" s="129" t="str">
        <f t="shared" si="85"/>
        <v>08.09.2025_NATohBo</v>
      </c>
      <c r="D2060" s="143">
        <f t="shared" si="86"/>
        <v>0</v>
      </c>
      <c r="E2060" s="157">
        <v>7.25</v>
      </c>
      <c r="F2060" s="165"/>
      <c r="G2060" s="166">
        <v>3175</v>
      </c>
      <c r="H2060" s="167">
        <v>7.06</v>
      </c>
      <c r="I2060" s="179"/>
      <c r="J2060" s="167">
        <v>72.599999999999994</v>
      </c>
      <c r="K2060" s="167">
        <v>16.52</v>
      </c>
      <c r="L2060" s="167">
        <v>7</v>
      </c>
      <c r="M2060" s="168">
        <v>0.60833333333333328</v>
      </c>
      <c r="N2060" s="67"/>
    </row>
    <row r="2061" spans="1:14" x14ac:dyDescent="0.25">
      <c r="A2061" s="66">
        <v>45908</v>
      </c>
      <c r="B2061" s="67" t="s">
        <v>55</v>
      </c>
      <c r="C2061" s="129" t="str">
        <f t="shared" si="85"/>
        <v>08.09.2025_QUAohBo</v>
      </c>
      <c r="D2061" s="143">
        <f t="shared" si="86"/>
        <v>5</v>
      </c>
      <c r="E2061" s="157"/>
      <c r="F2061" s="165"/>
      <c r="G2061" s="166"/>
      <c r="H2061" s="167"/>
      <c r="I2061" s="179"/>
      <c r="J2061" s="167"/>
      <c r="K2061" s="167"/>
      <c r="L2061" s="167"/>
      <c r="M2061" s="168"/>
      <c r="N2061" s="67" t="s">
        <v>376</v>
      </c>
    </row>
    <row r="2062" spans="1:14" x14ac:dyDescent="0.25">
      <c r="A2062" s="66">
        <v>45908</v>
      </c>
      <c r="B2062" s="67" t="s">
        <v>356</v>
      </c>
      <c r="C2062" s="129" t="str">
        <f t="shared" si="85"/>
        <v>08.09.2025_ROTB</v>
      </c>
      <c r="D2062" s="143">
        <f t="shared" si="86"/>
        <v>0</v>
      </c>
      <c r="E2062" s="157">
        <v>7.77</v>
      </c>
      <c r="F2062" s="165"/>
      <c r="G2062" s="166">
        <v>1415</v>
      </c>
      <c r="H2062" s="167">
        <v>9.01</v>
      </c>
      <c r="I2062" s="179"/>
      <c r="J2062" s="167">
        <v>89.5</v>
      </c>
      <c r="K2062" s="167">
        <v>15.01</v>
      </c>
      <c r="L2062" s="167">
        <v>15</v>
      </c>
      <c r="M2062" s="168">
        <v>0.46736111111111112</v>
      </c>
      <c r="N2062" s="67"/>
    </row>
    <row r="2063" spans="1:14" x14ac:dyDescent="0.25">
      <c r="A2063" s="66">
        <v>45908</v>
      </c>
      <c r="B2063" s="67" t="s">
        <v>57</v>
      </c>
      <c r="C2063" s="129" t="str">
        <f t="shared" si="85"/>
        <v>08.09.2025_SCHohVo</v>
      </c>
      <c r="D2063" s="143">
        <f t="shared" si="86"/>
        <v>5</v>
      </c>
      <c r="E2063" s="157"/>
      <c r="F2063" s="165"/>
      <c r="G2063" s="166"/>
      <c r="H2063" s="167"/>
      <c r="I2063" s="179"/>
      <c r="J2063" s="167"/>
      <c r="K2063" s="167"/>
      <c r="L2063" s="167"/>
      <c r="M2063" s="168"/>
      <c r="N2063" s="67" t="s">
        <v>376</v>
      </c>
    </row>
    <row r="2064" spans="1:14" x14ac:dyDescent="0.25">
      <c r="A2064" s="66">
        <v>45908</v>
      </c>
      <c r="B2064" s="67" t="s">
        <v>357</v>
      </c>
      <c r="C2064" s="129" t="str">
        <f t="shared" si="85"/>
        <v>08.09.2025_SCHW</v>
      </c>
      <c r="D2064" s="143">
        <f t="shared" si="86"/>
        <v>0</v>
      </c>
      <c r="E2064" s="157">
        <v>7.9</v>
      </c>
      <c r="F2064" s="165"/>
      <c r="G2064" s="166">
        <v>1723</v>
      </c>
      <c r="H2064" s="167">
        <v>8.5</v>
      </c>
      <c r="I2064" s="179"/>
      <c r="J2064" s="167">
        <v>85.8</v>
      </c>
      <c r="K2064" s="167">
        <v>15.59</v>
      </c>
      <c r="L2064" s="167">
        <v>13</v>
      </c>
      <c r="M2064" s="168">
        <v>0.46388888888888885</v>
      </c>
      <c r="N2064" s="67"/>
    </row>
    <row r="2065" spans="1:14" x14ac:dyDescent="0.25">
      <c r="A2065" s="66">
        <v>45908</v>
      </c>
      <c r="B2065" s="67" t="s">
        <v>358</v>
      </c>
      <c r="C2065" s="129" t="str">
        <f t="shared" si="85"/>
        <v>08.09.2025_SPE</v>
      </c>
      <c r="D2065" s="143">
        <f t="shared" si="86"/>
        <v>5</v>
      </c>
      <c r="E2065" s="157"/>
      <c r="F2065" s="165"/>
      <c r="G2065" s="166"/>
      <c r="H2065" s="167"/>
      <c r="I2065" s="179"/>
      <c r="J2065" s="167"/>
      <c r="K2065" s="167"/>
      <c r="L2065" s="167"/>
      <c r="M2065" s="168"/>
      <c r="N2065" s="67" t="s">
        <v>376</v>
      </c>
    </row>
    <row r="2066" spans="1:14" x14ac:dyDescent="0.25">
      <c r="A2066" s="66">
        <v>45908</v>
      </c>
      <c r="B2066" s="67" t="s">
        <v>60</v>
      </c>
      <c r="C2066" s="129" t="str">
        <f t="shared" si="85"/>
        <v>08.09.2025_VORohBo</v>
      </c>
      <c r="D2066" s="143">
        <f t="shared" si="86"/>
        <v>0</v>
      </c>
      <c r="E2066" s="157">
        <v>7.37</v>
      </c>
      <c r="F2066" s="165"/>
      <c r="G2066" s="166">
        <v>1179</v>
      </c>
      <c r="H2066" s="167">
        <v>7.43</v>
      </c>
      <c r="I2066" s="179"/>
      <c r="J2066" s="167">
        <v>73.599999999999994</v>
      </c>
      <c r="K2066" s="167">
        <v>14.54</v>
      </c>
      <c r="L2066" s="167">
        <v>9</v>
      </c>
      <c r="M2066" s="168">
        <v>0.43124999999999997</v>
      </c>
      <c r="N2066" s="67"/>
    </row>
    <row r="2067" spans="1:14" x14ac:dyDescent="0.25">
      <c r="A2067" s="66">
        <v>45908</v>
      </c>
      <c r="B2067" s="67" t="s">
        <v>62</v>
      </c>
      <c r="C2067" s="129" t="str">
        <f t="shared" si="85"/>
        <v>08.09.2025_VORuhSc</v>
      </c>
      <c r="D2067" s="143">
        <f t="shared" si="86"/>
        <v>0</v>
      </c>
      <c r="E2067" s="157">
        <v>6.98</v>
      </c>
      <c r="F2067" s="165"/>
      <c r="G2067" s="166">
        <v>1212</v>
      </c>
      <c r="H2067" s="167">
        <v>6.59</v>
      </c>
      <c r="I2067" s="179"/>
      <c r="J2067" s="167">
        <v>65.5</v>
      </c>
      <c r="K2067" s="167">
        <v>14.68</v>
      </c>
      <c r="L2067" s="167">
        <v>4</v>
      </c>
      <c r="M2067" s="168">
        <v>0.42152777777777778</v>
      </c>
      <c r="N2067" s="67"/>
    </row>
    <row r="2068" spans="1:14" x14ac:dyDescent="0.25">
      <c r="A2068" s="66">
        <v>45908</v>
      </c>
      <c r="B2068" s="67" t="s">
        <v>64</v>
      </c>
      <c r="C2068" s="129" t="str">
        <f t="shared" si="85"/>
        <v>08.09.2025_WITob</v>
      </c>
      <c r="D2068" s="143">
        <f t="shared" si="86"/>
        <v>0</v>
      </c>
      <c r="E2068" s="157">
        <v>7.85</v>
      </c>
      <c r="F2068" s="165"/>
      <c r="G2068" s="166">
        <v>1299</v>
      </c>
      <c r="H2068" s="167">
        <v>9.43</v>
      </c>
      <c r="I2068" s="179"/>
      <c r="J2068" s="167">
        <v>97.9</v>
      </c>
      <c r="K2068" s="167">
        <v>17.22</v>
      </c>
      <c r="L2068" s="167">
        <v>1</v>
      </c>
      <c r="M2068" s="168">
        <v>0.59652777777777777</v>
      </c>
      <c r="N2068" s="67"/>
    </row>
    <row r="2069" spans="1:14" x14ac:dyDescent="0.25">
      <c r="A2069" s="66">
        <v>45938</v>
      </c>
      <c r="B2069" s="67" t="s">
        <v>22</v>
      </c>
      <c r="C2069" s="129" t="str">
        <f t="shared" ref="C2069:C2091" si="87">CONCATENATE(TEXT(A2069,"TT.MM.JJJJ"),"_",B2069)</f>
        <v>08.10.2025_BOYkl</v>
      </c>
      <c r="D2069" s="143">
        <f t="shared" ref="D2069:D2091" si="88">COUNTBLANK(E2069)+COUNTBLANK(G2069:H2069)+COUNTBLANK(K2069:L2069)</f>
        <v>5</v>
      </c>
      <c r="E2069" s="157"/>
      <c r="F2069" s="165"/>
      <c r="G2069" s="166"/>
      <c r="H2069" s="167"/>
      <c r="I2069" s="179"/>
      <c r="J2069" s="167"/>
      <c r="K2069" s="167"/>
      <c r="L2069" s="167"/>
      <c r="M2069" s="168"/>
      <c r="N2069" s="67" t="s">
        <v>376</v>
      </c>
    </row>
    <row r="2070" spans="1:14" x14ac:dyDescent="0.25">
      <c r="A2070" s="66">
        <v>45938</v>
      </c>
      <c r="B2070" s="67" t="s">
        <v>25</v>
      </c>
      <c r="C2070" s="129" t="str">
        <f t="shared" si="87"/>
        <v>08.10.2025_BOYohB224</v>
      </c>
      <c r="D2070" s="143">
        <f t="shared" si="88"/>
        <v>0</v>
      </c>
      <c r="E2070" s="157">
        <v>7.71</v>
      </c>
      <c r="F2070" s="165"/>
      <c r="G2070" s="166">
        <v>1000</v>
      </c>
      <c r="H2070" s="167">
        <v>10.48</v>
      </c>
      <c r="I2070" s="179"/>
      <c r="J2070" s="167">
        <v>102.6</v>
      </c>
      <c r="K2070" s="167">
        <v>14.9</v>
      </c>
      <c r="L2070" s="167">
        <v>36</v>
      </c>
      <c r="M2070" s="168">
        <v>0.65555555555555556</v>
      </c>
      <c r="N2070" s="67"/>
    </row>
    <row r="2071" spans="1:14" x14ac:dyDescent="0.25">
      <c r="A2071" s="66">
        <v>45938</v>
      </c>
      <c r="B2071" s="67" t="s">
        <v>28</v>
      </c>
      <c r="C2071" s="129" t="str">
        <f t="shared" si="87"/>
        <v>08.10.2025_BOYohBr</v>
      </c>
      <c r="D2071" s="143">
        <f t="shared" si="88"/>
        <v>0</v>
      </c>
      <c r="E2071" s="157">
        <v>7.5</v>
      </c>
      <c r="F2071" s="165"/>
      <c r="G2071" s="166">
        <v>574</v>
      </c>
      <c r="H2071" s="167">
        <v>8.35</v>
      </c>
      <c r="I2071" s="179"/>
      <c r="J2071" s="167">
        <v>77.8</v>
      </c>
      <c r="K2071" s="167">
        <v>12.7</v>
      </c>
      <c r="L2071" s="167">
        <v>13</v>
      </c>
      <c r="M2071" s="168">
        <v>0.55486111111111114</v>
      </c>
      <c r="N2071" s="67"/>
    </row>
    <row r="2072" spans="1:14" x14ac:dyDescent="0.25">
      <c r="A2072" s="66">
        <v>45938</v>
      </c>
      <c r="B2072" s="67" t="s">
        <v>30</v>
      </c>
      <c r="C2072" s="129" t="str">
        <f t="shared" si="87"/>
        <v>08.10.2025_BOYohKi</v>
      </c>
      <c r="D2072" s="143">
        <f t="shared" si="88"/>
        <v>0</v>
      </c>
      <c r="E2072" s="157">
        <v>7.14</v>
      </c>
      <c r="F2072" s="165"/>
      <c r="G2072" s="166">
        <v>860</v>
      </c>
      <c r="H2072" s="167">
        <v>8.9</v>
      </c>
      <c r="I2072" s="179"/>
      <c r="J2072" s="167">
        <v>83.4</v>
      </c>
      <c r="K2072" s="167">
        <v>12.94</v>
      </c>
      <c r="L2072" s="167">
        <v>26</v>
      </c>
      <c r="M2072" s="168">
        <v>0.3979166666666667</v>
      </c>
      <c r="N2072" s="67"/>
    </row>
    <row r="2073" spans="1:14" x14ac:dyDescent="0.25">
      <c r="A2073" s="66">
        <v>45938</v>
      </c>
      <c r="B2073" s="67" t="s">
        <v>32</v>
      </c>
      <c r="C2073" s="129" t="str">
        <f t="shared" si="87"/>
        <v>08.10.2025_BOYohSp</v>
      </c>
      <c r="D2073" s="143">
        <f t="shared" si="88"/>
        <v>0</v>
      </c>
      <c r="E2073" s="157">
        <v>7.42</v>
      </c>
      <c r="F2073" s="165"/>
      <c r="G2073" s="166">
        <v>664</v>
      </c>
      <c r="H2073" s="167">
        <v>7.99</v>
      </c>
      <c r="I2073" s="179"/>
      <c r="J2073" s="167">
        <v>75.099999999999994</v>
      </c>
      <c r="K2073" s="167">
        <v>13.08</v>
      </c>
      <c r="L2073" s="167">
        <v>16</v>
      </c>
      <c r="M2073" s="168">
        <v>0.59027777777777779</v>
      </c>
      <c r="N2073" s="67"/>
    </row>
    <row r="2074" spans="1:14" x14ac:dyDescent="0.25">
      <c r="A2074" s="66">
        <v>45938</v>
      </c>
      <c r="B2074" s="67" t="s">
        <v>34</v>
      </c>
      <c r="C2074" s="129" t="str">
        <f t="shared" si="87"/>
        <v>08.10.2025_BOYuhHa</v>
      </c>
      <c r="D2074" s="143">
        <f t="shared" si="88"/>
        <v>0</v>
      </c>
      <c r="E2074" s="157">
        <v>7.44</v>
      </c>
      <c r="F2074" s="165"/>
      <c r="G2074" s="166">
        <v>1055</v>
      </c>
      <c r="H2074" s="167">
        <v>9.75</v>
      </c>
      <c r="I2074" s="179"/>
      <c r="J2074" s="167">
        <v>91.9</v>
      </c>
      <c r="K2074" s="167">
        <v>13.3</v>
      </c>
      <c r="L2074" s="167">
        <v>13</v>
      </c>
      <c r="M2074" s="168">
        <v>0.37777777777777777</v>
      </c>
      <c r="N2074" s="67"/>
    </row>
    <row r="2075" spans="1:14" x14ac:dyDescent="0.25">
      <c r="A2075" s="66">
        <v>45938</v>
      </c>
      <c r="B2075" s="67" t="s">
        <v>36</v>
      </c>
      <c r="C2075" s="129" t="str">
        <f t="shared" si="87"/>
        <v>08.10.2025_BOYuhSp</v>
      </c>
      <c r="D2075" s="143">
        <f t="shared" si="88"/>
        <v>0</v>
      </c>
      <c r="E2075" s="157">
        <v>7.49</v>
      </c>
      <c r="F2075" s="165"/>
      <c r="G2075" s="166">
        <v>670</v>
      </c>
      <c r="H2075" s="167">
        <v>8.24</v>
      </c>
      <c r="I2075" s="179"/>
      <c r="J2075" s="167">
        <v>77.599999999999994</v>
      </c>
      <c r="K2075" s="167">
        <v>13.22</v>
      </c>
      <c r="L2075" s="167">
        <v>25</v>
      </c>
      <c r="M2075" s="168">
        <v>0.58402777777777781</v>
      </c>
      <c r="N2075" s="67"/>
    </row>
    <row r="2076" spans="1:14" x14ac:dyDescent="0.25">
      <c r="A2076" s="66">
        <v>45938</v>
      </c>
      <c r="B2076" s="67" t="s">
        <v>38</v>
      </c>
      <c r="C2076" s="129" t="str">
        <f t="shared" si="87"/>
        <v>08.10.2025_BRAob</v>
      </c>
      <c r="D2076" s="143">
        <f t="shared" si="88"/>
        <v>0</v>
      </c>
      <c r="E2076" s="157">
        <v>7.55</v>
      </c>
      <c r="F2076" s="165"/>
      <c r="G2076" s="166">
        <v>830</v>
      </c>
      <c r="H2076" s="167">
        <v>9.2100000000000009</v>
      </c>
      <c r="I2076" s="179"/>
      <c r="J2076" s="167">
        <v>87.5</v>
      </c>
      <c r="K2076" s="167">
        <v>13.48</v>
      </c>
      <c r="L2076" s="167">
        <v>18</v>
      </c>
      <c r="M2076" s="168">
        <v>0.52708333333333335</v>
      </c>
      <c r="N2076" s="67"/>
    </row>
    <row r="2077" spans="1:14" x14ac:dyDescent="0.25">
      <c r="A2077" s="66">
        <v>45938</v>
      </c>
      <c r="B2077" s="67" t="s">
        <v>41</v>
      </c>
      <c r="C2077" s="129" t="str">
        <f t="shared" si="87"/>
        <v>08.10.2025_BRAohBo</v>
      </c>
      <c r="D2077" s="143">
        <f t="shared" si="88"/>
        <v>0</v>
      </c>
      <c r="E2077" s="157">
        <v>7.6</v>
      </c>
      <c r="F2077" s="165"/>
      <c r="G2077" s="166">
        <v>774</v>
      </c>
      <c r="H2077" s="167">
        <v>8.7100000000000009</v>
      </c>
      <c r="I2077" s="179"/>
      <c r="J2077" s="167">
        <v>82.9</v>
      </c>
      <c r="K2077" s="167">
        <v>13.66</v>
      </c>
      <c r="L2077" s="167">
        <v>17</v>
      </c>
      <c r="M2077" s="168">
        <v>0.53819444444444442</v>
      </c>
      <c r="N2077" s="67"/>
    </row>
    <row r="2078" spans="1:14" x14ac:dyDescent="0.25">
      <c r="A2078" s="66">
        <v>45938</v>
      </c>
      <c r="B2078" s="67" t="s">
        <v>43</v>
      </c>
      <c r="C2078" s="129" t="str">
        <f t="shared" si="87"/>
        <v>08.10.2025_HAAob</v>
      </c>
      <c r="D2078" s="143">
        <f t="shared" si="88"/>
        <v>0</v>
      </c>
      <c r="E2078" s="157">
        <v>7.68</v>
      </c>
      <c r="F2078" s="165"/>
      <c r="G2078" s="166">
        <v>797</v>
      </c>
      <c r="H2078" s="167">
        <v>9.74</v>
      </c>
      <c r="I2078" s="179"/>
      <c r="J2078" s="167">
        <v>94.2</v>
      </c>
      <c r="K2078" s="167">
        <v>14.28</v>
      </c>
      <c r="L2078" s="167">
        <v>7</v>
      </c>
      <c r="M2078" s="168">
        <v>0.62569444444444444</v>
      </c>
      <c r="N2078" s="67"/>
    </row>
    <row r="2079" spans="1:14" x14ac:dyDescent="0.25">
      <c r="A2079" s="66">
        <v>45938</v>
      </c>
      <c r="B2079" s="67" t="s">
        <v>45</v>
      </c>
      <c r="C2079" s="129" t="str">
        <f t="shared" si="87"/>
        <v>08.10.2025_HAAun</v>
      </c>
      <c r="D2079" s="143">
        <f t="shared" si="88"/>
        <v>0</v>
      </c>
      <c r="E2079" s="157">
        <v>7.56</v>
      </c>
      <c r="F2079" s="165"/>
      <c r="G2079" s="166">
        <v>1114</v>
      </c>
      <c r="H2079" s="167">
        <v>8.91</v>
      </c>
      <c r="I2079" s="179"/>
      <c r="J2079" s="167">
        <v>85.3</v>
      </c>
      <c r="K2079" s="167">
        <v>13.87</v>
      </c>
      <c r="L2079" s="167">
        <v>10</v>
      </c>
      <c r="M2079" s="168">
        <v>0.6166666666666667</v>
      </c>
      <c r="N2079" s="67"/>
    </row>
    <row r="2080" spans="1:14" x14ac:dyDescent="0.25">
      <c r="A2080" s="66">
        <v>45938</v>
      </c>
      <c r="B2080" s="67" t="s">
        <v>47</v>
      </c>
      <c r="C2080" s="129" t="str">
        <f t="shared" si="87"/>
        <v>08.10.2025_KIRob</v>
      </c>
      <c r="D2080" s="143">
        <f t="shared" si="88"/>
        <v>0</v>
      </c>
      <c r="E2080" s="157">
        <v>7.21</v>
      </c>
      <c r="F2080" s="165"/>
      <c r="G2080" s="166">
        <v>1152</v>
      </c>
      <c r="H2080" s="167">
        <v>8.14</v>
      </c>
      <c r="I2080" s="179"/>
      <c r="J2080" s="167">
        <v>77.599999999999994</v>
      </c>
      <c r="K2080" s="167">
        <v>13.58</v>
      </c>
      <c r="L2080" s="167">
        <v>12</v>
      </c>
      <c r="M2080" s="168">
        <v>0.41736111111111113</v>
      </c>
      <c r="N2080" s="67"/>
    </row>
    <row r="2081" spans="1:14" x14ac:dyDescent="0.25">
      <c r="A2081" s="66">
        <v>45938</v>
      </c>
      <c r="B2081" s="67" t="s">
        <v>49</v>
      </c>
      <c r="C2081" s="129" t="str">
        <f t="shared" si="87"/>
        <v>08.10.2025_KIRun</v>
      </c>
      <c r="D2081" s="143">
        <f t="shared" si="88"/>
        <v>0</v>
      </c>
      <c r="E2081" s="157">
        <v>7.25</v>
      </c>
      <c r="F2081" s="165"/>
      <c r="G2081" s="166">
        <v>1039</v>
      </c>
      <c r="H2081" s="167">
        <v>9.02</v>
      </c>
      <c r="I2081" s="179"/>
      <c r="J2081" s="167">
        <v>85.3</v>
      </c>
      <c r="K2081" s="167">
        <v>13.34</v>
      </c>
      <c r="L2081" s="167">
        <v>12</v>
      </c>
      <c r="M2081" s="168">
        <v>0.40833333333333338</v>
      </c>
      <c r="N2081" s="67"/>
    </row>
    <row r="2082" spans="1:14" x14ac:dyDescent="0.25">
      <c r="A2082" s="66">
        <v>45938</v>
      </c>
      <c r="B2082" s="67" t="s">
        <v>50</v>
      </c>
      <c r="C2082" s="129" t="str">
        <f t="shared" si="87"/>
        <v>08.10.2025_LIEohBo</v>
      </c>
      <c r="D2082" s="143">
        <f t="shared" si="88"/>
        <v>0</v>
      </c>
      <c r="E2082" s="157">
        <v>7.15</v>
      </c>
      <c r="F2082" s="165"/>
      <c r="G2082" s="166">
        <v>743</v>
      </c>
      <c r="H2082" s="167">
        <v>7.17</v>
      </c>
      <c r="I2082" s="179"/>
      <c r="J2082" s="167">
        <v>67.7</v>
      </c>
      <c r="K2082" s="167">
        <v>13.28</v>
      </c>
      <c r="L2082" s="167">
        <v>16</v>
      </c>
      <c r="M2082" s="168">
        <v>0.38819444444444445</v>
      </c>
      <c r="N2082" s="67"/>
    </row>
    <row r="2083" spans="1:14" x14ac:dyDescent="0.25">
      <c r="A2083" s="66">
        <v>45938</v>
      </c>
      <c r="B2083" s="67" t="s">
        <v>53</v>
      </c>
      <c r="C2083" s="129" t="str">
        <f t="shared" si="87"/>
        <v>08.10.2025_NATohBo</v>
      </c>
      <c r="D2083" s="143">
        <f t="shared" si="88"/>
        <v>0</v>
      </c>
      <c r="E2083" s="157">
        <v>7.31</v>
      </c>
      <c r="F2083" s="165"/>
      <c r="G2083" s="166">
        <v>2222</v>
      </c>
      <c r="H2083" s="167">
        <v>8.32</v>
      </c>
      <c r="I2083" s="179"/>
      <c r="J2083" s="167">
        <v>81.599999999999994</v>
      </c>
      <c r="K2083" s="167">
        <v>14.85</v>
      </c>
      <c r="L2083" s="167">
        <v>14</v>
      </c>
      <c r="M2083" s="168">
        <v>0.64652777777777781</v>
      </c>
      <c r="N2083" s="67"/>
    </row>
    <row r="2084" spans="1:14" x14ac:dyDescent="0.25">
      <c r="A2084" s="66">
        <v>45938</v>
      </c>
      <c r="B2084" s="67" t="s">
        <v>55</v>
      </c>
      <c r="C2084" s="129" t="str">
        <f t="shared" si="87"/>
        <v>08.10.2025_QUAohBo</v>
      </c>
      <c r="D2084" s="143">
        <f t="shared" si="88"/>
        <v>0</v>
      </c>
      <c r="E2084" s="157">
        <v>7.15</v>
      </c>
      <c r="F2084" s="165"/>
      <c r="G2084" s="166">
        <v>1007</v>
      </c>
      <c r="H2084" s="167">
        <v>3.38</v>
      </c>
      <c r="I2084" s="179"/>
      <c r="J2084" s="167">
        <v>32.200000000000003</v>
      </c>
      <c r="K2084" s="167">
        <v>13.66</v>
      </c>
      <c r="L2084" s="167">
        <v>10</v>
      </c>
      <c r="M2084" s="168">
        <v>0.60138888888888886</v>
      </c>
      <c r="N2084" s="67"/>
    </row>
    <row r="2085" spans="1:14" x14ac:dyDescent="0.25">
      <c r="A2085" s="66">
        <v>45938</v>
      </c>
      <c r="B2085" s="67" t="s">
        <v>356</v>
      </c>
      <c r="C2085" s="129" t="str">
        <f t="shared" si="87"/>
        <v>08.10.2025_ROTB</v>
      </c>
      <c r="D2085" s="143">
        <f t="shared" si="88"/>
        <v>0</v>
      </c>
      <c r="E2085" s="157">
        <v>7.63</v>
      </c>
      <c r="F2085" s="165"/>
      <c r="G2085" s="166">
        <v>1312</v>
      </c>
      <c r="H2085" s="167">
        <v>9.6199999999999992</v>
      </c>
      <c r="I2085" s="179"/>
      <c r="J2085" s="167">
        <v>89.4</v>
      </c>
      <c r="K2085" s="167">
        <v>12.43</v>
      </c>
      <c r="L2085" s="167">
        <v>18</v>
      </c>
      <c r="M2085" s="168">
        <v>0.49444444444444446</v>
      </c>
      <c r="N2085" s="67"/>
    </row>
    <row r="2086" spans="1:14" x14ac:dyDescent="0.25">
      <c r="A2086" s="66">
        <v>45938</v>
      </c>
      <c r="B2086" s="67" t="s">
        <v>57</v>
      </c>
      <c r="C2086" s="129" t="str">
        <f t="shared" si="87"/>
        <v>08.10.2025_SCHohVo</v>
      </c>
      <c r="D2086" s="143">
        <f t="shared" si="88"/>
        <v>5</v>
      </c>
      <c r="E2086" s="157"/>
      <c r="F2086" s="165"/>
      <c r="G2086" s="166"/>
      <c r="H2086" s="167"/>
      <c r="I2086" s="179"/>
      <c r="J2086" s="167"/>
      <c r="K2086" s="167"/>
      <c r="L2086" s="167"/>
      <c r="M2086" s="168"/>
      <c r="N2086" s="67" t="s">
        <v>376</v>
      </c>
    </row>
    <row r="2087" spans="1:14" x14ac:dyDescent="0.25">
      <c r="A2087" s="66">
        <v>45938</v>
      </c>
      <c r="B2087" s="67" t="s">
        <v>357</v>
      </c>
      <c r="C2087" s="129" t="str">
        <f t="shared" si="87"/>
        <v>08.10.2025_SCHW</v>
      </c>
      <c r="D2087" s="143">
        <f t="shared" si="88"/>
        <v>0</v>
      </c>
      <c r="E2087" s="157">
        <v>7.94</v>
      </c>
      <c r="F2087" s="165"/>
      <c r="G2087" s="166">
        <v>1495</v>
      </c>
      <c r="H2087" s="167">
        <v>9.39</v>
      </c>
      <c r="I2087" s="179"/>
      <c r="J2087" s="167">
        <v>88.3</v>
      </c>
      <c r="K2087" s="167">
        <v>13.01</v>
      </c>
      <c r="L2087" s="167">
        <v>25</v>
      </c>
      <c r="M2087" s="168">
        <v>0.48541666666666666</v>
      </c>
      <c r="N2087" s="67"/>
    </row>
    <row r="2088" spans="1:14" x14ac:dyDescent="0.25">
      <c r="A2088" s="66">
        <v>45938</v>
      </c>
      <c r="B2088" s="67" t="s">
        <v>358</v>
      </c>
      <c r="C2088" s="129" t="str">
        <f t="shared" si="87"/>
        <v>08.10.2025_SPE</v>
      </c>
      <c r="D2088" s="143">
        <f t="shared" si="88"/>
        <v>5</v>
      </c>
      <c r="E2088" s="157"/>
      <c r="F2088" s="165"/>
      <c r="G2088" s="166"/>
      <c r="H2088" s="167"/>
      <c r="I2088" s="179"/>
      <c r="J2088" s="167"/>
      <c r="K2088" s="167"/>
      <c r="L2088" s="167"/>
      <c r="M2088" s="168"/>
      <c r="N2088" s="67" t="s">
        <v>376</v>
      </c>
    </row>
    <row r="2089" spans="1:14" x14ac:dyDescent="0.25">
      <c r="A2089" s="66">
        <v>45938</v>
      </c>
      <c r="B2089" s="67" t="s">
        <v>60</v>
      </c>
      <c r="C2089" s="129" t="str">
        <f t="shared" si="87"/>
        <v>08.10.2025_VORohBo</v>
      </c>
      <c r="D2089" s="143">
        <f t="shared" si="88"/>
        <v>0</v>
      </c>
      <c r="E2089" s="157">
        <v>7.11</v>
      </c>
      <c r="F2089" s="165"/>
      <c r="G2089" s="166">
        <v>1146</v>
      </c>
      <c r="H2089" s="167">
        <v>6.3</v>
      </c>
      <c r="I2089" s="179"/>
      <c r="J2089" s="167">
        <v>59.2</v>
      </c>
      <c r="K2089" s="167">
        <v>12.88</v>
      </c>
      <c r="L2089" s="167">
        <v>12</v>
      </c>
      <c r="M2089" s="168">
        <v>0.4465277777777778</v>
      </c>
      <c r="N2089" s="67"/>
    </row>
    <row r="2090" spans="1:14" x14ac:dyDescent="0.25">
      <c r="A2090" s="66">
        <v>45938</v>
      </c>
      <c r="B2090" s="67" t="s">
        <v>62</v>
      </c>
      <c r="C2090" s="129" t="str">
        <f t="shared" si="87"/>
        <v>08.10.2025_VORuhSc</v>
      </c>
      <c r="D2090" s="143">
        <f t="shared" si="88"/>
        <v>0</v>
      </c>
      <c r="E2090" s="157">
        <v>6.85</v>
      </c>
      <c r="F2090" s="165"/>
      <c r="G2090" s="166">
        <v>1135</v>
      </c>
      <c r="H2090" s="167">
        <v>6.84</v>
      </c>
      <c r="I2090" s="179"/>
      <c r="J2090" s="167">
        <v>64.3</v>
      </c>
      <c r="K2090" s="167">
        <v>13.02</v>
      </c>
      <c r="L2090" s="167">
        <v>8</v>
      </c>
      <c r="M2090" s="168">
        <v>0.43541666666666662</v>
      </c>
      <c r="N2090" s="67"/>
    </row>
    <row r="2091" spans="1:14" x14ac:dyDescent="0.25">
      <c r="A2091" s="66">
        <v>45938</v>
      </c>
      <c r="B2091" s="67" t="s">
        <v>64</v>
      </c>
      <c r="C2091" s="129" t="str">
        <f t="shared" si="87"/>
        <v>08.10.2025_WITob</v>
      </c>
      <c r="D2091" s="143">
        <f t="shared" si="88"/>
        <v>0</v>
      </c>
      <c r="E2091" s="157">
        <v>7.69</v>
      </c>
      <c r="F2091" s="165"/>
      <c r="G2091" s="166">
        <v>1300</v>
      </c>
      <c r="H2091" s="167">
        <v>9.6199999999999992</v>
      </c>
      <c r="I2091" s="179"/>
      <c r="J2091" s="167">
        <v>92.5</v>
      </c>
      <c r="K2091" s="167">
        <v>13.89</v>
      </c>
      <c r="L2091" s="167">
        <v>2</v>
      </c>
      <c r="M2091" s="168">
        <v>0.63402777777777775</v>
      </c>
      <c r="N2091" s="67"/>
    </row>
    <row r="2092" spans="1:14" x14ac:dyDescent="0.25">
      <c r="A2092" s="66">
        <v>45964</v>
      </c>
      <c r="B2092" s="67" t="s">
        <v>22</v>
      </c>
      <c r="C2092" s="129" t="str">
        <f t="shared" ref="C2092:C2114" si="89">CONCATENATE(TEXT(A2092,"TT.MM.JJJJ"),"_",B2092)</f>
        <v>03.11.2025_BOYkl</v>
      </c>
      <c r="D2092" s="143">
        <f t="shared" ref="D2092:D2114" si="90">COUNTBLANK(E2092)+COUNTBLANK(G2092:H2092)+COUNTBLANK(K2092:L2092)</f>
        <v>0</v>
      </c>
      <c r="E2092" s="157">
        <v>6.77</v>
      </c>
      <c r="F2092" s="165"/>
      <c r="G2092" s="166">
        <v>563</v>
      </c>
      <c r="H2092" s="167">
        <v>9.93</v>
      </c>
      <c r="I2092" s="179"/>
      <c r="J2092" s="167">
        <v>86.4</v>
      </c>
      <c r="K2092" s="167">
        <v>9.4</v>
      </c>
      <c r="L2092" s="167">
        <v>10</v>
      </c>
      <c r="M2092" s="168">
        <v>0.4375</v>
      </c>
      <c r="N2092" s="67"/>
    </row>
    <row r="2093" spans="1:14" x14ac:dyDescent="0.25">
      <c r="A2093" s="66">
        <v>45964</v>
      </c>
      <c r="B2093" s="67" t="s">
        <v>25</v>
      </c>
      <c r="C2093" s="129" t="str">
        <f t="shared" si="89"/>
        <v>03.11.2025_BOYohB224</v>
      </c>
      <c r="D2093" s="143">
        <f t="shared" si="90"/>
        <v>0</v>
      </c>
      <c r="E2093" s="157">
        <v>6.86</v>
      </c>
      <c r="F2093" s="165"/>
      <c r="G2093" s="166">
        <v>936</v>
      </c>
      <c r="H2093" s="167">
        <v>11.15</v>
      </c>
      <c r="I2093" s="179"/>
      <c r="J2093" s="167">
        <v>100.5</v>
      </c>
      <c r="K2093" s="167">
        <v>10.92</v>
      </c>
      <c r="L2093" s="167">
        <v>47</v>
      </c>
      <c r="M2093" s="168">
        <v>0.57152777777777775</v>
      </c>
      <c r="N2093" s="67"/>
    </row>
    <row r="2094" spans="1:14" x14ac:dyDescent="0.25">
      <c r="A2094" s="66">
        <v>45964</v>
      </c>
      <c r="B2094" s="67" t="s">
        <v>28</v>
      </c>
      <c r="C2094" s="129" t="str">
        <f t="shared" si="89"/>
        <v>03.11.2025_BOYohBr</v>
      </c>
      <c r="D2094" s="143">
        <f t="shared" si="90"/>
        <v>0</v>
      </c>
      <c r="E2094" s="157">
        <v>6.54</v>
      </c>
      <c r="F2094" s="165"/>
      <c r="G2094" s="166">
        <v>591</v>
      </c>
      <c r="H2094" s="167">
        <v>9.27</v>
      </c>
      <c r="I2094" s="179"/>
      <c r="J2094" s="167">
        <v>83.1</v>
      </c>
      <c r="K2094" s="167">
        <v>10.59</v>
      </c>
      <c r="L2094" s="167">
        <v>19</v>
      </c>
      <c r="M2094" s="168">
        <v>0.49861111111111112</v>
      </c>
      <c r="N2094" s="67"/>
    </row>
    <row r="2095" spans="1:14" x14ac:dyDescent="0.25">
      <c r="A2095" s="66">
        <v>45964</v>
      </c>
      <c r="B2095" s="67" t="s">
        <v>30</v>
      </c>
      <c r="C2095" s="129" t="str">
        <f t="shared" si="89"/>
        <v>03.11.2025_BOYohKi</v>
      </c>
      <c r="D2095" s="143">
        <f t="shared" si="90"/>
        <v>0</v>
      </c>
      <c r="E2095" s="157">
        <v>6.66</v>
      </c>
      <c r="F2095" s="165"/>
      <c r="G2095" s="166">
        <v>814</v>
      </c>
      <c r="H2095" s="167">
        <v>9.06</v>
      </c>
      <c r="I2095" s="179"/>
      <c r="J2095" s="167">
        <v>79.400000000000006</v>
      </c>
      <c r="K2095" s="167">
        <v>9.6199999999999992</v>
      </c>
      <c r="L2095" s="167">
        <v>33</v>
      </c>
      <c r="M2095" s="168">
        <v>0.37291666666666662</v>
      </c>
      <c r="N2095" s="67"/>
    </row>
    <row r="2096" spans="1:14" x14ac:dyDescent="0.25">
      <c r="A2096" s="66">
        <v>45964</v>
      </c>
      <c r="B2096" s="67" t="s">
        <v>32</v>
      </c>
      <c r="C2096" s="129" t="str">
        <f t="shared" si="89"/>
        <v>03.11.2025_BOYohSp</v>
      </c>
      <c r="D2096" s="143">
        <f t="shared" si="90"/>
        <v>0</v>
      </c>
      <c r="E2096" s="157">
        <v>6.74</v>
      </c>
      <c r="F2096" s="165"/>
      <c r="G2096" s="166">
        <v>710</v>
      </c>
      <c r="H2096" s="167">
        <v>6.89</v>
      </c>
      <c r="I2096" s="179"/>
      <c r="J2096" s="167">
        <v>61.2</v>
      </c>
      <c r="K2096" s="167">
        <v>10.210000000000001</v>
      </c>
      <c r="L2096" s="167">
        <v>28</v>
      </c>
      <c r="M2096" s="168">
        <v>0.52500000000000002</v>
      </c>
      <c r="N2096" s="67"/>
    </row>
    <row r="2097" spans="1:14" x14ac:dyDescent="0.25">
      <c r="A2097" s="66">
        <v>45964</v>
      </c>
      <c r="B2097" s="67" t="s">
        <v>34</v>
      </c>
      <c r="C2097" s="129" t="str">
        <f t="shared" si="89"/>
        <v>03.11.2025_BOYuhHa</v>
      </c>
      <c r="D2097" s="143">
        <f t="shared" si="90"/>
        <v>0</v>
      </c>
      <c r="E2097" s="157">
        <v>7.5</v>
      </c>
      <c r="F2097" s="165"/>
      <c r="G2097" s="166">
        <v>952</v>
      </c>
      <c r="H2097" s="167">
        <v>10.82</v>
      </c>
      <c r="I2097" s="179"/>
      <c r="J2097" s="167">
        <v>93.6</v>
      </c>
      <c r="K2097" s="167">
        <v>9.1999999999999993</v>
      </c>
      <c r="L2097" s="167">
        <v>17</v>
      </c>
      <c r="M2097" s="168">
        <v>0.35625000000000001</v>
      </c>
      <c r="N2097" s="67"/>
    </row>
    <row r="2098" spans="1:14" x14ac:dyDescent="0.25">
      <c r="A2098" s="66">
        <v>45964</v>
      </c>
      <c r="B2098" s="67" t="s">
        <v>36</v>
      </c>
      <c r="C2098" s="129" t="str">
        <f t="shared" si="89"/>
        <v>03.11.2025_BOYuhSp</v>
      </c>
      <c r="D2098" s="143">
        <f t="shared" si="90"/>
        <v>0</v>
      </c>
      <c r="E2098" s="157">
        <v>6.64</v>
      </c>
      <c r="F2098" s="165"/>
      <c r="G2098" s="166">
        <v>717</v>
      </c>
      <c r="H2098" s="167">
        <v>7.17</v>
      </c>
      <c r="I2098" s="179"/>
      <c r="J2098" s="167">
        <v>63.9</v>
      </c>
      <c r="K2098" s="167">
        <v>10.29</v>
      </c>
      <c r="L2098" s="167">
        <v>38</v>
      </c>
      <c r="M2098" s="168">
        <v>0.52013888888888882</v>
      </c>
      <c r="N2098" s="67"/>
    </row>
    <row r="2099" spans="1:14" x14ac:dyDescent="0.25">
      <c r="A2099" s="66">
        <v>45964</v>
      </c>
      <c r="B2099" s="67" t="s">
        <v>38</v>
      </c>
      <c r="C2099" s="129" t="str">
        <f t="shared" si="89"/>
        <v>03.11.2025_BRAob</v>
      </c>
      <c r="D2099" s="143">
        <f t="shared" si="90"/>
        <v>0</v>
      </c>
      <c r="E2099" s="157">
        <v>6.66</v>
      </c>
      <c r="F2099" s="165"/>
      <c r="G2099" s="166">
        <v>844</v>
      </c>
      <c r="H2099" s="167">
        <v>9.6999999999999993</v>
      </c>
      <c r="I2099" s="179"/>
      <c r="J2099" s="167">
        <v>86.5</v>
      </c>
      <c r="K2099" s="167">
        <v>10.32</v>
      </c>
      <c r="L2099" s="167">
        <v>16</v>
      </c>
      <c r="M2099" s="168">
        <v>0.47569444444444442</v>
      </c>
      <c r="N2099" s="67"/>
    </row>
    <row r="2100" spans="1:14" x14ac:dyDescent="0.25">
      <c r="A2100" s="66">
        <v>45964</v>
      </c>
      <c r="B2100" s="67" t="s">
        <v>41</v>
      </c>
      <c r="C2100" s="129" t="str">
        <f t="shared" si="89"/>
        <v>03.11.2025_BRAohBo</v>
      </c>
      <c r="D2100" s="143">
        <f t="shared" si="90"/>
        <v>0</v>
      </c>
      <c r="E2100" s="157">
        <v>6.65</v>
      </c>
      <c r="F2100" s="165"/>
      <c r="G2100" s="166">
        <v>800</v>
      </c>
      <c r="H2100" s="167">
        <v>3.96</v>
      </c>
      <c r="I2100" s="179"/>
      <c r="J2100" s="167">
        <v>34.799999999999997</v>
      </c>
      <c r="K2100" s="167">
        <v>9.61</v>
      </c>
      <c r="L2100" s="167">
        <v>29</v>
      </c>
      <c r="M2100" s="168">
        <v>0.48541666666666666</v>
      </c>
      <c r="N2100" s="67"/>
    </row>
    <row r="2101" spans="1:14" x14ac:dyDescent="0.25">
      <c r="A2101" s="66">
        <v>45964</v>
      </c>
      <c r="B2101" s="67" t="s">
        <v>43</v>
      </c>
      <c r="C2101" s="129" t="str">
        <f t="shared" si="89"/>
        <v>03.11.2025_HAAob</v>
      </c>
      <c r="D2101" s="143">
        <f t="shared" si="90"/>
        <v>0</v>
      </c>
      <c r="E2101" s="157">
        <v>6.79</v>
      </c>
      <c r="F2101" s="165"/>
      <c r="G2101" s="166">
        <v>765</v>
      </c>
      <c r="H2101" s="167">
        <v>9.67</v>
      </c>
      <c r="I2101" s="179"/>
      <c r="J2101" s="167">
        <v>87.2</v>
      </c>
      <c r="K2101" s="167">
        <v>10.82</v>
      </c>
      <c r="L2101" s="167">
        <v>12</v>
      </c>
      <c r="M2101" s="168">
        <v>0.54861111111111105</v>
      </c>
      <c r="N2101" s="67"/>
    </row>
    <row r="2102" spans="1:14" x14ac:dyDescent="0.25">
      <c r="A2102" s="66">
        <v>45964</v>
      </c>
      <c r="B2102" s="67" t="s">
        <v>45</v>
      </c>
      <c r="C2102" s="129" t="str">
        <f t="shared" si="89"/>
        <v>03.11.2025_HAAun</v>
      </c>
      <c r="D2102" s="143">
        <f t="shared" si="90"/>
        <v>0</v>
      </c>
      <c r="E2102" s="157">
        <v>6.74</v>
      </c>
      <c r="F2102" s="165"/>
      <c r="G2102" s="166">
        <v>1105</v>
      </c>
      <c r="H2102" s="167">
        <v>7.57</v>
      </c>
      <c r="I2102" s="179"/>
      <c r="J2102" s="167">
        <v>68.400000000000006</v>
      </c>
      <c r="K2102" s="167">
        <v>10.73</v>
      </c>
      <c r="L2102" s="167">
        <v>16</v>
      </c>
      <c r="M2102" s="168">
        <v>0.54027777777777775</v>
      </c>
      <c r="N2102" s="67"/>
    </row>
    <row r="2103" spans="1:14" x14ac:dyDescent="0.25">
      <c r="A2103" s="66">
        <v>45964</v>
      </c>
      <c r="B2103" s="67" t="s">
        <v>47</v>
      </c>
      <c r="C2103" s="129" t="str">
        <f t="shared" si="89"/>
        <v>03.11.2025_KIRob</v>
      </c>
      <c r="D2103" s="143">
        <f t="shared" si="90"/>
        <v>0</v>
      </c>
      <c r="E2103" s="157">
        <v>6.49</v>
      </c>
      <c r="F2103" s="165"/>
      <c r="G2103" s="166">
        <v>1109</v>
      </c>
      <c r="H2103" s="167">
        <v>7.08</v>
      </c>
      <c r="I2103" s="179"/>
      <c r="J2103" s="167">
        <v>63</v>
      </c>
      <c r="K2103" s="167">
        <v>10.19</v>
      </c>
      <c r="L2103" s="167">
        <v>13</v>
      </c>
      <c r="M2103" s="168">
        <v>0.3888888888888889</v>
      </c>
      <c r="N2103" s="67"/>
    </row>
    <row r="2104" spans="1:14" x14ac:dyDescent="0.25">
      <c r="A2104" s="66">
        <v>45964</v>
      </c>
      <c r="B2104" s="67" t="s">
        <v>49</v>
      </c>
      <c r="C2104" s="129" t="str">
        <f t="shared" si="89"/>
        <v>03.11.2025_KIRun</v>
      </c>
      <c r="D2104" s="143">
        <f t="shared" si="90"/>
        <v>0</v>
      </c>
      <c r="E2104" s="157">
        <v>6.36</v>
      </c>
      <c r="F2104" s="165"/>
      <c r="G2104" s="166">
        <v>1019</v>
      </c>
      <c r="H2104" s="167">
        <v>8.9</v>
      </c>
      <c r="I2104" s="179"/>
      <c r="J2104" s="167">
        <v>79.2</v>
      </c>
      <c r="K2104" s="167">
        <v>10.27</v>
      </c>
      <c r="L2104" s="167">
        <v>18</v>
      </c>
      <c r="M2104" s="168">
        <v>0.38194444444444442</v>
      </c>
      <c r="N2104" s="67"/>
    </row>
    <row r="2105" spans="1:14" x14ac:dyDescent="0.25">
      <c r="A2105" s="66">
        <v>45964</v>
      </c>
      <c r="B2105" s="67" t="s">
        <v>50</v>
      </c>
      <c r="C2105" s="129" t="str">
        <f t="shared" si="89"/>
        <v>03.11.2025_LIEohBo</v>
      </c>
      <c r="D2105" s="143">
        <f t="shared" si="90"/>
        <v>0</v>
      </c>
      <c r="E2105" s="157">
        <v>7.04</v>
      </c>
      <c r="F2105" s="165"/>
      <c r="G2105" s="166">
        <v>726</v>
      </c>
      <c r="H2105" s="167">
        <v>9.31</v>
      </c>
      <c r="I2105" s="179"/>
      <c r="J2105" s="167">
        <v>78.900000000000006</v>
      </c>
      <c r="K2105" s="167">
        <v>8</v>
      </c>
      <c r="L2105" s="167">
        <v>16</v>
      </c>
      <c r="M2105" s="168">
        <v>0.36458333333333331</v>
      </c>
      <c r="N2105" s="67"/>
    </row>
    <row r="2106" spans="1:14" x14ac:dyDescent="0.25">
      <c r="A2106" s="66">
        <v>45964</v>
      </c>
      <c r="B2106" s="67" t="s">
        <v>53</v>
      </c>
      <c r="C2106" s="129" t="str">
        <f t="shared" si="89"/>
        <v>03.11.2025_NATohBo</v>
      </c>
      <c r="D2106" s="143">
        <f t="shared" si="90"/>
        <v>0</v>
      </c>
      <c r="E2106" s="157">
        <v>6.72</v>
      </c>
      <c r="F2106" s="165"/>
      <c r="G2106" s="166">
        <v>1722</v>
      </c>
      <c r="H2106" s="167">
        <v>7.83</v>
      </c>
      <c r="I2106" s="179"/>
      <c r="J2106" s="167">
        <v>71.8</v>
      </c>
      <c r="K2106" s="167">
        <v>11.52</v>
      </c>
      <c r="L2106" s="167">
        <v>20</v>
      </c>
      <c r="M2106" s="168">
        <v>0.56458333333333333</v>
      </c>
      <c r="N2106" s="67"/>
    </row>
    <row r="2107" spans="1:14" x14ac:dyDescent="0.25">
      <c r="A2107" s="66">
        <v>45964</v>
      </c>
      <c r="B2107" s="67" t="s">
        <v>55</v>
      </c>
      <c r="C2107" s="129" t="str">
        <f t="shared" si="89"/>
        <v>03.11.2025_QUAohBo</v>
      </c>
      <c r="D2107" s="143">
        <f t="shared" si="90"/>
        <v>0</v>
      </c>
      <c r="E2107" s="157">
        <v>6.79</v>
      </c>
      <c r="F2107" s="165"/>
      <c r="G2107" s="166">
        <v>878</v>
      </c>
      <c r="H2107" s="167">
        <v>6.35</v>
      </c>
      <c r="I2107" s="179"/>
      <c r="J2107" s="167">
        <v>56.5</v>
      </c>
      <c r="K2107" s="167">
        <v>10.25</v>
      </c>
      <c r="L2107" s="167">
        <v>21</v>
      </c>
      <c r="M2107" s="168">
        <v>0.53125</v>
      </c>
      <c r="N2107" s="67"/>
    </row>
    <row r="2108" spans="1:14" x14ac:dyDescent="0.25">
      <c r="A2108" s="66">
        <v>45964</v>
      </c>
      <c r="B2108" s="67" t="s">
        <v>356</v>
      </c>
      <c r="C2108" s="129" t="str">
        <f t="shared" si="89"/>
        <v>03.11.2025_ROTB</v>
      </c>
      <c r="D2108" s="143">
        <f t="shared" si="90"/>
        <v>0</v>
      </c>
      <c r="E2108" s="157">
        <v>6.85</v>
      </c>
      <c r="F2108" s="165"/>
      <c r="G2108" s="166">
        <v>1178</v>
      </c>
      <c r="H2108" s="167">
        <v>8.74</v>
      </c>
      <c r="I2108" s="179"/>
      <c r="J2108" s="167">
        <v>76.400000000000006</v>
      </c>
      <c r="K2108" s="167">
        <v>9.4600000000000009</v>
      </c>
      <c r="L2108" s="167">
        <v>23</v>
      </c>
      <c r="M2108" s="168">
        <v>0.45763888888888887</v>
      </c>
      <c r="N2108" s="67"/>
    </row>
    <row r="2109" spans="1:14" x14ac:dyDescent="0.25">
      <c r="A2109" s="66">
        <v>45964</v>
      </c>
      <c r="B2109" s="67" t="s">
        <v>57</v>
      </c>
      <c r="C2109" s="129" t="str">
        <f t="shared" si="89"/>
        <v>03.11.2025_SCHohVo</v>
      </c>
      <c r="D2109" s="143">
        <f t="shared" si="90"/>
        <v>0</v>
      </c>
      <c r="E2109" s="157">
        <v>6.5</v>
      </c>
      <c r="F2109" s="165"/>
      <c r="G2109" s="166">
        <v>688</v>
      </c>
      <c r="H2109" s="167">
        <v>6.45</v>
      </c>
      <c r="I2109" s="179"/>
      <c r="J2109" s="167">
        <v>56</v>
      </c>
      <c r="K2109" s="167">
        <v>9.07</v>
      </c>
      <c r="L2109" s="167">
        <v>3</v>
      </c>
      <c r="M2109" s="168">
        <v>0.40902777777777777</v>
      </c>
      <c r="N2109" s="67"/>
    </row>
    <row r="2110" spans="1:14" x14ac:dyDescent="0.25">
      <c r="A2110" s="66">
        <v>45964</v>
      </c>
      <c r="B2110" s="67" t="s">
        <v>357</v>
      </c>
      <c r="C2110" s="129" t="str">
        <f t="shared" si="89"/>
        <v>03.11.2025_SCHW</v>
      </c>
      <c r="D2110" s="143">
        <f t="shared" si="90"/>
        <v>0</v>
      </c>
      <c r="E2110" s="157">
        <v>6.9</v>
      </c>
      <c r="F2110" s="165"/>
      <c r="G2110" s="166">
        <v>1400</v>
      </c>
      <c r="H2110" s="167">
        <v>10.119999999999999</v>
      </c>
      <c r="I2110" s="179"/>
      <c r="J2110" s="167">
        <v>87.6</v>
      </c>
      <c r="K2110" s="167">
        <v>9.0399999999999991</v>
      </c>
      <c r="L2110" s="167">
        <v>29</v>
      </c>
      <c r="M2110" s="168">
        <v>0.4548611111111111</v>
      </c>
      <c r="N2110" s="67"/>
    </row>
    <row r="2111" spans="1:14" x14ac:dyDescent="0.25">
      <c r="A2111" s="66">
        <v>45964</v>
      </c>
      <c r="B2111" s="67" t="s">
        <v>358</v>
      </c>
      <c r="C2111" s="129" t="str">
        <f t="shared" si="89"/>
        <v>03.11.2025_SPE</v>
      </c>
      <c r="D2111" s="143">
        <f t="shared" si="90"/>
        <v>0</v>
      </c>
      <c r="E2111" s="157">
        <v>6.47</v>
      </c>
      <c r="F2111" s="165"/>
      <c r="G2111" s="166">
        <v>786</v>
      </c>
      <c r="H2111" s="167">
        <v>4.68</v>
      </c>
      <c r="I2111" s="179"/>
      <c r="J2111" s="167">
        <v>41.1</v>
      </c>
      <c r="K2111" s="167">
        <v>9.6</v>
      </c>
      <c r="L2111" s="167">
        <v>7</v>
      </c>
      <c r="M2111" s="168">
        <v>0.51041666666666663</v>
      </c>
      <c r="N2111" s="67"/>
    </row>
    <row r="2112" spans="1:14" x14ac:dyDescent="0.25">
      <c r="A2112" s="66">
        <v>45964</v>
      </c>
      <c r="B2112" s="67" t="s">
        <v>60</v>
      </c>
      <c r="C2112" s="129" t="str">
        <f t="shared" si="89"/>
        <v>03.11.2025_VORohBo</v>
      </c>
      <c r="D2112" s="143">
        <f t="shared" si="90"/>
        <v>0</v>
      </c>
      <c r="E2112" s="157">
        <v>6.36</v>
      </c>
      <c r="F2112" s="165"/>
      <c r="G2112" s="166">
        <v>1101</v>
      </c>
      <c r="H2112" s="167">
        <v>6.52</v>
      </c>
      <c r="I2112" s="179"/>
      <c r="J2112" s="167">
        <v>57.5</v>
      </c>
      <c r="K2112" s="167">
        <v>9.8000000000000007</v>
      </c>
      <c r="L2112" s="167">
        <v>19</v>
      </c>
      <c r="M2112" s="168">
        <v>0.42499999999999999</v>
      </c>
      <c r="N2112" s="67"/>
    </row>
    <row r="2113" spans="1:14" x14ac:dyDescent="0.25">
      <c r="A2113" s="66">
        <v>45964</v>
      </c>
      <c r="B2113" s="67" t="s">
        <v>62</v>
      </c>
      <c r="C2113" s="129" t="str">
        <f t="shared" si="89"/>
        <v>03.11.2025_VORuhSc</v>
      </c>
      <c r="D2113" s="143">
        <f t="shared" si="90"/>
        <v>0</v>
      </c>
      <c r="E2113" s="157">
        <v>6.24</v>
      </c>
      <c r="F2113" s="165"/>
      <c r="G2113" s="166">
        <v>1084</v>
      </c>
      <c r="H2113" s="167">
        <v>6.5</v>
      </c>
      <c r="I2113" s="179"/>
      <c r="J2113" s="167">
        <v>57.7</v>
      </c>
      <c r="K2113" s="167">
        <v>10.119999999999999</v>
      </c>
      <c r="L2113" s="167">
        <v>13</v>
      </c>
      <c r="M2113" s="168">
        <v>0.41666666666666669</v>
      </c>
      <c r="N2113" s="67"/>
    </row>
    <row r="2114" spans="1:14" x14ac:dyDescent="0.25">
      <c r="A2114" s="66">
        <v>45964</v>
      </c>
      <c r="B2114" s="67" t="s">
        <v>64</v>
      </c>
      <c r="C2114" s="129" t="str">
        <f t="shared" si="89"/>
        <v>03.11.2025_WITob</v>
      </c>
      <c r="D2114" s="143">
        <f t="shared" si="90"/>
        <v>0</v>
      </c>
      <c r="E2114" s="157">
        <v>6.7</v>
      </c>
      <c r="F2114" s="165"/>
      <c r="G2114" s="166">
        <v>1334</v>
      </c>
      <c r="H2114" s="167">
        <v>8.86</v>
      </c>
      <c r="I2114" s="179"/>
      <c r="J2114" s="167">
        <v>80.5</v>
      </c>
      <c r="K2114" s="167">
        <v>11.09</v>
      </c>
      <c r="L2114" s="167">
        <v>2</v>
      </c>
      <c r="M2114" s="168">
        <v>0.55555555555555558</v>
      </c>
      <c r="N2114" s="67"/>
    </row>
    <row r="2115" spans="1:14" x14ac:dyDescent="0.25">
      <c r="A2115" s="66">
        <v>45996</v>
      </c>
      <c r="B2115" s="67" t="s">
        <v>22</v>
      </c>
      <c r="C2115" s="129" t="str">
        <f t="shared" ref="C2115:C2137" si="91">CONCATENATE(TEXT(A2115,"TT.MM.JJJJ"),"_",B2115)</f>
        <v>05.12.2025_BOYkl</v>
      </c>
      <c r="D2115" s="143">
        <f t="shared" ref="D2115:D2137" si="92">COUNTBLANK(E2115)+COUNTBLANK(G2115:H2115)+COUNTBLANK(K2115:L2115)</f>
        <v>0</v>
      </c>
      <c r="E2115" s="157">
        <v>6.97</v>
      </c>
      <c r="F2115" s="165"/>
      <c r="G2115" s="166">
        <v>531</v>
      </c>
      <c r="H2115" s="167">
        <v>11</v>
      </c>
      <c r="I2115" s="179"/>
      <c r="J2115" s="167">
        <v>92.1</v>
      </c>
      <c r="K2115" s="167">
        <v>17.149999999999999</v>
      </c>
      <c r="L2115" s="167">
        <v>16</v>
      </c>
      <c r="M2115" s="168">
        <v>0.47291666666666665</v>
      </c>
      <c r="N2115" s="67"/>
    </row>
    <row r="2116" spans="1:14" x14ac:dyDescent="0.25">
      <c r="A2116" s="66">
        <v>45996</v>
      </c>
      <c r="B2116" s="67" t="s">
        <v>25</v>
      </c>
      <c r="C2116" s="129" t="str">
        <f t="shared" si="91"/>
        <v>05.12.2025_BOYohB224</v>
      </c>
      <c r="D2116" s="143">
        <f t="shared" si="92"/>
        <v>0</v>
      </c>
      <c r="E2116" s="157">
        <v>6.86</v>
      </c>
      <c r="F2116" s="165"/>
      <c r="G2116" s="166">
        <v>916</v>
      </c>
      <c r="H2116" s="167">
        <v>11.87</v>
      </c>
      <c r="I2116" s="179"/>
      <c r="J2116" s="167">
        <v>100.9</v>
      </c>
      <c r="K2116" s="167">
        <v>7.79</v>
      </c>
      <c r="L2116" s="167">
        <v>47</v>
      </c>
      <c r="M2116" s="168">
        <v>0.67013888888888884</v>
      </c>
      <c r="N2116" s="67"/>
    </row>
    <row r="2117" spans="1:14" x14ac:dyDescent="0.25">
      <c r="A2117" s="66">
        <v>45996</v>
      </c>
      <c r="B2117" s="67" t="s">
        <v>28</v>
      </c>
      <c r="C2117" s="129" t="str">
        <f t="shared" si="91"/>
        <v>05.12.2025_BOYohBr</v>
      </c>
      <c r="D2117" s="143">
        <f t="shared" si="92"/>
        <v>0</v>
      </c>
      <c r="E2117" s="157">
        <v>6.72</v>
      </c>
      <c r="F2117" s="165"/>
      <c r="G2117" s="166">
        <v>602</v>
      </c>
      <c r="H2117" s="167">
        <v>10.43</v>
      </c>
      <c r="I2117" s="179"/>
      <c r="J2117" s="167">
        <v>90.9</v>
      </c>
      <c r="K2117" s="167">
        <v>8.74</v>
      </c>
      <c r="L2117" s="167">
        <v>28</v>
      </c>
      <c r="M2117" s="168">
        <v>0.57291666666666663</v>
      </c>
      <c r="N2117" s="67"/>
    </row>
    <row r="2118" spans="1:14" x14ac:dyDescent="0.25">
      <c r="A2118" s="66">
        <v>45996</v>
      </c>
      <c r="B2118" s="67" t="s">
        <v>30</v>
      </c>
      <c r="C2118" s="129" t="str">
        <f t="shared" si="91"/>
        <v>05.12.2025_BOYohKi</v>
      </c>
      <c r="D2118" s="143">
        <f t="shared" si="92"/>
        <v>0</v>
      </c>
      <c r="E2118" s="157">
        <v>6.57</v>
      </c>
      <c r="F2118" s="165"/>
      <c r="G2118" s="166">
        <v>800</v>
      </c>
      <c r="H2118" s="167">
        <v>10.56</v>
      </c>
      <c r="I2118" s="179"/>
      <c r="J2118" s="167">
        <v>88</v>
      </c>
      <c r="K2118" s="167">
        <v>6.99</v>
      </c>
      <c r="L2118" s="167">
        <v>38</v>
      </c>
      <c r="M2118" s="168">
        <v>0.38611111111111113</v>
      </c>
      <c r="N2118" s="67"/>
    </row>
    <row r="2119" spans="1:14" x14ac:dyDescent="0.25">
      <c r="A2119" s="66">
        <v>45996</v>
      </c>
      <c r="B2119" s="67" t="s">
        <v>32</v>
      </c>
      <c r="C2119" s="129" t="str">
        <f t="shared" si="91"/>
        <v>05.12.2025_BOYohSp</v>
      </c>
      <c r="D2119" s="143">
        <f t="shared" si="92"/>
        <v>0</v>
      </c>
      <c r="E2119" s="157">
        <v>6.46</v>
      </c>
      <c r="F2119" s="165"/>
      <c r="G2119" s="166">
        <v>702</v>
      </c>
      <c r="H2119" s="167">
        <v>9.9600000000000009</v>
      </c>
      <c r="I2119" s="179"/>
      <c r="J2119" s="167">
        <v>84.7</v>
      </c>
      <c r="K2119" s="167">
        <v>7.78</v>
      </c>
      <c r="L2119" s="167">
        <v>38</v>
      </c>
      <c r="M2119" s="168">
        <v>0.60486111111111118</v>
      </c>
      <c r="N2119" s="67"/>
    </row>
    <row r="2120" spans="1:14" x14ac:dyDescent="0.25">
      <c r="A2120" s="66">
        <v>45996</v>
      </c>
      <c r="B2120" s="67" t="s">
        <v>34</v>
      </c>
      <c r="C2120" s="129" t="str">
        <f t="shared" si="91"/>
        <v>05.12.2025_BOYuhHa</v>
      </c>
      <c r="D2120" s="143">
        <f t="shared" si="92"/>
        <v>0</v>
      </c>
      <c r="E2120" s="157">
        <v>7.53</v>
      </c>
      <c r="F2120" s="165"/>
      <c r="G2120" s="166">
        <v>933</v>
      </c>
      <c r="H2120" s="167">
        <v>12.07</v>
      </c>
      <c r="I2120" s="179"/>
      <c r="J2120" s="167">
        <v>100</v>
      </c>
      <c r="K2120" s="167">
        <v>6.74</v>
      </c>
      <c r="L2120" s="167">
        <v>16</v>
      </c>
      <c r="M2120" s="168">
        <v>0.36041666666666666</v>
      </c>
      <c r="N2120" s="67"/>
    </row>
    <row r="2121" spans="1:14" x14ac:dyDescent="0.25">
      <c r="A2121" s="66">
        <v>45996</v>
      </c>
      <c r="B2121" s="67" t="s">
        <v>36</v>
      </c>
      <c r="C2121" s="129" t="str">
        <f t="shared" si="91"/>
        <v>05.12.2025_BOYuhSp</v>
      </c>
      <c r="D2121" s="143">
        <f t="shared" si="92"/>
        <v>0</v>
      </c>
      <c r="E2121" s="157">
        <v>6.55</v>
      </c>
      <c r="F2121" s="165"/>
      <c r="G2121" s="166">
        <v>707</v>
      </c>
      <c r="H2121" s="167">
        <v>10.029999999999999</v>
      </c>
      <c r="I2121" s="179"/>
      <c r="J2121" s="167">
        <v>85</v>
      </c>
      <c r="K2121" s="167">
        <v>7.65</v>
      </c>
      <c r="L2121" s="167">
        <v>27</v>
      </c>
      <c r="M2121" s="168">
        <v>0.59791666666666665</v>
      </c>
      <c r="N2121" s="67"/>
    </row>
    <row r="2122" spans="1:14" x14ac:dyDescent="0.25">
      <c r="A2122" s="66">
        <v>45996</v>
      </c>
      <c r="B2122" s="67" t="s">
        <v>38</v>
      </c>
      <c r="C2122" s="129" t="str">
        <f t="shared" si="91"/>
        <v>05.12.2025_BRAob</v>
      </c>
      <c r="D2122" s="143">
        <f t="shared" si="92"/>
        <v>0</v>
      </c>
      <c r="E2122" s="157">
        <v>6.55</v>
      </c>
      <c r="F2122" s="165"/>
      <c r="G2122" s="166">
        <v>863</v>
      </c>
      <c r="H2122" s="167">
        <v>9.5399999999999991</v>
      </c>
      <c r="I2122" s="179"/>
      <c r="J2122" s="167">
        <v>81</v>
      </c>
      <c r="K2122" s="167">
        <v>7.63</v>
      </c>
      <c r="L2122" s="167">
        <v>18</v>
      </c>
      <c r="M2122" s="168">
        <v>0.53472222222222221</v>
      </c>
      <c r="N2122" s="67"/>
    </row>
    <row r="2123" spans="1:14" x14ac:dyDescent="0.25">
      <c r="A2123" s="66">
        <v>45996</v>
      </c>
      <c r="B2123" s="67" t="s">
        <v>41</v>
      </c>
      <c r="C2123" s="129" t="str">
        <f t="shared" si="91"/>
        <v>05.12.2025_BRAohBo</v>
      </c>
      <c r="D2123" s="143">
        <f t="shared" si="92"/>
        <v>0</v>
      </c>
      <c r="E2123" s="157">
        <v>6.74</v>
      </c>
      <c r="F2123" s="165"/>
      <c r="G2123" s="166">
        <v>771</v>
      </c>
      <c r="H2123" s="167">
        <v>10.45</v>
      </c>
      <c r="I2123" s="179"/>
      <c r="J2123" s="167">
        <v>87.7</v>
      </c>
      <c r="K2123" s="167">
        <v>7.22</v>
      </c>
      <c r="L2123" s="167">
        <v>26</v>
      </c>
      <c r="M2123" s="168">
        <v>0.55625000000000002</v>
      </c>
      <c r="N2123" s="67"/>
    </row>
    <row r="2124" spans="1:14" x14ac:dyDescent="0.25">
      <c r="A2124" s="66">
        <v>45996</v>
      </c>
      <c r="B2124" s="67" t="s">
        <v>43</v>
      </c>
      <c r="C2124" s="129" t="str">
        <f t="shared" si="91"/>
        <v>05.12.2025_HAAob</v>
      </c>
      <c r="D2124" s="143">
        <f t="shared" si="92"/>
        <v>0</v>
      </c>
      <c r="E2124" s="157">
        <v>6.66</v>
      </c>
      <c r="F2124" s="165"/>
      <c r="G2124" s="166">
        <v>636</v>
      </c>
      <c r="H2124" s="167">
        <v>11.53</v>
      </c>
      <c r="I2124" s="179"/>
      <c r="J2124" s="167">
        <v>96.2</v>
      </c>
      <c r="K2124" s="167">
        <v>7.04</v>
      </c>
      <c r="L2124" s="167">
        <v>23</v>
      </c>
      <c r="M2124" s="168">
        <v>0.6333333333333333</v>
      </c>
      <c r="N2124" s="67"/>
    </row>
    <row r="2125" spans="1:14" x14ac:dyDescent="0.25">
      <c r="A2125" s="66">
        <v>45996</v>
      </c>
      <c r="B2125" s="67" t="s">
        <v>45</v>
      </c>
      <c r="C2125" s="129" t="str">
        <f t="shared" si="91"/>
        <v>05.12.2025_HAAun</v>
      </c>
      <c r="D2125" s="143">
        <f t="shared" si="92"/>
        <v>0</v>
      </c>
      <c r="E2125" s="157">
        <v>6.64</v>
      </c>
      <c r="F2125" s="165"/>
      <c r="G2125" s="166">
        <v>1241</v>
      </c>
      <c r="H2125" s="167">
        <v>8.92</v>
      </c>
      <c r="I2125" s="179"/>
      <c r="J2125" s="167">
        <v>76.3</v>
      </c>
      <c r="K2125" s="167">
        <v>8.0399999999999991</v>
      </c>
      <c r="L2125" s="167">
        <v>15</v>
      </c>
      <c r="M2125" s="168">
        <v>0.625</v>
      </c>
      <c r="N2125" s="67"/>
    </row>
    <row r="2126" spans="1:14" x14ac:dyDescent="0.25">
      <c r="A2126" s="66">
        <v>45996</v>
      </c>
      <c r="B2126" s="67" t="s">
        <v>47</v>
      </c>
      <c r="C2126" s="129" t="str">
        <f t="shared" si="91"/>
        <v>05.12.2025_KIRob</v>
      </c>
      <c r="D2126" s="143">
        <f t="shared" si="92"/>
        <v>0</v>
      </c>
      <c r="E2126" s="157">
        <v>6.75</v>
      </c>
      <c r="F2126" s="165"/>
      <c r="G2126" s="166">
        <v>1150</v>
      </c>
      <c r="H2126" s="167">
        <v>7.26</v>
      </c>
      <c r="I2126" s="179"/>
      <c r="J2126" s="167">
        <v>61.8</v>
      </c>
      <c r="K2126" s="167">
        <v>7.72</v>
      </c>
      <c r="L2126" s="167">
        <v>10</v>
      </c>
      <c r="M2126" s="168">
        <v>0.41805555555555557</v>
      </c>
      <c r="N2126" s="67"/>
    </row>
    <row r="2127" spans="1:14" x14ac:dyDescent="0.25">
      <c r="A2127" s="66">
        <v>45996</v>
      </c>
      <c r="B2127" s="67" t="s">
        <v>49</v>
      </c>
      <c r="C2127" s="129" t="str">
        <f t="shared" si="91"/>
        <v>05.12.2025_KIRun</v>
      </c>
      <c r="D2127" s="143">
        <f t="shared" si="92"/>
        <v>0</v>
      </c>
      <c r="E2127" s="157">
        <v>6.56</v>
      </c>
      <c r="F2127" s="165"/>
      <c r="G2127" s="166">
        <v>1016</v>
      </c>
      <c r="H2127" s="167">
        <v>9.5299999999999994</v>
      </c>
      <c r="I2127" s="179"/>
      <c r="J2127" s="167">
        <v>82.1</v>
      </c>
      <c r="K2127" s="167">
        <v>8.25</v>
      </c>
      <c r="L2127" s="167">
        <v>14</v>
      </c>
      <c r="M2127" s="168">
        <v>0.40347222222222223</v>
      </c>
      <c r="N2127" s="67"/>
    </row>
    <row r="2128" spans="1:14" x14ac:dyDescent="0.25">
      <c r="A2128" s="66">
        <v>45996</v>
      </c>
      <c r="B2128" s="67" t="s">
        <v>50</v>
      </c>
      <c r="C2128" s="129" t="str">
        <f t="shared" si="91"/>
        <v>05.12.2025_LIEohBo</v>
      </c>
      <c r="D2128" s="143">
        <f t="shared" si="92"/>
        <v>0</v>
      </c>
      <c r="E2128" s="157">
        <v>6.81</v>
      </c>
      <c r="F2128" s="165"/>
      <c r="G2128" s="166">
        <v>725</v>
      </c>
      <c r="H2128" s="167">
        <v>9.25</v>
      </c>
      <c r="I2128" s="179"/>
      <c r="J2128" s="167">
        <v>75.099999999999994</v>
      </c>
      <c r="K2128" s="167">
        <v>5.4</v>
      </c>
      <c r="L2128" s="167">
        <v>20</v>
      </c>
      <c r="M2128" s="168">
        <v>0.37638888888888888</v>
      </c>
      <c r="N2128" s="67"/>
    </row>
    <row r="2129" spans="1:14" x14ac:dyDescent="0.25">
      <c r="A2129" s="66">
        <v>45996</v>
      </c>
      <c r="B2129" s="67" t="s">
        <v>53</v>
      </c>
      <c r="C2129" s="129" t="str">
        <f t="shared" si="91"/>
        <v>05.12.2025_NATohBo</v>
      </c>
      <c r="D2129" s="143">
        <f t="shared" si="92"/>
        <v>0</v>
      </c>
      <c r="E2129" s="157">
        <v>6.81</v>
      </c>
      <c r="F2129" s="165"/>
      <c r="G2129" s="166">
        <v>1870</v>
      </c>
      <c r="H2129" s="167">
        <v>8.64</v>
      </c>
      <c r="I2129" s="179"/>
      <c r="J2129" s="167">
        <v>75.400000000000006</v>
      </c>
      <c r="K2129" s="167">
        <v>8.75</v>
      </c>
      <c r="L2129" s="167">
        <v>15</v>
      </c>
      <c r="M2129" s="168">
        <v>0.65694444444444444</v>
      </c>
      <c r="N2129" s="67"/>
    </row>
    <row r="2130" spans="1:14" x14ac:dyDescent="0.25">
      <c r="A2130" s="66">
        <v>45996</v>
      </c>
      <c r="B2130" s="67" t="s">
        <v>55</v>
      </c>
      <c r="C2130" s="129" t="str">
        <f t="shared" si="91"/>
        <v>05.12.2025_QUAohBo</v>
      </c>
      <c r="D2130" s="143">
        <f t="shared" si="92"/>
        <v>0</v>
      </c>
      <c r="E2130" s="157">
        <v>6.43</v>
      </c>
      <c r="F2130" s="165"/>
      <c r="G2130" s="166">
        <v>883</v>
      </c>
      <c r="H2130" s="167">
        <v>6.88</v>
      </c>
      <c r="I2130" s="179"/>
      <c r="J2130" s="167">
        <v>57.9</v>
      </c>
      <c r="K2130" s="167">
        <v>7.26</v>
      </c>
      <c r="L2130" s="167">
        <v>28</v>
      </c>
      <c r="M2130" s="168">
        <v>0.61388888888888882</v>
      </c>
      <c r="N2130" s="67"/>
    </row>
    <row r="2131" spans="1:14" x14ac:dyDescent="0.25">
      <c r="A2131" s="66">
        <v>45996</v>
      </c>
      <c r="B2131" s="67" t="s">
        <v>356</v>
      </c>
      <c r="C2131" s="129" t="str">
        <f t="shared" si="91"/>
        <v>05.12.2025_ROTB</v>
      </c>
      <c r="D2131" s="143">
        <f t="shared" si="92"/>
        <v>0</v>
      </c>
      <c r="E2131" s="157">
        <v>6.8</v>
      </c>
      <c r="F2131" s="165"/>
      <c r="G2131" s="166">
        <v>1151</v>
      </c>
      <c r="H2131" s="167">
        <v>10.69</v>
      </c>
      <c r="I2131" s="179"/>
      <c r="J2131" s="167">
        <v>87.1</v>
      </c>
      <c r="K2131" s="167">
        <v>6.01</v>
      </c>
      <c r="L2131" s="167">
        <v>20</v>
      </c>
      <c r="M2131" s="168">
        <v>0.50277777777777777</v>
      </c>
      <c r="N2131" s="67"/>
    </row>
    <row r="2132" spans="1:14" x14ac:dyDescent="0.25">
      <c r="A2132" s="66">
        <v>45996</v>
      </c>
      <c r="B2132" s="67" t="s">
        <v>57</v>
      </c>
      <c r="C2132" s="129" t="str">
        <f t="shared" si="91"/>
        <v>05.12.2025_SCHohVo</v>
      </c>
      <c r="D2132" s="143">
        <f t="shared" si="92"/>
        <v>0</v>
      </c>
      <c r="E2132" s="157">
        <v>6.82</v>
      </c>
      <c r="F2132" s="165"/>
      <c r="G2132" s="166">
        <v>589</v>
      </c>
      <c r="H2132" s="167">
        <v>8.89</v>
      </c>
      <c r="I2132" s="179"/>
      <c r="J2132" s="167">
        <v>72.400000000000006</v>
      </c>
      <c r="K2132" s="167">
        <v>5.87</v>
      </c>
      <c r="L2132" s="167">
        <v>7</v>
      </c>
      <c r="M2132" s="168">
        <v>0.43541666666666662</v>
      </c>
      <c r="N2132" s="67"/>
    </row>
    <row r="2133" spans="1:14" x14ac:dyDescent="0.25">
      <c r="A2133" s="66">
        <v>45996</v>
      </c>
      <c r="B2133" s="67" t="s">
        <v>357</v>
      </c>
      <c r="C2133" s="129" t="str">
        <f t="shared" si="91"/>
        <v>05.12.2025_SCHW</v>
      </c>
      <c r="D2133" s="143">
        <f t="shared" si="92"/>
        <v>0</v>
      </c>
      <c r="E2133" s="157">
        <v>6.77</v>
      </c>
      <c r="F2133" s="165"/>
      <c r="G2133" s="166">
        <v>1207</v>
      </c>
      <c r="H2133" s="167">
        <v>11.53</v>
      </c>
      <c r="I2133" s="179"/>
      <c r="J2133" s="167">
        <v>92.8</v>
      </c>
      <c r="K2133" s="167">
        <v>5.48</v>
      </c>
      <c r="L2133" s="167">
        <v>25</v>
      </c>
      <c r="M2133" s="168">
        <v>0.4993055555555555</v>
      </c>
      <c r="N2133" s="67"/>
    </row>
    <row r="2134" spans="1:14" x14ac:dyDescent="0.25">
      <c r="A2134" s="66">
        <v>45996</v>
      </c>
      <c r="B2134" s="67" t="s">
        <v>358</v>
      </c>
      <c r="C2134" s="129" t="str">
        <f t="shared" si="91"/>
        <v>05.12.2025_SPE</v>
      </c>
      <c r="D2134" s="143">
        <f t="shared" si="92"/>
        <v>0</v>
      </c>
      <c r="E2134" s="157">
        <v>6.61</v>
      </c>
      <c r="F2134" s="165"/>
      <c r="G2134" s="166">
        <v>752</v>
      </c>
      <c r="H2134" s="167">
        <v>6.56</v>
      </c>
      <c r="I2134" s="179"/>
      <c r="J2134" s="167">
        <v>53.8</v>
      </c>
      <c r="K2134" s="167">
        <v>6.25</v>
      </c>
      <c r="L2134" s="167">
        <v>12</v>
      </c>
      <c r="M2134" s="168">
        <v>0.58680555555555558</v>
      </c>
      <c r="N2134" s="67"/>
    </row>
    <row r="2135" spans="1:14" x14ac:dyDescent="0.25">
      <c r="A2135" s="66">
        <v>45996</v>
      </c>
      <c r="B2135" s="67" t="s">
        <v>60</v>
      </c>
      <c r="C2135" s="129" t="str">
        <f t="shared" si="91"/>
        <v>05.12.2025_VORohBo</v>
      </c>
      <c r="D2135" s="143">
        <f t="shared" si="92"/>
        <v>0</v>
      </c>
      <c r="E2135" s="157">
        <v>6.76</v>
      </c>
      <c r="F2135" s="165"/>
      <c r="G2135" s="166">
        <v>1064</v>
      </c>
      <c r="H2135" s="167">
        <v>6.76</v>
      </c>
      <c r="I2135" s="179"/>
      <c r="J2135" s="167">
        <v>57</v>
      </c>
      <c r="K2135" s="167">
        <v>7.32</v>
      </c>
      <c r="L2135" s="167">
        <v>29</v>
      </c>
      <c r="M2135" s="168">
        <v>0.45763888888888887</v>
      </c>
      <c r="N2135" s="67"/>
    </row>
    <row r="2136" spans="1:14" x14ac:dyDescent="0.25">
      <c r="A2136" s="66">
        <v>45996</v>
      </c>
      <c r="B2136" s="67" t="s">
        <v>62</v>
      </c>
      <c r="C2136" s="129" t="str">
        <f t="shared" si="91"/>
        <v>05.12.2025_VORuhSc</v>
      </c>
      <c r="D2136" s="143">
        <f t="shared" si="92"/>
        <v>0</v>
      </c>
      <c r="E2136" s="157">
        <v>6.64</v>
      </c>
      <c r="F2136" s="165"/>
      <c r="G2136" s="166">
        <v>1038</v>
      </c>
      <c r="H2136" s="167">
        <v>7.56</v>
      </c>
      <c r="I2136" s="179"/>
      <c r="J2136" s="167">
        <v>64.2</v>
      </c>
      <c r="K2136" s="167">
        <v>7.65</v>
      </c>
      <c r="L2136" s="167">
        <v>13</v>
      </c>
      <c r="M2136" s="168">
        <v>0.44791666666666669</v>
      </c>
      <c r="N2136" s="67"/>
    </row>
    <row r="2137" spans="1:14" x14ac:dyDescent="0.25">
      <c r="A2137" s="66">
        <v>45996</v>
      </c>
      <c r="B2137" s="67" t="s">
        <v>64</v>
      </c>
      <c r="C2137" s="129" t="str">
        <f t="shared" si="91"/>
        <v>05.12.2025_WITob</v>
      </c>
      <c r="D2137" s="143">
        <f t="shared" si="92"/>
        <v>0</v>
      </c>
      <c r="E2137" s="157">
        <v>6.81</v>
      </c>
      <c r="F2137" s="165"/>
      <c r="G2137" s="166">
        <v>1303</v>
      </c>
      <c r="H2137" s="167">
        <v>10.7</v>
      </c>
      <c r="I2137" s="179"/>
      <c r="J2137" s="167">
        <v>91.5</v>
      </c>
      <c r="K2137" s="167">
        <v>7.94</v>
      </c>
      <c r="L2137" s="167">
        <v>2</v>
      </c>
      <c r="M2137" s="168">
        <v>0.64513888888888882</v>
      </c>
      <c r="N2137" s="67"/>
    </row>
  </sheetData>
  <autoFilter ref="A3:N2137" xr:uid="{00000000-0009-0000-0000-000001000000}"/>
  <sortState xmlns:xlrd2="http://schemas.microsoft.com/office/spreadsheetml/2017/richdata2" ref="A3:M1780">
    <sortCondition ref="A3:A1780"/>
    <sortCondition ref="B3:B1780"/>
  </sortState>
  <mergeCells count="2">
    <mergeCell ref="P1:P3"/>
    <mergeCell ref="Q1:Q3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68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12.85546875" defaultRowHeight="15.75" x14ac:dyDescent="0.25"/>
  <cols>
    <col min="1" max="2" width="13.7109375" style="25" customWidth="1"/>
    <col min="3" max="3" width="20.7109375" style="25" customWidth="1"/>
    <col min="4" max="4" width="7.28515625" style="25" customWidth="1"/>
    <col min="5" max="5" width="11.7109375" style="26" customWidth="1"/>
    <col min="6" max="6" width="11.7109375" style="27" customWidth="1"/>
    <col min="7" max="8" width="11.7109375" style="26" customWidth="1"/>
    <col min="9" max="9" width="11.7109375" style="28" customWidth="1"/>
    <col min="10" max="10" width="11.7109375" style="25" customWidth="1"/>
    <col min="11" max="12" width="11.7109375" style="29" customWidth="1"/>
    <col min="13" max="13" width="13.7109375" style="27" customWidth="1"/>
    <col min="14" max="14" width="24.7109375" style="123" customWidth="1"/>
    <col min="15" max="15" width="3.7109375" style="23" customWidth="1"/>
    <col min="16" max="16" width="15.7109375" style="37" customWidth="1"/>
    <col min="17" max="17" width="21.7109375" style="37" customWidth="1"/>
    <col min="18" max="16384" width="12.85546875" style="25"/>
  </cols>
  <sheetData>
    <row r="1" spans="1:17" s="55" customFormat="1" ht="33" customHeight="1" x14ac:dyDescent="0.25">
      <c r="A1" s="60" t="s">
        <v>218</v>
      </c>
      <c r="B1" s="61" t="s">
        <v>3</v>
      </c>
      <c r="C1" s="61" t="s">
        <v>219</v>
      </c>
      <c r="D1" s="82" t="s">
        <v>75</v>
      </c>
      <c r="E1" s="121" t="s">
        <v>177</v>
      </c>
      <c r="F1" s="60" t="s">
        <v>178</v>
      </c>
      <c r="G1" s="64" t="s">
        <v>179</v>
      </c>
      <c r="H1" s="121" t="s">
        <v>180</v>
      </c>
      <c r="I1" s="65" t="s">
        <v>181</v>
      </c>
      <c r="J1" s="60" t="s">
        <v>182</v>
      </c>
      <c r="K1" s="122" t="s">
        <v>183</v>
      </c>
      <c r="L1" s="122" t="s">
        <v>184</v>
      </c>
      <c r="M1" s="125" t="s">
        <v>185</v>
      </c>
      <c r="N1" s="124" t="s">
        <v>2</v>
      </c>
      <c r="P1" s="216" t="s">
        <v>340</v>
      </c>
      <c r="Q1" s="219" t="s">
        <v>365</v>
      </c>
    </row>
    <row r="2" spans="1:17" s="31" customFormat="1" ht="12" customHeight="1" x14ac:dyDescent="0.2">
      <c r="A2" s="13"/>
      <c r="B2" s="13"/>
      <c r="C2" s="13"/>
      <c r="D2" s="57"/>
      <c r="E2" s="163" t="s">
        <v>17</v>
      </c>
      <c r="F2" s="140" t="s">
        <v>17</v>
      </c>
      <c r="G2" s="163" t="s">
        <v>17</v>
      </c>
      <c r="H2" s="163" t="s">
        <v>17</v>
      </c>
      <c r="I2" s="164" t="s">
        <v>17</v>
      </c>
      <c r="J2" s="140" t="s">
        <v>17</v>
      </c>
      <c r="K2" s="140" t="s">
        <v>17</v>
      </c>
      <c r="L2" s="140" t="s">
        <v>17</v>
      </c>
      <c r="M2" s="140" t="s">
        <v>17</v>
      </c>
      <c r="N2" s="161"/>
      <c r="O2" s="13"/>
      <c r="P2" s="217"/>
      <c r="Q2" s="220"/>
    </row>
    <row r="3" spans="1:17" s="31" customFormat="1" ht="12" customHeight="1" x14ac:dyDescent="0.2">
      <c r="A3" s="30"/>
      <c r="B3" s="13"/>
      <c r="C3" s="120" t="s">
        <v>339</v>
      </c>
      <c r="D3" s="57"/>
      <c r="E3" s="139">
        <f>COUNTBLANK(E4:E2048)</f>
        <v>55</v>
      </c>
      <c r="F3" s="139">
        <f t="shared" ref="F3:L3" si="0">COUNTBLANK(F4:F2048)</f>
        <v>68</v>
      </c>
      <c r="G3" s="139">
        <f t="shared" si="0"/>
        <v>55</v>
      </c>
      <c r="H3" s="139">
        <f t="shared" si="0"/>
        <v>55</v>
      </c>
      <c r="I3" s="139">
        <f t="shared" si="0"/>
        <v>56</v>
      </c>
      <c r="J3" s="139">
        <f t="shared" si="0"/>
        <v>69</v>
      </c>
      <c r="K3" s="139">
        <f t="shared" si="0"/>
        <v>55</v>
      </c>
      <c r="L3" s="139">
        <f t="shared" si="0"/>
        <v>55</v>
      </c>
      <c r="M3" s="162"/>
      <c r="N3" s="160"/>
      <c r="O3" s="13"/>
      <c r="P3" s="218"/>
      <c r="Q3" s="221"/>
    </row>
    <row r="4" spans="1:17" x14ac:dyDescent="0.25">
      <c r="A4" s="142">
        <v>44281</v>
      </c>
      <c r="B4" s="81" t="s">
        <v>22</v>
      </c>
      <c r="C4" s="141" t="str">
        <f>CONCATENATE(TEXT(A4,"TT.MM.JJJJ"),"_",B4)</f>
        <v>26.03.2021_BOYkl</v>
      </c>
      <c r="D4" s="143">
        <f>COUNTBLANK(E4:L4)</f>
        <v>0</v>
      </c>
      <c r="E4" s="144">
        <v>3.8936627282491948E-2</v>
      </c>
      <c r="F4" s="145">
        <v>4.2900000000000001E-2</v>
      </c>
      <c r="G4" s="146">
        <v>0.02</v>
      </c>
      <c r="H4" s="146">
        <v>3.7832775919732435E-2</v>
      </c>
      <c r="I4" s="147">
        <v>42</v>
      </c>
      <c r="J4" s="148">
        <v>9.5135879886287622</v>
      </c>
      <c r="K4" s="149">
        <v>41</v>
      </c>
      <c r="L4" s="149">
        <v>73</v>
      </c>
      <c r="M4" s="150"/>
      <c r="N4" s="135"/>
      <c r="O4" s="13"/>
      <c r="P4" s="13"/>
      <c r="Q4" s="13"/>
    </row>
    <row r="5" spans="1:17" x14ac:dyDescent="0.25">
      <c r="A5" s="142">
        <v>44281</v>
      </c>
      <c r="B5" s="81" t="s">
        <v>28</v>
      </c>
      <c r="C5" s="129" t="str">
        <f t="shared" ref="C5:C68" si="1">CONCATENATE(TEXT(A5,"TT.MM.JJJJ"),"_",B5)</f>
        <v>26.03.2021_BOYohBr</v>
      </c>
      <c r="D5" s="143">
        <f t="shared" ref="D5:D68" si="2">COUNTBLANK(E5:L5)</f>
        <v>0</v>
      </c>
      <c r="E5" s="144">
        <v>2.180451127819549E-2</v>
      </c>
      <c r="F5" s="145">
        <v>2.1100000000000001E-2</v>
      </c>
      <c r="G5" s="146">
        <v>8.8938223114033196E-2</v>
      </c>
      <c r="H5" s="146">
        <v>3.625641025641025E-2</v>
      </c>
      <c r="I5" s="147">
        <v>19</v>
      </c>
      <c r="J5" s="148">
        <v>4.3716279049683795</v>
      </c>
      <c r="K5" s="149">
        <v>19</v>
      </c>
      <c r="L5" s="149">
        <v>80</v>
      </c>
      <c r="M5" s="150"/>
      <c r="N5" s="135"/>
      <c r="O5" s="13"/>
      <c r="P5" s="13"/>
      <c r="Q5" s="13"/>
    </row>
    <row r="6" spans="1:17" x14ac:dyDescent="0.25">
      <c r="A6" s="142">
        <v>44281</v>
      </c>
      <c r="B6" s="81" t="s">
        <v>30</v>
      </c>
      <c r="C6" s="129" t="str">
        <f t="shared" si="1"/>
        <v>26.03.2021_BOYohKi</v>
      </c>
      <c r="D6" s="143">
        <f t="shared" si="2"/>
        <v>0</v>
      </c>
      <c r="E6" s="144">
        <v>1.7132116004296455E-2</v>
      </c>
      <c r="F6" s="145">
        <v>1.52E-2</v>
      </c>
      <c r="G6" s="146">
        <v>7.2262306280151997E-2</v>
      </c>
      <c r="H6" s="146">
        <v>2.0492753623188403E-2</v>
      </c>
      <c r="I6" s="147">
        <v>12</v>
      </c>
      <c r="J6" s="148">
        <v>2.7727899770440545</v>
      </c>
      <c r="K6" s="149">
        <v>27</v>
      </c>
      <c r="L6" s="149">
        <v>121</v>
      </c>
      <c r="M6" s="150"/>
      <c r="N6" s="135"/>
      <c r="O6" s="13"/>
      <c r="P6" s="13"/>
      <c r="Q6" s="13"/>
    </row>
    <row r="7" spans="1:17" x14ac:dyDescent="0.25">
      <c r="A7" s="142">
        <v>44281</v>
      </c>
      <c r="B7" s="81" t="s">
        <v>32</v>
      </c>
      <c r="C7" s="129" t="str">
        <f t="shared" si="1"/>
        <v>26.03.2021_BOYohSp</v>
      </c>
      <c r="D7" s="143">
        <f t="shared" si="2"/>
        <v>0</v>
      </c>
      <c r="E7" s="144">
        <v>2.3361976369495167E-2</v>
      </c>
      <c r="F7" s="145">
        <v>1.6899999999999998E-2</v>
      </c>
      <c r="G7" s="146">
        <v>6.8556546983733951E-2</v>
      </c>
      <c r="H7" s="146">
        <v>3.625641025641025E-2</v>
      </c>
      <c r="I7" s="147">
        <v>14</v>
      </c>
      <c r="J7" s="148">
        <v>3.2264517372699633</v>
      </c>
      <c r="K7" s="149">
        <v>26</v>
      </c>
      <c r="L7" s="149">
        <v>102</v>
      </c>
      <c r="M7" s="150"/>
      <c r="N7" s="135"/>
      <c r="O7" s="13"/>
      <c r="P7" s="13"/>
      <c r="Q7" s="13"/>
    </row>
    <row r="8" spans="1:17" x14ac:dyDescent="0.25">
      <c r="A8" s="142">
        <v>44281</v>
      </c>
      <c r="B8" s="81" t="s">
        <v>36</v>
      </c>
      <c r="C8" s="129" t="str">
        <f t="shared" si="1"/>
        <v>26.03.2021_BOYuhSp</v>
      </c>
      <c r="D8" s="143">
        <f t="shared" si="2"/>
        <v>0</v>
      </c>
      <c r="E8" s="144">
        <v>1.5574650912996778E-2</v>
      </c>
      <c r="F8" s="145">
        <v>1.6400000000000001E-2</v>
      </c>
      <c r="G8" s="146">
        <v>6.4850787687315892E-2</v>
      </c>
      <c r="H8" s="146">
        <v>3.7832775919732435E-2</v>
      </c>
      <c r="I8" s="147">
        <v>14</v>
      </c>
      <c r="J8" s="148">
        <v>3.2240541767600863</v>
      </c>
      <c r="K8" s="149">
        <v>27</v>
      </c>
      <c r="L8" s="149">
        <v>111</v>
      </c>
      <c r="M8" s="150"/>
      <c r="N8" s="135"/>
      <c r="O8" s="13"/>
      <c r="P8" s="13"/>
      <c r="Q8" s="13"/>
    </row>
    <row r="9" spans="1:17" x14ac:dyDescent="0.25">
      <c r="A9" s="142">
        <v>44281</v>
      </c>
      <c r="B9" s="81" t="s">
        <v>38</v>
      </c>
      <c r="C9" s="129" t="str">
        <f t="shared" si="1"/>
        <v>26.03.2021_BRAob</v>
      </c>
      <c r="D9" s="143">
        <f t="shared" si="2"/>
        <v>0</v>
      </c>
      <c r="E9" s="144">
        <v>1.7132116004296455E-2</v>
      </c>
      <c r="F9" s="145">
        <v>1.2800000000000001E-2</v>
      </c>
      <c r="G9" s="146">
        <v>0.296460743713444</v>
      </c>
      <c r="H9" s="146">
        <v>4.7290969899665546E-2</v>
      </c>
      <c r="I9" s="147">
        <v>3.5</v>
      </c>
      <c r="J9" s="148">
        <v>1.0351415386720053</v>
      </c>
      <c r="K9" s="149">
        <v>27</v>
      </c>
      <c r="L9" s="149">
        <v>85</v>
      </c>
      <c r="M9" s="150"/>
      <c r="N9" s="135"/>
      <c r="O9" s="13"/>
      <c r="P9" s="13"/>
    </row>
    <row r="10" spans="1:17" x14ac:dyDescent="0.25">
      <c r="A10" s="142">
        <v>44281</v>
      </c>
      <c r="B10" s="81" t="s">
        <v>41</v>
      </c>
      <c r="C10" s="129" t="str">
        <f t="shared" si="1"/>
        <v>26.03.2021_BRAohBo</v>
      </c>
      <c r="D10" s="143">
        <f t="shared" si="2"/>
        <v>0</v>
      </c>
      <c r="E10" s="144">
        <v>1.8689581095596135E-2</v>
      </c>
      <c r="F10" s="145">
        <v>1.9900000000000001E-2</v>
      </c>
      <c r="G10" s="146">
        <v>0.02</v>
      </c>
      <c r="H10" s="146">
        <v>5.0443701226309916E-2</v>
      </c>
      <c r="I10" s="147">
        <v>10</v>
      </c>
      <c r="J10" s="148">
        <v>2.2895873848383497</v>
      </c>
      <c r="K10" s="149">
        <v>29</v>
      </c>
      <c r="L10" s="149">
        <v>102</v>
      </c>
      <c r="M10" s="150"/>
      <c r="N10" s="135"/>
      <c r="O10" s="13"/>
      <c r="P10" s="13"/>
    </row>
    <row r="11" spans="1:17" x14ac:dyDescent="0.25">
      <c r="A11" s="142">
        <v>44281</v>
      </c>
      <c r="B11" s="81" t="s">
        <v>43</v>
      </c>
      <c r="C11" s="129" t="str">
        <f t="shared" si="1"/>
        <v>26.03.2021_HAAob</v>
      </c>
      <c r="D11" s="143">
        <f t="shared" si="2"/>
        <v>0</v>
      </c>
      <c r="E11" s="144">
        <v>0</v>
      </c>
      <c r="F11" s="145">
        <v>1.44E-2</v>
      </c>
      <c r="G11" s="146">
        <v>6.8556546983733951E-2</v>
      </c>
      <c r="H11" s="146">
        <v>3.4680044593088065E-2</v>
      </c>
      <c r="I11" s="147">
        <v>2.9</v>
      </c>
      <c r="J11" s="148">
        <v>0.71881481274376513</v>
      </c>
      <c r="K11" s="149">
        <v>22</v>
      </c>
      <c r="L11" s="149">
        <v>156</v>
      </c>
      <c r="M11" s="150"/>
      <c r="N11" s="135"/>
      <c r="O11" s="13"/>
    </row>
    <row r="12" spans="1:17" x14ac:dyDescent="0.25">
      <c r="A12" s="142">
        <v>44281</v>
      </c>
      <c r="B12" s="81" t="s">
        <v>45</v>
      </c>
      <c r="C12" s="129" t="str">
        <f t="shared" si="1"/>
        <v>26.03.2021_HAAun</v>
      </c>
      <c r="D12" s="143">
        <f t="shared" si="2"/>
        <v>0</v>
      </c>
      <c r="E12" s="144">
        <v>0</v>
      </c>
      <c r="F12" s="145">
        <v>1.3100000000000001E-2</v>
      </c>
      <c r="G12" s="146">
        <v>7.0409426631942981E-2</v>
      </c>
      <c r="H12" s="146">
        <v>2.3645484949832773E-2</v>
      </c>
      <c r="I12" s="147">
        <v>3.6</v>
      </c>
      <c r="J12" s="148">
        <v>0.87500308357841405</v>
      </c>
      <c r="K12" s="149">
        <v>25</v>
      </c>
      <c r="L12" s="149">
        <v>219</v>
      </c>
      <c r="M12" s="150"/>
      <c r="N12" s="135"/>
      <c r="O12" s="13"/>
    </row>
    <row r="13" spans="1:17" x14ac:dyDescent="0.25">
      <c r="A13" s="142">
        <v>44281</v>
      </c>
      <c r="B13" s="81" t="s">
        <v>47</v>
      </c>
      <c r="C13" s="129" t="str">
        <f t="shared" si="1"/>
        <v>26.03.2021_KIRob</v>
      </c>
      <c r="D13" s="143">
        <f t="shared" si="2"/>
        <v>0</v>
      </c>
      <c r="E13" s="144">
        <v>0</v>
      </c>
      <c r="F13" s="145">
        <v>9.9000000000000008E-3</v>
      </c>
      <c r="G13" s="146">
        <v>0.63553771933569569</v>
      </c>
      <c r="H13" s="146">
        <v>0.13714381270903009</v>
      </c>
      <c r="I13" s="147">
        <v>7.2</v>
      </c>
      <c r="J13" s="148">
        <v>2.1615061174662387</v>
      </c>
      <c r="K13" s="149">
        <v>69</v>
      </c>
      <c r="L13" s="149">
        <v>152</v>
      </c>
      <c r="M13" s="150"/>
      <c r="N13" s="135"/>
      <c r="O13" s="13"/>
    </row>
    <row r="14" spans="1:17" x14ac:dyDescent="0.25">
      <c r="A14" s="142">
        <v>44281</v>
      </c>
      <c r="B14" s="81" t="s">
        <v>49</v>
      </c>
      <c r="C14" s="129" t="str">
        <f t="shared" si="1"/>
        <v>26.03.2021_KIRun</v>
      </c>
      <c r="D14" s="143">
        <f t="shared" si="2"/>
        <v>0</v>
      </c>
      <c r="E14" s="144">
        <v>0</v>
      </c>
      <c r="F14" s="145">
        <v>1.23E-2</v>
      </c>
      <c r="G14" s="146">
        <v>0.21863979848866497</v>
      </c>
      <c r="H14" s="146">
        <v>7.25128205128205E-2</v>
      </c>
      <c r="I14" s="147">
        <v>5.6</v>
      </c>
      <c r="J14" s="148">
        <v>1.4567201453335916</v>
      </c>
      <c r="K14" s="149">
        <v>56</v>
      </c>
      <c r="L14" s="149">
        <v>143</v>
      </c>
      <c r="M14" s="150"/>
      <c r="N14" s="135"/>
      <c r="O14" s="13"/>
    </row>
    <row r="15" spans="1:17" x14ac:dyDescent="0.25">
      <c r="A15" s="142">
        <v>44281</v>
      </c>
      <c r="B15" s="81" t="s">
        <v>55</v>
      </c>
      <c r="C15" s="129" t="str">
        <f t="shared" si="1"/>
        <v>26.03.2021_QUAohBo</v>
      </c>
      <c r="D15" s="143">
        <f t="shared" si="2"/>
        <v>0</v>
      </c>
      <c r="E15" s="144">
        <v>0</v>
      </c>
      <c r="F15" s="145">
        <v>9.1999999999999998E-3</v>
      </c>
      <c r="G15" s="146">
        <v>6.2997908039106862E-2</v>
      </c>
      <c r="H15" s="146">
        <v>0.01</v>
      </c>
      <c r="I15" s="147">
        <v>3.8</v>
      </c>
      <c r="J15" s="148">
        <v>0.91026774561328594</v>
      </c>
      <c r="K15" s="149">
        <v>33</v>
      </c>
      <c r="L15" s="149">
        <v>109</v>
      </c>
      <c r="M15" s="150"/>
      <c r="N15" s="135"/>
      <c r="O15" s="13"/>
    </row>
    <row r="16" spans="1:17" x14ac:dyDescent="0.25">
      <c r="A16" s="142">
        <v>44281</v>
      </c>
      <c r="B16" s="81" t="s">
        <v>57</v>
      </c>
      <c r="C16" s="129" t="str">
        <f t="shared" si="1"/>
        <v>26.03.2021_SCHohVo</v>
      </c>
      <c r="D16" s="143">
        <f t="shared" si="2"/>
        <v>0</v>
      </c>
      <c r="E16" s="144">
        <v>0</v>
      </c>
      <c r="F16" s="145">
        <v>1.09E-2</v>
      </c>
      <c r="G16" s="146">
        <v>0.15008325150493104</v>
      </c>
      <c r="H16" s="146">
        <v>3.4680044593088065E-2</v>
      </c>
      <c r="I16" s="147">
        <v>3.5</v>
      </c>
      <c r="J16" s="148">
        <v>0.91764148353742947</v>
      </c>
      <c r="K16" s="149">
        <v>19</v>
      </c>
      <c r="L16" s="149">
        <v>96</v>
      </c>
      <c r="M16" s="150"/>
      <c r="N16" s="135"/>
      <c r="O16" s="13"/>
    </row>
    <row r="17" spans="1:19" x14ac:dyDescent="0.25">
      <c r="A17" s="142">
        <v>44281</v>
      </c>
      <c r="B17" s="81" t="s">
        <v>60</v>
      </c>
      <c r="C17" s="129" t="str">
        <f t="shared" si="1"/>
        <v>26.03.2021_VORohBo</v>
      </c>
      <c r="D17" s="143">
        <f t="shared" si="2"/>
        <v>0</v>
      </c>
      <c r="E17" s="144">
        <v>0</v>
      </c>
      <c r="F17" s="145">
        <v>8.5000000000000006E-3</v>
      </c>
      <c r="G17" s="146">
        <v>0.21863979848866497</v>
      </c>
      <c r="H17" s="146">
        <v>2.0492753623188403E-2</v>
      </c>
      <c r="I17" s="147">
        <v>1.7</v>
      </c>
      <c r="J17" s="148">
        <v>0.55998963596904316</v>
      </c>
      <c r="K17" s="149">
        <v>20</v>
      </c>
      <c r="L17" s="149">
        <v>135</v>
      </c>
      <c r="M17" s="150"/>
      <c r="N17" s="135"/>
      <c r="O17" s="13"/>
    </row>
    <row r="18" spans="1:19" x14ac:dyDescent="0.25">
      <c r="A18" s="142">
        <v>44281</v>
      </c>
      <c r="B18" s="81" t="s">
        <v>62</v>
      </c>
      <c r="C18" s="129" t="str">
        <f t="shared" si="1"/>
        <v>26.03.2021_VORuhSc</v>
      </c>
      <c r="D18" s="143">
        <f t="shared" si="2"/>
        <v>0</v>
      </c>
      <c r="E18" s="144">
        <v>0</v>
      </c>
      <c r="F18" s="145">
        <v>8.3999999999999995E-3</v>
      </c>
      <c r="G18" s="146">
        <v>0.10376126029970541</v>
      </c>
      <c r="H18" s="146">
        <v>0.01</v>
      </c>
      <c r="I18" s="147">
        <v>2</v>
      </c>
      <c r="J18" s="148">
        <v>0.53535408101011828</v>
      </c>
      <c r="K18" s="149">
        <v>18</v>
      </c>
      <c r="L18" s="149">
        <v>126</v>
      </c>
      <c r="M18" s="150"/>
      <c r="N18" s="135"/>
      <c r="O18" s="13"/>
      <c r="R18" s="13"/>
      <c r="S18" s="13"/>
    </row>
    <row r="19" spans="1:19" x14ac:dyDescent="0.25">
      <c r="A19" s="142">
        <v>44281</v>
      </c>
      <c r="B19" s="81" t="s">
        <v>64</v>
      </c>
      <c r="C19" s="129" t="str">
        <f t="shared" si="1"/>
        <v>26.03.2021_WITob</v>
      </c>
      <c r="D19" s="143">
        <f t="shared" si="2"/>
        <v>0</v>
      </c>
      <c r="E19" s="144">
        <v>0</v>
      </c>
      <c r="F19" s="145">
        <v>7.7999999999999996E-3</v>
      </c>
      <c r="G19" s="146">
        <v>0.02</v>
      </c>
      <c r="H19" s="146">
        <v>0.01</v>
      </c>
      <c r="I19" s="147">
        <v>0.8</v>
      </c>
      <c r="J19" s="148">
        <v>0.19927030000000001</v>
      </c>
      <c r="K19" s="149">
        <v>54</v>
      </c>
      <c r="L19" s="149">
        <v>217</v>
      </c>
      <c r="M19" s="150"/>
      <c r="N19" s="135"/>
      <c r="O19" s="13"/>
    </row>
    <row r="20" spans="1:19" x14ac:dyDescent="0.25">
      <c r="A20" s="142">
        <v>44295</v>
      </c>
      <c r="B20" s="81" t="s">
        <v>22</v>
      </c>
      <c r="C20" s="129" t="str">
        <f t="shared" si="1"/>
        <v>09.04.2021_BOYkl</v>
      </c>
      <c r="D20" s="143">
        <f t="shared" si="2"/>
        <v>0</v>
      </c>
      <c r="E20" s="144">
        <v>1.6215529292159105E-2</v>
      </c>
      <c r="F20" s="145">
        <v>2.1499999999999998E-2</v>
      </c>
      <c r="G20" s="146">
        <v>0.02</v>
      </c>
      <c r="H20" s="146">
        <v>3.7236003581397795E-2</v>
      </c>
      <c r="I20" s="147">
        <v>17</v>
      </c>
      <c r="J20" s="148">
        <v>3.8666563012903561</v>
      </c>
      <c r="K20" s="149">
        <v>20</v>
      </c>
      <c r="L20" s="149">
        <v>39</v>
      </c>
      <c r="M20" s="150"/>
      <c r="N20" s="135"/>
      <c r="O20" s="13"/>
      <c r="R20" s="32"/>
    </row>
    <row r="21" spans="1:19" x14ac:dyDescent="0.25">
      <c r="A21" s="142">
        <v>44295</v>
      </c>
      <c r="B21" s="81" t="s">
        <v>28</v>
      </c>
      <c r="C21" s="129" t="str">
        <f t="shared" si="1"/>
        <v>09.04.2021_BOYohBr</v>
      </c>
      <c r="D21" s="143">
        <f t="shared" si="2"/>
        <v>0</v>
      </c>
      <c r="E21" s="144">
        <v>0</v>
      </c>
      <c r="F21" s="145">
        <v>1.52E-2</v>
      </c>
      <c r="G21" s="146">
        <v>0.02</v>
      </c>
      <c r="H21" s="146">
        <v>4.0959603939537577E-2</v>
      </c>
      <c r="I21" s="147">
        <v>7.5</v>
      </c>
      <c r="J21" s="148">
        <v>1.7220249514193919</v>
      </c>
      <c r="K21" s="149">
        <v>14</v>
      </c>
      <c r="L21" s="149">
        <v>44</v>
      </c>
      <c r="M21" s="150"/>
      <c r="N21" s="135"/>
      <c r="O21" s="13"/>
    </row>
    <row r="22" spans="1:19" ht="15.75" customHeight="1" x14ac:dyDescent="0.25">
      <c r="A22" s="142">
        <v>44295</v>
      </c>
      <c r="B22" s="81" t="s">
        <v>30</v>
      </c>
      <c r="C22" s="129" t="str">
        <f t="shared" si="1"/>
        <v>09.04.2021_BOYohKi</v>
      </c>
      <c r="D22" s="143">
        <f t="shared" si="2"/>
        <v>0</v>
      </c>
      <c r="E22" s="144">
        <v>0</v>
      </c>
      <c r="F22" s="145">
        <v>1.26E-2</v>
      </c>
      <c r="G22" s="146">
        <v>0.02</v>
      </c>
      <c r="H22" s="146">
        <v>1.8618001790698897E-2</v>
      </c>
      <c r="I22" s="147">
        <v>3.2</v>
      </c>
      <c r="J22" s="148">
        <v>0.74398205064517831</v>
      </c>
      <c r="K22" s="149">
        <v>17</v>
      </c>
      <c r="L22" s="149">
        <v>81</v>
      </c>
      <c r="M22" s="150"/>
      <c r="N22" s="135"/>
      <c r="O22" s="13"/>
    </row>
    <row r="23" spans="1:19" x14ac:dyDescent="0.25">
      <c r="A23" s="142">
        <v>44295</v>
      </c>
      <c r="B23" s="81" t="s">
        <v>32</v>
      </c>
      <c r="C23" s="129" t="str">
        <f t="shared" si="1"/>
        <v>09.04.2021_BOYohSp</v>
      </c>
      <c r="D23" s="143">
        <f t="shared" si="2"/>
        <v>0</v>
      </c>
      <c r="E23" s="144">
        <v>0</v>
      </c>
      <c r="F23" s="145">
        <v>1.46E-2</v>
      </c>
      <c r="G23" s="146">
        <v>5.2033378093228486E-2</v>
      </c>
      <c r="H23" s="146">
        <v>2.9788802865118241E-2</v>
      </c>
      <c r="I23" s="147">
        <v>6.7</v>
      </c>
      <c r="J23" s="148">
        <v>1.5628015987878963</v>
      </c>
      <c r="K23" s="149">
        <v>28</v>
      </c>
      <c r="L23" s="149">
        <v>90</v>
      </c>
      <c r="M23" s="150"/>
      <c r="N23" s="135"/>
      <c r="O23" s="13"/>
    </row>
    <row r="24" spans="1:19" x14ac:dyDescent="0.25">
      <c r="A24" s="142">
        <v>44295</v>
      </c>
      <c r="B24" s="81" t="s">
        <v>36</v>
      </c>
      <c r="C24" s="129" t="str">
        <f t="shared" si="1"/>
        <v>09.04.2021_BOYuhSp</v>
      </c>
      <c r="D24" s="143">
        <f t="shared" si="2"/>
        <v>0</v>
      </c>
      <c r="E24" s="144">
        <v>0</v>
      </c>
      <c r="F24" s="145">
        <v>1.26E-2</v>
      </c>
      <c r="G24" s="146">
        <v>4.5789372722041061E-2</v>
      </c>
      <c r="H24" s="146">
        <v>2.4203402327908567E-2</v>
      </c>
      <c r="I24" s="147">
        <v>4.9000000000000004</v>
      </c>
      <c r="J24" s="148">
        <v>1.1496867158636694</v>
      </c>
      <c r="K24" s="149">
        <v>17</v>
      </c>
      <c r="L24" s="149">
        <v>69</v>
      </c>
      <c r="M24" s="150"/>
      <c r="N24" s="135"/>
    </row>
    <row r="25" spans="1:19" x14ac:dyDescent="0.25">
      <c r="A25" s="142">
        <v>44295</v>
      </c>
      <c r="B25" s="81" t="s">
        <v>38</v>
      </c>
      <c r="C25" s="129" t="str">
        <f t="shared" si="1"/>
        <v>09.04.2021_BRAob</v>
      </c>
      <c r="D25" s="143">
        <f t="shared" si="2"/>
        <v>0</v>
      </c>
      <c r="E25" s="144">
        <v>0</v>
      </c>
      <c r="F25" s="145">
        <v>1.37E-2</v>
      </c>
      <c r="G25" s="146">
        <v>0.02</v>
      </c>
      <c r="H25" s="146">
        <v>2.6065202506978458E-2</v>
      </c>
      <c r="I25" s="147">
        <v>1.8</v>
      </c>
      <c r="J25" s="148">
        <v>0.43003135090324957</v>
      </c>
      <c r="K25" s="149">
        <v>28</v>
      </c>
      <c r="L25" s="149">
        <v>84</v>
      </c>
      <c r="M25" s="150"/>
      <c r="N25" s="135"/>
    </row>
    <row r="26" spans="1:19" x14ac:dyDescent="0.25">
      <c r="A26" s="142">
        <v>44295</v>
      </c>
      <c r="B26" s="81" t="s">
        <v>41</v>
      </c>
      <c r="C26" s="129" t="str">
        <f t="shared" si="1"/>
        <v>09.04.2021_BRAohBo</v>
      </c>
      <c r="D26" s="143">
        <f t="shared" si="2"/>
        <v>0</v>
      </c>
      <c r="E26" s="144">
        <v>0</v>
      </c>
      <c r="F26" s="145">
        <v>1.2800000000000001E-2</v>
      </c>
      <c r="G26" s="146">
        <v>0.02</v>
      </c>
      <c r="H26" s="146">
        <v>3.3512403223258026E-2</v>
      </c>
      <c r="I26" s="147">
        <v>4.4000000000000004</v>
      </c>
      <c r="J26" s="148">
        <v>1.0195606511613209</v>
      </c>
      <c r="K26" s="149">
        <v>20</v>
      </c>
      <c r="L26" s="149">
        <v>78</v>
      </c>
      <c r="M26" s="150"/>
      <c r="N26" s="135"/>
    </row>
    <row r="27" spans="1:19" x14ac:dyDescent="0.25">
      <c r="A27" s="142">
        <v>44295</v>
      </c>
      <c r="B27" s="81" t="s">
        <v>43</v>
      </c>
      <c r="C27" s="129" t="str">
        <f t="shared" si="1"/>
        <v>09.04.2021_HAAob</v>
      </c>
      <c r="D27" s="143">
        <f t="shared" si="2"/>
        <v>0</v>
      </c>
      <c r="E27" s="144">
        <v>0</v>
      </c>
      <c r="F27" s="145">
        <v>1.17E-2</v>
      </c>
      <c r="G27" s="146">
        <v>0.02</v>
      </c>
      <c r="H27" s="146">
        <v>2.4203402327908567E-2</v>
      </c>
      <c r="I27" s="147">
        <v>0.9</v>
      </c>
      <c r="J27" s="148">
        <v>0.22618152583873177</v>
      </c>
      <c r="K27" s="149">
        <v>13</v>
      </c>
      <c r="L27" s="149">
        <v>89</v>
      </c>
      <c r="M27" s="150"/>
      <c r="N27" s="135"/>
    </row>
    <row r="28" spans="1:19" x14ac:dyDescent="0.25">
      <c r="A28" s="142">
        <v>44295</v>
      </c>
      <c r="B28" s="81" t="s">
        <v>45</v>
      </c>
      <c r="C28" s="129" t="str">
        <f t="shared" si="1"/>
        <v>09.04.2021_HAAun</v>
      </c>
      <c r="D28" s="143">
        <f t="shared" si="2"/>
        <v>0</v>
      </c>
      <c r="E28" s="144">
        <v>0</v>
      </c>
      <c r="F28" s="145">
        <v>1.1599999999999999E-2</v>
      </c>
      <c r="G28" s="146">
        <v>4.7870707845770202E-2</v>
      </c>
      <c r="H28" s="146">
        <v>0.01</v>
      </c>
      <c r="I28" s="147">
        <v>0.9</v>
      </c>
      <c r="J28" s="148">
        <v>0.24349862593516211</v>
      </c>
      <c r="K28" s="149">
        <v>14</v>
      </c>
      <c r="L28" s="149">
        <v>125</v>
      </c>
      <c r="M28" s="150"/>
      <c r="N28" s="135"/>
    </row>
    <row r="29" spans="1:19" x14ac:dyDescent="0.25">
      <c r="A29" s="142">
        <v>44295</v>
      </c>
      <c r="B29" s="81" t="s">
        <v>47</v>
      </c>
      <c r="C29" s="129" t="str">
        <f t="shared" si="1"/>
        <v>09.04.2021_KIRob</v>
      </c>
      <c r="D29" s="143">
        <f t="shared" si="2"/>
        <v>0</v>
      </c>
      <c r="E29" s="144">
        <v>0</v>
      </c>
      <c r="F29" s="145">
        <v>8.8000000000000005E-3</v>
      </c>
      <c r="G29" s="146">
        <v>0.51408977556109736</v>
      </c>
      <c r="H29" s="146">
        <v>0.10426081002791383</v>
      </c>
      <c r="I29" s="147">
        <v>3</v>
      </c>
      <c r="J29" s="148">
        <v>1.1085377734384347</v>
      </c>
      <c r="K29" s="149">
        <v>40</v>
      </c>
      <c r="L29" s="149">
        <v>97</v>
      </c>
      <c r="M29" s="150"/>
      <c r="N29" s="135"/>
    </row>
    <row r="30" spans="1:19" x14ac:dyDescent="0.25">
      <c r="A30" s="142">
        <v>44295</v>
      </c>
      <c r="B30" s="81" t="s">
        <v>49</v>
      </c>
      <c r="C30" s="129" t="str">
        <f t="shared" si="1"/>
        <v>09.04.2021_KIRun</v>
      </c>
      <c r="D30" s="143">
        <f t="shared" si="2"/>
        <v>0</v>
      </c>
      <c r="E30" s="144">
        <v>0</v>
      </c>
      <c r="F30" s="145">
        <v>9.5999999999999992E-3</v>
      </c>
      <c r="G30" s="146">
        <v>8.9497410320352994E-2</v>
      </c>
      <c r="H30" s="146">
        <v>4.4683204297677366E-2</v>
      </c>
      <c r="I30" s="147">
        <v>1.7</v>
      </c>
      <c r="J30" s="148">
        <v>0.46707664568807872</v>
      </c>
      <c r="K30" s="149">
        <v>24</v>
      </c>
      <c r="L30" s="149">
        <v>72</v>
      </c>
      <c r="M30" s="150"/>
      <c r="N30" s="135"/>
    </row>
    <row r="31" spans="1:19" x14ac:dyDescent="0.25">
      <c r="A31" s="142">
        <v>44295</v>
      </c>
      <c r="B31" s="81" t="s">
        <v>55</v>
      </c>
      <c r="C31" s="129" t="str">
        <f t="shared" si="1"/>
        <v>09.04.2021_QUAohBo</v>
      </c>
      <c r="D31" s="143">
        <f t="shared" si="2"/>
        <v>0</v>
      </c>
      <c r="E31" s="144">
        <v>0</v>
      </c>
      <c r="F31" s="145">
        <v>8.8999999999999999E-3</v>
      </c>
      <c r="G31" s="146">
        <v>0.02</v>
      </c>
      <c r="H31" s="146">
        <v>0.01</v>
      </c>
      <c r="I31" s="147">
        <v>1.7</v>
      </c>
      <c r="J31" s="148">
        <v>0.40255329999999995</v>
      </c>
      <c r="K31" s="149">
        <v>33</v>
      </c>
      <c r="L31" s="149">
        <v>80</v>
      </c>
      <c r="M31" s="150"/>
      <c r="N31" s="135"/>
    </row>
    <row r="32" spans="1:19" x14ac:dyDescent="0.25">
      <c r="A32" s="142">
        <v>44295</v>
      </c>
      <c r="B32" s="81" t="s">
        <v>57</v>
      </c>
      <c r="C32" s="129" t="str">
        <f t="shared" si="1"/>
        <v>09.04.2021_SCHohVo</v>
      </c>
      <c r="D32" s="143">
        <f t="shared" si="2"/>
        <v>0</v>
      </c>
      <c r="E32" s="144">
        <v>0</v>
      </c>
      <c r="F32" s="145">
        <v>8.8000000000000005E-3</v>
      </c>
      <c r="G32" s="146">
        <v>0.10614809131018611</v>
      </c>
      <c r="H32" s="146">
        <v>0.01</v>
      </c>
      <c r="I32" s="147">
        <v>1.2</v>
      </c>
      <c r="J32" s="148">
        <v>0.35651143142144637</v>
      </c>
      <c r="K32" s="149">
        <v>12</v>
      </c>
      <c r="L32" s="149">
        <v>67</v>
      </c>
      <c r="M32" s="150"/>
      <c r="N32" s="135"/>
    </row>
    <row r="33" spans="1:14" x14ac:dyDescent="0.25">
      <c r="A33" s="142">
        <v>44295</v>
      </c>
      <c r="B33" s="81" t="s">
        <v>60</v>
      </c>
      <c r="C33" s="129" t="str">
        <f t="shared" si="1"/>
        <v>09.04.2021_VORohBo</v>
      </c>
      <c r="D33" s="143">
        <f t="shared" si="2"/>
        <v>0</v>
      </c>
      <c r="E33" s="144">
        <v>0</v>
      </c>
      <c r="F33" s="145">
        <v>7.1999999999999998E-3</v>
      </c>
      <c r="G33" s="146">
        <v>0.17066948014578942</v>
      </c>
      <c r="H33" s="146">
        <v>1.8618001790698897E-2</v>
      </c>
      <c r="I33" s="147">
        <v>1</v>
      </c>
      <c r="J33" s="148">
        <v>0.36406139528358228</v>
      </c>
      <c r="K33" s="149">
        <v>21</v>
      </c>
      <c r="L33" s="149">
        <v>131</v>
      </c>
      <c r="M33" s="150"/>
      <c r="N33" s="135"/>
    </row>
    <row r="34" spans="1:14" x14ac:dyDescent="0.25">
      <c r="A34" s="142">
        <v>44295</v>
      </c>
      <c r="B34" s="81" t="s">
        <v>62</v>
      </c>
      <c r="C34" s="129" t="str">
        <f t="shared" si="1"/>
        <v>09.04.2021_VORuhSc</v>
      </c>
      <c r="D34" s="143">
        <f t="shared" si="2"/>
        <v>0</v>
      </c>
      <c r="E34" s="144">
        <v>0</v>
      </c>
      <c r="F34" s="145">
        <v>1.23E-2</v>
      </c>
      <c r="G34" s="146">
        <v>0.12904277767120659</v>
      </c>
      <c r="H34" s="146">
        <v>0.01</v>
      </c>
      <c r="I34" s="147">
        <v>1</v>
      </c>
      <c r="J34" s="148">
        <v>0.32911492643391521</v>
      </c>
      <c r="K34" s="149">
        <v>21</v>
      </c>
      <c r="L34" s="149">
        <v>168</v>
      </c>
      <c r="M34" s="150"/>
      <c r="N34" s="135"/>
    </row>
    <row r="35" spans="1:14" x14ac:dyDescent="0.25">
      <c r="A35" s="142">
        <v>44295</v>
      </c>
      <c r="B35" s="81" t="s">
        <v>64</v>
      </c>
      <c r="C35" s="129" t="str">
        <f t="shared" si="1"/>
        <v>09.04.2021_WITob</v>
      </c>
      <c r="D35" s="143">
        <f t="shared" si="2"/>
        <v>0</v>
      </c>
      <c r="E35" s="144">
        <v>0</v>
      </c>
      <c r="F35" s="145">
        <v>8.8999999999999999E-3</v>
      </c>
      <c r="G35" s="146">
        <v>0.02</v>
      </c>
      <c r="H35" s="146">
        <v>0.01</v>
      </c>
      <c r="I35" s="147">
        <v>0.4</v>
      </c>
      <c r="J35" s="148">
        <v>0.1089223</v>
      </c>
      <c r="K35" s="149">
        <v>49</v>
      </c>
      <c r="L35" s="149">
        <v>226</v>
      </c>
      <c r="M35" s="150"/>
      <c r="N35" s="135"/>
    </row>
    <row r="36" spans="1:14" x14ac:dyDescent="0.25">
      <c r="A36" s="142">
        <v>44309</v>
      </c>
      <c r="B36" s="81" t="s">
        <v>22</v>
      </c>
      <c r="C36" s="129" t="str">
        <f t="shared" si="1"/>
        <v>23.04.2021_BOYkl</v>
      </c>
      <c r="D36" s="143">
        <f t="shared" si="2"/>
        <v>0</v>
      </c>
      <c r="E36" s="144">
        <v>0</v>
      </c>
      <c r="F36" s="145">
        <v>2.0400000000000001E-2</v>
      </c>
      <c r="G36" s="146">
        <v>0.02</v>
      </c>
      <c r="H36" s="146">
        <v>2.7133375474083437E-2</v>
      </c>
      <c r="I36" s="147">
        <v>25</v>
      </c>
      <c r="J36" s="148">
        <v>5.6705405561630853</v>
      </c>
      <c r="K36" s="149">
        <v>25</v>
      </c>
      <c r="L36" s="149">
        <v>59</v>
      </c>
      <c r="M36" s="150"/>
      <c r="N36" s="135"/>
    </row>
    <row r="37" spans="1:14" x14ac:dyDescent="0.25">
      <c r="A37" s="142">
        <v>44309</v>
      </c>
      <c r="B37" s="81" t="s">
        <v>28</v>
      </c>
      <c r="C37" s="129" t="str">
        <f t="shared" si="1"/>
        <v>23.04.2021_BOYohBr</v>
      </c>
      <c r="D37" s="143">
        <f t="shared" si="2"/>
        <v>0</v>
      </c>
      <c r="E37" s="144">
        <v>0</v>
      </c>
      <c r="F37" s="145">
        <v>1.52E-2</v>
      </c>
      <c r="G37" s="146">
        <v>0.02</v>
      </c>
      <c r="H37" s="146">
        <v>4.469026548672566E-2</v>
      </c>
      <c r="I37" s="147">
        <v>9.8000000000000007</v>
      </c>
      <c r="J37" s="148">
        <v>2.2426617513274336</v>
      </c>
      <c r="K37" s="149">
        <v>20</v>
      </c>
      <c r="L37" s="149">
        <v>98</v>
      </c>
      <c r="M37" s="150"/>
      <c r="N37" s="135"/>
    </row>
    <row r="38" spans="1:14" x14ac:dyDescent="0.25">
      <c r="A38" s="142">
        <v>44309</v>
      </c>
      <c r="B38" s="81" t="s">
        <v>30</v>
      </c>
      <c r="C38" s="129" t="str">
        <f t="shared" si="1"/>
        <v>23.04.2021_BOYohKi</v>
      </c>
      <c r="D38" s="143">
        <f t="shared" si="2"/>
        <v>0</v>
      </c>
      <c r="E38" s="144">
        <v>0</v>
      </c>
      <c r="F38" s="145">
        <v>1.04E-2</v>
      </c>
      <c r="G38" s="146">
        <v>0.02</v>
      </c>
      <c r="H38" s="146">
        <v>2.7133375474083437E-2</v>
      </c>
      <c r="I38" s="147">
        <v>5</v>
      </c>
      <c r="J38" s="148">
        <v>1.1531405561630845</v>
      </c>
      <c r="K38" s="149">
        <v>30</v>
      </c>
      <c r="L38" s="149">
        <v>162</v>
      </c>
      <c r="M38" s="150"/>
      <c r="N38" s="135"/>
    </row>
    <row r="39" spans="1:14" x14ac:dyDescent="0.25">
      <c r="A39" s="142">
        <v>44309</v>
      </c>
      <c r="B39" s="81" t="s">
        <v>32</v>
      </c>
      <c r="C39" s="129" t="str">
        <f t="shared" si="1"/>
        <v>23.04.2021_BOYohSp</v>
      </c>
      <c r="D39" s="143">
        <f t="shared" si="2"/>
        <v>0</v>
      </c>
      <c r="E39" s="144">
        <v>0</v>
      </c>
      <c r="F39" s="145">
        <v>1.18E-2</v>
      </c>
      <c r="G39" s="146">
        <v>0.02</v>
      </c>
      <c r="H39" s="146">
        <v>3.5113780025284445E-2</v>
      </c>
      <c r="I39" s="147">
        <v>6.6</v>
      </c>
      <c r="J39" s="148">
        <v>1.5169621903286976</v>
      </c>
      <c r="K39" s="149">
        <v>28</v>
      </c>
      <c r="L39" s="149">
        <v>95</v>
      </c>
      <c r="M39" s="150"/>
      <c r="N39" s="135"/>
    </row>
    <row r="40" spans="1:14" x14ac:dyDescent="0.25">
      <c r="A40" s="142">
        <v>44309</v>
      </c>
      <c r="B40" s="81" t="s">
        <v>36</v>
      </c>
      <c r="C40" s="129" t="str">
        <f t="shared" si="1"/>
        <v>23.04.2021_BOYuhSp</v>
      </c>
      <c r="D40" s="143">
        <f t="shared" si="2"/>
        <v>0</v>
      </c>
      <c r="E40" s="144">
        <v>0</v>
      </c>
      <c r="F40" s="145">
        <v>1.23E-2</v>
      </c>
      <c r="G40" s="146">
        <v>0.02</v>
      </c>
      <c r="H40" s="146">
        <v>3.9902022756005046E-2</v>
      </c>
      <c r="I40" s="147">
        <v>8</v>
      </c>
      <c r="J40" s="148">
        <v>1.8346379708280656</v>
      </c>
      <c r="K40" s="149">
        <v>37</v>
      </c>
      <c r="L40" s="149">
        <v>148</v>
      </c>
      <c r="M40" s="150"/>
      <c r="N40" s="135"/>
    </row>
    <row r="41" spans="1:14" x14ac:dyDescent="0.25">
      <c r="A41" s="142">
        <v>44309</v>
      </c>
      <c r="B41" s="81" t="s">
        <v>38</v>
      </c>
      <c r="C41" s="129" t="str">
        <f t="shared" si="1"/>
        <v>23.04.2021_BRAob</v>
      </c>
      <c r="D41" s="143">
        <f t="shared" si="2"/>
        <v>0</v>
      </c>
      <c r="E41" s="144">
        <v>5.9707254302718359E-2</v>
      </c>
      <c r="F41" s="145">
        <v>1.41E-2</v>
      </c>
      <c r="G41" s="146">
        <v>0.02</v>
      </c>
      <c r="H41" s="146">
        <v>6.543931731984827E-2</v>
      </c>
      <c r="I41" s="147">
        <v>2.1</v>
      </c>
      <c r="J41" s="148">
        <v>0.50977980015802782</v>
      </c>
      <c r="K41" s="149">
        <v>39</v>
      </c>
      <c r="L41" s="149">
        <v>160</v>
      </c>
      <c r="M41" s="150"/>
      <c r="N41" s="135"/>
    </row>
    <row r="42" spans="1:14" x14ac:dyDescent="0.25">
      <c r="A42" s="142">
        <v>44309</v>
      </c>
      <c r="B42" s="81" t="s">
        <v>41</v>
      </c>
      <c r="C42" s="129" t="str">
        <f t="shared" si="1"/>
        <v>23.04.2021_BRAohBo</v>
      </c>
      <c r="D42" s="143">
        <f t="shared" si="2"/>
        <v>0</v>
      </c>
      <c r="E42" s="144">
        <v>0</v>
      </c>
      <c r="F42" s="145">
        <v>1.2999999999999999E-2</v>
      </c>
      <c r="G42" s="146">
        <v>0.02</v>
      </c>
      <c r="H42" s="146">
        <v>5.1074589127686462E-2</v>
      </c>
      <c r="I42" s="147">
        <v>5.4</v>
      </c>
      <c r="J42" s="148">
        <v>1.2507774586599241</v>
      </c>
      <c r="K42" s="149">
        <v>43</v>
      </c>
      <c r="L42" s="149">
        <v>154</v>
      </c>
      <c r="M42" s="150"/>
      <c r="N42" s="135"/>
    </row>
    <row r="43" spans="1:14" x14ac:dyDescent="0.25">
      <c r="A43" s="142">
        <v>44309</v>
      </c>
      <c r="B43" s="81" t="s">
        <v>43</v>
      </c>
      <c r="C43" s="129" t="str">
        <f t="shared" si="1"/>
        <v>23.04.2021_HAAob</v>
      </c>
      <c r="D43" s="143">
        <f t="shared" si="2"/>
        <v>0</v>
      </c>
      <c r="E43" s="144">
        <v>0</v>
      </c>
      <c r="F43" s="145">
        <v>1.4500000000000001E-2</v>
      </c>
      <c r="G43" s="146">
        <v>0.02</v>
      </c>
      <c r="H43" s="146">
        <v>4.469026548672566E-2</v>
      </c>
      <c r="I43" s="147">
        <v>1.8</v>
      </c>
      <c r="J43" s="148">
        <v>0.43570175132743361</v>
      </c>
      <c r="K43" s="149">
        <v>25</v>
      </c>
      <c r="L43" s="149">
        <v>173</v>
      </c>
      <c r="M43" s="150"/>
      <c r="N43" s="135"/>
    </row>
    <row r="44" spans="1:14" x14ac:dyDescent="0.25">
      <c r="A44" s="142">
        <v>44309</v>
      </c>
      <c r="B44" s="81" t="s">
        <v>45</v>
      </c>
      <c r="C44" s="129" t="str">
        <f t="shared" si="1"/>
        <v>23.04.2021_HAAun</v>
      </c>
      <c r="D44" s="143">
        <f t="shared" si="2"/>
        <v>0</v>
      </c>
      <c r="E44" s="144">
        <v>0</v>
      </c>
      <c r="F44" s="145">
        <v>1.2200000000000001E-2</v>
      </c>
      <c r="G44" s="146">
        <v>0.02</v>
      </c>
      <c r="H44" s="146">
        <v>2.5537294563843231E-2</v>
      </c>
      <c r="I44" s="147">
        <v>1.8</v>
      </c>
      <c r="J44" s="148">
        <v>0.42987062932996206</v>
      </c>
      <c r="K44" s="149">
        <v>23</v>
      </c>
      <c r="L44" s="149">
        <v>196</v>
      </c>
      <c r="M44" s="150"/>
      <c r="N44" s="135"/>
    </row>
    <row r="45" spans="1:14" x14ac:dyDescent="0.25">
      <c r="A45" s="142">
        <v>44309</v>
      </c>
      <c r="B45" s="81" t="s">
        <v>47</v>
      </c>
      <c r="C45" s="129" t="str">
        <f t="shared" si="1"/>
        <v>23.04.2021_KIRob</v>
      </c>
      <c r="D45" s="143">
        <f t="shared" si="2"/>
        <v>0</v>
      </c>
      <c r="E45" s="144">
        <v>0</v>
      </c>
      <c r="F45" s="145">
        <v>9.2999999999999992E-3</v>
      </c>
      <c r="G45" s="146">
        <v>0.02</v>
      </c>
      <c r="H45" s="146">
        <v>0.10055309734513272</v>
      </c>
      <c r="I45" s="147">
        <v>4.5999999999999996</v>
      </c>
      <c r="J45" s="148">
        <v>1.0851451904867253</v>
      </c>
      <c r="K45" s="149">
        <v>60</v>
      </c>
      <c r="L45" s="149">
        <v>180</v>
      </c>
      <c r="M45" s="150"/>
      <c r="N45" s="135"/>
    </row>
    <row r="46" spans="1:14" x14ac:dyDescent="0.25">
      <c r="A46" s="142">
        <v>44309</v>
      </c>
      <c r="B46" s="81" t="s">
        <v>49</v>
      </c>
      <c r="C46" s="129" t="str">
        <f t="shared" si="1"/>
        <v>23.04.2021_KIRun</v>
      </c>
      <c r="D46" s="143">
        <f t="shared" si="2"/>
        <v>0</v>
      </c>
      <c r="E46" s="144">
        <v>0</v>
      </c>
      <c r="F46" s="145">
        <v>9.4999999999999998E-3</v>
      </c>
      <c r="G46" s="146">
        <v>0.02</v>
      </c>
      <c r="H46" s="146">
        <v>6.7035398230088472E-2</v>
      </c>
      <c r="I46" s="147">
        <v>3.2</v>
      </c>
      <c r="J46" s="148">
        <v>0.75872272699115051</v>
      </c>
      <c r="K46" s="149">
        <v>44</v>
      </c>
      <c r="L46" s="149">
        <v>169</v>
      </c>
      <c r="M46" s="150"/>
      <c r="N46" s="135"/>
    </row>
    <row r="47" spans="1:14" x14ac:dyDescent="0.25">
      <c r="A47" s="142">
        <v>44309</v>
      </c>
      <c r="B47" s="81" t="s">
        <v>53</v>
      </c>
      <c r="C47" s="129" t="str">
        <f t="shared" si="1"/>
        <v>23.04.2021_NATohBo</v>
      </c>
      <c r="D47" s="143">
        <f t="shared" si="2"/>
        <v>0</v>
      </c>
      <c r="E47" s="144">
        <v>0</v>
      </c>
      <c r="F47" s="145">
        <v>1.43E-2</v>
      </c>
      <c r="G47" s="146">
        <v>0.02</v>
      </c>
      <c r="H47" s="146">
        <v>0.03</v>
      </c>
      <c r="I47" s="147">
        <v>1.9</v>
      </c>
      <c r="J47" s="148">
        <v>0.45381629999999995</v>
      </c>
      <c r="K47" s="149">
        <v>67</v>
      </c>
      <c r="L47" s="149">
        <v>387</v>
      </c>
      <c r="M47" s="150"/>
      <c r="N47" s="135"/>
    </row>
    <row r="48" spans="1:14" x14ac:dyDescent="0.25">
      <c r="A48" s="142">
        <v>44309</v>
      </c>
      <c r="B48" s="81" t="s">
        <v>55</v>
      </c>
      <c r="C48" s="129" t="str">
        <f t="shared" si="1"/>
        <v>23.04.2021_QUAohBo</v>
      </c>
      <c r="D48" s="143">
        <f t="shared" si="2"/>
        <v>0</v>
      </c>
      <c r="E48" s="144">
        <v>0</v>
      </c>
      <c r="F48" s="145">
        <v>8.8999999999999999E-3</v>
      </c>
      <c r="G48" s="146">
        <v>0.02</v>
      </c>
      <c r="H48" s="146">
        <v>0.01</v>
      </c>
      <c r="I48" s="147">
        <v>1.1000000000000001</v>
      </c>
      <c r="J48" s="148">
        <v>0.26703129999999997</v>
      </c>
      <c r="K48" s="149">
        <v>49</v>
      </c>
      <c r="L48" s="149">
        <v>169</v>
      </c>
      <c r="M48" s="150"/>
      <c r="N48" s="135"/>
    </row>
    <row r="49" spans="1:14" x14ac:dyDescent="0.25">
      <c r="A49" s="142">
        <v>44309</v>
      </c>
      <c r="B49" s="81" t="s">
        <v>57</v>
      </c>
      <c r="C49" s="129" t="str">
        <f t="shared" si="1"/>
        <v>23.04.2021_SCHohVo</v>
      </c>
      <c r="D49" s="143">
        <f t="shared" si="2"/>
        <v>0</v>
      </c>
      <c r="E49" s="144">
        <v>0</v>
      </c>
      <c r="F49" s="145">
        <v>9.7999999999999997E-3</v>
      </c>
      <c r="G49" s="146">
        <v>0.02</v>
      </c>
      <c r="H49" s="146">
        <v>3.6709860935524648E-2</v>
      </c>
      <c r="I49" s="147">
        <v>2.2999999999999998</v>
      </c>
      <c r="J49" s="148">
        <v>0.54620711716182035</v>
      </c>
      <c r="K49" s="149">
        <v>25</v>
      </c>
      <c r="L49" s="149">
        <v>156</v>
      </c>
      <c r="M49" s="150"/>
      <c r="N49" s="135"/>
    </row>
    <row r="50" spans="1:14" x14ac:dyDescent="0.25">
      <c r="A50" s="142">
        <v>44309</v>
      </c>
      <c r="B50" s="81" t="s">
        <v>60</v>
      </c>
      <c r="C50" s="129" t="str">
        <f t="shared" si="1"/>
        <v>23.04.2021_VORohBo</v>
      </c>
      <c r="D50" s="143">
        <f t="shared" si="2"/>
        <v>0</v>
      </c>
      <c r="E50" s="144">
        <v>0</v>
      </c>
      <c r="F50" s="145">
        <v>7.7999999999999996E-3</v>
      </c>
      <c r="G50" s="146">
        <v>8.7216637857952861E-2</v>
      </c>
      <c r="H50" s="146">
        <v>3.8305941845764843E-2</v>
      </c>
      <c r="I50" s="147">
        <v>1.7</v>
      </c>
      <c r="J50" s="148">
        <v>0.46336409112526489</v>
      </c>
      <c r="K50" s="149">
        <v>34</v>
      </c>
      <c r="L50" s="149">
        <v>246</v>
      </c>
      <c r="M50" s="150"/>
      <c r="N50" s="135"/>
    </row>
    <row r="51" spans="1:14" x14ac:dyDescent="0.25">
      <c r="A51" s="142">
        <v>44309</v>
      </c>
      <c r="B51" s="81" t="s">
        <v>62</v>
      </c>
      <c r="C51" s="129" t="str">
        <f t="shared" si="1"/>
        <v>23.04.2021_VORuhSc</v>
      </c>
      <c r="D51" s="143">
        <f t="shared" si="2"/>
        <v>0</v>
      </c>
      <c r="E51" s="144">
        <v>0</v>
      </c>
      <c r="F51" s="145">
        <v>7.6E-3</v>
      </c>
      <c r="G51" s="146">
        <v>0.02</v>
      </c>
      <c r="H51" s="146">
        <v>2.2345132743362826E-2</v>
      </c>
      <c r="I51" s="147">
        <v>1.5</v>
      </c>
      <c r="J51" s="148">
        <v>0.36113777566371674</v>
      </c>
      <c r="K51" s="149">
        <v>29</v>
      </c>
      <c r="L51" s="149">
        <v>224</v>
      </c>
      <c r="M51" s="150"/>
      <c r="N51" s="135"/>
    </row>
    <row r="52" spans="1:14" x14ac:dyDescent="0.25">
      <c r="A52" s="142">
        <v>44309</v>
      </c>
      <c r="B52" s="81" t="s">
        <v>64</v>
      </c>
      <c r="C52" s="129" t="str">
        <f t="shared" si="1"/>
        <v>23.04.2021_WITob</v>
      </c>
      <c r="D52" s="143">
        <f t="shared" si="2"/>
        <v>0</v>
      </c>
      <c r="E52" s="144">
        <v>0</v>
      </c>
      <c r="F52" s="145">
        <v>9.5999999999999992E-3</v>
      </c>
      <c r="G52" s="146">
        <v>0.02</v>
      </c>
      <c r="H52" s="146">
        <v>0.01</v>
      </c>
      <c r="I52" s="147">
        <v>0.4</v>
      </c>
      <c r="J52" s="148">
        <v>0.1089223</v>
      </c>
      <c r="K52" s="149">
        <v>64</v>
      </c>
      <c r="L52" s="149">
        <v>296</v>
      </c>
      <c r="M52" s="150"/>
      <c r="N52" s="135"/>
    </row>
    <row r="53" spans="1:14" x14ac:dyDescent="0.25">
      <c r="A53" s="142">
        <v>44323</v>
      </c>
      <c r="B53" s="81" t="s">
        <v>22</v>
      </c>
      <c r="C53" s="129" t="str">
        <f t="shared" si="1"/>
        <v>07.05.2021_BOYkl</v>
      </c>
      <c r="D53" s="143">
        <f t="shared" si="2"/>
        <v>0</v>
      </c>
      <c r="E53" s="144">
        <v>0</v>
      </c>
      <c r="F53" s="145">
        <v>2.5996199198582801E-2</v>
      </c>
      <c r="G53" s="146">
        <v>0.02</v>
      </c>
      <c r="H53" s="146">
        <v>8.4089988865269763E-2</v>
      </c>
      <c r="I53" s="147">
        <v>15</v>
      </c>
      <c r="J53" s="148">
        <v>3.4291809971100311</v>
      </c>
      <c r="K53" s="149">
        <v>20</v>
      </c>
      <c r="L53" s="149">
        <v>40</v>
      </c>
      <c r="M53" s="150"/>
      <c r="N53" s="135"/>
    </row>
    <row r="54" spans="1:14" x14ac:dyDescent="0.25">
      <c r="A54" s="142">
        <v>44323</v>
      </c>
      <c r="B54" s="81" t="s">
        <v>25</v>
      </c>
      <c r="C54" s="129" t="str">
        <f t="shared" si="1"/>
        <v>07.05.2021_BOYohB224</v>
      </c>
      <c r="D54" s="143">
        <f t="shared" si="2"/>
        <v>0</v>
      </c>
      <c r="E54" s="144">
        <v>0.02</v>
      </c>
      <c r="F54" s="145">
        <v>9.2410795952236526E-3</v>
      </c>
      <c r="G54" s="146">
        <v>0.02</v>
      </c>
      <c r="H54" s="146">
        <v>0.01</v>
      </c>
      <c r="I54" s="147">
        <v>2.6</v>
      </c>
      <c r="J54" s="148">
        <v>0.60583629999999999</v>
      </c>
      <c r="K54" s="149">
        <v>29</v>
      </c>
      <c r="L54" s="149">
        <v>155</v>
      </c>
      <c r="M54" s="150"/>
      <c r="N54" s="135"/>
    </row>
    <row r="55" spans="1:14" x14ac:dyDescent="0.25">
      <c r="A55" s="142">
        <v>44323</v>
      </c>
      <c r="B55" s="81" t="s">
        <v>28</v>
      </c>
      <c r="C55" s="129" t="str">
        <f t="shared" si="1"/>
        <v>07.05.2021_BOYohBr</v>
      </c>
      <c r="D55" s="143">
        <f t="shared" si="2"/>
        <v>0</v>
      </c>
      <c r="E55" s="144">
        <v>0</v>
      </c>
      <c r="F55" s="145">
        <v>2.1658716760139193E-2</v>
      </c>
      <c r="G55" s="146">
        <v>0.02</v>
      </c>
      <c r="H55" s="146">
        <v>0.01</v>
      </c>
      <c r="I55" s="147">
        <v>6</v>
      </c>
      <c r="J55" s="148">
        <v>1.3737942999999997</v>
      </c>
      <c r="K55" s="149">
        <v>14</v>
      </c>
      <c r="L55" s="149">
        <v>66</v>
      </c>
      <c r="M55" s="150"/>
      <c r="N55" s="135"/>
    </row>
    <row r="56" spans="1:14" x14ac:dyDescent="0.25">
      <c r="A56" s="142">
        <v>44323</v>
      </c>
      <c r="B56" s="81" t="s">
        <v>30</v>
      </c>
      <c r="C56" s="129" t="str">
        <f t="shared" si="1"/>
        <v>07.05.2021_BOYohKi</v>
      </c>
      <c r="D56" s="143">
        <f t="shared" si="2"/>
        <v>0</v>
      </c>
      <c r="E56" s="144">
        <v>0</v>
      </c>
      <c r="F56" s="145">
        <v>1.0704571461442358E-2</v>
      </c>
      <c r="G56" s="146">
        <v>0.02</v>
      </c>
      <c r="H56" s="146">
        <v>0.01</v>
      </c>
      <c r="I56" s="147">
        <v>3.4</v>
      </c>
      <c r="J56" s="148">
        <v>0.78653229999999996</v>
      </c>
      <c r="K56" s="149">
        <v>26</v>
      </c>
      <c r="L56" s="149">
        <v>112</v>
      </c>
      <c r="M56" s="150"/>
      <c r="N56" s="135"/>
    </row>
    <row r="57" spans="1:14" x14ac:dyDescent="0.25">
      <c r="A57" s="142">
        <v>44323</v>
      </c>
      <c r="B57" s="81" t="s">
        <v>32</v>
      </c>
      <c r="C57" s="129" t="str">
        <f t="shared" si="1"/>
        <v>07.05.2021_BOYohSp</v>
      </c>
      <c r="D57" s="143">
        <f t="shared" si="2"/>
        <v>0</v>
      </c>
      <c r="E57" s="144">
        <v>0</v>
      </c>
      <c r="F57" s="145">
        <v>1.9249095031850631E-2</v>
      </c>
      <c r="G57" s="146">
        <v>0.02</v>
      </c>
      <c r="H57" s="146">
        <v>0.01</v>
      </c>
      <c r="I57" s="147">
        <v>5.0999999999999996</v>
      </c>
      <c r="J57" s="148">
        <v>1.1705112999999996</v>
      </c>
      <c r="K57" s="149">
        <v>24</v>
      </c>
      <c r="L57" s="149">
        <v>89</v>
      </c>
      <c r="M57" s="150"/>
      <c r="N57" s="135"/>
    </row>
    <row r="58" spans="1:14" x14ac:dyDescent="0.25">
      <c r="A58" s="142">
        <v>44323</v>
      </c>
      <c r="B58" s="81" t="s">
        <v>36</v>
      </c>
      <c r="C58" s="129" t="str">
        <f t="shared" si="1"/>
        <v>07.05.2021_BOYuhSp</v>
      </c>
      <c r="D58" s="143">
        <f t="shared" si="2"/>
        <v>0</v>
      </c>
      <c r="E58" s="144">
        <v>2.1928851531863702E-2</v>
      </c>
      <c r="F58" s="145">
        <v>2.2691672306561824E-2</v>
      </c>
      <c r="G58" s="146">
        <v>5.4551312698775632E-2</v>
      </c>
      <c r="H58" s="146">
        <v>7.1565947970442342E-2</v>
      </c>
      <c r="I58" s="147">
        <v>4.4000000000000004</v>
      </c>
      <c r="J58" s="148">
        <v>1.0579748016570734</v>
      </c>
      <c r="K58" s="149">
        <v>21</v>
      </c>
      <c r="L58" s="149">
        <v>91</v>
      </c>
      <c r="M58" s="150"/>
      <c r="N58" s="135"/>
    </row>
    <row r="59" spans="1:14" x14ac:dyDescent="0.25">
      <c r="A59" s="142">
        <v>44323</v>
      </c>
      <c r="B59" s="81" t="s">
        <v>38</v>
      </c>
      <c r="C59" s="129" t="str">
        <f t="shared" si="1"/>
        <v>07.05.2021_BRAob</v>
      </c>
      <c r="D59" s="143">
        <f t="shared" si="2"/>
        <v>0</v>
      </c>
      <c r="E59" s="144">
        <v>0</v>
      </c>
      <c r="F59" s="145">
        <v>1.3328063961267468E-2</v>
      </c>
      <c r="G59" s="146">
        <v>0.02</v>
      </c>
      <c r="H59" s="146">
        <v>0.01</v>
      </c>
      <c r="I59" s="147">
        <v>1.4</v>
      </c>
      <c r="J59" s="148">
        <v>0.33479229999999993</v>
      </c>
      <c r="K59" s="149">
        <v>37</v>
      </c>
      <c r="L59" s="149">
        <v>112</v>
      </c>
      <c r="M59" s="150"/>
      <c r="N59" s="135"/>
    </row>
    <row r="60" spans="1:14" x14ac:dyDescent="0.25">
      <c r="A60" s="142">
        <v>44323</v>
      </c>
      <c r="B60" s="81" t="s">
        <v>41</v>
      </c>
      <c r="C60" s="129" t="str">
        <f t="shared" si="1"/>
        <v>07.05.2021_BRAohBo</v>
      </c>
      <c r="D60" s="143">
        <f t="shared" si="2"/>
        <v>0</v>
      </c>
      <c r="E60" s="144">
        <v>5.183183089349603E-2</v>
      </c>
      <c r="F60" s="145">
        <v>2.2633290993397674E-2</v>
      </c>
      <c r="G60" s="146">
        <v>0.02</v>
      </c>
      <c r="H60" s="146">
        <v>3.3993825285960122E-2</v>
      </c>
      <c r="I60" s="147">
        <v>2.7</v>
      </c>
      <c r="J60" s="148">
        <v>0.63572822010831054</v>
      </c>
      <c r="K60" s="149">
        <v>23</v>
      </c>
      <c r="L60" s="149">
        <v>95</v>
      </c>
      <c r="M60" s="150"/>
      <c r="N60" s="135"/>
    </row>
    <row r="61" spans="1:14" x14ac:dyDescent="0.25">
      <c r="A61" s="142">
        <v>44323</v>
      </c>
      <c r="B61" s="81" t="s">
        <v>43</v>
      </c>
      <c r="C61" s="129" t="str">
        <f t="shared" si="1"/>
        <v>07.05.2021_HAAob</v>
      </c>
      <c r="D61" s="143">
        <f t="shared" si="2"/>
        <v>0</v>
      </c>
      <c r="E61" s="144">
        <v>0</v>
      </c>
      <c r="F61" s="145">
        <v>1.876634356471063E-2</v>
      </c>
      <c r="G61" s="146">
        <v>0.02</v>
      </c>
      <c r="H61" s="146">
        <v>0.01</v>
      </c>
      <c r="I61" s="147">
        <v>0.9</v>
      </c>
      <c r="J61" s="148">
        <v>0.22185730000000001</v>
      </c>
      <c r="K61" s="149">
        <v>22</v>
      </c>
      <c r="L61" s="149">
        <v>152</v>
      </c>
      <c r="M61" s="150"/>
      <c r="N61" s="135"/>
    </row>
    <row r="62" spans="1:14" x14ac:dyDescent="0.25">
      <c r="A62" s="142">
        <v>44323</v>
      </c>
      <c r="B62" s="81" t="s">
        <v>45</v>
      </c>
      <c r="C62" s="129" t="str">
        <f t="shared" si="1"/>
        <v>07.05.2021_HAAun</v>
      </c>
      <c r="D62" s="143">
        <f t="shared" si="2"/>
        <v>0</v>
      </c>
      <c r="E62" s="144">
        <v>0</v>
      </c>
      <c r="F62" s="145">
        <v>1.2964273972428348E-2</v>
      </c>
      <c r="G62" s="146">
        <v>0.02</v>
      </c>
      <c r="H62" s="146">
        <v>0.01</v>
      </c>
      <c r="I62" s="147">
        <v>0.9</v>
      </c>
      <c r="J62" s="148">
        <v>0.22185730000000001</v>
      </c>
      <c r="K62" s="149">
        <v>24</v>
      </c>
      <c r="L62" s="149">
        <v>224</v>
      </c>
      <c r="M62" s="150"/>
      <c r="N62" s="135"/>
    </row>
    <row r="63" spans="1:14" x14ac:dyDescent="0.25">
      <c r="A63" s="142">
        <v>44323</v>
      </c>
      <c r="B63" s="81" t="s">
        <v>47</v>
      </c>
      <c r="C63" s="129" t="str">
        <f t="shared" si="1"/>
        <v>07.05.2021_KIRob</v>
      </c>
      <c r="D63" s="143">
        <f t="shared" si="2"/>
        <v>0</v>
      </c>
      <c r="E63" s="144">
        <v>0</v>
      </c>
      <c r="F63" s="145">
        <v>7.7172034465408041E-3</v>
      </c>
      <c r="G63" s="146">
        <v>6.0989045253289534E-2</v>
      </c>
      <c r="H63" s="146">
        <v>3.9361271383743276E-2</v>
      </c>
      <c r="I63" s="147">
        <v>3.6</v>
      </c>
      <c r="J63" s="148">
        <v>0.87247292282150735</v>
      </c>
      <c r="K63" s="149">
        <v>45</v>
      </c>
      <c r="L63" s="149">
        <v>113</v>
      </c>
      <c r="M63" s="150"/>
      <c r="N63" s="135"/>
    </row>
    <row r="64" spans="1:14" x14ac:dyDescent="0.25">
      <c r="A64" s="142">
        <v>44323</v>
      </c>
      <c r="B64" s="81" t="s">
        <v>49</v>
      </c>
      <c r="C64" s="129" t="str">
        <f t="shared" si="1"/>
        <v>07.05.2021_KIRun</v>
      </c>
      <c r="D64" s="143">
        <f t="shared" si="2"/>
        <v>0</v>
      </c>
      <c r="E64" s="144">
        <v>0</v>
      </c>
      <c r="F64" s="145">
        <v>9.3488316186128573E-3</v>
      </c>
      <c r="G64" s="146">
        <v>0.02</v>
      </c>
      <c r="H64" s="146">
        <v>0.01</v>
      </c>
      <c r="I64" s="147">
        <v>3.3</v>
      </c>
      <c r="J64" s="148">
        <v>0.76394529999999994</v>
      </c>
      <c r="K64" s="149">
        <v>38</v>
      </c>
      <c r="L64" s="149">
        <v>94</v>
      </c>
      <c r="M64" s="150"/>
      <c r="N64" s="135"/>
    </row>
    <row r="65" spans="1:14" x14ac:dyDescent="0.25">
      <c r="A65" s="142">
        <v>44323</v>
      </c>
      <c r="B65" s="81" t="s">
        <v>53</v>
      </c>
      <c r="C65" s="129" t="str">
        <f t="shared" si="1"/>
        <v>07.05.2021_NATohBo</v>
      </c>
      <c r="D65" s="143">
        <f t="shared" si="2"/>
        <v>0</v>
      </c>
      <c r="E65" s="144">
        <v>0</v>
      </c>
      <c r="F65" s="145">
        <v>1.5466600624158233E-2</v>
      </c>
      <c r="G65" s="146">
        <v>0.02</v>
      </c>
      <c r="H65" s="146">
        <v>0.01</v>
      </c>
      <c r="I65" s="147">
        <v>1.9</v>
      </c>
      <c r="J65" s="148">
        <v>0.44772729999999994</v>
      </c>
      <c r="K65" s="149">
        <v>32</v>
      </c>
      <c r="L65" s="149">
        <v>173</v>
      </c>
      <c r="M65" s="150"/>
      <c r="N65" s="135"/>
    </row>
    <row r="66" spans="1:14" x14ac:dyDescent="0.25">
      <c r="A66" s="142">
        <v>44323</v>
      </c>
      <c r="B66" s="81" t="s">
        <v>55</v>
      </c>
      <c r="C66" s="129" t="str">
        <f t="shared" si="1"/>
        <v>07.05.2021_QUAohBo</v>
      </c>
      <c r="D66" s="143">
        <f t="shared" si="2"/>
        <v>0</v>
      </c>
      <c r="E66" s="144">
        <v>0</v>
      </c>
      <c r="F66" s="145">
        <v>8.9131250998247848E-3</v>
      </c>
      <c r="G66" s="146">
        <v>0.02</v>
      </c>
      <c r="H66" s="146">
        <v>0.01</v>
      </c>
      <c r="I66" s="147">
        <v>0.8</v>
      </c>
      <c r="J66" s="148">
        <v>0.19927030000000001</v>
      </c>
      <c r="K66" s="149">
        <v>32</v>
      </c>
      <c r="L66" s="149">
        <v>104</v>
      </c>
      <c r="M66" s="150"/>
      <c r="N66" s="135"/>
    </row>
    <row r="67" spans="1:14" x14ac:dyDescent="0.25">
      <c r="A67" s="142">
        <v>44323</v>
      </c>
      <c r="B67" s="81" t="s">
        <v>57</v>
      </c>
      <c r="C67" s="129" t="str">
        <f t="shared" si="1"/>
        <v>07.05.2021_SCHohVo</v>
      </c>
      <c r="D67" s="143">
        <f t="shared" si="2"/>
        <v>0</v>
      </c>
      <c r="E67" s="144">
        <v>0</v>
      </c>
      <c r="F67" s="145">
        <v>1.0350611472074148E-2</v>
      </c>
      <c r="G67" s="146">
        <v>0.02</v>
      </c>
      <c r="H67" s="146">
        <v>0.01</v>
      </c>
      <c r="I67" s="147">
        <v>1.2</v>
      </c>
      <c r="J67" s="148">
        <v>0.28961829999999994</v>
      </c>
      <c r="K67" s="149">
        <v>13</v>
      </c>
      <c r="L67" s="149">
        <v>84</v>
      </c>
      <c r="M67" s="150"/>
      <c r="N67" s="135"/>
    </row>
    <row r="68" spans="1:14" x14ac:dyDescent="0.25">
      <c r="A68" s="142">
        <v>44323</v>
      </c>
      <c r="B68" s="81" t="s">
        <v>60</v>
      </c>
      <c r="C68" s="129" t="str">
        <f t="shared" si="1"/>
        <v>07.05.2021_VORohBo</v>
      </c>
      <c r="D68" s="143">
        <f t="shared" si="2"/>
        <v>0</v>
      </c>
      <c r="E68" s="144">
        <v>0</v>
      </c>
      <c r="F68" s="145">
        <v>7.0178995464874137E-3</v>
      </c>
      <c r="G68" s="146">
        <v>0.02</v>
      </c>
      <c r="H68" s="146">
        <v>0.01</v>
      </c>
      <c r="I68" s="147">
        <v>0.9</v>
      </c>
      <c r="J68" s="148">
        <v>0.22185730000000001</v>
      </c>
      <c r="K68" s="149">
        <v>20</v>
      </c>
      <c r="L68" s="149">
        <v>156</v>
      </c>
      <c r="M68" s="150"/>
      <c r="N68" s="135"/>
    </row>
    <row r="69" spans="1:14" x14ac:dyDescent="0.25">
      <c r="A69" s="142">
        <v>44323</v>
      </c>
      <c r="B69" s="81" t="s">
        <v>62</v>
      </c>
      <c r="C69" s="129" t="str">
        <f t="shared" ref="C69:C132" si="3">CONCATENATE(TEXT(A69,"TT.MM.JJJJ"),"_",B69)</f>
        <v>07.05.2021_VORuhSc</v>
      </c>
      <c r="D69" s="143">
        <f t="shared" ref="D69:D132" si="4">COUNTBLANK(E69:L69)</f>
        <v>0</v>
      </c>
      <c r="E69" s="144">
        <v>0</v>
      </c>
      <c r="F69" s="145">
        <v>8.1758916929720576E-3</v>
      </c>
      <c r="G69" s="146">
        <v>0.02</v>
      </c>
      <c r="H69" s="146">
        <v>0.01</v>
      </c>
      <c r="I69" s="147">
        <v>1</v>
      </c>
      <c r="J69" s="148">
        <v>0.2444443</v>
      </c>
      <c r="K69" s="149">
        <v>20</v>
      </c>
      <c r="L69" s="149">
        <v>170</v>
      </c>
      <c r="M69" s="150"/>
      <c r="N69" s="135"/>
    </row>
    <row r="70" spans="1:14" x14ac:dyDescent="0.25">
      <c r="A70" s="142">
        <v>44323</v>
      </c>
      <c r="B70" s="81" t="s">
        <v>64</v>
      </c>
      <c r="C70" s="129" t="str">
        <f t="shared" si="3"/>
        <v>07.05.2021_WITob</v>
      </c>
      <c r="D70" s="143">
        <f t="shared" si="4"/>
        <v>0</v>
      </c>
      <c r="E70" s="144">
        <v>0</v>
      </c>
      <c r="F70" s="145">
        <v>8.2844934609127754E-3</v>
      </c>
      <c r="G70" s="146">
        <v>0.02</v>
      </c>
      <c r="H70" s="146">
        <v>0.01</v>
      </c>
      <c r="I70" s="147">
        <v>0.3</v>
      </c>
      <c r="J70" s="148">
        <v>8.633529999999999E-2</v>
      </c>
      <c r="K70" s="149">
        <v>50</v>
      </c>
      <c r="L70" s="149">
        <v>227</v>
      </c>
      <c r="M70" s="150"/>
      <c r="N70" s="135"/>
    </row>
    <row r="71" spans="1:14" x14ac:dyDescent="0.25">
      <c r="A71" s="142">
        <v>44337</v>
      </c>
      <c r="B71" s="81" t="s">
        <v>22</v>
      </c>
      <c r="C71" s="129" t="str">
        <f t="shared" si="3"/>
        <v>21.05.2021_BOYkl</v>
      </c>
      <c r="D71" s="143">
        <f t="shared" si="4"/>
        <v>0</v>
      </c>
      <c r="E71" s="144">
        <v>3.319777074860672E-2</v>
      </c>
      <c r="F71" s="145">
        <v>1.8874997751958097E-2</v>
      </c>
      <c r="G71" s="146">
        <v>0.02</v>
      </c>
      <c r="H71" s="146">
        <v>5.228152594719214E-2</v>
      </c>
      <c r="I71" s="147">
        <v>21</v>
      </c>
      <c r="J71" s="148">
        <v>4.7747169105746226</v>
      </c>
      <c r="K71" s="149">
        <v>22</v>
      </c>
      <c r="L71" s="149">
        <v>42</v>
      </c>
      <c r="M71" s="150"/>
      <c r="N71" s="135"/>
    </row>
    <row r="72" spans="1:14" x14ac:dyDescent="0.25">
      <c r="A72" s="142">
        <v>44337</v>
      </c>
      <c r="B72" s="81" t="s">
        <v>25</v>
      </c>
      <c r="C72" s="129" t="str">
        <f t="shared" si="3"/>
        <v>21.05.2021_BOYohB224</v>
      </c>
      <c r="D72" s="143">
        <f t="shared" si="4"/>
        <v>0</v>
      </c>
      <c r="E72" s="144">
        <v>0.03</v>
      </c>
      <c r="F72" s="145">
        <v>1.35E-2</v>
      </c>
      <c r="G72" s="146">
        <v>0.02</v>
      </c>
      <c r="H72" s="146">
        <v>0.06</v>
      </c>
      <c r="I72" s="147">
        <v>2.1</v>
      </c>
      <c r="J72" s="148">
        <v>0.50812380000000001</v>
      </c>
      <c r="K72" s="149">
        <v>19</v>
      </c>
      <c r="L72" s="149">
        <v>90</v>
      </c>
      <c r="M72" s="150"/>
      <c r="N72" s="135"/>
    </row>
    <row r="73" spans="1:14" x14ac:dyDescent="0.25">
      <c r="A73" s="142">
        <v>44337</v>
      </c>
      <c r="B73" s="81" t="s">
        <v>28</v>
      </c>
      <c r="C73" s="129" t="str">
        <f t="shared" si="3"/>
        <v>21.05.2021_BOYohBr</v>
      </c>
      <c r="D73" s="143">
        <f t="shared" si="4"/>
        <v>0</v>
      </c>
      <c r="E73" s="144">
        <v>2.9703268564542851E-2</v>
      </c>
      <c r="F73" s="145">
        <v>1.9839226069410822E-2</v>
      </c>
      <c r="G73" s="146">
        <v>9.8760003856908696E-2</v>
      </c>
      <c r="H73" s="146">
        <v>0.13070381486798036</v>
      </c>
      <c r="I73" s="147">
        <v>7.7</v>
      </c>
      <c r="J73" s="148">
        <v>1.8556779318314076</v>
      </c>
      <c r="K73" s="149">
        <v>17</v>
      </c>
      <c r="L73" s="149">
        <v>52</v>
      </c>
      <c r="M73" s="150"/>
      <c r="N73" s="135"/>
    </row>
    <row r="74" spans="1:14" x14ac:dyDescent="0.25">
      <c r="A74" s="142">
        <v>44337</v>
      </c>
      <c r="B74" s="81" t="s">
        <v>30</v>
      </c>
      <c r="C74" s="129" t="str">
        <f t="shared" si="3"/>
        <v>21.05.2021_BOYohKi</v>
      </c>
      <c r="D74" s="143">
        <f t="shared" si="4"/>
        <v>0</v>
      </c>
      <c r="E74" s="144">
        <v>2.0967013104383189E-2</v>
      </c>
      <c r="F74" s="145">
        <v>1.1536010639255955E-2</v>
      </c>
      <c r="G74" s="146">
        <v>0.02</v>
      </c>
      <c r="H74" s="146">
        <v>5.9969985645308629E-2</v>
      </c>
      <c r="I74" s="147">
        <v>2.2000000000000002</v>
      </c>
      <c r="J74" s="148">
        <v>0.53070166212971426</v>
      </c>
      <c r="K74" s="149">
        <v>14</v>
      </c>
      <c r="L74" s="149">
        <v>65</v>
      </c>
      <c r="M74" s="150"/>
      <c r="N74" s="135"/>
    </row>
    <row r="75" spans="1:14" x14ac:dyDescent="0.25">
      <c r="A75" s="142">
        <v>44337</v>
      </c>
      <c r="B75" s="81" t="s">
        <v>32</v>
      </c>
      <c r="C75" s="129" t="str">
        <f t="shared" si="3"/>
        <v>21.05.2021_BOYohSp</v>
      </c>
      <c r="D75" s="143">
        <f t="shared" si="4"/>
        <v>0</v>
      </c>
      <c r="E75" s="144">
        <v>0</v>
      </c>
      <c r="F75" s="145">
        <v>1.7489856195864087E-2</v>
      </c>
      <c r="G75" s="146">
        <v>0.02</v>
      </c>
      <c r="H75" s="146">
        <v>8.7648440558527996E-2</v>
      </c>
      <c r="I75" s="147">
        <v>4.0999999999999996</v>
      </c>
      <c r="J75" s="148">
        <v>0.96828136772804374</v>
      </c>
      <c r="K75" s="149">
        <v>17</v>
      </c>
      <c r="L75" s="149">
        <v>50</v>
      </c>
      <c r="M75" s="150"/>
      <c r="N75" s="135"/>
    </row>
    <row r="76" spans="1:14" x14ac:dyDescent="0.25">
      <c r="A76" s="142">
        <v>44337</v>
      </c>
      <c r="B76" s="81" t="s">
        <v>36</v>
      </c>
      <c r="C76" s="129" t="str">
        <f t="shared" si="3"/>
        <v>21.05.2021_BOYuhSp</v>
      </c>
      <c r="D76" s="143">
        <f t="shared" si="4"/>
        <v>0</v>
      </c>
      <c r="E76" s="144">
        <v>0</v>
      </c>
      <c r="F76" s="145">
        <v>1.4387513328885469E-2</v>
      </c>
      <c r="G76" s="146">
        <v>0.02</v>
      </c>
      <c r="H76" s="146">
        <v>6.3045369524555223E-2</v>
      </c>
      <c r="I76" s="147">
        <v>4.5</v>
      </c>
      <c r="J76" s="148">
        <v>1.0511389627517507</v>
      </c>
      <c r="K76" s="149">
        <v>22</v>
      </c>
      <c r="L76" s="149">
        <v>88</v>
      </c>
      <c r="M76" s="150"/>
      <c r="N76" s="135"/>
    </row>
    <row r="77" spans="1:14" x14ac:dyDescent="0.25">
      <c r="A77" s="142">
        <v>44337</v>
      </c>
      <c r="B77" s="81" t="s">
        <v>38</v>
      </c>
      <c r="C77" s="129" t="str">
        <f t="shared" si="3"/>
        <v>21.05.2021_BRAob</v>
      </c>
      <c r="D77" s="143">
        <f t="shared" si="4"/>
        <v>0</v>
      </c>
      <c r="E77" s="144">
        <v>0</v>
      </c>
      <c r="F77" s="145">
        <v>1.1006553569802463E-2</v>
      </c>
      <c r="G77" s="146">
        <v>4.5195256002314159E-2</v>
      </c>
      <c r="H77" s="146">
        <v>4.3055374309452353E-2</v>
      </c>
      <c r="I77" s="147">
        <v>1.2</v>
      </c>
      <c r="J77" s="148">
        <v>0.31924587304174962</v>
      </c>
      <c r="K77" s="149">
        <v>22</v>
      </c>
      <c r="L77" s="149">
        <v>67</v>
      </c>
      <c r="M77" s="150"/>
      <c r="N77" s="135"/>
    </row>
    <row r="78" spans="1:14" x14ac:dyDescent="0.25">
      <c r="A78" s="142">
        <v>44337</v>
      </c>
      <c r="B78" s="81" t="s">
        <v>41</v>
      </c>
      <c r="C78" s="129" t="str">
        <f t="shared" si="3"/>
        <v>21.05.2021_BRAohBo</v>
      </c>
      <c r="D78" s="143">
        <f t="shared" si="4"/>
        <v>0</v>
      </c>
      <c r="E78" s="144">
        <v>0</v>
      </c>
      <c r="F78" s="145">
        <v>1.2043366073637476E-2</v>
      </c>
      <c r="G78" s="146">
        <v>0.02</v>
      </c>
      <c r="H78" s="146">
        <v>6.3045369524555223E-2</v>
      </c>
      <c r="I78" s="147">
        <v>2.2000000000000002</v>
      </c>
      <c r="J78" s="148">
        <v>0.5316379627517509</v>
      </c>
      <c r="K78" s="149">
        <v>16</v>
      </c>
      <c r="L78" s="149">
        <v>57</v>
      </c>
      <c r="M78" s="150"/>
      <c r="N78" s="135"/>
    </row>
    <row r="79" spans="1:14" x14ac:dyDescent="0.25">
      <c r="A79" s="142">
        <v>44337</v>
      </c>
      <c r="B79" s="81" t="s">
        <v>43</v>
      </c>
      <c r="C79" s="129" t="str">
        <f t="shared" si="3"/>
        <v>21.05.2021_HAAob</v>
      </c>
      <c r="D79" s="143">
        <f t="shared" si="4"/>
        <v>0</v>
      </c>
      <c r="E79" s="144">
        <v>1.7472510920319324E-2</v>
      </c>
      <c r="F79" s="145">
        <v>1.3327636330080829E-2</v>
      </c>
      <c r="G79" s="146">
        <v>0.02</v>
      </c>
      <c r="H79" s="146">
        <v>1.9989995215102876E-2</v>
      </c>
      <c r="I79" s="147">
        <v>0.7</v>
      </c>
      <c r="J79" s="148">
        <v>0.17972475404323804</v>
      </c>
      <c r="K79" s="149">
        <v>20</v>
      </c>
      <c r="L79" s="149">
        <v>128</v>
      </c>
      <c r="M79" s="150"/>
      <c r="N79" s="135"/>
    </row>
    <row r="80" spans="1:14" x14ac:dyDescent="0.25">
      <c r="A80" s="142">
        <v>44337</v>
      </c>
      <c r="B80" s="81" t="s">
        <v>45</v>
      </c>
      <c r="C80" s="129" t="str">
        <f t="shared" si="3"/>
        <v>21.05.2021_HAAun</v>
      </c>
      <c r="D80" s="143">
        <f t="shared" si="4"/>
        <v>0</v>
      </c>
      <c r="E80" s="144">
        <v>0</v>
      </c>
      <c r="F80" s="145">
        <v>1.177071118794808E-2</v>
      </c>
      <c r="G80" s="146">
        <v>0.17073763378652007</v>
      </c>
      <c r="H80" s="146">
        <v>2.4603071033972773E-2</v>
      </c>
      <c r="I80" s="147">
        <v>0.4</v>
      </c>
      <c r="J80" s="148">
        <v>0.23041447023518799</v>
      </c>
      <c r="K80" s="149">
        <v>10</v>
      </c>
      <c r="L80" s="149">
        <v>86</v>
      </c>
      <c r="M80" s="150"/>
      <c r="N80" s="135"/>
    </row>
    <row r="81" spans="1:14" x14ac:dyDescent="0.25">
      <c r="A81" s="142">
        <v>44337</v>
      </c>
      <c r="B81" s="81" t="s">
        <v>47</v>
      </c>
      <c r="C81" s="129" t="str">
        <f t="shared" si="3"/>
        <v>21.05.2021_KIRob</v>
      </c>
      <c r="D81" s="143">
        <f t="shared" si="4"/>
        <v>0</v>
      </c>
      <c r="E81" s="144">
        <v>0</v>
      </c>
      <c r="F81" s="145">
        <v>8.916959985950117E-3</v>
      </c>
      <c r="G81" s="146">
        <v>0.36156204801851316</v>
      </c>
      <c r="H81" s="146">
        <v>0.16914611335856281</v>
      </c>
      <c r="I81" s="147">
        <v>3.8</v>
      </c>
      <c r="J81" s="148">
        <v>1.1905518488779097</v>
      </c>
      <c r="K81" s="149">
        <v>60</v>
      </c>
      <c r="L81" s="149">
        <v>136</v>
      </c>
      <c r="M81" s="150"/>
      <c r="N81" s="135"/>
    </row>
    <row r="82" spans="1:14" x14ac:dyDescent="0.25">
      <c r="A82" s="142">
        <v>44337</v>
      </c>
      <c r="B82" s="81" t="s">
        <v>49</v>
      </c>
      <c r="C82" s="129" t="str">
        <f t="shared" si="3"/>
        <v>21.05.2021_KIRun</v>
      </c>
      <c r="D82" s="143">
        <f t="shared" si="4"/>
        <v>0</v>
      </c>
      <c r="E82" s="144">
        <v>0</v>
      </c>
      <c r="F82" s="145">
        <v>9.097550015522711E-3</v>
      </c>
      <c r="G82" s="146">
        <v>0.10210780059782086</v>
      </c>
      <c r="H82" s="146">
        <v>9.5336900256644486E-2</v>
      </c>
      <c r="I82" s="147">
        <v>3.5</v>
      </c>
      <c r="J82" s="148">
        <v>0.8988560053693373</v>
      </c>
      <c r="K82" s="149">
        <v>51</v>
      </c>
      <c r="L82" s="149">
        <v>129</v>
      </c>
      <c r="M82" s="150"/>
      <c r="N82" s="135"/>
    </row>
    <row r="83" spans="1:14" x14ac:dyDescent="0.25">
      <c r="A83" s="142">
        <v>44337</v>
      </c>
      <c r="B83" s="81" t="s">
        <v>53</v>
      </c>
      <c r="C83" s="129" t="str">
        <f t="shared" si="3"/>
        <v>21.05.2021_NATohBo</v>
      </c>
      <c r="D83" s="143">
        <f t="shared" si="4"/>
        <v>0</v>
      </c>
      <c r="E83" s="144">
        <v>0</v>
      </c>
      <c r="F83" s="145">
        <v>1.41E-2</v>
      </c>
      <c r="G83" s="146">
        <v>0.02</v>
      </c>
      <c r="H83" s="146">
        <v>0.03</v>
      </c>
      <c r="I83" s="147">
        <v>0.5</v>
      </c>
      <c r="J83" s="148">
        <v>0.13759830000000001</v>
      </c>
      <c r="K83" s="149">
        <v>19</v>
      </c>
      <c r="L83" s="149">
        <v>106</v>
      </c>
      <c r="M83" s="150"/>
      <c r="N83" s="135"/>
    </row>
    <row r="84" spans="1:14" x14ac:dyDescent="0.25">
      <c r="A84" s="142">
        <v>44337</v>
      </c>
      <c r="B84" s="81" t="s">
        <v>55</v>
      </c>
      <c r="C84" s="129" t="str">
        <f t="shared" si="3"/>
        <v>21.05.2021_QUAohBo</v>
      </c>
      <c r="D84" s="143">
        <f t="shared" si="4"/>
        <v>0</v>
      </c>
      <c r="E84" s="144">
        <v>0</v>
      </c>
      <c r="F84" s="145">
        <v>9.6269684602238604E-3</v>
      </c>
      <c r="G84" s="146">
        <v>0.02</v>
      </c>
      <c r="H84" s="146">
        <v>2.4603071033972773E-2</v>
      </c>
      <c r="I84" s="147">
        <v>1.8</v>
      </c>
      <c r="J84" s="148">
        <v>0.42958620497629296</v>
      </c>
      <c r="K84" s="149">
        <v>36</v>
      </c>
      <c r="L84" s="149">
        <v>98</v>
      </c>
      <c r="M84" s="150"/>
      <c r="N84" s="135"/>
    </row>
    <row r="85" spans="1:14" x14ac:dyDescent="0.25">
      <c r="A85" s="142">
        <v>44337</v>
      </c>
      <c r="B85" s="81" t="s">
        <v>57</v>
      </c>
      <c r="C85" s="129" t="str">
        <f t="shared" si="3"/>
        <v>21.05.2021_SCHohVo</v>
      </c>
      <c r="D85" s="143">
        <f t="shared" si="4"/>
        <v>0</v>
      </c>
      <c r="E85" s="144">
        <v>0</v>
      </c>
      <c r="F85" s="145">
        <v>9.2504571333099882E-3</v>
      </c>
      <c r="G85" s="146">
        <v>9.5412207115996531E-2</v>
      </c>
      <c r="H85" s="146">
        <v>5.6894601766062029E-2</v>
      </c>
      <c r="I85" s="147">
        <v>1.5</v>
      </c>
      <c r="J85" s="148">
        <v>0.43021318621117771</v>
      </c>
      <c r="K85" s="149">
        <v>26</v>
      </c>
      <c r="L85" s="149">
        <v>143</v>
      </c>
      <c r="M85" s="150"/>
      <c r="N85" s="135"/>
    </row>
    <row r="86" spans="1:14" x14ac:dyDescent="0.25">
      <c r="A86" s="142">
        <v>44337</v>
      </c>
      <c r="B86" s="81" t="s">
        <v>60</v>
      </c>
      <c r="C86" s="129" t="str">
        <f t="shared" si="3"/>
        <v>21.05.2021_VORohBo</v>
      </c>
      <c r="D86" s="143">
        <f t="shared" si="4"/>
        <v>0</v>
      </c>
      <c r="E86" s="144">
        <v>0</v>
      </c>
      <c r="F86" s="145">
        <v>7.9867987000625754E-3</v>
      </c>
      <c r="G86" s="146">
        <v>0.1958461093433613</v>
      </c>
      <c r="H86" s="146">
        <v>3.690460655095916E-2</v>
      </c>
      <c r="I86" s="147">
        <v>1</v>
      </c>
      <c r="J86" s="148">
        <v>0.38917815290846614</v>
      </c>
      <c r="K86" s="149">
        <v>19</v>
      </c>
      <c r="L86" s="149">
        <v>93</v>
      </c>
      <c r="M86" s="150"/>
      <c r="N86" s="135"/>
    </row>
    <row r="87" spans="1:14" x14ac:dyDescent="0.25">
      <c r="A87" s="142">
        <v>44337</v>
      </c>
      <c r="B87" s="81" t="s">
        <v>62</v>
      </c>
      <c r="C87" s="129" t="str">
        <f t="shared" si="3"/>
        <v>21.05.2021_VORuhSc</v>
      </c>
      <c r="D87" s="143">
        <f t="shared" si="4"/>
        <v>0</v>
      </c>
      <c r="E87" s="144">
        <v>0</v>
      </c>
      <c r="F87" s="145">
        <v>8.1643980702395865E-3</v>
      </c>
      <c r="G87" s="146">
        <v>0.10378169896827694</v>
      </c>
      <c r="H87" s="146">
        <v>4.3055374309452353E-2</v>
      </c>
      <c r="I87" s="147">
        <v>1.1000000000000001</v>
      </c>
      <c r="J87" s="148">
        <v>0.34215066014039014</v>
      </c>
      <c r="K87" s="149">
        <v>28</v>
      </c>
      <c r="L87" s="149">
        <v>186</v>
      </c>
      <c r="M87" s="150"/>
      <c r="N87" s="135"/>
    </row>
    <row r="88" spans="1:14" x14ac:dyDescent="0.25">
      <c r="A88" s="142">
        <v>44337</v>
      </c>
      <c r="B88" s="81" t="s">
        <v>64</v>
      </c>
      <c r="C88" s="129" t="str">
        <f t="shared" si="3"/>
        <v>21.05.2021_WITob</v>
      </c>
      <c r="D88" s="143">
        <f t="shared" si="4"/>
        <v>0</v>
      </c>
      <c r="E88" s="144">
        <v>0</v>
      </c>
      <c r="F88" s="145">
        <v>8.6771720055924401E-3</v>
      </c>
      <c r="G88" s="146">
        <v>0.02</v>
      </c>
      <c r="H88" s="146">
        <v>0.01</v>
      </c>
      <c r="I88" s="147">
        <v>0.2</v>
      </c>
      <c r="J88" s="148">
        <v>6.3748299999999994E-2</v>
      </c>
      <c r="K88" s="149">
        <v>30</v>
      </c>
      <c r="L88" s="149">
        <v>145</v>
      </c>
      <c r="M88" s="150"/>
      <c r="N88" s="135"/>
    </row>
    <row r="89" spans="1:14" x14ac:dyDescent="0.25">
      <c r="A89" s="142">
        <v>44351</v>
      </c>
      <c r="B89" s="81" t="s">
        <v>22</v>
      </c>
      <c r="C89" s="129" t="str">
        <f t="shared" si="3"/>
        <v>04.06.2021_BOYkl</v>
      </c>
      <c r="D89" s="143">
        <f t="shared" si="4"/>
        <v>0</v>
      </c>
      <c r="E89" s="144">
        <v>3.3925722761747504E-2</v>
      </c>
      <c r="F89" s="145">
        <v>5.0164424055476511E-2</v>
      </c>
      <c r="G89" s="146">
        <v>0.11835065118247215</v>
      </c>
      <c r="H89" s="146">
        <v>0.10330383959736994</v>
      </c>
      <c r="I89" s="147">
        <v>32</v>
      </c>
      <c r="J89" s="148">
        <v>7.3511889511020971</v>
      </c>
      <c r="K89" s="149">
        <v>32</v>
      </c>
      <c r="L89" s="149">
        <v>60</v>
      </c>
      <c r="M89" s="150"/>
      <c r="N89" s="135"/>
    </row>
    <row r="90" spans="1:14" x14ac:dyDescent="0.25">
      <c r="A90" s="142">
        <v>44351</v>
      </c>
      <c r="B90" s="81" t="s">
        <v>25</v>
      </c>
      <c r="C90" s="129" t="str">
        <f t="shared" si="3"/>
        <v>04.06.2021_BOYohB224</v>
      </c>
      <c r="D90" s="143">
        <f t="shared" si="4"/>
        <v>0</v>
      </c>
      <c r="E90" s="144">
        <v>0.02</v>
      </c>
      <c r="F90" s="145">
        <v>3.1800000000000002E-2</v>
      </c>
      <c r="G90" s="146">
        <v>0.25</v>
      </c>
      <c r="H90" s="146">
        <v>0.27</v>
      </c>
      <c r="I90" s="147">
        <v>5.3</v>
      </c>
      <c r="J90" s="148">
        <v>1.4734349999999998</v>
      </c>
      <c r="K90" s="149">
        <v>36</v>
      </c>
      <c r="L90" s="149">
        <v>177</v>
      </c>
      <c r="M90" s="150"/>
      <c r="N90" s="135"/>
    </row>
    <row r="91" spans="1:14" x14ac:dyDescent="0.25">
      <c r="A91" s="142">
        <v>44351</v>
      </c>
      <c r="B91" s="81" t="s">
        <v>28</v>
      </c>
      <c r="C91" s="129" t="str">
        <f t="shared" si="3"/>
        <v>04.06.2021_BOYohBr</v>
      </c>
      <c r="D91" s="143">
        <f t="shared" si="4"/>
        <v>0</v>
      </c>
      <c r="E91" s="144">
        <v>0</v>
      </c>
      <c r="F91" s="145">
        <v>4.1119345766009702E-2</v>
      </c>
      <c r="G91" s="146">
        <v>0.46932154779256186</v>
      </c>
      <c r="H91" s="146">
        <v>0.26830302784316912</v>
      </c>
      <c r="I91" s="147">
        <v>6.3</v>
      </c>
      <c r="J91" s="148">
        <v>1.869089345472299</v>
      </c>
      <c r="K91" s="149">
        <v>24</v>
      </c>
      <c r="L91" s="149">
        <v>85</v>
      </c>
      <c r="M91" s="150"/>
      <c r="N91" s="135"/>
    </row>
    <row r="92" spans="1:14" x14ac:dyDescent="0.25">
      <c r="A92" s="142">
        <v>44351</v>
      </c>
      <c r="B92" s="81" t="s">
        <v>30</v>
      </c>
      <c r="C92" s="129" t="str">
        <f t="shared" si="3"/>
        <v>04.06.2021_BOYohKi</v>
      </c>
      <c r="D92" s="143">
        <f t="shared" si="4"/>
        <v>0</v>
      </c>
      <c r="E92" s="144">
        <v>4.4639108897036185E-2</v>
      </c>
      <c r="F92" s="145">
        <v>3.4837989898654637E-2</v>
      </c>
      <c r="G92" s="146">
        <v>0.28159292867553715</v>
      </c>
      <c r="H92" s="146">
        <v>0.32138972319181752</v>
      </c>
      <c r="I92" s="147">
        <v>6.6</v>
      </c>
      <c r="J92" s="148">
        <v>1.8072431944130165</v>
      </c>
      <c r="K92" s="149">
        <v>26</v>
      </c>
      <c r="L92" s="149">
        <v>96</v>
      </c>
      <c r="M92" s="150"/>
      <c r="N92" s="135"/>
    </row>
    <row r="93" spans="1:14" x14ac:dyDescent="0.25">
      <c r="A93" s="142">
        <v>44351</v>
      </c>
      <c r="B93" s="81" t="s">
        <v>32</v>
      </c>
      <c r="C93" s="129" t="str">
        <f t="shared" si="3"/>
        <v>04.06.2021_BOYohSp</v>
      </c>
      <c r="D93" s="143">
        <f t="shared" si="4"/>
        <v>0</v>
      </c>
      <c r="E93" s="144">
        <v>3.3925722761747504E-2</v>
      </c>
      <c r="F93" s="145">
        <v>4.8918298500881252E-2</v>
      </c>
      <c r="G93" s="146">
        <v>0.53053740185246134</v>
      </c>
      <c r="H93" s="146">
        <v>0.33286792759152528</v>
      </c>
      <c r="I93" s="147">
        <v>6.3</v>
      </c>
      <c r="J93" s="148">
        <v>1.9362796277196574</v>
      </c>
      <c r="K93" s="149">
        <v>32</v>
      </c>
      <c r="L93" s="149">
        <v>97</v>
      </c>
      <c r="M93" s="150"/>
      <c r="N93" s="135"/>
    </row>
    <row r="94" spans="1:14" x14ac:dyDescent="0.25">
      <c r="A94" s="142">
        <v>44351</v>
      </c>
      <c r="B94" s="81" t="s">
        <v>36</v>
      </c>
      <c r="C94" s="129" t="str">
        <f t="shared" si="3"/>
        <v>04.06.2021_BOYuhSp</v>
      </c>
      <c r="D94" s="143">
        <f t="shared" si="4"/>
        <v>0</v>
      </c>
      <c r="E94" s="144">
        <v>1.9641207914695921E-2</v>
      </c>
      <c r="F94" s="145">
        <v>4.1873747875278221E-2</v>
      </c>
      <c r="G94" s="146">
        <v>0.47340260472988849</v>
      </c>
      <c r="H94" s="146">
        <v>0.33573747869145221</v>
      </c>
      <c r="I94" s="147">
        <v>6.4</v>
      </c>
      <c r="J94" s="148">
        <v>1.9153756639343238</v>
      </c>
      <c r="K94" s="149">
        <v>31</v>
      </c>
      <c r="L94" s="149">
        <v>102</v>
      </c>
      <c r="M94" s="150"/>
      <c r="N94" s="135"/>
    </row>
    <row r="95" spans="1:14" x14ac:dyDescent="0.25">
      <c r="A95" s="142">
        <v>44351</v>
      </c>
      <c r="B95" s="81" t="s">
        <v>38</v>
      </c>
      <c r="C95" s="129" t="str">
        <f t="shared" si="3"/>
        <v>04.06.2021_BRAob</v>
      </c>
      <c r="D95" s="143">
        <f t="shared" si="4"/>
        <v>0</v>
      </c>
      <c r="E95" s="144">
        <v>2.4997900982340265E-2</v>
      </c>
      <c r="F95" s="145">
        <v>3.8070349199836435E-2</v>
      </c>
      <c r="G95" s="146">
        <v>0.17956650524237153</v>
      </c>
      <c r="H95" s="146">
        <v>7.6043104148063978E-2</v>
      </c>
      <c r="I95" s="147">
        <v>2.1</v>
      </c>
      <c r="J95" s="148">
        <v>0.6369099187135272</v>
      </c>
      <c r="K95" s="149">
        <v>53</v>
      </c>
      <c r="L95" s="149">
        <v>141</v>
      </c>
      <c r="M95" s="150"/>
      <c r="N95" s="135"/>
    </row>
    <row r="96" spans="1:14" x14ac:dyDescent="0.25">
      <c r="A96" s="142">
        <v>44351</v>
      </c>
      <c r="B96" s="81" t="s">
        <v>41</v>
      </c>
      <c r="C96" s="129" t="str">
        <f t="shared" si="3"/>
        <v>04.06.2021_BRAohBo</v>
      </c>
      <c r="D96" s="143">
        <f t="shared" si="4"/>
        <v>0</v>
      </c>
      <c r="E96" s="144">
        <v>2.6783465338221714E-2</v>
      </c>
      <c r="F96" s="145">
        <v>5.4245258809165385E-2</v>
      </c>
      <c r="G96" s="146">
        <v>0.43871362076261217</v>
      </c>
      <c r="H96" s="146">
        <v>0.24965094569364396</v>
      </c>
      <c r="I96" s="147">
        <v>3.2</v>
      </c>
      <c r="J96" s="148">
        <v>1.1394469698023906</v>
      </c>
      <c r="K96" s="149">
        <v>32</v>
      </c>
      <c r="L96" s="149">
        <v>89</v>
      </c>
      <c r="M96" s="150"/>
      <c r="N96" s="135"/>
    </row>
    <row r="97" spans="1:14" x14ac:dyDescent="0.25">
      <c r="A97" s="142">
        <v>44351</v>
      </c>
      <c r="B97" s="81" t="s">
        <v>43</v>
      </c>
      <c r="C97" s="129" t="str">
        <f t="shared" si="3"/>
        <v>04.06.2021_HAAob</v>
      </c>
      <c r="D97" s="143">
        <f t="shared" si="4"/>
        <v>0</v>
      </c>
      <c r="E97" s="144">
        <v>0</v>
      </c>
      <c r="F97" s="145">
        <v>2.7227942550752622E-2</v>
      </c>
      <c r="G97" s="146">
        <v>0.36321406742206963</v>
      </c>
      <c r="H97" s="146">
        <v>2.1521633249452065E-2</v>
      </c>
      <c r="I97" s="147">
        <v>1.2</v>
      </c>
      <c r="J97" s="148">
        <v>0.55962835245535847</v>
      </c>
      <c r="K97" s="149">
        <v>33</v>
      </c>
      <c r="L97" s="149">
        <v>190</v>
      </c>
      <c r="M97" s="150"/>
      <c r="N97" s="135"/>
    </row>
    <row r="98" spans="1:14" x14ac:dyDescent="0.25">
      <c r="A98" s="142">
        <v>44351</v>
      </c>
      <c r="B98" s="81" t="s">
        <v>45</v>
      </c>
      <c r="C98" s="129" t="str">
        <f t="shared" si="3"/>
        <v>04.06.2021_HAAun</v>
      </c>
      <c r="D98" s="143">
        <f t="shared" si="4"/>
        <v>0</v>
      </c>
      <c r="E98" s="144">
        <v>0</v>
      </c>
      <c r="F98" s="145">
        <v>1.5801452396760937E-2</v>
      </c>
      <c r="G98" s="146">
        <v>0.15303963514974844</v>
      </c>
      <c r="H98" s="146">
        <v>2.7260735449305951E-2</v>
      </c>
      <c r="I98" s="147">
        <v>1.6</v>
      </c>
      <c r="J98" s="148">
        <v>0.48852527720496935</v>
      </c>
      <c r="K98" s="149">
        <v>40</v>
      </c>
      <c r="L98" s="149">
        <v>313</v>
      </c>
      <c r="M98" s="150"/>
      <c r="N98" s="135"/>
    </row>
    <row r="99" spans="1:14" x14ac:dyDescent="0.25">
      <c r="A99" s="142">
        <v>44351</v>
      </c>
      <c r="B99" s="81" t="s">
        <v>47</v>
      </c>
      <c r="C99" s="129" t="str">
        <f t="shared" si="3"/>
        <v>04.06.2021_KIRob</v>
      </c>
      <c r="D99" s="143">
        <f t="shared" si="4"/>
        <v>0</v>
      </c>
      <c r="E99" s="144">
        <v>0</v>
      </c>
      <c r="F99" s="145">
        <v>1.262860832111559E-2</v>
      </c>
      <c r="G99" s="146">
        <v>0.82029244440265159</v>
      </c>
      <c r="H99" s="146">
        <v>0.35438956084097739</v>
      </c>
      <c r="I99" s="147">
        <v>4.9000000000000004</v>
      </c>
      <c r="J99" s="148">
        <v>1.8516057819522505</v>
      </c>
      <c r="K99" s="149">
        <v>78</v>
      </c>
      <c r="L99" s="149">
        <v>169</v>
      </c>
      <c r="M99" s="150"/>
      <c r="N99" s="135"/>
    </row>
    <row r="100" spans="1:14" x14ac:dyDescent="0.25">
      <c r="A100" s="142">
        <v>44351</v>
      </c>
      <c r="B100" s="81" t="s">
        <v>49</v>
      </c>
      <c r="C100" s="129" t="str">
        <f t="shared" si="3"/>
        <v>04.06.2021_KIRun</v>
      </c>
      <c r="D100" s="143">
        <f t="shared" si="4"/>
        <v>0</v>
      </c>
      <c r="E100" s="144">
        <v>0</v>
      </c>
      <c r="F100" s="145">
        <v>1.3938514377470164E-2</v>
      </c>
      <c r="G100" s="146">
        <v>0.31016032723682357</v>
      </c>
      <c r="H100" s="146">
        <v>0.17360784154558001</v>
      </c>
      <c r="I100" s="147">
        <v>3.8</v>
      </c>
      <c r="J100" s="148">
        <v>1.1519972998546728</v>
      </c>
      <c r="K100" s="149">
        <v>54</v>
      </c>
      <c r="L100" s="149">
        <v>137</v>
      </c>
      <c r="M100" s="150"/>
      <c r="N100" s="135"/>
    </row>
    <row r="101" spans="1:14" x14ac:dyDescent="0.25">
      <c r="A101" s="142">
        <v>44351</v>
      </c>
      <c r="B101" s="81" t="s">
        <v>53</v>
      </c>
      <c r="C101" s="129" t="str">
        <f t="shared" si="3"/>
        <v>04.06.2021_NATohBo</v>
      </c>
      <c r="D101" s="143">
        <f t="shared" si="4"/>
        <v>0</v>
      </c>
      <c r="E101" s="144">
        <v>0</v>
      </c>
      <c r="F101" s="145">
        <v>1.06E-2</v>
      </c>
      <c r="G101" s="146">
        <v>0.17</v>
      </c>
      <c r="H101" s="146">
        <v>0.03</v>
      </c>
      <c r="I101" s="147">
        <v>1.3</v>
      </c>
      <c r="J101" s="148">
        <v>0.43476780000000004</v>
      </c>
      <c r="K101" s="149">
        <v>105</v>
      </c>
      <c r="L101" s="149">
        <v>453</v>
      </c>
      <c r="M101" s="150"/>
      <c r="N101" s="135"/>
    </row>
    <row r="102" spans="1:14" x14ac:dyDescent="0.25">
      <c r="A102" s="142">
        <v>44351</v>
      </c>
      <c r="B102" s="81" t="s">
        <v>55</v>
      </c>
      <c r="C102" s="129" t="str">
        <f t="shared" si="3"/>
        <v>04.06.2021_QUAohBo</v>
      </c>
      <c r="D102" s="143">
        <f t="shared" si="4"/>
        <v>0</v>
      </c>
      <c r="E102" s="144">
        <v>0</v>
      </c>
      <c r="F102" s="145">
        <v>1.884772315898325E-2</v>
      </c>
      <c r="G102" s="146">
        <v>0.6529691099722601</v>
      </c>
      <c r="H102" s="146">
        <v>0.28838988554265765</v>
      </c>
      <c r="I102" s="147">
        <v>3.1</v>
      </c>
      <c r="J102" s="148">
        <v>1.2950212848558222</v>
      </c>
      <c r="K102" s="149">
        <v>52</v>
      </c>
      <c r="L102" s="149">
        <v>137</v>
      </c>
      <c r="M102" s="150"/>
      <c r="N102" s="135"/>
    </row>
    <row r="103" spans="1:14" x14ac:dyDescent="0.25">
      <c r="A103" s="142">
        <v>44351</v>
      </c>
      <c r="B103" s="81" t="s">
        <v>57</v>
      </c>
      <c r="C103" s="129" t="str">
        <f t="shared" si="3"/>
        <v>04.06.2021_SCHohVo</v>
      </c>
      <c r="D103" s="143">
        <f t="shared" si="4"/>
        <v>0</v>
      </c>
      <c r="E103" s="144">
        <v>0</v>
      </c>
      <c r="F103" s="145">
        <v>1.7463009234075871E-2</v>
      </c>
      <c r="G103" s="146">
        <v>0.18772861911702479</v>
      </c>
      <c r="H103" s="146">
        <v>7.3173553048137038E-2</v>
      </c>
      <c r="I103" s="147">
        <v>3.1</v>
      </c>
      <c r="J103" s="148">
        <v>0.86824408368368389</v>
      </c>
      <c r="K103" s="149">
        <v>33</v>
      </c>
      <c r="L103" s="149">
        <v>130</v>
      </c>
      <c r="M103" s="150"/>
      <c r="N103" s="135"/>
    </row>
    <row r="104" spans="1:14" x14ac:dyDescent="0.25">
      <c r="A104" s="142">
        <v>44351</v>
      </c>
      <c r="B104" s="81" t="s">
        <v>60</v>
      </c>
      <c r="C104" s="129" t="str">
        <f t="shared" si="3"/>
        <v>04.06.2021_VORohBo</v>
      </c>
      <c r="D104" s="143">
        <f t="shared" si="4"/>
        <v>0</v>
      </c>
      <c r="E104" s="144">
        <v>0</v>
      </c>
      <c r="F104" s="145">
        <v>1.3156821121761511E-2</v>
      </c>
      <c r="G104" s="146">
        <v>0.74683341953077242</v>
      </c>
      <c r="H104" s="146">
        <v>0.10186906404740646</v>
      </c>
      <c r="I104" s="147">
        <v>1.7</v>
      </c>
      <c r="J104" s="148">
        <v>0.99490171848068232</v>
      </c>
      <c r="K104" s="149">
        <v>27</v>
      </c>
      <c r="L104" s="149">
        <v>171</v>
      </c>
      <c r="M104" s="150"/>
      <c r="N104" s="135"/>
    </row>
    <row r="105" spans="1:14" x14ac:dyDescent="0.25">
      <c r="A105" s="142">
        <v>44351</v>
      </c>
      <c r="B105" s="81" t="s">
        <v>62</v>
      </c>
      <c r="C105" s="129" t="str">
        <f t="shared" si="3"/>
        <v>04.06.2021_VORuhSc</v>
      </c>
      <c r="D105" s="143">
        <f t="shared" si="4"/>
        <v>0</v>
      </c>
      <c r="E105" s="144">
        <v>0</v>
      </c>
      <c r="F105" s="145">
        <v>1.3516354111110422E-2</v>
      </c>
      <c r="G105" s="146">
        <v>0.66521228078424</v>
      </c>
      <c r="H105" s="146">
        <v>9.4695186297589093E-2</v>
      </c>
      <c r="I105" s="147">
        <v>1.4</v>
      </c>
      <c r="J105" s="148">
        <v>0.8615786333744555</v>
      </c>
      <c r="K105" s="149">
        <v>28</v>
      </c>
      <c r="L105" s="149">
        <v>177</v>
      </c>
      <c r="M105" s="150"/>
      <c r="N105" s="135"/>
    </row>
    <row r="106" spans="1:14" x14ac:dyDescent="0.25">
      <c r="A106" s="142">
        <v>44351</v>
      </c>
      <c r="B106" s="81" t="s">
        <v>64</v>
      </c>
      <c r="C106" s="129" t="str">
        <f t="shared" si="3"/>
        <v>04.06.2021_WITob</v>
      </c>
      <c r="D106" s="143">
        <f t="shared" si="4"/>
        <v>0</v>
      </c>
      <c r="E106" s="144">
        <v>0</v>
      </c>
      <c r="F106" s="145">
        <v>9.641869337895027E-3</v>
      </c>
      <c r="G106" s="146">
        <v>4.6932154779256205E-2</v>
      </c>
      <c r="H106" s="146">
        <v>0.01</v>
      </c>
      <c r="I106" s="147">
        <v>0.9</v>
      </c>
      <c r="J106" s="148">
        <v>0.24276984886454464</v>
      </c>
      <c r="K106" s="149">
        <v>90</v>
      </c>
      <c r="L106" s="149">
        <v>349</v>
      </c>
      <c r="M106" s="150"/>
      <c r="N106" s="135"/>
    </row>
    <row r="107" spans="1:14" x14ac:dyDescent="0.25">
      <c r="A107" s="142">
        <v>44365</v>
      </c>
      <c r="B107" s="81" t="s">
        <v>22</v>
      </c>
      <c r="C107" s="129" t="str">
        <f t="shared" si="3"/>
        <v>18.06.2021_BOYkl</v>
      </c>
      <c r="D107" s="143">
        <f t="shared" si="4"/>
        <v>0</v>
      </c>
      <c r="E107" s="144">
        <v>7.477406492757914E-2</v>
      </c>
      <c r="F107" s="145">
        <v>0.11638647735747154</v>
      </c>
      <c r="G107" s="146">
        <v>0.14081237911025146</v>
      </c>
      <c r="H107" s="146">
        <v>0.42038016761084318</v>
      </c>
      <c r="I107" s="147">
        <v>26</v>
      </c>
      <c r="J107" s="148">
        <v>6.1099441462844402</v>
      </c>
      <c r="K107" s="149">
        <v>20</v>
      </c>
      <c r="L107" s="149">
        <v>47</v>
      </c>
      <c r="M107" s="150"/>
      <c r="N107" s="135"/>
    </row>
    <row r="108" spans="1:14" x14ac:dyDescent="0.25">
      <c r="A108" s="142">
        <v>44365</v>
      </c>
      <c r="B108" s="81" t="s">
        <v>25</v>
      </c>
      <c r="C108" s="129" t="str">
        <f t="shared" si="3"/>
        <v>18.06.2021_BOYohB224</v>
      </c>
      <c r="D108" s="143">
        <f t="shared" si="4"/>
        <v>0</v>
      </c>
      <c r="E108" s="144">
        <v>0.02</v>
      </c>
      <c r="F108" s="145">
        <v>3.0634403534052574E-2</v>
      </c>
      <c r="G108" s="146">
        <v>0.17</v>
      </c>
      <c r="H108" s="146">
        <v>0.09</v>
      </c>
      <c r="I108" s="147">
        <v>1.3</v>
      </c>
      <c r="J108" s="148">
        <v>0.45303479999999996</v>
      </c>
      <c r="K108" s="149">
        <v>45</v>
      </c>
      <c r="L108" s="149">
        <v>218</v>
      </c>
      <c r="M108" s="150"/>
      <c r="N108" s="135"/>
    </row>
    <row r="109" spans="1:14" x14ac:dyDescent="0.25">
      <c r="A109" s="142">
        <v>44365</v>
      </c>
      <c r="B109" s="81" t="s">
        <v>28</v>
      </c>
      <c r="C109" s="129" t="str">
        <f t="shared" si="3"/>
        <v>18.06.2021_BOYohBr</v>
      </c>
      <c r="D109" s="143">
        <f t="shared" si="4"/>
        <v>0</v>
      </c>
      <c r="E109" s="144">
        <v>0</v>
      </c>
      <c r="F109" s="145">
        <v>3.1045498666840012E-2</v>
      </c>
      <c r="G109" s="146">
        <v>0.17059961315280464</v>
      </c>
      <c r="H109" s="146">
        <v>6.9511681258485877E-2</v>
      </c>
      <c r="I109" s="147">
        <v>3.9</v>
      </c>
      <c r="J109" s="148">
        <v>1.0345247249761671</v>
      </c>
      <c r="K109" s="149">
        <v>24</v>
      </c>
      <c r="L109" s="149">
        <v>88</v>
      </c>
      <c r="M109" s="150"/>
      <c r="N109" s="135"/>
    </row>
    <row r="110" spans="1:14" x14ac:dyDescent="0.25">
      <c r="A110" s="142">
        <v>44365</v>
      </c>
      <c r="B110" s="81" t="s">
        <v>30</v>
      </c>
      <c r="C110" s="129" t="str">
        <f t="shared" si="3"/>
        <v>18.06.2021_BOYohKi</v>
      </c>
      <c r="D110" s="143">
        <f t="shared" si="4"/>
        <v>0</v>
      </c>
      <c r="E110" s="144">
        <v>0</v>
      </c>
      <c r="F110" s="145">
        <v>1.9057656792567684E-2</v>
      </c>
      <c r="G110" s="146">
        <v>6.7698259187620874E-2</v>
      </c>
      <c r="H110" s="146">
        <v>1.6550400299639497E-2</v>
      </c>
      <c r="I110" s="147">
        <v>1</v>
      </c>
      <c r="J110" s="148">
        <v>0.28347579064782097</v>
      </c>
      <c r="K110" s="149">
        <v>17</v>
      </c>
      <c r="L110" s="149">
        <v>134</v>
      </c>
      <c r="M110" s="150"/>
      <c r="N110" s="135"/>
    </row>
    <row r="111" spans="1:14" x14ac:dyDescent="0.25">
      <c r="A111" s="142">
        <v>44365</v>
      </c>
      <c r="B111" s="81" t="s">
        <v>32</v>
      </c>
      <c r="C111" s="129" t="str">
        <f t="shared" si="3"/>
        <v>18.06.2021_BOYohSp</v>
      </c>
      <c r="D111" s="143">
        <f t="shared" si="4"/>
        <v>0</v>
      </c>
      <c r="E111" s="144">
        <v>2.0562867855084262E-2</v>
      </c>
      <c r="F111" s="145">
        <v>4.1171894078741729E-2</v>
      </c>
      <c r="G111" s="146">
        <v>0.13810444874274663</v>
      </c>
      <c r="H111" s="146">
        <v>7.4476801348377725E-2</v>
      </c>
      <c r="I111" s="147">
        <v>3.7</v>
      </c>
      <c r="J111" s="148">
        <v>0.96563018557476887</v>
      </c>
      <c r="K111" s="149">
        <v>29</v>
      </c>
      <c r="L111" s="149">
        <v>109</v>
      </c>
      <c r="M111" s="150"/>
      <c r="N111" s="135"/>
    </row>
    <row r="112" spans="1:14" x14ac:dyDescent="0.25">
      <c r="A112" s="142">
        <v>44365</v>
      </c>
      <c r="B112" s="81" t="s">
        <v>36</v>
      </c>
      <c r="C112" s="129" t="str">
        <f t="shared" si="3"/>
        <v>18.06.2021_BOYuhSp</v>
      </c>
      <c r="D112" s="143">
        <f t="shared" si="4"/>
        <v>0</v>
      </c>
      <c r="E112" s="144">
        <v>1.6824164608705304E-2</v>
      </c>
      <c r="F112" s="145">
        <v>3.8078006797190624E-2</v>
      </c>
      <c r="G112" s="146">
        <v>0.14893617021276595</v>
      </c>
      <c r="H112" s="146">
        <v>8.109696146823353E-2</v>
      </c>
      <c r="I112" s="147">
        <v>3.3</v>
      </c>
      <c r="J112" s="148">
        <v>0.88570841672751421</v>
      </c>
      <c r="K112" s="149">
        <v>24</v>
      </c>
      <c r="L112" s="149">
        <v>85</v>
      </c>
      <c r="M112" s="150"/>
      <c r="N112" s="135"/>
    </row>
    <row r="113" spans="1:14" x14ac:dyDescent="0.25">
      <c r="A113" s="142">
        <v>44365</v>
      </c>
      <c r="B113" s="81" t="s">
        <v>38</v>
      </c>
      <c r="C113" s="129" t="str">
        <f t="shared" si="3"/>
        <v>18.06.2021_BRAob</v>
      </c>
      <c r="D113" s="143">
        <f t="shared" si="4"/>
        <v>0</v>
      </c>
      <c r="E113" s="144">
        <v>3.3648329217410608E-2</v>
      </c>
      <c r="F113" s="145">
        <v>4.6822125777862093E-2</v>
      </c>
      <c r="G113" s="146">
        <v>0.22475822050290134</v>
      </c>
      <c r="H113" s="146">
        <v>0.10095744182780092</v>
      </c>
      <c r="I113" s="147">
        <v>4</v>
      </c>
      <c r="J113" s="148">
        <v>1.1087390038027718</v>
      </c>
      <c r="K113" s="149">
        <v>31</v>
      </c>
      <c r="L113" s="149">
        <v>124</v>
      </c>
      <c r="M113" s="150"/>
      <c r="N113" s="135"/>
    </row>
    <row r="114" spans="1:14" x14ac:dyDescent="0.25">
      <c r="A114" s="142">
        <v>44365</v>
      </c>
      <c r="B114" s="81" t="s">
        <v>41</v>
      </c>
      <c r="C114" s="129" t="str">
        <f t="shared" si="3"/>
        <v>18.06.2021_BRAohBo</v>
      </c>
      <c r="D114" s="143">
        <f t="shared" si="4"/>
        <v>0</v>
      </c>
      <c r="E114" s="144">
        <v>6.3557955188442275E-2</v>
      </c>
      <c r="F114" s="145">
        <v>0.10762833957324829</v>
      </c>
      <c r="G114" s="146">
        <v>0.21121856866537714</v>
      </c>
      <c r="H114" s="146">
        <v>0.25653120464441215</v>
      </c>
      <c r="I114" s="147">
        <v>5</v>
      </c>
      <c r="J114" s="148">
        <v>1.3714600316369698</v>
      </c>
      <c r="K114" s="149">
        <v>42</v>
      </c>
      <c r="L114" s="149">
        <v>117</v>
      </c>
      <c r="M114" s="150"/>
      <c r="N114" s="135"/>
    </row>
    <row r="115" spans="1:14" x14ac:dyDescent="0.25">
      <c r="A115" s="142">
        <v>44365</v>
      </c>
      <c r="B115" s="81" t="s">
        <v>43</v>
      </c>
      <c r="C115" s="129" t="str">
        <f t="shared" si="3"/>
        <v>18.06.2021_HAAob</v>
      </c>
      <c r="D115" s="143">
        <f t="shared" si="4"/>
        <v>0</v>
      </c>
      <c r="E115" s="144">
        <v>0</v>
      </c>
      <c r="F115" s="145">
        <v>4.5744927088361108E-2</v>
      </c>
      <c r="G115" s="146">
        <v>0.1218568665377176</v>
      </c>
      <c r="H115" s="146">
        <v>0.01</v>
      </c>
      <c r="I115" s="147">
        <v>1.2</v>
      </c>
      <c r="J115" s="148">
        <v>0.36870913829787233</v>
      </c>
      <c r="K115" s="149">
        <v>29</v>
      </c>
      <c r="L115" s="149">
        <v>171</v>
      </c>
      <c r="M115" s="150"/>
      <c r="N115" s="135"/>
    </row>
    <row r="116" spans="1:14" x14ac:dyDescent="0.25">
      <c r="A116" s="142">
        <v>44365</v>
      </c>
      <c r="B116" s="81" t="s">
        <v>45</v>
      </c>
      <c r="C116" s="129" t="str">
        <f t="shared" si="3"/>
        <v>18.06.2021_HAAun</v>
      </c>
      <c r="D116" s="143">
        <f t="shared" si="4"/>
        <v>0</v>
      </c>
      <c r="E116" s="144">
        <v>2.8040274347842176E-2</v>
      </c>
      <c r="F116" s="145">
        <v>4.2970711513541024E-2</v>
      </c>
      <c r="G116" s="146">
        <v>0.1895551257253385</v>
      </c>
      <c r="H116" s="146">
        <v>3.8065920689170835E-2</v>
      </c>
      <c r="I116" s="147">
        <v>1.7</v>
      </c>
      <c r="J116" s="148">
        <v>0.54275582912828613</v>
      </c>
      <c r="K116" s="149">
        <v>41</v>
      </c>
      <c r="L116" s="149">
        <v>304</v>
      </c>
      <c r="M116" s="150"/>
      <c r="N116" s="135"/>
    </row>
    <row r="117" spans="1:14" x14ac:dyDescent="0.25">
      <c r="A117" s="142">
        <v>44365</v>
      </c>
      <c r="B117" s="81" t="s">
        <v>47</v>
      </c>
      <c r="C117" s="129" t="str">
        <f t="shared" si="3"/>
        <v>18.06.2021_KIRob</v>
      </c>
      <c r="D117" s="143">
        <f t="shared" si="4"/>
        <v>0</v>
      </c>
      <c r="E117" s="144">
        <v>0</v>
      </c>
      <c r="F117" s="145">
        <v>1.363639081235163E-2</v>
      </c>
      <c r="G117" s="146">
        <v>0.31682785299806576</v>
      </c>
      <c r="H117" s="146">
        <v>0.30287232548340276</v>
      </c>
      <c r="I117" s="147">
        <v>5.9</v>
      </c>
      <c r="J117" s="148">
        <v>1.6708561390678902</v>
      </c>
      <c r="K117" s="149">
        <v>88</v>
      </c>
      <c r="L117" s="149">
        <v>166</v>
      </c>
      <c r="M117" s="150"/>
      <c r="N117" s="135"/>
    </row>
    <row r="118" spans="1:14" x14ac:dyDescent="0.25">
      <c r="A118" s="142">
        <v>44365</v>
      </c>
      <c r="B118" s="81" t="s">
        <v>49</v>
      </c>
      <c r="C118" s="129" t="str">
        <f t="shared" si="3"/>
        <v>18.06.2021_KIRun</v>
      </c>
      <c r="D118" s="143">
        <f t="shared" si="4"/>
        <v>0</v>
      </c>
      <c r="E118" s="144">
        <v>0</v>
      </c>
      <c r="F118" s="145">
        <v>1.3956543838401314E-2</v>
      </c>
      <c r="G118" s="146">
        <v>0.11914893617021276</v>
      </c>
      <c r="H118" s="146">
        <v>4.3031040779062689E-2</v>
      </c>
      <c r="I118" s="147">
        <v>3.2</v>
      </c>
      <c r="J118" s="148">
        <v>0.82840275781199413</v>
      </c>
      <c r="K118" s="149">
        <v>45</v>
      </c>
      <c r="L118" s="149">
        <v>141</v>
      </c>
      <c r="M118" s="150"/>
      <c r="N118" s="135"/>
    </row>
    <row r="119" spans="1:14" x14ac:dyDescent="0.25">
      <c r="A119" s="142">
        <v>44365</v>
      </c>
      <c r="B119" s="81" t="s">
        <v>53</v>
      </c>
      <c r="C119" s="129" t="str">
        <f t="shared" si="3"/>
        <v>18.06.2021_NATohBo</v>
      </c>
      <c r="D119" s="143">
        <f t="shared" si="4"/>
        <v>0</v>
      </c>
      <c r="E119" s="144">
        <v>0</v>
      </c>
      <c r="F119" s="145">
        <v>2.1478850378054734E-2</v>
      </c>
      <c r="G119" s="146">
        <v>0.23</v>
      </c>
      <c r="H119" s="146">
        <v>0.01</v>
      </c>
      <c r="I119" s="147">
        <v>0.8</v>
      </c>
      <c r="J119" s="148">
        <v>0.36233320000000002</v>
      </c>
      <c r="K119" s="149">
        <v>109</v>
      </c>
      <c r="L119" s="149">
        <v>362</v>
      </c>
      <c r="M119" s="150"/>
      <c r="N119" s="135"/>
    </row>
    <row r="120" spans="1:14" x14ac:dyDescent="0.25">
      <c r="A120" s="142">
        <v>44365</v>
      </c>
      <c r="B120" s="81" t="s">
        <v>55</v>
      </c>
      <c r="C120" s="129" t="str">
        <f t="shared" si="3"/>
        <v>18.06.2021_QUAohBo</v>
      </c>
      <c r="D120" s="143">
        <f t="shared" si="4"/>
        <v>0</v>
      </c>
      <c r="E120" s="144">
        <v>2.4301571101463217E-2</v>
      </c>
      <c r="F120" s="145">
        <v>2.1528880342706048E-2</v>
      </c>
      <c r="G120" s="146">
        <v>0.33578336557059962</v>
      </c>
      <c r="H120" s="146">
        <v>6.1236481108666127E-2</v>
      </c>
      <c r="I120" s="147">
        <v>0.6</v>
      </c>
      <c r="J120" s="148">
        <v>0.41489787220544827</v>
      </c>
      <c r="K120" s="149">
        <v>40</v>
      </c>
      <c r="L120" s="149">
        <v>105</v>
      </c>
      <c r="M120" s="150"/>
      <c r="N120" s="135"/>
    </row>
    <row r="121" spans="1:14" x14ac:dyDescent="0.25">
      <c r="A121" s="142">
        <v>44365</v>
      </c>
      <c r="B121" s="81" t="s">
        <v>57</v>
      </c>
      <c r="C121" s="129" t="str">
        <f t="shared" si="3"/>
        <v>18.06.2021_SCHohVo</v>
      </c>
      <c r="D121" s="143">
        <f t="shared" si="4"/>
        <v>0</v>
      </c>
      <c r="E121" s="144">
        <v>1.8693516231894785E-2</v>
      </c>
      <c r="F121" s="145">
        <v>4.1597041313901732E-2</v>
      </c>
      <c r="G121" s="146">
        <v>0.14893617021276595</v>
      </c>
      <c r="H121" s="146">
        <v>4.6341120838990592E-2</v>
      </c>
      <c r="I121" s="147">
        <v>2.2999999999999998</v>
      </c>
      <c r="J121" s="148">
        <v>0.64925700104794126</v>
      </c>
      <c r="K121" s="149">
        <v>37</v>
      </c>
      <c r="L121" s="149">
        <v>95</v>
      </c>
      <c r="M121" s="150"/>
      <c r="N121" s="135"/>
    </row>
    <row r="122" spans="1:14" x14ac:dyDescent="0.25">
      <c r="A122" s="142">
        <v>44365</v>
      </c>
      <c r="B122" s="81" t="s">
        <v>60</v>
      </c>
      <c r="C122" s="129" t="str">
        <f t="shared" si="3"/>
        <v>18.06.2021_VORohBo</v>
      </c>
      <c r="D122" s="143">
        <f t="shared" si="4"/>
        <v>0</v>
      </c>
      <c r="E122" s="144">
        <v>0</v>
      </c>
      <c r="F122" s="145">
        <v>1.5327910365075179E-2</v>
      </c>
      <c r="G122" s="146">
        <v>0.43597678916827853</v>
      </c>
      <c r="H122" s="146">
        <v>6.7856641228521933E-2</v>
      </c>
      <c r="I122" s="147">
        <v>2</v>
      </c>
      <c r="J122" s="148">
        <v>0.81093057144330005</v>
      </c>
      <c r="K122" s="149">
        <v>39</v>
      </c>
      <c r="L122" s="149">
        <v>215</v>
      </c>
      <c r="M122" s="150"/>
      <c r="N122" s="135"/>
    </row>
    <row r="123" spans="1:14" x14ac:dyDescent="0.25">
      <c r="A123" s="142">
        <v>44365</v>
      </c>
      <c r="B123" s="81" t="s">
        <v>62</v>
      </c>
      <c r="C123" s="129" t="str">
        <f t="shared" si="3"/>
        <v>18.06.2021_VORuhSc</v>
      </c>
      <c r="D123" s="143">
        <f t="shared" si="4"/>
        <v>0</v>
      </c>
      <c r="E123" s="144">
        <v>0</v>
      </c>
      <c r="F123" s="145">
        <v>1.2386162368539247E-2</v>
      </c>
      <c r="G123" s="146">
        <v>0.50638297872340432</v>
      </c>
      <c r="H123" s="146">
        <v>2.8135680509387143E-2</v>
      </c>
      <c r="I123" s="147">
        <v>1.4</v>
      </c>
      <c r="J123" s="148">
        <v>0.71798522708001911</v>
      </c>
      <c r="K123" s="149">
        <v>33</v>
      </c>
      <c r="L123" s="149">
        <v>227</v>
      </c>
      <c r="M123" s="150"/>
      <c r="N123" s="135"/>
    </row>
    <row r="124" spans="1:14" x14ac:dyDescent="0.25">
      <c r="A124" s="142">
        <v>44365</v>
      </c>
      <c r="B124" s="81" t="s">
        <v>64</v>
      </c>
      <c r="C124" s="129" t="str">
        <f t="shared" si="3"/>
        <v>18.06.2021_WITob</v>
      </c>
      <c r="D124" s="143">
        <f t="shared" si="4"/>
        <v>0</v>
      </c>
      <c r="E124" s="144">
        <v>0</v>
      </c>
      <c r="F124" s="145">
        <v>1.3140952793673534E-2</v>
      </c>
      <c r="G124" s="146">
        <v>8.3945841392649906E-2</v>
      </c>
      <c r="H124" s="146">
        <v>0.01</v>
      </c>
      <c r="I124" s="147">
        <v>0.9</v>
      </c>
      <c r="J124" s="148">
        <v>0.27151060638297875</v>
      </c>
      <c r="K124" s="149">
        <v>63</v>
      </c>
      <c r="L124" s="149">
        <v>252</v>
      </c>
      <c r="M124" s="150"/>
      <c r="N124" s="135"/>
    </row>
    <row r="125" spans="1:14" x14ac:dyDescent="0.25">
      <c r="A125" s="142">
        <v>44379</v>
      </c>
      <c r="B125" s="81" t="s">
        <v>22</v>
      </c>
      <c r="C125" s="129" t="str">
        <f t="shared" si="3"/>
        <v>02.07.2021_BOYkl</v>
      </c>
      <c r="D125" s="143">
        <f t="shared" si="4"/>
        <v>0</v>
      </c>
      <c r="E125" s="144">
        <v>7.4091208841767314E-2</v>
      </c>
      <c r="F125" s="145">
        <v>0.1244620468316843</v>
      </c>
      <c r="G125" s="146">
        <v>8.4667041830800968E-2</v>
      </c>
      <c r="H125" s="146">
        <v>0.11808074059935102</v>
      </c>
      <c r="I125" s="147">
        <v>43</v>
      </c>
      <c r="J125" s="148">
        <v>9.8141027927866702</v>
      </c>
      <c r="K125" s="149">
        <v>30</v>
      </c>
      <c r="L125" s="149">
        <v>62</v>
      </c>
      <c r="M125" s="150"/>
      <c r="N125" s="135"/>
    </row>
    <row r="126" spans="1:14" x14ac:dyDescent="0.25">
      <c r="A126" s="142">
        <v>44379</v>
      </c>
      <c r="B126" s="81" t="s">
        <v>25</v>
      </c>
      <c r="C126" s="129" t="str">
        <f t="shared" si="3"/>
        <v>02.07.2021_BOYohB224</v>
      </c>
      <c r="D126" s="143">
        <f t="shared" si="4"/>
        <v>0</v>
      </c>
      <c r="E126" s="144">
        <v>0</v>
      </c>
      <c r="F126" s="145">
        <v>2.996329607272424E-2</v>
      </c>
      <c r="G126" s="146">
        <v>0.06</v>
      </c>
      <c r="H126" s="146">
        <v>0.03</v>
      </c>
      <c r="I126" s="147">
        <v>1.5</v>
      </c>
      <c r="J126" s="148">
        <v>0.39452789999999999</v>
      </c>
      <c r="K126" s="149">
        <v>22</v>
      </c>
      <c r="L126" s="149">
        <v>161</v>
      </c>
      <c r="M126" s="150"/>
      <c r="N126" s="135"/>
    </row>
    <row r="127" spans="1:14" x14ac:dyDescent="0.25">
      <c r="A127" s="142">
        <v>44379</v>
      </c>
      <c r="B127" s="81" t="s">
        <v>28</v>
      </c>
      <c r="C127" s="129" t="str">
        <f t="shared" si="3"/>
        <v>02.07.2021_BOYohBr</v>
      </c>
      <c r="D127" s="143">
        <f t="shared" si="4"/>
        <v>0</v>
      </c>
      <c r="E127" s="144">
        <v>3.0720745129513283E-2</v>
      </c>
      <c r="F127" s="145">
        <v>5.9020183107769519E-2</v>
      </c>
      <c r="G127" s="146">
        <v>0.13514162446070155</v>
      </c>
      <c r="H127" s="146">
        <v>0.10458579881656804</v>
      </c>
      <c r="I127" s="147">
        <v>5.3</v>
      </c>
      <c r="J127" s="148">
        <v>1.333888266427194</v>
      </c>
      <c r="K127" s="149">
        <v>23</v>
      </c>
      <c r="L127" s="149">
        <v>82</v>
      </c>
      <c r="M127" s="150"/>
      <c r="N127" s="135"/>
    </row>
    <row r="128" spans="1:14" x14ac:dyDescent="0.25">
      <c r="A128" s="142">
        <v>44379</v>
      </c>
      <c r="B128" s="81" t="s">
        <v>30</v>
      </c>
      <c r="C128" s="129" t="str">
        <f t="shared" si="3"/>
        <v>02.07.2021_BOYohKi</v>
      </c>
      <c r="D128" s="143">
        <f t="shared" si="4"/>
        <v>0</v>
      </c>
      <c r="E128" s="144">
        <v>1.9878129201449768E-2</v>
      </c>
      <c r="F128" s="145">
        <v>3.0477802207051798E-2</v>
      </c>
      <c r="G128" s="146">
        <v>0.02</v>
      </c>
      <c r="H128" s="146">
        <v>1.6868677228478721E-2</v>
      </c>
      <c r="I128" s="147">
        <v>2.2000000000000002</v>
      </c>
      <c r="J128" s="148">
        <v>0.51757946878221039</v>
      </c>
      <c r="K128" s="149">
        <v>20</v>
      </c>
      <c r="L128" s="149">
        <v>114</v>
      </c>
      <c r="M128" s="150"/>
      <c r="N128" s="135"/>
    </row>
    <row r="129" spans="1:14" x14ac:dyDescent="0.25">
      <c r="A129" s="142">
        <v>44379</v>
      </c>
      <c r="B129" s="81" t="s">
        <v>32</v>
      </c>
      <c r="C129" s="129" t="str">
        <f t="shared" si="3"/>
        <v>02.07.2021_BOYohSp</v>
      </c>
      <c r="D129" s="143">
        <f t="shared" si="4"/>
        <v>0</v>
      </c>
      <c r="E129" s="144">
        <v>2.5299437165481525E-2</v>
      </c>
      <c r="F129" s="145">
        <v>5.0344620344769636E-2</v>
      </c>
      <c r="G129" s="146">
        <v>5.5359219658600647E-2</v>
      </c>
      <c r="H129" s="146">
        <v>3.7111089902653181E-2</v>
      </c>
      <c r="I129" s="147">
        <v>3.1</v>
      </c>
      <c r="J129" s="148">
        <v>0.75448135179356957</v>
      </c>
      <c r="K129" s="149">
        <v>22</v>
      </c>
      <c r="L129" s="149">
        <v>87</v>
      </c>
      <c r="M129" s="150"/>
      <c r="N129" s="135"/>
    </row>
    <row r="130" spans="1:14" x14ac:dyDescent="0.25">
      <c r="A130" s="142">
        <v>44379</v>
      </c>
      <c r="B130" s="81" t="s">
        <v>36</v>
      </c>
      <c r="C130" s="129" t="str">
        <f t="shared" si="3"/>
        <v>02.07.2021_BOYuhSp</v>
      </c>
      <c r="D130" s="143">
        <f t="shared" si="4"/>
        <v>0</v>
      </c>
      <c r="E130" s="144">
        <v>0.1264971858274076</v>
      </c>
      <c r="F130" s="145">
        <v>4.9793872984762552E-2</v>
      </c>
      <c r="G130" s="146">
        <v>0.10909022697430128</v>
      </c>
      <c r="H130" s="146">
        <v>5.7353502576827642E-2</v>
      </c>
      <c r="I130" s="147">
        <v>5.0999999999999996</v>
      </c>
      <c r="J130" s="148">
        <v>1.2541057442027903</v>
      </c>
      <c r="K130" s="149">
        <v>21</v>
      </c>
      <c r="L130" s="149">
        <v>97</v>
      </c>
      <c r="M130" s="150"/>
      <c r="N130" s="135"/>
    </row>
    <row r="131" spans="1:14" x14ac:dyDescent="0.25">
      <c r="A131" s="142">
        <v>44379</v>
      </c>
      <c r="B131" s="81" t="s">
        <v>38</v>
      </c>
      <c r="C131" s="129" t="str">
        <f t="shared" si="3"/>
        <v>02.07.2021_BRAob</v>
      </c>
      <c r="D131" s="143">
        <f t="shared" si="4"/>
        <v>0</v>
      </c>
      <c r="E131" s="144">
        <v>0</v>
      </c>
      <c r="F131" s="145">
        <v>3.6508590993131404E-2</v>
      </c>
      <c r="G131" s="146">
        <v>0.11723128868880138</v>
      </c>
      <c r="H131" s="146">
        <v>6.2414105745371262E-2</v>
      </c>
      <c r="I131" s="147">
        <v>4.9000000000000004</v>
      </c>
      <c r="J131" s="148">
        <v>1.2167938978481456</v>
      </c>
      <c r="K131" s="149">
        <v>54</v>
      </c>
      <c r="L131" s="149">
        <v>167</v>
      </c>
      <c r="M131" s="150"/>
      <c r="N131" s="135"/>
    </row>
    <row r="132" spans="1:14" x14ac:dyDescent="0.25">
      <c r="A132" s="142">
        <v>44379</v>
      </c>
      <c r="B132" s="81" t="s">
        <v>41</v>
      </c>
      <c r="C132" s="129" t="str">
        <f t="shared" si="3"/>
        <v>02.07.2021_BRAohBo</v>
      </c>
      <c r="D132" s="143">
        <f t="shared" si="4"/>
        <v>0</v>
      </c>
      <c r="E132" s="144">
        <v>2.5299437165481525E-2</v>
      </c>
      <c r="F132" s="145">
        <v>8.5859601770074706E-2</v>
      </c>
      <c r="G132" s="146">
        <v>8.3038829487900964E-2</v>
      </c>
      <c r="H132" s="146">
        <v>9.7838327925176549E-2</v>
      </c>
      <c r="I132" s="147">
        <v>4.5999999999999996</v>
      </c>
      <c r="J132" s="148">
        <v>1.1332676996458801</v>
      </c>
      <c r="K132" s="149">
        <v>43</v>
      </c>
      <c r="L132" s="149">
        <v>140</v>
      </c>
      <c r="M132" s="150"/>
      <c r="N132" s="135"/>
    </row>
    <row r="133" spans="1:14" x14ac:dyDescent="0.25">
      <c r="A133" s="142">
        <v>44379</v>
      </c>
      <c r="B133" s="81" t="s">
        <v>43</v>
      </c>
      <c r="C133" s="129" t="str">
        <f t="shared" ref="C133:C196" si="5">CONCATENATE(TEXT(A133,"TT.MM.JJJJ"),"_",B133)</f>
        <v>02.07.2021_HAAob</v>
      </c>
      <c r="D133" s="143">
        <f t="shared" ref="D133:D196" si="6">COUNTBLANK(E133:L133)</f>
        <v>0</v>
      </c>
      <c r="E133" s="144">
        <v>1.6263923892095265E-2</v>
      </c>
      <c r="F133" s="145">
        <v>3.5900036880236227E-2</v>
      </c>
      <c r="G133" s="146">
        <v>0.02</v>
      </c>
      <c r="H133" s="146">
        <v>0.01</v>
      </c>
      <c r="I133" s="147">
        <v>0.3</v>
      </c>
      <c r="J133" s="148">
        <v>8.633529999999999E-2</v>
      </c>
      <c r="K133" s="149">
        <v>37</v>
      </c>
      <c r="L133" s="149">
        <v>215</v>
      </c>
      <c r="M133" s="150"/>
      <c r="N133" s="135"/>
    </row>
    <row r="134" spans="1:14" x14ac:dyDescent="0.25">
      <c r="A134" s="142">
        <v>44379</v>
      </c>
      <c r="B134" s="81" t="s">
        <v>45</v>
      </c>
      <c r="C134" s="129" t="str">
        <f t="shared" si="5"/>
        <v>02.07.2021_HAAun</v>
      </c>
      <c r="D134" s="143">
        <f t="shared" si="6"/>
        <v>0</v>
      </c>
      <c r="E134" s="144">
        <v>0</v>
      </c>
      <c r="F134" s="145">
        <v>3.614336952672783E-2</v>
      </c>
      <c r="G134" s="146">
        <v>4.8846370287000562E-2</v>
      </c>
      <c r="H134" s="146">
        <v>0.01</v>
      </c>
      <c r="I134" s="147">
        <v>1.5</v>
      </c>
      <c r="J134" s="148">
        <v>0.37977821806415302</v>
      </c>
      <c r="K134" s="149">
        <v>39</v>
      </c>
      <c r="L134" s="149">
        <v>248</v>
      </c>
      <c r="M134" s="150"/>
      <c r="N134" s="135"/>
    </row>
    <row r="135" spans="1:14" x14ac:dyDescent="0.25">
      <c r="A135" s="142">
        <v>44379</v>
      </c>
      <c r="B135" s="81" t="s">
        <v>47</v>
      </c>
      <c r="C135" s="129" t="str">
        <f t="shared" si="5"/>
        <v>02.07.2021_KIRob</v>
      </c>
      <c r="D135" s="143">
        <f t="shared" si="6"/>
        <v>0</v>
      </c>
      <c r="E135" s="144">
        <v>0</v>
      </c>
      <c r="F135" s="145">
        <v>1.2245950115697252E-2</v>
      </c>
      <c r="G135" s="146">
        <v>0.33378353029450392</v>
      </c>
      <c r="H135" s="146">
        <v>0.37617150219507539</v>
      </c>
      <c r="I135" s="147">
        <v>8.1999999999999993</v>
      </c>
      <c r="J135" s="148">
        <v>2.2258389872816697</v>
      </c>
      <c r="K135" s="149">
        <v>73</v>
      </c>
      <c r="L135" s="149">
        <v>161</v>
      </c>
      <c r="M135" s="150"/>
      <c r="N135" s="135"/>
    </row>
    <row r="136" spans="1:14" x14ac:dyDescent="0.25">
      <c r="A136" s="142">
        <v>44379</v>
      </c>
      <c r="B136" s="81" t="s">
        <v>49</v>
      </c>
      <c r="C136" s="129" t="str">
        <f t="shared" si="5"/>
        <v>02.07.2021_KIRun</v>
      </c>
      <c r="D136" s="143">
        <f t="shared" si="6"/>
        <v>0</v>
      </c>
      <c r="E136" s="144">
        <v>0</v>
      </c>
      <c r="F136" s="145">
        <v>1.3262012170231333E-2</v>
      </c>
      <c r="G136" s="146">
        <v>8.6295254173700986E-2</v>
      </c>
      <c r="H136" s="146">
        <v>7.0848444359610602E-2</v>
      </c>
      <c r="I136" s="147">
        <v>3.6</v>
      </c>
      <c r="J136" s="148">
        <v>0.90170921079862054</v>
      </c>
      <c r="K136" s="149">
        <v>50</v>
      </c>
      <c r="L136" s="149">
        <v>157</v>
      </c>
      <c r="M136" s="150"/>
      <c r="N136" s="135"/>
    </row>
    <row r="137" spans="1:14" x14ac:dyDescent="0.25">
      <c r="A137" s="142">
        <v>44379</v>
      </c>
      <c r="B137" s="81" t="s">
        <v>53</v>
      </c>
      <c r="C137" s="129" t="str">
        <f t="shared" si="5"/>
        <v>02.07.2021_NATohBo</v>
      </c>
      <c r="D137" s="143">
        <f t="shared" si="6"/>
        <v>0</v>
      </c>
      <c r="E137" s="144">
        <v>4.3370463712254045E-2</v>
      </c>
      <c r="F137" s="145">
        <v>2.2473286362069723E-2</v>
      </c>
      <c r="G137" s="146">
        <v>0.15</v>
      </c>
      <c r="H137" s="146">
        <v>0.01</v>
      </c>
      <c r="I137" s="147">
        <v>1.8</v>
      </c>
      <c r="J137" s="148">
        <v>0.526084</v>
      </c>
      <c r="K137" s="149">
        <v>93</v>
      </c>
      <c r="L137" s="149">
        <v>400</v>
      </c>
      <c r="M137" s="150"/>
      <c r="N137" s="135"/>
    </row>
    <row r="138" spans="1:14" x14ac:dyDescent="0.25">
      <c r="A138" s="142">
        <v>44379</v>
      </c>
      <c r="B138" s="81" t="s">
        <v>55</v>
      </c>
      <c r="C138" s="129" t="str">
        <f t="shared" si="5"/>
        <v>02.07.2021_QUAohBo</v>
      </c>
      <c r="D138" s="143">
        <f t="shared" si="6"/>
        <v>0</v>
      </c>
      <c r="E138" s="144">
        <v>0</v>
      </c>
      <c r="F138" s="145">
        <v>2.0035176975622335E-2</v>
      </c>
      <c r="G138" s="146">
        <v>6.838491840180079E-2</v>
      </c>
      <c r="H138" s="146">
        <v>2.3616148119870208E-2</v>
      </c>
      <c r="I138" s="147">
        <v>3.3</v>
      </c>
      <c r="J138" s="148">
        <v>0.80566114158490865</v>
      </c>
      <c r="K138" s="149">
        <v>40</v>
      </c>
      <c r="L138" s="149">
        <v>113</v>
      </c>
      <c r="M138" s="150"/>
      <c r="N138" s="135"/>
    </row>
    <row r="139" spans="1:14" x14ac:dyDescent="0.25">
      <c r="A139" s="142">
        <v>44379</v>
      </c>
      <c r="B139" s="81" t="s">
        <v>57</v>
      </c>
      <c r="C139" s="129" t="str">
        <f t="shared" si="5"/>
        <v>02.07.2021_SCHohVo</v>
      </c>
      <c r="D139" s="143">
        <f t="shared" si="6"/>
        <v>0</v>
      </c>
      <c r="E139" s="144">
        <v>0</v>
      </c>
      <c r="F139" s="145">
        <v>3.3145019589183228E-2</v>
      </c>
      <c r="G139" s="146">
        <v>0.13025698743200148</v>
      </c>
      <c r="H139" s="146">
        <v>0.13494941782782974</v>
      </c>
      <c r="I139" s="147">
        <v>4.9000000000000004</v>
      </c>
      <c r="J139" s="148">
        <v>1.2489915984287574</v>
      </c>
      <c r="K139" s="149">
        <v>27</v>
      </c>
      <c r="L139" s="149">
        <v>107</v>
      </c>
      <c r="M139" s="150"/>
      <c r="N139" s="135"/>
    </row>
    <row r="140" spans="1:14" x14ac:dyDescent="0.25">
      <c r="A140" s="142">
        <v>44379</v>
      </c>
      <c r="B140" s="81" t="s">
        <v>60</v>
      </c>
      <c r="C140" s="129" t="str">
        <f t="shared" si="5"/>
        <v>02.07.2021_VORohBo</v>
      </c>
      <c r="D140" s="143">
        <f t="shared" si="6"/>
        <v>0</v>
      </c>
      <c r="E140" s="144">
        <v>0</v>
      </c>
      <c r="F140" s="145">
        <v>1.3307837401966774E-2</v>
      </c>
      <c r="G140" s="146">
        <v>0.31912961920840371</v>
      </c>
      <c r="H140" s="146">
        <v>4.7232296239740408E-2</v>
      </c>
      <c r="I140" s="147">
        <v>4.9000000000000004</v>
      </c>
      <c r="J140" s="148">
        <v>1.3689438306093222</v>
      </c>
      <c r="K140" s="149">
        <v>37</v>
      </c>
      <c r="L140" s="149">
        <v>219</v>
      </c>
      <c r="M140" s="150"/>
      <c r="N140" s="135"/>
    </row>
    <row r="141" spans="1:14" x14ac:dyDescent="0.25">
      <c r="A141" s="142">
        <v>44379</v>
      </c>
      <c r="B141" s="81" t="s">
        <v>62</v>
      </c>
      <c r="C141" s="129" t="str">
        <f t="shared" si="5"/>
        <v>02.07.2021_VORuhSc</v>
      </c>
      <c r="D141" s="143">
        <f t="shared" si="6"/>
        <v>0</v>
      </c>
      <c r="E141" s="144">
        <v>0</v>
      </c>
      <c r="F141" s="145">
        <v>1.5431672517816339E-2</v>
      </c>
      <c r="G141" s="146">
        <v>0.25725755017820301</v>
      </c>
      <c r="H141" s="146">
        <v>1.5181809505630847E-2</v>
      </c>
      <c r="I141" s="147">
        <v>1.2</v>
      </c>
      <c r="J141" s="148">
        <v>0.4754240170418621</v>
      </c>
      <c r="K141" s="149">
        <v>60</v>
      </c>
      <c r="L141" s="149">
        <v>415</v>
      </c>
      <c r="M141" s="150"/>
      <c r="N141" s="135"/>
    </row>
    <row r="142" spans="1:14" x14ac:dyDescent="0.25">
      <c r="A142" s="142">
        <v>44379</v>
      </c>
      <c r="B142" s="81" t="s">
        <v>64</v>
      </c>
      <c r="C142" s="129" t="str">
        <f t="shared" si="5"/>
        <v>02.07.2021_WITob</v>
      </c>
      <c r="D142" s="143">
        <f t="shared" si="6"/>
        <v>0</v>
      </c>
      <c r="E142" s="144">
        <v>0</v>
      </c>
      <c r="F142" s="145">
        <v>1.6006625093370825E-2</v>
      </c>
      <c r="G142" s="146">
        <v>4.7218157944100544E-2</v>
      </c>
      <c r="H142" s="146">
        <v>0.01</v>
      </c>
      <c r="I142" s="147">
        <v>1.3</v>
      </c>
      <c r="J142" s="148">
        <v>0.33333992746201463</v>
      </c>
      <c r="K142" s="149">
        <v>70</v>
      </c>
      <c r="L142" s="149">
        <v>258</v>
      </c>
      <c r="M142" s="150"/>
      <c r="N142" s="135"/>
    </row>
    <row r="143" spans="1:14" x14ac:dyDescent="0.25">
      <c r="A143" s="142">
        <v>44393</v>
      </c>
      <c r="B143" s="81" t="s">
        <v>22</v>
      </c>
      <c r="C143" s="129" t="str">
        <f t="shared" si="5"/>
        <v>16.07.2021_BOYkl</v>
      </c>
      <c r="D143" s="143">
        <f t="shared" si="6"/>
        <v>0</v>
      </c>
      <c r="E143" s="144">
        <v>3.1830484594564536E-2</v>
      </c>
      <c r="F143" s="145">
        <v>5.3240361479638558E-2</v>
      </c>
      <c r="G143" s="146">
        <v>7.8893499308437073E-2</v>
      </c>
      <c r="H143" s="146">
        <v>5.8186483346243212E-2</v>
      </c>
      <c r="I143" s="147">
        <v>23</v>
      </c>
      <c r="J143" s="148">
        <v>5.2739848881327713</v>
      </c>
      <c r="K143" s="149">
        <v>15.7</v>
      </c>
      <c r="L143" s="149">
        <v>28</v>
      </c>
      <c r="M143" s="150"/>
      <c r="N143" s="135"/>
    </row>
    <row r="144" spans="1:14" x14ac:dyDescent="0.25">
      <c r="A144" s="142">
        <v>44393</v>
      </c>
      <c r="B144" s="81" t="s">
        <v>25</v>
      </c>
      <c r="C144" s="129" t="str">
        <f t="shared" si="5"/>
        <v>16.07.2021_BOYohB224</v>
      </c>
      <c r="D144" s="143">
        <f t="shared" si="6"/>
        <v>0</v>
      </c>
      <c r="E144" s="144">
        <v>0.02</v>
      </c>
      <c r="F144" s="145">
        <v>3.9943200890482651E-2</v>
      </c>
      <c r="G144" s="146">
        <v>0.09</v>
      </c>
      <c r="H144" s="146">
        <v>0.27</v>
      </c>
      <c r="I144" s="147">
        <v>2</v>
      </c>
      <c r="J144" s="148">
        <v>0.60382559999999996</v>
      </c>
      <c r="K144" s="149">
        <v>5.2</v>
      </c>
      <c r="L144" s="149">
        <v>46</v>
      </c>
      <c r="M144" s="150"/>
      <c r="N144" s="135"/>
    </row>
    <row r="145" spans="1:14" x14ac:dyDescent="0.25">
      <c r="A145" s="142">
        <v>44393</v>
      </c>
      <c r="B145" s="81" t="s">
        <v>28</v>
      </c>
      <c r="C145" s="129" t="str">
        <f t="shared" si="5"/>
        <v>16.07.2021_BOYohBr</v>
      </c>
      <c r="D145" s="143">
        <f t="shared" si="6"/>
        <v>0</v>
      </c>
      <c r="E145" s="144">
        <v>5.0554299061955431E-2</v>
      </c>
      <c r="F145" s="145">
        <v>6.8622730552529862E-2</v>
      </c>
      <c r="G145" s="146">
        <v>9.0899031811894876E-2</v>
      </c>
      <c r="H145" s="146">
        <v>6.1609217660728098E-2</v>
      </c>
      <c r="I145" s="147">
        <v>6</v>
      </c>
      <c r="J145" s="148">
        <v>1.4445591155284268</v>
      </c>
      <c r="K145" s="149">
        <v>6.5</v>
      </c>
      <c r="L145" s="149">
        <v>32</v>
      </c>
      <c r="M145" s="150"/>
      <c r="N145" s="135"/>
    </row>
    <row r="146" spans="1:14" x14ac:dyDescent="0.25">
      <c r="A146" s="142">
        <v>44393</v>
      </c>
      <c r="B146" s="81" t="s">
        <v>30</v>
      </c>
      <c r="C146" s="129" t="str">
        <f t="shared" si="5"/>
        <v>16.07.2021_BOYohKi</v>
      </c>
      <c r="D146" s="143">
        <f t="shared" si="6"/>
        <v>0</v>
      </c>
      <c r="E146" s="144">
        <v>1.6851433020651809E-2</v>
      </c>
      <c r="F146" s="145">
        <v>5.7629267146127532E-2</v>
      </c>
      <c r="G146" s="146">
        <v>8.2323651452282168E-2</v>
      </c>
      <c r="H146" s="146">
        <v>7.8722889233152585E-2</v>
      </c>
      <c r="I146" s="147">
        <v>6.3</v>
      </c>
      <c r="J146" s="148">
        <v>1.5108716757432157</v>
      </c>
      <c r="K146" s="149">
        <v>11</v>
      </c>
      <c r="L146" s="149">
        <v>46</v>
      </c>
      <c r="M146" s="150"/>
      <c r="N146" s="135"/>
    </row>
    <row r="147" spans="1:14" x14ac:dyDescent="0.25">
      <c r="A147" s="142">
        <v>44393</v>
      </c>
      <c r="B147" s="81" t="s">
        <v>32</v>
      </c>
      <c r="C147" s="129" t="str">
        <f t="shared" si="5"/>
        <v>16.07.2021_BOYohSp</v>
      </c>
      <c r="D147" s="143">
        <f t="shared" si="6"/>
        <v>0</v>
      </c>
      <c r="E147" s="144">
        <v>6.1788587742389975E-2</v>
      </c>
      <c r="F147" s="145">
        <v>7.8363210794490976E-2</v>
      </c>
      <c r="G147" s="146">
        <v>0.11834024896265562</v>
      </c>
      <c r="H147" s="146">
        <v>0.20194132455460878</v>
      </c>
      <c r="I147" s="147">
        <v>8.5</v>
      </c>
      <c r="J147" s="148">
        <v>2.0732660561776628</v>
      </c>
      <c r="K147" s="149">
        <v>15</v>
      </c>
      <c r="L147" s="149">
        <v>58</v>
      </c>
      <c r="M147" s="150"/>
      <c r="N147" s="135"/>
    </row>
    <row r="148" spans="1:14" x14ac:dyDescent="0.25">
      <c r="A148" s="142">
        <v>44393</v>
      </c>
      <c r="B148" s="81" t="s">
        <v>36</v>
      </c>
      <c r="C148" s="129" t="str">
        <f t="shared" si="5"/>
        <v>16.07.2021_BOYuhSp</v>
      </c>
      <c r="D148" s="143">
        <f t="shared" si="6"/>
        <v>0</v>
      </c>
      <c r="E148" s="144">
        <v>3.7447628934781804E-2</v>
      </c>
      <c r="F148" s="145">
        <v>5.6758051934856044E-2</v>
      </c>
      <c r="G148" s="146">
        <v>7.5463347164591979E-2</v>
      </c>
      <c r="H148" s="146">
        <v>0.13519800542215332</v>
      </c>
      <c r="I148" s="147">
        <v>3.6</v>
      </c>
      <c r="J148" s="148">
        <v>0.91288956719060854</v>
      </c>
      <c r="K148" s="149">
        <v>6.3</v>
      </c>
      <c r="L148" s="149">
        <v>53</v>
      </c>
      <c r="M148" s="150"/>
      <c r="N148" s="135"/>
    </row>
    <row r="149" spans="1:14" x14ac:dyDescent="0.25">
      <c r="A149" s="142">
        <v>44393</v>
      </c>
      <c r="B149" s="81" t="s">
        <v>38</v>
      </c>
      <c r="C149" s="129" t="str">
        <f t="shared" si="5"/>
        <v>16.07.2021_BRAob</v>
      </c>
      <c r="D149" s="143">
        <f t="shared" si="6"/>
        <v>0</v>
      </c>
      <c r="E149" s="144">
        <v>1.6851433020651809E-2</v>
      </c>
      <c r="F149" s="145">
        <v>2.7062063659590813E-2</v>
      </c>
      <c r="G149" s="146">
        <v>0.10976486860304289</v>
      </c>
      <c r="H149" s="146">
        <v>0.10781613090627418</v>
      </c>
      <c r="I149" s="147">
        <v>1.2</v>
      </c>
      <c r="J149" s="148">
        <v>0.38909994387599189</v>
      </c>
      <c r="K149" s="149">
        <v>14</v>
      </c>
      <c r="L149" s="149">
        <v>59</v>
      </c>
      <c r="M149" s="150"/>
      <c r="N149" s="135"/>
    </row>
    <row r="150" spans="1:14" x14ac:dyDescent="0.25">
      <c r="A150" s="142">
        <v>44393</v>
      </c>
      <c r="B150" s="81" t="s">
        <v>41</v>
      </c>
      <c r="C150" s="129" t="str">
        <f t="shared" si="5"/>
        <v>16.07.2021_BRAohBo</v>
      </c>
      <c r="D150" s="143">
        <f t="shared" si="6"/>
        <v>0</v>
      </c>
      <c r="E150" s="144">
        <v>4.1192391828259976E-2</v>
      </c>
      <c r="F150" s="145">
        <v>6.8448547448152985E-2</v>
      </c>
      <c r="G150" s="146">
        <v>9.432918395573997E-2</v>
      </c>
      <c r="H150" s="146">
        <v>0.16771398140975985</v>
      </c>
      <c r="I150" s="147">
        <v>4.2</v>
      </c>
      <c r="J150" s="148">
        <v>1.0729601896899938</v>
      </c>
      <c r="K150" s="149">
        <v>10</v>
      </c>
      <c r="L150" s="149">
        <v>65</v>
      </c>
      <c r="M150" s="150"/>
      <c r="N150" s="135"/>
    </row>
    <row r="151" spans="1:14" x14ac:dyDescent="0.25">
      <c r="A151" s="142">
        <v>44393</v>
      </c>
      <c r="B151" s="81" t="s">
        <v>43</v>
      </c>
      <c r="C151" s="129" t="str">
        <f t="shared" si="5"/>
        <v>16.07.2021_HAAob</v>
      </c>
      <c r="D151" s="143">
        <f t="shared" si="6"/>
        <v>0</v>
      </c>
      <c r="E151" s="144">
        <v>0</v>
      </c>
      <c r="F151" s="145">
        <v>2.9398832625717995E-2</v>
      </c>
      <c r="G151" s="146">
        <v>9.9474412171507612E-2</v>
      </c>
      <c r="H151" s="146">
        <v>7.7011522075910138E-2</v>
      </c>
      <c r="I151" s="147">
        <v>0.3</v>
      </c>
      <c r="J151" s="148">
        <v>0.16844804420306478</v>
      </c>
      <c r="K151" s="149">
        <v>11</v>
      </c>
      <c r="L151" s="149">
        <v>52</v>
      </c>
      <c r="M151" s="150"/>
      <c r="N151" s="135"/>
    </row>
    <row r="152" spans="1:14" x14ac:dyDescent="0.25">
      <c r="A152" s="142">
        <v>44393</v>
      </c>
      <c r="B152" s="81" t="s">
        <v>45</v>
      </c>
      <c r="C152" s="129" t="str">
        <f t="shared" si="5"/>
        <v>16.07.2021_HAAun</v>
      </c>
      <c r="D152" s="143">
        <f t="shared" si="6"/>
        <v>0</v>
      </c>
      <c r="E152" s="144">
        <v>5.6171443402172699E-2</v>
      </c>
      <c r="F152" s="145">
        <v>7.5838182404290147E-2</v>
      </c>
      <c r="G152" s="146">
        <v>0.14749654218533886</v>
      </c>
      <c r="H152" s="146">
        <v>7.3588787761425245E-2</v>
      </c>
      <c r="I152" s="147">
        <v>1.1000000000000001</v>
      </c>
      <c r="J152" s="148">
        <v>0.3853906964754597</v>
      </c>
      <c r="K152" s="149">
        <v>21</v>
      </c>
      <c r="L152" s="149">
        <v>133</v>
      </c>
      <c r="M152" s="150"/>
      <c r="N152" s="135"/>
    </row>
    <row r="153" spans="1:14" x14ac:dyDescent="0.25">
      <c r="A153" s="142">
        <v>44393</v>
      </c>
      <c r="B153" s="81" t="s">
        <v>47</v>
      </c>
      <c r="C153" s="129" t="str">
        <f t="shared" si="5"/>
        <v>16.07.2021_KIRob</v>
      </c>
      <c r="D153" s="143">
        <f t="shared" si="6"/>
        <v>0</v>
      </c>
      <c r="E153" s="144">
        <v>0</v>
      </c>
      <c r="F153" s="145">
        <v>1.8918824927205629E-2</v>
      </c>
      <c r="G153" s="146">
        <v>0.27441217150760722</v>
      </c>
      <c r="H153" s="146">
        <v>0.30462335398915563</v>
      </c>
      <c r="I153" s="147">
        <v>2.2000000000000002</v>
      </c>
      <c r="J153" s="148">
        <v>0.80273488717594033</v>
      </c>
      <c r="K153" s="149">
        <v>25</v>
      </c>
      <c r="L153" s="149">
        <v>123</v>
      </c>
      <c r="M153" s="150"/>
      <c r="N153" s="135"/>
    </row>
    <row r="154" spans="1:14" x14ac:dyDescent="0.25">
      <c r="A154" s="142">
        <v>44393</v>
      </c>
      <c r="B154" s="81" t="s">
        <v>49</v>
      </c>
      <c r="C154" s="129" t="str">
        <f t="shared" si="5"/>
        <v>16.07.2021_KIRun</v>
      </c>
      <c r="D154" s="143">
        <f t="shared" si="6"/>
        <v>0</v>
      </c>
      <c r="E154" s="144">
        <v>0</v>
      </c>
      <c r="F154" s="145">
        <v>1.6961099465274604E-2</v>
      </c>
      <c r="G154" s="146">
        <v>0.14406639004149377</v>
      </c>
      <c r="H154" s="146">
        <v>0.10781613090627418</v>
      </c>
      <c r="I154" s="147">
        <v>1.2</v>
      </c>
      <c r="J154" s="148">
        <v>0.41573473225773466</v>
      </c>
      <c r="K154" s="149">
        <v>17</v>
      </c>
      <c r="L154" s="149">
        <v>89</v>
      </c>
      <c r="M154" s="150"/>
      <c r="N154" s="135"/>
    </row>
    <row r="155" spans="1:14" x14ac:dyDescent="0.25">
      <c r="A155" s="142">
        <v>44393</v>
      </c>
      <c r="B155" s="81" t="s">
        <v>50</v>
      </c>
      <c r="C155" s="129" t="str">
        <f t="shared" si="5"/>
        <v>16.07.2021_LIEohBo</v>
      </c>
      <c r="D155" s="143">
        <f t="shared" si="6"/>
        <v>0</v>
      </c>
      <c r="E155" s="144">
        <v>0</v>
      </c>
      <c r="F155" s="145">
        <v>1.4872645860095127E-2</v>
      </c>
      <c r="G155" s="146">
        <v>7.2033195020746885E-2</v>
      </c>
      <c r="H155" s="146">
        <v>0.11466159953524398</v>
      </c>
      <c r="I155" s="147">
        <v>2.7</v>
      </c>
      <c r="J155" s="148">
        <v>0.70069077958016468</v>
      </c>
      <c r="K155" s="149">
        <v>7.6</v>
      </c>
      <c r="L155" s="149">
        <v>63</v>
      </c>
      <c r="M155" s="150"/>
      <c r="N155" s="135"/>
    </row>
    <row r="156" spans="1:14" x14ac:dyDescent="0.25">
      <c r="A156" s="142">
        <v>44393</v>
      </c>
      <c r="B156" s="81" t="s">
        <v>53</v>
      </c>
      <c r="C156" s="129" t="str">
        <f t="shared" si="5"/>
        <v>16.07.2021_NATohBo</v>
      </c>
      <c r="D156" s="143">
        <f t="shared" si="6"/>
        <v>0</v>
      </c>
      <c r="E156" s="144">
        <v>0</v>
      </c>
      <c r="F156" s="145">
        <v>2.6319036799691293E-2</v>
      </c>
      <c r="G156" s="146">
        <v>0.08</v>
      </c>
      <c r="H156" s="146">
        <v>0.06</v>
      </c>
      <c r="I156" s="147">
        <v>1.4</v>
      </c>
      <c r="J156" s="148">
        <v>0.39660419999999991</v>
      </c>
      <c r="K156" s="149">
        <v>22</v>
      </c>
      <c r="L156" s="149">
        <v>121</v>
      </c>
      <c r="M156" s="150"/>
      <c r="N156" s="135"/>
    </row>
    <row r="157" spans="1:14" x14ac:dyDescent="0.25">
      <c r="A157" s="142">
        <v>44393</v>
      </c>
      <c r="B157" s="81" t="s">
        <v>55</v>
      </c>
      <c r="C157" s="129" t="str">
        <f t="shared" si="5"/>
        <v>16.07.2021_QUAohBo</v>
      </c>
      <c r="D157" s="143">
        <f t="shared" si="6"/>
        <v>0</v>
      </c>
      <c r="E157" s="144">
        <v>0</v>
      </c>
      <c r="F157" s="145">
        <v>2.9380612116415867E-2</v>
      </c>
      <c r="G157" s="146">
        <v>9.6044260027662517E-2</v>
      </c>
      <c r="H157" s="146">
        <v>0.12835253679318356</v>
      </c>
      <c r="I157" s="147">
        <v>5.2</v>
      </c>
      <c r="J157" s="148">
        <v>1.2881783372955642</v>
      </c>
      <c r="K157" s="149">
        <v>19</v>
      </c>
      <c r="L157" s="149">
        <v>74</v>
      </c>
      <c r="M157" s="150"/>
      <c r="N157" s="135"/>
    </row>
    <row r="158" spans="1:14" x14ac:dyDescent="0.25">
      <c r="A158" s="142">
        <v>44393</v>
      </c>
      <c r="B158" s="81" t="s">
        <v>57</v>
      </c>
      <c r="C158" s="129" t="str">
        <f t="shared" si="5"/>
        <v>16.07.2021_SCHohVo</v>
      </c>
      <c r="D158" s="143">
        <f t="shared" si="6"/>
        <v>0</v>
      </c>
      <c r="E158" s="144">
        <v>0</v>
      </c>
      <c r="F158" s="145">
        <v>2.5590994409146407E-2</v>
      </c>
      <c r="G158" s="146">
        <v>0.5248132780082988</v>
      </c>
      <c r="H158" s="146">
        <v>5.9897850503485658E-2</v>
      </c>
      <c r="I158" s="147">
        <v>0.5</v>
      </c>
      <c r="J158" s="148">
        <v>0.53868316282645012</v>
      </c>
      <c r="K158" s="149">
        <v>3.1</v>
      </c>
      <c r="L158" s="149">
        <v>28</v>
      </c>
      <c r="M158" s="150"/>
      <c r="N158" s="135"/>
    </row>
    <row r="159" spans="1:14" x14ac:dyDescent="0.25">
      <c r="A159" s="142">
        <v>44393</v>
      </c>
      <c r="B159" s="81" t="s">
        <v>60</v>
      </c>
      <c r="C159" s="129" t="str">
        <f t="shared" si="5"/>
        <v>16.07.2021_VORohBo</v>
      </c>
      <c r="D159" s="143">
        <f t="shared" si="6"/>
        <v>0</v>
      </c>
      <c r="E159" s="144">
        <v>0</v>
      </c>
      <c r="F159" s="145">
        <v>2.0666301634680771E-2</v>
      </c>
      <c r="G159" s="146">
        <v>0.53167358229598893</v>
      </c>
      <c r="H159" s="146">
        <v>0.21563226181254835</v>
      </c>
      <c r="I159" s="147">
        <v>1.2</v>
      </c>
      <c r="J159" s="148">
        <v>0.74953246202584278</v>
      </c>
      <c r="K159" s="149">
        <v>11</v>
      </c>
      <c r="L159" s="149">
        <v>87</v>
      </c>
      <c r="M159" s="150"/>
      <c r="N159" s="135"/>
    </row>
    <row r="160" spans="1:14" x14ac:dyDescent="0.25">
      <c r="A160" s="142">
        <v>44393</v>
      </c>
      <c r="B160" s="81" t="s">
        <v>62</v>
      </c>
      <c r="C160" s="129" t="str">
        <f t="shared" si="5"/>
        <v>16.07.2021_VORuhSc</v>
      </c>
      <c r="D160" s="143">
        <f t="shared" si="6"/>
        <v>0</v>
      </c>
      <c r="E160" s="144">
        <v>0</v>
      </c>
      <c r="F160" s="145">
        <v>2.4667052028739769E-2</v>
      </c>
      <c r="G160" s="146">
        <v>0.58141078838174276</v>
      </c>
      <c r="H160" s="146">
        <v>0.19509585592563902</v>
      </c>
      <c r="I160" s="147">
        <v>1.7</v>
      </c>
      <c r="J160" s="148">
        <v>0.8948355964071002</v>
      </c>
      <c r="K160" s="149">
        <v>14</v>
      </c>
      <c r="L160" s="149">
        <v>82</v>
      </c>
      <c r="M160" s="150"/>
      <c r="N160" s="135"/>
    </row>
    <row r="161" spans="1:14" x14ac:dyDescent="0.25">
      <c r="A161" s="142">
        <v>44393</v>
      </c>
      <c r="B161" s="81" t="s">
        <v>64</v>
      </c>
      <c r="C161" s="129" t="str">
        <f t="shared" si="5"/>
        <v>16.07.2021_WITob</v>
      </c>
      <c r="D161" s="143">
        <f t="shared" si="6"/>
        <v>0</v>
      </c>
      <c r="E161" s="144">
        <v>0</v>
      </c>
      <c r="F161" s="145">
        <v>1.3229766803046376E-2</v>
      </c>
      <c r="G161" s="146">
        <v>7.0318118948824337E-2</v>
      </c>
      <c r="H161" s="146">
        <v>0.01</v>
      </c>
      <c r="I161" s="147">
        <v>0.7</v>
      </c>
      <c r="J161" s="148">
        <v>0.21575481618257258</v>
      </c>
      <c r="K161" s="149">
        <v>28</v>
      </c>
      <c r="L161" s="149">
        <v>247</v>
      </c>
      <c r="M161" s="150"/>
      <c r="N161" s="135"/>
    </row>
    <row r="162" spans="1:14" x14ac:dyDescent="0.25">
      <c r="A162" s="142">
        <v>44407</v>
      </c>
      <c r="B162" s="81" t="s">
        <v>22</v>
      </c>
      <c r="C162" s="129" t="str">
        <f t="shared" si="5"/>
        <v>30.07.2021_BOYkl</v>
      </c>
      <c r="D162" s="143">
        <f t="shared" si="6"/>
        <v>0</v>
      </c>
      <c r="E162" s="144">
        <v>1.6851433020651809E-2</v>
      </c>
      <c r="F162" s="145">
        <v>3.2740024039928269E-2</v>
      </c>
      <c r="G162" s="146">
        <v>0.15227434108850924</v>
      </c>
      <c r="H162" s="146">
        <v>7.1694950331125828E-2</v>
      </c>
      <c r="I162" s="147">
        <v>20</v>
      </c>
      <c r="J162" s="148">
        <v>4.6574670307401265</v>
      </c>
      <c r="K162" s="149">
        <v>17</v>
      </c>
      <c r="L162" s="149">
        <v>30</v>
      </c>
      <c r="M162" s="150"/>
      <c r="N162" s="135"/>
    </row>
    <row r="163" spans="1:14" x14ac:dyDescent="0.25">
      <c r="A163" s="142">
        <v>44407</v>
      </c>
      <c r="B163" s="81" t="s">
        <v>25</v>
      </c>
      <c r="C163" s="129" t="str">
        <f t="shared" si="5"/>
        <v>30.07.2021_BOYohB224</v>
      </c>
      <c r="D163" s="143">
        <f t="shared" si="6"/>
        <v>0</v>
      </c>
      <c r="E163" s="144">
        <v>0</v>
      </c>
      <c r="F163" s="145">
        <v>1.9889411818186615E-2</v>
      </c>
      <c r="G163" s="146">
        <v>0.05</v>
      </c>
      <c r="H163" s="146">
        <v>0.11</v>
      </c>
      <c r="I163" s="147">
        <v>1.5</v>
      </c>
      <c r="J163" s="148">
        <v>0.41111899999999996</v>
      </c>
      <c r="K163" s="149">
        <v>14</v>
      </c>
      <c r="L163" s="149">
        <v>135</v>
      </c>
      <c r="M163" s="150"/>
      <c r="N163" s="135"/>
    </row>
    <row r="164" spans="1:14" x14ac:dyDescent="0.25">
      <c r="A164" s="142">
        <v>44407</v>
      </c>
      <c r="B164" s="81" t="s">
        <v>28</v>
      </c>
      <c r="C164" s="129" t="str">
        <f t="shared" si="5"/>
        <v>30.07.2021_BOYohBr</v>
      </c>
      <c r="D164" s="143">
        <f t="shared" si="6"/>
        <v>0</v>
      </c>
      <c r="E164" s="144">
        <v>0</v>
      </c>
      <c r="F164" s="145">
        <v>2.3612705196334925E-2</v>
      </c>
      <c r="G164" s="146">
        <v>0.18490455703604697</v>
      </c>
      <c r="H164" s="146">
        <v>5.1210678807947017E-2</v>
      </c>
      <c r="I164" s="147">
        <v>5.3</v>
      </c>
      <c r="J164" s="148">
        <v>1.3562786306559993</v>
      </c>
      <c r="K164" s="149">
        <v>8.9</v>
      </c>
      <c r="L164" s="149">
        <v>45</v>
      </c>
      <c r="M164" s="150"/>
      <c r="N164" s="135"/>
    </row>
    <row r="165" spans="1:14" x14ac:dyDescent="0.25">
      <c r="A165" s="142">
        <v>44407</v>
      </c>
      <c r="B165" s="81" t="s">
        <v>30</v>
      </c>
      <c r="C165" s="129" t="str">
        <f t="shared" si="5"/>
        <v>30.07.2021_BOYohKi</v>
      </c>
      <c r="D165" s="143">
        <f t="shared" si="6"/>
        <v>0</v>
      </c>
      <c r="E165" s="144">
        <v>1.8723814467390902E-2</v>
      </c>
      <c r="F165" s="145">
        <v>1.7929993732030639E-2</v>
      </c>
      <c r="G165" s="146">
        <v>4.5319744371580123E-2</v>
      </c>
      <c r="H165" s="146">
        <v>1.6094784768211922E-2</v>
      </c>
      <c r="I165" s="147">
        <v>1.6</v>
      </c>
      <c r="J165" s="148">
        <v>0.40148238552977034</v>
      </c>
      <c r="K165" s="149">
        <v>6.7</v>
      </c>
      <c r="L165" s="149">
        <v>62</v>
      </c>
      <c r="M165" s="150"/>
      <c r="N165" s="135"/>
    </row>
    <row r="166" spans="1:14" x14ac:dyDescent="0.25">
      <c r="A166" s="142">
        <v>44407</v>
      </c>
      <c r="B166" s="81" t="s">
        <v>32</v>
      </c>
      <c r="C166" s="129" t="str">
        <f t="shared" si="5"/>
        <v>30.07.2021_BOYohSp</v>
      </c>
      <c r="D166" s="143">
        <f t="shared" si="6"/>
        <v>0</v>
      </c>
      <c r="E166" s="144">
        <v>1.6851433020651809E-2</v>
      </c>
      <c r="F166" s="145">
        <v>2.1291104941291657E-2</v>
      </c>
      <c r="G166" s="146">
        <v>7.9762750093981052E-2</v>
      </c>
      <c r="H166" s="146">
        <v>5.7063327814569541E-2</v>
      </c>
      <c r="I166" s="147">
        <v>3.3</v>
      </c>
      <c r="J166" s="148">
        <v>0.82467890797362087</v>
      </c>
      <c r="K166" s="149">
        <v>11</v>
      </c>
      <c r="L166" s="149">
        <v>84</v>
      </c>
      <c r="M166" s="150"/>
      <c r="N166" s="135"/>
    </row>
    <row r="167" spans="1:14" x14ac:dyDescent="0.25">
      <c r="A167" s="142">
        <v>44407</v>
      </c>
      <c r="B167" s="81" t="s">
        <v>36</v>
      </c>
      <c r="C167" s="129" t="str">
        <f t="shared" si="5"/>
        <v>30.07.2021_BOYuhSp</v>
      </c>
      <c r="D167" s="143">
        <f t="shared" si="6"/>
        <v>0</v>
      </c>
      <c r="E167" s="144">
        <v>1.8723814467390902E-2</v>
      </c>
      <c r="F167" s="145">
        <v>2.377844228881807E-2</v>
      </c>
      <c r="G167" s="146">
        <v>5.0758113696169747E-2</v>
      </c>
      <c r="H167" s="146">
        <v>7.3158112582781459E-2</v>
      </c>
      <c r="I167" s="147">
        <v>4.5</v>
      </c>
      <c r="J167" s="148">
        <v>1.0781011550797666</v>
      </c>
      <c r="K167" s="149">
        <v>19</v>
      </c>
      <c r="L167" s="149">
        <v>69</v>
      </c>
      <c r="M167" s="150"/>
      <c r="N167" s="135"/>
    </row>
    <row r="168" spans="1:14" x14ac:dyDescent="0.25">
      <c r="A168" s="142">
        <v>44407</v>
      </c>
      <c r="B168" s="81" t="s">
        <v>38</v>
      </c>
      <c r="C168" s="129" t="str">
        <f t="shared" si="5"/>
        <v>30.07.2021_BRAob</v>
      </c>
      <c r="D168" s="143">
        <f t="shared" si="6"/>
        <v>0</v>
      </c>
      <c r="E168" s="144">
        <v>0</v>
      </c>
      <c r="F168" s="145">
        <v>1.8330384982532665E-2</v>
      </c>
      <c r="G168" s="146">
        <v>6.1634852345348982E-2</v>
      </c>
      <c r="H168" s="146">
        <v>5.9989652317880802E-2</v>
      </c>
      <c r="I168" s="147">
        <v>1.1000000000000001</v>
      </c>
      <c r="J168" s="148">
        <v>0.31457969614581888</v>
      </c>
      <c r="K168" s="149">
        <v>23</v>
      </c>
      <c r="L168" s="149">
        <v>68</v>
      </c>
      <c r="M168" s="150"/>
      <c r="N168" s="135"/>
    </row>
    <row r="169" spans="1:14" x14ac:dyDescent="0.25">
      <c r="A169" s="142">
        <v>44407</v>
      </c>
      <c r="B169" s="81" t="s">
        <v>41</v>
      </c>
      <c r="C169" s="129" t="str">
        <f t="shared" si="5"/>
        <v>30.07.2021_BRAohBo</v>
      </c>
      <c r="D169" s="143">
        <f t="shared" si="6"/>
        <v>0</v>
      </c>
      <c r="E169" s="144">
        <v>2.9958103147825443E-2</v>
      </c>
      <c r="F169" s="145">
        <v>3.4483284753995702E-2</v>
      </c>
      <c r="G169" s="146">
        <v>4.7132534146443333E-2</v>
      </c>
      <c r="H169" s="146">
        <v>0.12144246688741724</v>
      </c>
      <c r="I169" s="147">
        <v>3</v>
      </c>
      <c r="J169" s="148">
        <v>0.75118110048324593</v>
      </c>
      <c r="K169" s="149">
        <v>15</v>
      </c>
      <c r="L169" s="149">
        <v>63</v>
      </c>
      <c r="M169" s="150"/>
      <c r="N169" s="135"/>
    </row>
    <row r="170" spans="1:14" x14ac:dyDescent="0.25">
      <c r="A170" s="142">
        <v>44407</v>
      </c>
      <c r="B170" s="81" t="s">
        <v>43</v>
      </c>
      <c r="C170" s="129" t="str">
        <f t="shared" si="5"/>
        <v>30.07.2021_HAAob</v>
      </c>
      <c r="D170" s="143">
        <f t="shared" si="6"/>
        <v>0</v>
      </c>
      <c r="E170" s="144">
        <v>0</v>
      </c>
      <c r="F170" s="145">
        <v>1.9823692478311526E-2</v>
      </c>
      <c r="G170" s="146">
        <v>0.02</v>
      </c>
      <c r="H170" s="146">
        <v>1.902110927152318E-2</v>
      </c>
      <c r="I170" s="147">
        <v>0.4</v>
      </c>
      <c r="J170" s="148">
        <v>0.11166877671771523</v>
      </c>
      <c r="K170" s="149">
        <v>14</v>
      </c>
      <c r="L170" s="149">
        <v>203</v>
      </c>
      <c r="M170" s="150"/>
      <c r="N170" s="135"/>
    </row>
    <row r="171" spans="1:14" x14ac:dyDescent="0.25">
      <c r="A171" s="142">
        <v>44407</v>
      </c>
      <c r="B171" s="81" t="s">
        <v>45</v>
      </c>
      <c r="C171" s="129" t="str">
        <f t="shared" si="5"/>
        <v>30.07.2021_HAAun</v>
      </c>
      <c r="D171" s="143">
        <f t="shared" si="6"/>
        <v>0</v>
      </c>
      <c r="E171" s="144">
        <v>2.0596195914129988E-2</v>
      </c>
      <c r="F171" s="145">
        <v>2.4684548710010339E-2</v>
      </c>
      <c r="G171" s="146">
        <v>5.4383693245896154E-2</v>
      </c>
      <c r="H171" s="146">
        <v>2.9263245033112589E-2</v>
      </c>
      <c r="I171" s="147">
        <v>0.8</v>
      </c>
      <c r="J171" s="148">
        <v>0.23183358891883704</v>
      </c>
      <c r="K171" s="149">
        <v>15.6</v>
      </c>
      <c r="L171" s="149">
        <v>390</v>
      </c>
      <c r="M171" s="150"/>
      <c r="N171" s="135"/>
    </row>
    <row r="172" spans="1:14" x14ac:dyDescent="0.25">
      <c r="A172" s="142">
        <v>44407</v>
      </c>
      <c r="B172" s="81" t="s">
        <v>47</v>
      </c>
      <c r="C172" s="129" t="str">
        <f t="shared" si="5"/>
        <v>30.07.2021_KIRob</v>
      </c>
      <c r="D172" s="143">
        <f t="shared" si="6"/>
        <v>0</v>
      </c>
      <c r="E172" s="144">
        <v>0</v>
      </c>
      <c r="F172" s="145">
        <v>1.0394417636625193E-2</v>
      </c>
      <c r="G172" s="146">
        <v>0.31361263105133452</v>
      </c>
      <c r="H172" s="146">
        <v>0.21508485099337749</v>
      </c>
      <c r="I172" s="147">
        <v>3</v>
      </c>
      <c r="J172" s="148">
        <v>0.98660965476998452</v>
      </c>
      <c r="K172" s="149">
        <v>38</v>
      </c>
      <c r="L172" s="149">
        <v>136</v>
      </c>
      <c r="M172" s="150"/>
      <c r="N172" s="135"/>
    </row>
    <row r="173" spans="1:14" x14ac:dyDescent="0.25">
      <c r="A173" s="142">
        <v>44407</v>
      </c>
      <c r="B173" s="81" t="s">
        <v>49</v>
      </c>
      <c r="C173" s="129" t="str">
        <f t="shared" si="5"/>
        <v>30.07.2021_KIRun</v>
      </c>
      <c r="D173" s="143">
        <f t="shared" si="6"/>
        <v>0</v>
      </c>
      <c r="E173" s="144">
        <v>0</v>
      </c>
      <c r="F173" s="145">
        <v>1.1125616879247534E-2</v>
      </c>
      <c r="G173" s="146">
        <v>7.6137170544254645E-2</v>
      </c>
      <c r="H173" s="146">
        <v>4.3894867549668877E-2</v>
      </c>
      <c r="I173" s="147">
        <v>1.9</v>
      </c>
      <c r="J173" s="148">
        <v>0.50163654398140489</v>
      </c>
      <c r="K173" s="149">
        <v>21</v>
      </c>
      <c r="L173" s="149">
        <v>109</v>
      </c>
      <c r="M173" s="150"/>
      <c r="N173" s="135"/>
    </row>
    <row r="174" spans="1:14" x14ac:dyDescent="0.25">
      <c r="A174" s="142">
        <v>44407</v>
      </c>
      <c r="B174" s="81" t="s">
        <v>50</v>
      </c>
      <c r="C174" s="129" t="str">
        <f t="shared" si="5"/>
        <v>30.07.2021_LIEohBo</v>
      </c>
      <c r="D174" s="143">
        <f t="shared" si="6"/>
        <v>0</v>
      </c>
      <c r="E174" s="144">
        <v>6.9278113529346333E-2</v>
      </c>
      <c r="F174" s="145">
        <v>9.2275074688225878E-2</v>
      </c>
      <c r="G174" s="146">
        <v>0.37162190384695709</v>
      </c>
      <c r="H174" s="146">
        <v>5.8526490066225172E-2</v>
      </c>
      <c r="I174" s="147">
        <v>0.3</v>
      </c>
      <c r="J174" s="148">
        <v>0.37414008201878601</v>
      </c>
      <c r="K174" s="149">
        <v>11</v>
      </c>
      <c r="L174" s="149">
        <v>12</v>
      </c>
      <c r="M174" s="150"/>
      <c r="N174" s="135"/>
    </row>
    <row r="175" spans="1:14" x14ac:dyDescent="0.25">
      <c r="A175" s="142">
        <v>44407</v>
      </c>
      <c r="B175" s="81" t="s">
        <v>53</v>
      </c>
      <c r="C175" s="129" t="str">
        <f t="shared" si="5"/>
        <v>30.07.2021_NATohBo</v>
      </c>
      <c r="D175" s="143">
        <f t="shared" si="6"/>
        <v>0</v>
      </c>
      <c r="E175" s="144">
        <v>0</v>
      </c>
      <c r="F175" s="145">
        <v>1.2564635501876868E-2</v>
      </c>
      <c r="G175" s="146">
        <v>0.08</v>
      </c>
      <c r="H175" s="146">
        <v>0.05</v>
      </c>
      <c r="I175" s="147">
        <v>0.7</v>
      </c>
      <c r="J175" s="148">
        <v>0.23545069999999996</v>
      </c>
      <c r="K175" s="149">
        <v>27</v>
      </c>
      <c r="L175" s="149">
        <v>1060</v>
      </c>
      <c r="M175" s="150"/>
      <c r="N175" s="135"/>
    </row>
    <row r="176" spans="1:14" x14ac:dyDescent="0.25">
      <c r="A176" s="142">
        <v>44407</v>
      </c>
      <c r="B176" s="81" t="s">
        <v>55</v>
      </c>
      <c r="C176" s="129" t="str">
        <f t="shared" si="5"/>
        <v>30.07.2021_QUAohBo</v>
      </c>
      <c r="D176" s="143">
        <f t="shared" si="6"/>
        <v>0</v>
      </c>
      <c r="E176" s="144">
        <v>0</v>
      </c>
      <c r="F176" s="145">
        <v>1.2295748381650241E-2</v>
      </c>
      <c r="G176" s="146">
        <v>0.02</v>
      </c>
      <c r="H176" s="146">
        <v>0.01</v>
      </c>
      <c r="I176" s="147">
        <v>0.9</v>
      </c>
      <c r="J176" s="148">
        <v>0.22185730000000001</v>
      </c>
      <c r="K176" s="149">
        <v>6.1</v>
      </c>
      <c r="L176" s="149">
        <v>61</v>
      </c>
      <c r="M176" s="150"/>
      <c r="N176" s="135"/>
    </row>
    <row r="177" spans="1:14" x14ac:dyDescent="0.25">
      <c r="A177" s="142">
        <v>44407</v>
      </c>
      <c r="B177" s="81" t="s">
        <v>57</v>
      </c>
      <c r="C177" s="129" t="str">
        <f t="shared" si="5"/>
        <v>30.07.2021_SCHohVo</v>
      </c>
      <c r="D177" s="143">
        <f t="shared" si="6"/>
        <v>0</v>
      </c>
      <c r="E177" s="144">
        <v>0</v>
      </c>
      <c r="F177" s="145">
        <v>1.522350231336821E-2</v>
      </c>
      <c r="G177" s="146">
        <v>0.2102836138841318</v>
      </c>
      <c r="H177" s="146">
        <v>0.11266349337748345</v>
      </c>
      <c r="I177" s="147">
        <v>1.6</v>
      </c>
      <c r="J177" s="148">
        <v>0.55897552390366434</v>
      </c>
      <c r="K177" s="149">
        <v>9.8000000000000007</v>
      </c>
      <c r="L177" s="149">
        <v>68</v>
      </c>
      <c r="M177" s="150"/>
      <c r="N177" s="135"/>
    </row>
    <row r="178" spans="1:14" x14ac:dyDescent="0.25">
      <c r="A178" s="142">
        <v>44407</v>
      </c>
      <c r="B178" s="81" t="s">
        <v>60</v>
      </c>
      <c r="C178" s="129" t="str">
        <f t="shared" si="5"/>
        <v>30.07.2021_VORohBo</v>
      </c>
      <c r="D178" s="143">
        <f t="shared" si="6"/>
        <v>0</v>
      </c>
      <c r="E178" s="144">
        <v>0</v>
      </c>
      <c r="F178" s="145">
        <v>9.5538926417013011E-3</v>
      </c>
      <c r="G178" s="146">
        <v>0.19940687523495262</v>
      </c>
      <c r="H178" s="146">
        <v>7.0231788079470198E-2</v>
      </c>
      <c r="I178" s="147">
        <v>0.6</v>
      </c>
      <c r="J178" s="148">
        <v>0.311741512431983</v>
      </c>
      <c r="K178" s="149">
        <v>11</v>
      </c>
      <c r="L178" s="149">
        <v>174</v>
      </c>
      <c r="M178" s="150"/>
      <c r="N178" s="135"/>
    </row>
    <row r="179" spans="1:14" x14ac:dyDescent="0.25">
      <c r="A179" s="142">
        <v>44407</v>
      </c>
      <c r="B179" s="81" t="s">
        <v>62</v>
      </c>
      <c r="C179" s="129" t="str">
        <f t="shared" si="5"/>
        <v>30.07.2021_VORuhSc</v>
      </c>
      <c r="D179" s="143">
        <f t="shared" si="6"/>
        <v>0</v>
      </c>
      <c r="E179" s="144">
        <v>0</v>
      </c>
      <c r="F179" s="145">
        <v>1.0311400657942501E-2</v>
      </c>
      <c r="G179" s="146">
        <v>0.20121966500981578</v>
      </c>
      <c r="H179" s="146">
        <v>4.6821192052980139E-2</v>
      </c>
      <c r="I179" s="147">
        <v>0.9</v>
      </c>
      <c r="J179" s="148">
        <v>0.37378276960400164</v>
      </c>
      <c r="K179" s="149">
        <v>18</v>
      </c>
      <c r="L179" s="149">
        <v>329</v>
      </c>
      <c r="M179" s="150"/>
      <c r="N179" s="135"/>
    </row>
    <row r="180" spans="1:14" x14ac:dyDescent="0.25">
      <c r="A180" s="142">
        <v>44407</v>
      </c>
      <c r="B180" s="81" t="s">
        <v>64</v>
      </c>
      <c r="C180" s="129" t="str">
        <f t="shared" si="5"/>
        <v>30.07.2021_WITob</v>
      </c>
      <c r="D180" s="143">
        <f t="shared" si="6"/>
        <v>0</v>
      </c>
      <c r="E180" s="144">
        <v>0</v>
      </c>
      <c r="F180" s="145">
        <v>9.1312786003690249E-3</v>
      </c>
      <c r="G180" s="146">
        <v>0.02</v>
      </c>
      <c r="H180" s="146">
        <v>1.4631622516556293E-2</v>
      </c>
      <c r="I180" s="147">
        <v>0.4</v>
      </c>
      <c r="J180" s="148">
        <v>0.11033239747516556</v>
      </c>
      <c r="K180" s="149">
        <v>19</v>
      </c>
      <c r="L180" s="149">
        <v>362</v>
      </c>
      <c r="M180" s="150"/>
      <c r="N180" s="135"/>
    </row>
    <row r="181" spans="1:14" x14ac:dyDescent="0.25">
      <c r="A181" s="142">
        <v>44421</v>
      </c>
      <c r="B181" s="81" t="s">
        <v>22</v>
      </c>
      <c r="C181" s="129" t="str">
        <f t="shared" si="5"/>
        <v>13.08.2021_BOYkl</v>
      </c>
      <c r="D181" s="143">
        <f t="shared" si="6"/>
        <v>0</v>
      </c>
      <c r="E181" s="144">
        <v>5.7006934365424922E-2</v>
      </c>
      <c r="F181" s="145">
        <v>5.9711085473140725E-2</v>
      </c>
      <c r="G181" s="146">
        <v>7.9450800915331812E-2</v>
      </c>
      <c r="H181" s="146">
        <v>0.18657249301459175</v>
      </c>
      <c r="I181" s="147">
        <v>23.472999999999999</v>
      </c>
      <c r="J181" s="148">
        <v>5.4203412579010388</v>
      </c>
      <c r="K181" s="149">
        <v>19.597000000000001</v>
      </c>
      <c r="L181" s="149">
        <v>28.885000000000002</v>
      </c>
      <c r="M181" s="148">
        <v>3.5059999999999998</v>
      </c>
      <c r="N181" s="135"/>
    </row>
    <row r="182" spans="1:14" x14ac:dyDescent="0.25">
      <c r="A182" s="142">
        <v>44421</v>
      </c>
      <c r="B182" s="81" t="s">
        <v>25</v>
      </c>
      <c r="C182" s="129" t="str">
        <f t="shared" si="5"/>
        <v>13.08.2021_BOYohB224</v>
      </c>
      <c r="D182" s="143">
        <f t="shared" si="6"/>
        <v>0</v>
      </c>
      <c r="E182" s="144">
        <v>3.310080059927898E-2</v>
      </c>
      <c r="F182" s="145">
        <v>1.6299999999999999E-2</v>
      </c>
      <c r="G182" s="146">
        <v>0.14000000000000001</v>
      </c>
      <c r="H182" s="146">
        <v>0.03</v>
      </c>
      <c r="I182" s="147">
        <v>1.4</v>
      </c>
      <c r="J182" s="148">
        <v>0.43406009999999995</v>
      </c>
      <c r="K182" s="149">
        <v>23</v>
      </c>
      <c r="L182" s="149">
        <v>147</v>
      </c>
      <c r="M182" s="148">
        <v>4.6159999999999997</v>
      </c>
      <c r="N182" s="135"/>
    </row>
    <row r="183" spans="1:14" x14ac:dyDescent="0.25">
      <c r="A183" s="142">
        <v>44421</v>
      </c>
      <c r="B183" s="81" t="s">
        <v>28</v>
      </c>
      <c r="C183" s="129" t="str">
        <f t="shared" si="5"/>
        <v>13.08.2021_BOYohBr</v>
      </c>
      <c r="D183" s="143">
        <f t="shared" si="6"/>
        <v>0</v>
      </c>
      <c r="E183" s="144">
        <v>2.9422933866025767E-2</v>
      </c>
      <c r="F183" s="145">
        <v>2.8275857249242368E-2</v>
      </c>
      <c r="G183" s="146">
        <v>0.15511823035850494</v>
      </c>
      <c r="H183" s="146">
        <v>7.3688295560384975E-2</v>
      </c>
      <c r="I183" s="147">
        <v>4.9930000000000003</v>
      </c>
      <c r="J183" s="148">
        <v>1.2706510662744348</v>
      </c>
      <c r="K183" s="149">
        <v>16.893999999999998</v>
      </c>
      <c r="L183" s="149">
        <v>56</v>
      </c>
      <c r="M183" s="148">
        <v>2.8359999999999999</v>
      </c>
      <c r="N183" s="135"/>
    </row>
    <row r="184" spans="1:14" x14ac:dyDescent="0.25">
      <c r="A184" s="142">
        <v>44421</v>
      </c>
      <c r="B184" s="81" t="s">
        <v>30</v>
      </c>
      <c r="C184" s="129" t="str">
        <f t="shared" si="5"/>
        <v>13.08.2021_BOYohKi</v>
      </c>
      <c r="D184" s="143">
        <f t="shared" si="6"/>
        <v>0</v>
      </c>
      <c r="E184" s="144">
        <v>2.7584000499399155E-2</v>
      </c>
      <c r="F184" s="145">
        <v>1.7267140724994384E-2</v>
      </c>
      <c r="G184" s="146">
        <v>0.11350114416475973</v>
      </c>
      <c r="H184" s="146">
        <v>2.1949705060540205E-2</v>
      </c>
      <c r="I184" s="147">
        <v>2.6880000000000002</v>
      </c>
      <c r="J184" s="148">
        <v>0.70195365113817565</v>
      </c>
      <c r="K184" s="149">
        <v>23</v>
      </c>
      <c r="L184" s="149">
        <v>113</v>
      </c>
      <c r="M184" s="148">
        <v>3.83</v>
      </c>
      <c r="N184" s="135"/>
    </row>
    <row r="185" spans="1:14" x14ac:dyDescent="0.25">
      <c r="A185" s="142">
        <v>44421</v>
      </c>
      <c r="B185" s="81" t="s">
        <v>32</v>
      </c>
      <c r="C185" s="129" t="str">
        <f t="shared" si="5"/>
        <v>13.08.2021_BOYohSp</v>
      </c>
      <c r="D185" s="143">
        <f t="shared" si="6"/>
        <v>0</v>
      </c>
      <c r="E185" s="144">
        <v>7.5396268031691027E-2</v>
      </c>
      <c r="F185" s="145">
        <v>3.2433557409089653E-2</v>
      </c>
      <c r="G185" s="146">
        <v>0.13430968726163237</v>
      </c>
      <c r="H185" s="146">
        <v>5.6442098727103387E-2</v>
      </c>
      <c r="I185" s="147">
        <v>4.5149999999999997</v>
      </c>
      <c r="J185" s="148">
        <v>1.1412769760192516</v>
      </c>
      <c r="K185" s="149">
        <v>20</v>
      </c>
      <c r="L185" s="149">
        <v>65</v>
      </c>
      <c r="M185" s="148">
        <v>4.1870000000000003</v>
      </c>
      <c r="N185" s="135"/>
    </row>
    <row r="186" spans="1:14" x14ac:dyDescent="0.25">
      <c r="A186" s="142">
        <v>44421</v>
      </c>
      <c r="B186" s="81" t="s">
        <v>36</v>
      </c>
      <c r="C186" s="129" t="str">
        <f t="shared" si="5"/>
        <v>13.08.2021_BOYuhSp</v>
      </c>
      <c r="D186" s="143">
        <f t="shared" si="6"/>
        <v>0</v>
      </c>
      <c r="E186" s="144">
        <v>5.516800099879831E-2</v>
      </c>
      <c r="F186" s="145">
        <v>2.9179742323672701E-2</v>
      </c>
      <c r="G186" s="146">
        <v>0.1418764302059497</v>
      </c>
      <c r="H186" s="146">
        <v>3.6060229742316048E-2</v>
      </c>
      <c r="I186" s="147">
        <v>5.0430000000000001</v>
      </c>
      <c r="J186" s="148">
        <v>1.260206576235666</v>
      </c>
      <c r="K186" s="149">
        <v>23</v>
      </c>
      <c r="L186" s="149">
        <v>85</v>
      </c>
      <c r="M186" s="148">
        <v>3.1080000000000001</v>
      </c>
      <c r="N186" s="135"/>
    </row>
    <row r="187" spans="1:14" x14ac:dyDescent="0.25">
      <c r="A187" s="142">
        <v>44421</v>
      </c>
      <c r="B187" s="81" t="s">
        <v>38</v>
      </c>
      <c r="C187" s="129" t="str">
        <f t="shared" si="5"/>
        <v>13.08.2021_BRAob</v>
      </c>
      <c r="D187" s="143">
        <f t="shared" si="6"/>
        <v>0</v>
      </c>
      <c r="E187" s="144">
        <v>4.0456534065785428E-2</v>
      </c>
      <c r="F187" s="145">
        <v>2.5202802657072986E-2</v>
      </c>
      <c r="G187" s="146">
        <v>0.11160945842868041</v>
      </c>
      <c r="H187" s="146">
        <v>7.9959639863396464E-2</v>
      </c>
      <c r="I187" s="147">
        <v>1.393</v>
      </c>
      <c r="J187" s="148">
        <v>0.42564425073169709</v>
      </c>
      <c r="K187" s="149">
        <v>26</v>
      </c>
      <c r="L187" s="149">
        <v>92</v>
      </c>
      <c r="M187" s="148">
        <v>3.202</v>
      </c>
      <c r="N187" s="135"/>
    </row>
    <row r="188" spans="1:14" x14ac:dyDescent="0.25">
      <c r="A188" s="142">
        <v>44421</v>
      </c>
      <c r="B188" s="81" t="s">
        <v>41</v>
      </c>
      <c r="C188" s="129" t="str">
        <f t="shared" si="5"/>
        <v>13.08.2021_BRAohBo</v>
      </c>
      <c r="D188" s="143">
        <f t="shared" si="6"/>
        <v>0</v>
      </c>
      <c r="E188" s="144">
        <v>5.7006934365424922E-2</v>
      </c>
      <c r="F188" s="145">
        <v>4.4233121169675857E-2</v>
      </c>
      <c r="G188" s="146">
        <v>6.2425629290617859E-2</v>
      </c>
      <c r="H188" s="146">
        <v>3.762806581806892E-2</v>
      </c>
      <c r="I188" s="147">
        <v>2.5819999999999999</v>
      </c>
      <c r="J188" s="148">
        <v>0.64312508152618286</v>
      </c>
      <c r="K188" s="149">
        <v>26</v>
      </c>
      <c r="L188" s="149">
        <v>90</v>
      </c>
      <c r="M188" s="148">
        <v>4.5540000000000003</v>
      </c>
      <c r="N188" s="135"/>
    </row>
    <row r="189" spans="1:14" x14ac:dyDescent="0.25">
      <c r="A189" s="142">
        <v>44421</v>
      </c>
      <c r="B189" s="81" t="s">
        <v>43</v>
      </c>
      <c r="C189" s="129" t="str">
        <f t="shared" si="5"/>
        <v>13.08.2021_HAAob</v>
      </c>
      <c r="D189" s="143">
        <f t="shared" si="6"/>
        <v>0</v>
      </c>
      <c r="E189" s="144">
        <v>2.0228267032892714E-2</v>
      </c>
      <c r="F189" s="145">
        <v>2.6921337600644968E-2</v>
      </c>
      <c r="G189" s="146">
        <v>6.8100686498855853E-2</v>
      </c>
      <c r="H189" s="146">
        <v>0.01</v>
      </c>
      <c r="I189" s="147">
        <v>0.875</v>
      </c>
      <c r="J189" s="148">
        <v>0.25356025205949656</v>
      </c>
      <c r="K189" s="149">
        <v>15.430999999999999</v>
      </c>
      <c r="L189" s="149">
        <v>92</v>
      </c>
      <c r="M189" s="148">
        <v>4.4649999999999999</v>
      </c>
      <c r="N189" s="135"/>
    </row>
    <row r="190" spans="1:14" x14ac:dyDescent="0.25">
      <c r="A190" s="142">
        <v>44421</v>
      </c>
      <c r="B190" s="81" t="s">
        <v>45</v>
      </c>
      <c r="C190" s="129" t="str">
        <f t="shared" si="5"/>
        <v>13.08.2021_HAAun</v>
      </c>
      <c r="D190" s="143">
        <f t="shared" si="6"/>
        <v>0</v>
      </c>
      <c r="E190" s="144">
        <v>3.1261867232652375E-2</v>
      </c>
      <c r="F190" s="145">
        <v>3.0236861005868112E-2</v>
      </c>
      <c r="G190" s="146">
        <v>0.23267734553775746</v>
      </c>
      <c r="H190" s="146">
        <v>1.881403290903446E-2</v>
      </c>
      <c r="I190" s="147">
        <v>1.075</v>
      </c>
      <c r="J190" s="148">
        <v>0.42920981435576883</v>
      </c>
      <c r="K190" s="149">
        <v>21.94</v>
      </c>
      <c r="L190" s="149">
        <v>193</v>
      </c>
      <c r="M190" s="148">
        <v>4.3860000000000001</v>
      </c>
      <c r="N190" s="135"/>
    </row>
    <row r="191" spans="1:14" x14ac:dyDescent="0.25">
      <c r="A191" s="142">
        <v>44421</v>
      </c>
      <c r="B191" s="81" t="s">
        <v>47</v>
      </c>
      <c r="C191" s="129" t="str">
        <f t="shared" si="5"/>
        <v>13.08.2021_KIRob</v>
      </c>
      <c r="D191" s="143">
        <f t="shared" si="6"/>
        <v>0</v>
      </c>
      <c r="E191" s="144">
        <v>0</v>
      </c>
      <c r="F191" s="145">
        <v>1.089440514318798E-2</v>
      </c>
      <c r="G191" s="146">
        <v>0.45589626239511827</v>
      </c>
      <c r="H191" s="146">
        <v>0.37000931387767771</v>
      </c>
      <c r="I191" s="147">
        <v>2.7770000000000001</v>
      </c>
      <c r="J191" s="148">
        <v>1.0938892143972443</v>
      </c>
      <c r="K191" s="149">
        <v>36</v>
      </c>
      <c r="L191" s="149">
        <v>92</v>
      </c>
      <c r="M191" s="148">
        <v>3.7909999999999999</v>
      </c>
      <c r="N191" s="135"/>
    </row>
    <row r="192" spans="1:14" x14ac:dyDescent="0.25">
      <c r="A192" s="142">
        <v>44421</v>
      </c>
      <c r="B192" s="81" t="s">
        <v>49</v>
      </c>
      <c r="C192" s="129" t="str">
        <f t="shared" si="5"/>
        <v>13.08.2021_KIRun</v>
      </c>
      <c r="D192" s="143">
        <f t="shared" si="6"/>
        <v>0</v>
      </c>
      <c r="E192" s="144">
        <v>0</v>
      </c>
      <c r="F192" s="145">
        <v>1.2102249356636927E-2</v>
      </c>
      <c r="G192" s="146">
        <v>8.8909229595728459E-2</v>
      </c>
      <c r="H192" s="146">
        <v>5.6442098727103387E-2</v>
      </c>
      <c r="I192" s="147">
        <v>3.206</v>
      </c>
      <c r="J192" s="148">
        <v>0.81036014464625383</v>
      </c>
      <c r="K192" s="149">
        <v>47</v>
      </c>
      <c r="L192" s="149">
        <v>119</v>
      </c>
      <c r="M192" s="148">
        <v>3.492</v>
      </c>
      <c r="N192" s="135"/>
    </row>
    <row r="193" spans="1:14" x14ac:dyDescent="0.25">
      <c r="A193" s="142">
        <v>44421</v>
      </c>
      <c r="B193" s="81" t="s">
        <v>50</v>
      </c>
      <c r="C193" s="129" t="str">
        <f t="shared" si="5"/>
        <v>13.08.2021_LIEohBo</v>
      </c>
      <c r="D193" s="143">
        <f t="shared" si="6"/>
        <v>0</v>
      </c>
      <c r="E193" s="144">
        <v>2.2067200399519326E-2</v>
      </c>
      <c r="F193" s="145">
        <v>1.3410446461283424E-2</v>
      </c>
      <c r="G193" s="146">
        <v>7.7559115179252472E-2</v>
      </c>
      <c r="H193" s="146">
        <v>4.3899410121080416E-2</v>
      </c>
      <c r="I193" s="147">
        <v>1.173</v>
      </c>
      <c r="J193" s="148">
        <v>0.33853456275690069</v>
      </c>
      <c r="K193" s="149">
        <v>18.36</v>
      </c>
      <c r="L193" s="149">
        <v>63</v>
      </c>
      <c r="M193" s="148">
        <v>12.45</v>
      </c>
      <c r="N193" s="135"/>
    </row>
    <row r="194" spans="1:14" x14ac:dyDescent="0.25">
      <c r="A194" s="142">
        <v>44421</v>
      </c>
      <c r="B194" s="81" t="s">
        <v>53</v>
      </c>
      <c r="C194" s="129" t="str">
        <f t="shared" si="5"/>
        <v>13.08.2021_NATohBo</v>
      </c>
      <c r="D194" s="143">
        <f t="shared" si="6"/>
        <v>0</v>
      </c>
      <c r="E194" s="144">
        <v>2.5745067132772546E-2</v>
      </c>
      <c r="F194" s="145">
        <v>1.38E-2</v>
      </c>
      <c r="G194" s="146">
        <v>0.21</v>
      </c>
      <c r="H194" s="146">
        <v>0.02</v>
      </c>
      <c r="I194" s="147">
        <v>0.7</v>
      </c>
      <c r="J194" s="148">
        <v>0.32726089999999997</v>
      </c>
      <c r="K194" s="149">
        <v>43</v>
      </c>
      <c r="L194" s="149">
        <v>293</v>
      </c>
      <c r="M194" s="148">
        <v>5.6920000000000002</v>
      </c>
      <c r="N194" s="135"/>
    </row>
    <row r="195" spans="1:14" x14ac:dyDescent="0.25">
      <c r="A195" s="142">
        <v>44421</v>
      </c>
      <c r="B195" s="81" t="s">
        <v>55</v>
      </c>
      <c r="C195" s="129" t="str">
        <f t="shared" si="5"/>
        <v>13.08.2021_QUAohBo</v>
      </c>
      <c r="D195" s="143">
        <f t="shared" si="6"/>
        <v>0</v>
      </c>
      <c r="E195" s="144">
        <v>5.8845867732051534E-2</v>
      </c>
      <c r="F195" s="145">
        <v>1.678871308339118E-2</v>
      </c>
      <c r="G195" s="146">
        <v>0.10971777269260108</v>
      </c>
      <c r="H195" s="146">
        <v>0.01</v>
      </c>
      <c r="I195" s="147">
        <v>1.0580000000000001</v>
      </c>
      <c r="J195" s="148">
        <v>0.3272097133180778</v>
      </c>
      <c r="K195" s="149">
        <v>23</v>
      </c>
      <c r="L195" s="149">
        <v>86</v>
      </c>
      <c r="M195" s="148">
        <v>5.0039999999999996</v>
      </c>
      <c r="N195" s="135"/>
    </row>
    <row r="196" spans="1:14" x14ac:dyDescent="0.25">
      <c r="A196" s="142">
        <v>44421</v>
      </c>
      <c r="B196" s="81" t="s">
        <v>57</v>
      </c>
      <c r="C196" s="129" t="str">
        <f t="shared" si="5"/>
        <v>13.08.2021_SCHohVo</v>
      </c>
      <c r="D196" s="143">
        <f t="shared" si="6"/>
        <v>0</v>
      </c>
      <c r="E196" s="144">
        <v>2.0228267032892714E-2</v>
      </c>
      <c r="F196" s="145">
        <v>2.7786887884405871E-2</v>
      </c>
      <c r="G196" s="146">
        <v>0.18160183066361557</v>
      </c>
      <c r="H196" s="146">
        <v>1.5678360757528719E-2</v>
      </c>
      <c r="I196" s="147">
        <v>1.3160000000000001</v>
      </c>
      <c r="J196" s="148">
        <v>0.44303020242462055</v>
      </c>
      <c r="K196" s="149">
        <v>24.346</v>
      </c>
      <c r="L196" s="149">
        <v>60</v>
      </c>
      <c r="M196" s="148"/>
      <c r="N196" s="135"/>
    </row>
    <row r="197" spans="1:14" x14ac:dyDescent="0.25">
      <c r="A197" s="142">
        <v>44421</v>
      </c>
      <c r="B197" s="81" t="s">
        <v>60</v>
      </c>
      <c r="C197" s="129" t="str">
        <f t="shared" ref="C197:C260" si="7">CONCATENATE(TEXT(A197,"TT.MM.JJJJ"),"_",B197)</f>
        <v>13.08.2021_VORohBo</v>
      </c>
      <c r="D197" s="143">
        <f t="shared" ref="D197:D260" si="8">COUNTBLANK(E197:L197)</f>
        <v>0</v>
      </c>
      <c r="E197" s="144">
        <v>2.5745067132772546E-2</v>
      </c>
      <c r="F197" s="145">
        <v>1.0869604328058372E-2</v>
      </c>
      <c r="G197" s="146">
        <v>0.50129672006102222</v>
      </c>
      <c r="H197" s="146">
        <v>6.5849115181620621E-2</v>
      </c>
      <c r="I197" s="147">
        <v>0.97499999999999998</v>
      </c>
      <c r="J197" s="148">
        <v>0.62952290327722749</v>
      </c>
      <c r="K197" s="149">
        <v>23.437999999999999</v>
      </c>
      <c r="L197" s="149">
        <v>156</v>
      </c>
      <c r="M197" s="148">
        <v>4.5019999999999998</v>
      </c>
      <c r="N197" s="135"/>
    </row>
    <row r="198" spans="1:14" x14ac:dyDescent="0.25">
      <c r="A198" s="142">
        <v>44421</v>
      </c>
      <c r="B198" s="81" t="s">
        <v>62</v>
      </c>
      <c r="C198" s="129" t="str">
        <f t="shared" si="7"/>
        <v>13.08.2021_VORuhSc</v>
      </c>
      <c r="D198" s="143">
        <f t="shared" si="8"/>
        <v>0</v>
      </c>
      <c r="E198" s="144">
        <v>2.0228267032892714E-2</v>
      </c>
      <c r="F198" s="145">
        <v>9.2469660226323427E-3</v>
      </c>
      <c r="G198" s="146">
        <v>0.41049580472921443</v>
      </c>
      <c r="H198" s="146">
        <v>2.6653213287798821E-2</v>
      </c>
      <c r="I198" s="147">
        <v>0.42</v>
      </c>
      <c r="J198" s="148">
        <v>0.42172585819965808</v>
      </c>
      <c r="K198" s="149">
        <v>19.952999999999999</v>
      </c>
      <c r="L198" s="149">
        <v>162</v>
      </c>
      <c r="M198" s="148">
        <v>4.4790000000000001</v>
      </c>
      <c r="N198" s="135"/>
    </row>
    <row r="199" spans="1:14" x14ac:dyDescent="0.25">
      <c r="A199" s="142">
        <v>44421</v>
      </c>
      <c r="B199" s="81" t="s">
        <v>64</v>
      </c>
      <c r="C199" s="129" t="str">
        <f t="shared" si="7"/>
        <v>13.08.2021_WITob</v>
      </c>
      <c r="D199" s="143">
        <f t="shared" si="8"/>
        <v>0</v>
      </c>
      <c r="E199" s="144">
        <v>1.8389333666266106E-2</v>
      </c>
      <c r="F199" s="145">
        <v>8.8880884982975843E-3</v>
      </c>
      <c r="G199" s="146">
        <v>9.0800915331807786E-2</v>
      </c>
      <c r="H199" s="146">
        <v>0.01</v>
      </c>
      <c r="I199" s="147">
        <v>0.76500000000000001</v>
      </c>
      <c r="J199" s="148">
        <v>0.24634105274599544</v>
      </c>
      <c r="K199" s="149">
        <v>28</v>
      </c>
      <c r="L199" s="149">
        <v>217</v>
      </c>
      <c r="M199" s="148">
        <v>3.5379999999999998</v>
      </c>
      <c r="N199" s="135"/>
    </row>
    <row r="200" spans="1:14" x14ac:dyDescent="0.25">
      <c r="A200" s="142">
        <v>44435</v>
      </c>
      <c r="B200" s="81" t="s">
        <v>22</v>
      </c>
      <c r="C200" s="129" t="str">
        <f t="shared" si="7"/>
        <v>27.08.2021_BOYkl</v>
      </c>
      <c r="D200" s="143">
        <f t="shared" si="8"/>
        <v>0</v>
      </c>
      <c r="E200" s="144">
        <v>4.9651200898918481E-2</v>
      </c>
      <c r="F200" s="145">
        <v>5.5548311793470029E-2</v>
      </c>
      <c r="G200" s="146">
        <v>0.02</v>
      </c>
      <c r="H200" s="146">
        <v>6.4281279105867742E-2</v>
      </c>
      <c r="I200" s="147">
        <v>27.859000000000002</v>
      </c>
      <c r="J200" s="148">
        <v>6.3276125654237818</v>
      </c>
      <c r="K200" s="149">
        <v>25.754000000000001</v>
      </c>
      <c r="L200" s="149">
        <v>30.07</v>
      </c>
      <c r="M200" s="148">
        <v>2.415</v>
      </c>
      <c r="N200" s="135"/>
    </row>
    <row r="201" spans="1:14" x14ac:dyDescent="0.25">
      <c r="A201" s="142">
        <v>44435</v>
      </c>
      <c r="B201" s="81" t="s">
        <v>25</v>
      </c>
      <c r="C201" s="129" t="str">
        <f t="shared" si="7"/>
        <v>27.08.2021_BOYohB224</v>
      </c>
      <c r="D201" s="143">
        <f t="shared" si="8"/>
        <v>0</v>
      </c>
      <c r="E201" s="144">
        <v>0</v>
      </c>
      <c r="F201" s="145">
        <v>1.8800000000000001E-2</v>
      </c>
      <c r="G201" s="146">
        <v>7.0000000000000007E-2</v>
      </c>
      <c r="H201" s="146">
        <v>0.04</v>
      </c>
      <c r="I201" s="147">
        <v>1.6</v>
      </c>
      <c r="J201" s="148">
        <v>0.42792430000000004</v>
      </c>
      <c r="K201" s="149">
        <v>27</v>
      </c>
      <c r="L201" s="149">
        <v>98</v>
      </c>
      <c r="M201" s="148">
        <v>3.6509999999999998</v>
      </c>
      <c r="N201" s="135"/>
    </row>
    <row r="202" spans="1:14" x14ac:dyDescent="0.25">
      <c r="A202" s="142">
        <v>44435</v>
      </c>
      <c r="B202" s="81" t="s">
        <v>28</v>
      </c>
      <c r="C202" s="129" t="str">
        <f t="shared" si="7"/>
        <v>27.08.2021_BOYohBr</v>
      </c>
      <c r="D202" s="143">
        <f t="shared" si="8"/>
        <v>0</v>
      </c>
      <c r="E202" s="144">
        <v>0</v>
      </c>
      <c r="F202" s="145">
        <v>2.9075490784723008E-2</v>
      </c>
      <c r="G202" s="146">
        <v>8.8909229595728459E-2</v>
      </c>
      <c r="H202" s="146">
        <v>8.4663148090655088E-2</v>
      </c>
      <c r="I202" s="147">
        <v>2.9689999999999999</v>
      </c>
      <c r="J202" s="148">
        <v>0.76542085312498709</v>
      </c>
      <c r="K202" s="149">
        <v>10.808999999999999</v>
      </c>
      <c r="L202" s="149">
        <v>30.262</v>
      </c>
      <c r="M202" s="148">
        <v>7.2359999999999998</v>
      </c>
      <c r="N202" s="135"/>
    </row>
    <row r="203" spans="1:14" x14ac:dyDescent="0.25">
      <c r="A203" s="142">
        <v>44435</v>
      </c>
      <c r="B203" s="81" t="s">
        <v>30</v>
      </c>
      <c r="C203" s="129" t="str">
        <f t="shared" si="7"/>
        <v>27.08.2021_BOYohKi</v>
      </c>
      <c r="D203" s="143">
        <f t="shared" si="8"/>
        <v>0</v>
      </c>
      <c r="E203" s="144">
        <v>0</v>
      </c>
      <c r="F203" s="145">
        <v>2.0116065522847587E-2</v>
      </c>
      <c r="G203" s="146">
        <v>0.02</v>
      </c>
      <c r="H203" s="146">
        <v>3.9195901893821793E-2</v>
      </c>
      <c r="I203" s="147">
        <v>3.2709999999999999</v>
      </c>
      <c r="J203" s="148">
        <v>0.76628376233157403</v>
      </c>
      <c r="K203" s="149">
        <v>23.899000000000001</v>
      </c>
      <c r="L203" s="149">
        <v>70</v>
      </c>
      <c r="M203" s="148">
        <v>2.645</v>
      </c>
      <c r="N203" s="135"/>
    </row>
    <row r="204" spans="1:14" x14ac:dyDescent="0.25">
      <c r="A204" s="142">
        <v>44435</v>
      </c>
      <c r="B204" s="81" t="s">
        <v>32</v>
      </c>
      <c r="C204" s="129" t="str">
        <f t="shared" si="7"/>
        <v>27.08.2021_BOYohSp</v>
      </c>
      <c r="D204" s="143">
        <f t="shared" si="8"/>
        <v>0</v>
      </c>
      <c r="E204" s="144">
        <v>2.9422933866025767E-2</v>
      </c>
      <c r="F204" s="145">
        <v>3.1701896648014011E-2</v>
      </c>
      <c r="G204" s="146">
        <v>6.8100686498855853E-2</v>
      </c>
      <c r="H204" s="146">
        <v>5.1738590499844771E-2</v>
      </c>
      <c r="I204" s="147">
        <v>2.7610000000000001</v>
      </c>
      <c r="J204" s="148">
        <v>0.69225838593717426</v>
      </c>
      <c r="K204" s="149">
        <v>13.477</v>
      </c>
      <c r="L204" s="149">
        <v>36.665999999999997</v>
      </c>
      <c r="M204" s="148">
        <v>2.6280000000000001</v>
      </c>
      <c r="N204" s="135"/>
    </row>
    <row r="205" spans="1:14" x14ac:dyDescent="0.25">
      <c r="A205" s="142">
        <v>44435</v>
      </c>
      <c r="B205" s="81" t="s">
        <v>36</v>
      </c>
      <c r="C205" s="129" t="str">
        <f t="shared" si="7"/>
        <v>27.08.2021_BOYuhSp</v>
      </c>
      <c r="D205" s="143">
        <f t="shared" si="8"/>
        <v>0</v>
      </c>
      <c r="E205" s="144">
        <v>3.4939733965905599E-2</v>
      </c>
      <c r="F205" s="145">
        <v>3.3631651561150208E-2</v>
      </c>
      <c r="G205" s="146">
        <v>7.3775743707093847E-2</v>
      </c>
      <c r="H205" s="146">
        <v>6.2713443030114877E-2</v>
      </c>
      <c r="I205" s="147">
        <v>4.1680000000000001</v>
      </c>
      <c r="J205" s="148">
        <v>1.0178053949616397</v>
      </c>
      <c r="K205" s="149">
        <v>20.852</v>
      </c>
      <c r="L205" s="149">
        <v>59</v>
      </c>
      <c r="M205" s="148">
        <v>3.1030000000000002</v>
      </c>
      <c r="N205" s="135"/>
    </row>
    <row r="206" spans="1:14" x14ac:dyDescent="0.25">
      <c r="A206" s="142">
        <v>44435</v>
      </c>
      <c r="B206" s="81" t="s">
        <v>38</v>
      </c>
      <c r="C206" s="129" t="str">
        <f t="shared" si="7"/>
        <v>27.08.2021_BRAob</v>
      </c>
      <c r="D206" s="143">
        <f t="shared" si="8"/>
        <v>0</v>
      </c>
      <c r="E206" s="144">
        <v>0</v>
      </c>
      <c r="F206" s="145">
        <v>2.2120977828465286E-2</v>
      </c>
      <c r="G206" s="146">
        <v>6.999237223493518E-2</v>
      </c>
      <c r="H206" s="146">
        <v>3.2924557590810317E-2</v>
      </c>
      <c r="I206" s="147">
        <v>2.0710000000000002</v>
      </c>
      <c r="J206" s="148">
        <v>0.53214902867522706</v>
      </c>
      <c r="K206" s="149">
        <v>26.260999999999999</v>
      </c>
      <c r="L206" s="149">
        <v>85</v>
      </c>
      <c r="M206" s="148">
        <v>2.3660000000000001</v>
      </c>
      <c r="N206" s="135"/>
    </row>
    <row r="207" spans="1:14" x14ac:dyDescent="0.25">
      <c r="A207" s="142">
        <v>44435</v>
      </c>
      <c r="B207" s="81" t="s">
        <v>41</v>
      </c>
      <c r="C207" s="129" t="str">
        <f t="shared" si="7"/>
        <v>27.08.2021_BRAohBo</v>
      </c>
      <c r="D207" s="143">
        <f t="shared" si="8"/>
        <v>0</v>
      </c>
      <c r="E207" s="144">
        <v>3.8617600699158823E-2</v>
      </c>
      <c r="F207" s="145">
        <v>4.9155367035234446E-2</v>
      </c>
      <c r="G207" s="146">
        <v>5.1075514874141872E-2</v>
      </c>
      <c r="H207" s="146">
        <v>4.5467246196833275E-2</v>
      </c>
      <c r="I207" s="147">
        <v>2.7320000000000002</v>
      </c>
      <c r="J207" s="148">
        <v>0.67057896964924824</v>
      </c>
      <c r="K207" s="149">
        <v>17.239000000000001</v>
      </c>
      <c r="L207" s="149">
        <v>45.67</v>
      </c>
      <c r="M207" s="148">
        <v>3.01</v>
      </c>
      <c r="N207" s="135"/>
    </row>
    <row r="208" spans="1:14" x14ac:dyDescent="0.25">
      <c r="A208" s="142">
        <v>44435</v>
      </c>
      <c r="B208" s="81" t="s">
        <v>43</v>
      </c>
      <c r="C208" s="129" t="str">
        <f t="shared" si="7"/>
        <v>27.08.2021_HAAob</v>
      </c>
      <c r="D208" s="143">
        <f t="shared" si="8"/>
        <v>0</v>
      </c>
      <c r="E208" s="144">
        <v>2.5745067132772546E-2</v>
      </c>
      <c r="F208" s="145">
        <v>2.9794989784123319E-2</v>
      </c>
      <c r="G208" s="146">
        <v>0.02</v>
      </c>
      <c r="H208" s="146">
        <v>0.01</v>
      </c>
      <c r="I208" s="147">
        <v>0.46700000000000003</v>
      </c>
      <c r="J208" s="148">
        <v>0.12405559000000001</v>
      </c>
      <c r="K208" s="149">
        <v>19.818000000000001</v>
      </c>
      <c r="L208" s="149">
        <v>71</v>
      </c>
      <c r="M208" s="148">
        <v>3.1469999999999998</v>
      </c>
      <c r="N208" s="135"/>
    </row>
    <row r="209" spans="1:14" x14ac:dyDescent="0.25">
      <c r="A209" s="142">
        <v>44435</v>
      </c>
      <c r="B209" s="81" t="s">
        <v>45</v>
      </c>
      <c r="C209" s="129" t="str">
        <f t="shared" si="7"/>
        <v>27.08.2021_HAAun</v>
      </c>
      <c r="D209" s="143">
        <f t="shared" si="8"/>
        <v>0</v>
      </c>
      <c r="E209" s="144">
        <v>0</v>
      </c>
      <c r="F209" s="145">
        <v>2.4738344978692303E-2</v>
      </c>
      <c r="G209" s="146">
        <v>6.8100686498855853E-2</v>
      </c>
      <c r="H209" s="146">
        <v>1.5678360757528719E-2</v>
      </c>
      <c r="I209" s="147">
        <v>0.66600000000000004</v>
      </c>
      <c r="J209" s="148">
        <v>0.20808219899212621</v>
      </c>
      <c r="K209" s="149">
        <v>12.81</v>
      </c>
      <c r="L209" s="149">
        <v>121</v>
      </c>
      <c r="M209" s="148">
        <v>1.7290000000000001</v>
      </c>
      <c r="N209" s="135"/>
    </row>
    <row r="210" spans="1:14" x14ac:dyDescent="0.25">
      <c r="A210" s="142">
        <v>44435</v>
      </c>
      <c r="B210" s="81" t="s">
        <v>47</v>
      </c>
      <c r="C210" s="129" t="str">
        <f t="shared" si="7"/>
        <v>27.08.2021_KIRob</v>
      </c>
      <c r="D210" s="143">
        <f t="shared" si="8"/>
        <v>0</v>
      </c>
      <c r="E210" s="144">
        <v>0</v>
      </c>
      <c r="F210" s="145">
        <v>8.3949634824433475E-3</v>
      </c>
      <c r="G210" s="146">
        <v>0.21943554538520216</v>
      </c>
      <c r="H210" s="146">
        <v>0.13483390251474697</v>
      </c>
      <c r="I210" s="147">
        <v>2.903</v>
      </c>
      <c r="J210" s="148">
        <v>0.8671402982567703</v>
      </c>
      <c r="K210" s="149">
        <v>43</v>
      </c>
      <c r="L210" s="149">
        <v>90</v>
      </c>
      <c r="M210" s="148">
        <v>1.8280000000000001</v>
      </c>
      <c r="N210" s="135"/>
    </row>
    <row r="211" spans="1:14" x14ac:dyDescent="0.25">
      <c r="A211" s="142">
        <v>44435</v>
      </c>
      <c r="B211" s="81" t="s">
        <v>49</v>
      </c>
      <c r="C211" s="129" t="str">
        <f t="shared" si="7"/>
        <v>27.08.2021_KIRun</v>
      </c>
      <c r="D211" s="143">
        <f t="shared" si="8"/>
        <v>0</v>
      </c>
      <c r="E211" s="144">
        <v>0</v>
      </c>
      <c r="F211" s="145">
        <v>1.0440580974921157E-2</v>
      </c>
      <c r="G211" s="146">
        <v>8.8909229595728459E-2</v>
      </c>
      <c r="H211" s="146">
        <v>4.0763737969574672E-2</v>
      </c>
      <c r="I211" s="147">
        <v>3.468</v>
      </c>
      <c r="J211" s="148">
        <v>0.86476480771362418</v>
      </c>
      <c r="K211" s="149">
        <v>34</v>
      </c>
      <c r="L211" s="149">
        <v>80</v>
      </c>
      <c r="M211" s="148">
        <v>1.5580000000000001</v>
      </c>
      <c r="N211" s="135"/>
    </row>
    <row r="212" spans="1:14" x14ac:dyDescent="0.25">
      <c r="A212" s="142">
        <v>44435</v>
      </c>
      <c r="B212" s="81" t="s">
        <v>50</v>
      </c>
      <c r="C212" s="129" t="str">
        <f t="shared" si="7"/>
        <v>27.08.2021_LIEohBo</v>
      </c>
      <c r="D212" s="143">
        <f t="shared" si="8"/>
        <v>0</v>
      </c>
      <c r="E212" s="144">
        <v>0</v>
      </c>
      <c r="F212" s="145">
        <v>9.623914089079021E-3</v>
      </c>
      <c r="G212" s="146">
        <v>0.02</v>
      </c>
      <c r="H212" s="146">
        <v>1.5678360757528719E-2</v>
      </c>
      <c r="I212" s="147">
        <v>1.1579999999999999</v>
      </c>
      <c r="J212" s="148">
        <v>0.28186053693262958</v>
      </c>
      <c r="K212" s="149">
        <v>12.74</v>
      </c>
      <c r="L212" s="149">
        <v>43.097999999999999</v>
      </c>
      <c r="M212" s="148">
        <v>4.4180000000000001</v>
      </c>
      <c r="N212" s="135"/>
    </row>
    <row r="213" spans="1:14" x14ac:dyDescent="0.25">
      <c r="A213" s="142">
        <v>44435</v>
      </c>
      <c r="B213" s="81" t="s">
        <v>53</v>
      </c>
      <c r="C213" s="129" t="str">
        <f t="shared" si="7"/>
        <v>27.08.2021_NATohBo</v>
      </c>
      <c r="D213" s="143">
        <f t="shared" si="8"/>
        <v>0</v>
      </c>
      <c r="E213" s="144">
        <v>0</v>
      </c>
      <c r="F213" s="145">
        <v>2.12E-2</v>
      </c>
      <c r="G213" s="146">
        <v>0.12</v>
      </c>
      <c r="H213" s="146">
        <v>0.05</v>
      </c>
      <c r="I213" s="147">
        <v>1.7</v>
      </c>
      <c r="J213" s="148">
        <v>0.49238029999999999</v>
      </c>
      <c r="K213" s="149">
        <v>49</v>
      </c>
      <c r="L213" s="149">
        <v>199</v>
      </c>
      <c r="M213" s="148">
        <v>2.9790000000000001</v>
      </c>
      <c r="N213" s="135"/>
    </row>
    <row r="214" spans="1:14" x14ac:dyDescent="0.25">
      <c r="A214" s="142">
        <v>44435</v>
      </c>
      <c r="B214" s="81" t="s">
        <v>55</v>
      </c>
      <c r="C214" s="129" t="str">
        <f t="shared" si="7"/>
        <v>27.08.2021_QUAohBo</v>
      </c>
      <c r="D214" s="143">
        <f t="shared" si="8"/>
        <v>0</v>
      </c>
      <c r="E214" s="144">
        <v>0</v>
      </c>
      <c r="F214" s="145">
        <v>1.0585801588012603E-2</v>
      </c>
      <c r="G214" s="146">
        <v>4.1617086193745247E-2</v>
      </c>
      <c r="H214" s="146">
        <v>0.01</v>
      </c>
      <c r="I214" s="147">
        <v>0.39800000000000002</v>
      </c>
      <c r="J214" s="148">
        <v>0.12525601125858127</v>
      </c>
      <c r="K214" s="149">
        <v>15.715999999999999</v>
      </c>
      <c r="L214" s="149">
        <v>36.887</v>
      </c>
      <c r="M214" s="148">
        <v>2.7839999999999998</v>
      </c>
      <c r="N214" s="135"/>
    </row>
    <row r="215" spans="1:14" x14ac:dyDescent="0.25">
      <c r="A215" s="142">
        <v>44435</v>
      </c>
      <c r="B215" s="81" t="s">
        <v>57</v>
      </c>
      <c r="C215" s="129" t="str">
        <f t="shared" si="7"/>
        <v>27.08.2021_SCHohVo</v>
      </c>
      <c r="D215" s="143">
        <f t="shared" si="8"/>
        <v>0</v>
      </c>
      <c r="E215" s="144">
        <v>1.8389333666266106E-2</v>
      </c>
      <c r="F215" s="145">
        <v>2.5853746035376692E-2</v>
      </c>
      <c r="G215" s="146">
        <v>5.4858886346300539E-2</v>
      </c>
      <c r="H215" s="146">
        <v>3.4492393666563176E-2</v>
      </c>
      <c r="I215" s="147">
        <v>2.198</v>
      </c>
      <c r="J215" s="148">
        <v>0.5495608459108241</v>
      </c>
      <c r="K215" s="149">
        <v>33</v>
      </c>
      <c r="L215" s="149">
        <v>62</v>
      </c>
      <c r="M215" s="148">
        <v>8.2029999999999994</v>
      </c>
      <c r="N215" s="135"/>
    </row>
    <row r="216" spans="1:14" x14ac:dyDescent="0.25">
      <c r="A216" s="142">
        <v>44435</v>
      </c>
      <c r="B216" s="81" t="s">
        <v>60</v>
      </c>
      <c r="C216" s="129" t="str">
        <f t="shared" si="7"/>
        <v>27.08.2021_VORohBo</v>
      </c>
      <c r="D216" s="143">
        <f t="shared" si="8"/>
        <v>0</v>
      </c>
      <c r="E216" s="144">
        <v>0</v>
      </c>
      <c r="F216" s="145">
        <v>8.3722829442548739E-3</v>
      </c>
      <c r="G216" s="146">
        <v>0.19862700228832955</v>
      </c>
      <c r="H216" s="146">
        <v>2.6653213287798821E-2</v>
      </c>
      <c r="I216" s="147">
        <v>1.401</v>
      </c>
      <c r="J216" s="148">
        <v>0.47879032179233533</v>
      </c>
      <c r="K216" s="149">
        <v>17.238</v>
      </c>
      <c r="L216" s="149">
        <v>95</v>
      </c>
      <c r="M216" s="148">
        <v>3.536</v>
      </c>
      <c r="N216" s="135"/>
    </row>
    <row r="217" spans="1:14" x14ac:dyDescent="0.25">
      <c r="A217" s="142">
        <v>44435</v>
      </c>
      <c r="B217" s="81" t="s">
        <v>62</v>
      </c>
      <c r="C217" s="129" t="str">
        <f t="shared" si="7"/>
        <v>27.08.2021_VORuhSc</v>
      </c>
      <c r="D217" s="143">
        <f t="shared" si="8"/>
        <v>0</v>
      </c>
      <c r="E217" s="144">
        <v>0</v>
      </c>
      <c r="F217" s="145">
        <v>8.3180919699672347E-3</v>
      </c>
      <c r="G217" s="146">
        <v>0.16268497330282228</v>
      </c>
      <c r="H217" s="146">
        <v>1.7246196833281591E-2</v>
      </c>
      <c r="I217" s="147">
        <v>1.7270000000000001</v>
      </c>
      <c r="J217" s="148">
        <v>0.52165134954580106</v>
      </c>
      <c r="K217" s="149">
        <v>25</v>
      </c>
      <c r="L217" s="149">
        <v>144</v>
      </c>
      <c r="M217" s="148">
        <v>3.3690000000000002</v>
      </c>
      <c r="N217" s="135"/>
    </row>
    <row r="218" spans="1:14" x14ac:dyDescent="0.25">
      <c r="A218" s="142">
        <v>44435</v>
      </c>
      <c r="B218" s="81" t="s">
        <v>64</v>
      </c>
      <c r="C218" s="129" t="str">
        <f t="shared" si="7"/>
        <v>27.08.2021_WITob</v>
      </c>
      <c r="D218" s="143">
        <f t="shared" si="8"/>
        <v>0</v>
      </c>
      <c r="E218" s="144">
        <v>0</v>
      </c>
      <c r="F218" s="145">
        <v>8.8601026784122499E-3</v>
      </c>
      <c r="G218" s="146">
        <v>0.02</v>
      </c>
      <c r="H218" s="146">
        <v>0.01</v>
      </c>
      <c r="I218" s="147">
        <v>0.379</v>
      </c>
      <c r="J218" s="148">
        <v>0.10417902999999999</v>
      </c>
      <c r="K218" s="149">
        <v>39</v>
      </c>
      <c r="L218" s="149">
        <v>139</v>
      </c>
      <c r="M218" s="148">
        <v>1.9179999999999999</v>
      </c>
      <c r="N218" s="135"/>
    </row>
    <row r="219" spans="1:14" x14ac:dyDescent="0.25">
      <c r="A219" s="142">
        <v>44449</v>
      </c>
      <c r="B219" s="81" t="s">
        <v>22</v>
      </c>
      <c r="C219" s="129" t="str">
        <f t="shared" si="7"/>
        <v>10.09.2021_BOYkl</v>
      </c>
      <c r="D219" s="143">
        <f t="shared" si="8"/>
        <v>0</v>
      </c>
      <c r="E219" s="144">
        <v>4.4393281356286951E-2</v>
      </c>
      <c r="F219" s="145">
        <v>9.0454368189908693E-2</v>
      </c>
      <c r="G219" s="146">
        <v>0.7977210261108566</v>
      </c>
      <c r="H219" s="146">
        <v>0.33904673991354461</v>
      </c>
      <c r="I219" s="147">
        <v>35</v>
      </c>
      <c r="J219" s="148">
        <v>8.6280951795314973</v>
      </c>
      <c r="K219" s="149">
        <v>25</v>
      </c>
      <c r="L219" s="149">
        <v>43.89</v>
      </c>
      <c r="M219" s="148">
        <v>7.1689999999999996</v>
      </c>
      <c r="N219" s="135"/>
    </row>
    <row r="220" spans="1:14" x14ac:dyDescent="0.25">
      <c r="A220" s="142">
        <v>44449</v>
      </c>
      <c r="B220" s="81" t="s">
        <v>25</v>
      </c>
      <c r="C220" s="129" t="str">
        <f t="shared" si="7"/>
        <v>10.09.2021_BOYohB224</v>
      </c>
      <c r="D220" s="143">
        <f t="shared" si="8"/>
        <v>0</v>
      </c>
      <c r="E220" s="144">
        <v>0</v>
      </c>
      <c r="F220" s="145">
        <v>4.3E-3</v>
      </c>
      <c r="G220" s="146">
        <v>0.11</v>
      </c>
      <c r="H220" s="146">
        <v>1.910122478386167E-2</v>
      </c>
      <c r="I220" s="147">
        <v>1.2</v>
      </c>
      <c r="J220" s="148">
        <v>0.36227326788544661</v>
      </c>
      <c r="K220" s="149">
        <v>26</v>
      </c>
      <c r="L220" s="149">
        <v>131</v>
      </c>
      <c r="M220" s="148">
        <v>11.34</v>
      </c>
      <c r="N220" s="135"/>
    </row>
    <row r="221" spans="1:14" x14ac:dyDescent="0.25">
      <c r="A221" s="142">
        <v>44449</v>
      </c>
      <c r="B221" s="81" t="s">
        <v>28</v>
      </c>
      <c r="C221" s="129" t="str">
        <f t="shared" si="7"/>
        <v>10.09.2021_BOYohBr</v>
      </c>
      <c r="D221" s="143">
        <f t="shared" si="8"/>
        <v>0</v>
      </c>
      <c r="E221" s="144">
        <v>0</v>
      </c>
      <c r="F221" s="145">
        <v>1.6056687078833752E-2</v>
      </c>
      <c r="G221" s="146">
        <v>9.4434264773247817E-2</v>
      </c>
      <c r="H221" s="146">
        <v>1.2734149855907779E-2</v>
      </c>
      <c r="I221" s="147">
        <v>2.637</v>
      </c>
      <c r="J221" s="148">
        <v>0.67282336417741029</v>
      </c>
      <c r="K221" s="149">
        <v>9.6530000000000005</v>
      </c>
      <c r="L221" s="149">
        <v>34.606000000000002</v>
      </c>
      <c r="M221" s="148">
        <v>4.4939999999999998</v>
      </c>
      <c r="N221" s="135"/>
    </row>
    <row r="222" spans="1:14" x14ac:dyDescent="0.25">
      <c r="A222" s="142">
        <v>44449</v>
      </c>
      <c r="B222" s="81" t="s">
        <v>30</v>
      </c>
      <c r="C222" s="129" t="str">
        <f t="shared" si="7"/>
        <v>10.09.2021_BOYohKi</v>
      </c>
      <c r="D222" s="143">
        <f t="shared" si="8"/>
        <v>0</v>
      </c>
      <c r="E222" s="144">
        <v>0</v>
      </c>
      <c r="F222" s="145">
        <v>4.7252759816683752E-3</v>
      </c>
      <c r="G222" s="146">
        <v>8.449381584974805E-2</v>
      </c>
      <c r="H222" s="146">
        <v>1.5917687319884726E-2</v>
      </c>
      <c r="I222" s="147">
        <v>2.2250000000000001</v>
      </c>
      <c r="J222" s="148">
        <v>0.57301549297370968</v>
      </c>
      <c r="K222" s="149">
        <v>26.378</v>
      </c>
      <c r="L222" s="149">
        <v>96</v>
      </c>
      <c r="M222" s="148">
        <v>6.3470000000000004</v>
      </c>
      <c r="N222" s="135"/>
    </row>
    <row r="223" spans="1:14" x14ac:dyDescent="0.25">
      <c r="A223" s="142">
        <v>44449</v>
      </c>
      <c r="B223" s="81" t="s">
        <v>32</v>
      </c>
      <c r="C223" s="129" t="str">
        <f t="shared" si="7"/>
        <v>10.09.2021_BOYohSp</v>
      </c>
      <c r="D223" s="143">
        <f t="shared" si="8"/>
        <v>0</v>
      </c>
      <c r="E223" s="144">
        <v>0</v>
      </c>
      <c r="F223" s="145">
        <v>2.5807314274478434E-3</v>
      </c>
      <c r="G223" s="146">
        <v>0.10685982592762255</v>
      </c>
      <c r="H223" s="146">
        <v>7.9588436599423631E-3</v>
      </c>
      <c r="I223" s="147">
        <v>2.1059999999999999</v>
      </c>
      <c r="J223" s="148">
        <v>0.56108087618680902</v>
      </c>
      <c r="K223" s="149">
        <v>10.342000000000001</v>
      </c>
      <c r="L223" s="149">
        <v>49</v>
      </c>
      <c r="M223" s="148">
        <v>6.9359999999999999</v>
      </c>
      <c r="N223" s="135"/>
    </row>
    <row r="224" spans="1:14" x14ac:dyDescent="0.25">
      <c r="A224" s="142">
        <v>44449</v>
      </c>
      <c r="B224" s="81" t="s">
        <v>36</v>
      </c>
      <c r="C224" s="129" t="str">
        <f t="shared" si="7"/>
        <v>10.09.2021_BOYuhSp</v>
      </c>
      <c r="D224" s="143">
        <f t="shared" si="8"/>
        <v>0</v>
      </c>
      <c r="E224" s="144">
        <v>0</v>
      </c>
      <c r="F224" s="145">
        <v>2.6520410599568219E-2</v>
      </c>
      <c r="G224" s="146">
        <v>4.473202015574896E-2</v>
      </c>
      <c r="H224" s="146">
        <v>1.2734149855907779E-2</v>
      </c>
      <c r="I224" s="147">
        <v>2.82</v>
      </c>
      <c r="J224" s="148">
        <v>0.6755642782543686</v>
      </c>
      <c r="K224" s="149">
        <v>14.942</v>
      </c>
      <c r="L224" s="149">
        <v>50</v>
      </c>
      <c r="M224" s="148">
        <v>7.6189999999999998</v>
      </c>
      <c r="N224" s="135"/>
    </row>
    <row r="225" spans="1:14" x14ac:dyDescent="0.25">
      <c r="A225" s="142">
        <v>44449</v>
      </c>
      <c r="B225" s="81" t="s">
        <v>38</v>
      </c>
      <c r="C225" s="129" t="str">
        <f t="shared" si="7"/>
        <v>10.09.2021_BRAob</v>
      </c>
      <c r="D225" s="143">
        <f t="shared" si="8"/>
        <v>0</v>
      </c>
      <c r="E225" s="144">
        <v>2.2196640678143476E-2</v>
      </c>
      <c r="F225" s="145">
        <v>3.2911557847831806E-2</v>
      </c>
      <c r="G225" s="146">
        <v>7.9523591387998152E-2</v>
      </c>
      <c r="H225" s="146">
        <v>7.9588436599423631E-3</v>
      </c>
      <c r="I225" s="147">
        <v>1.645</v>
      </c>
      <c r="J225" s="148">
        <v>0.43572849342913611</v>
      </c>
      <c r="K225" s="149">
        <v>31</v>
      </c>
      <c r="L225" s="149">
        <v>114</v>
      </c>
      <c r="M225" s="148">
        <v>7.3090000000000002</v>
      </c>
      <c r="N225" s="135"/>
    </row>
    <row r="226" spans="1:14" x14ac:dyDescent="0.25">
      <c r="A226" s="142">
        <v>44449</v>
      </c>
      <c r="B226" s="81" t="s">
        <v>41</v>
      </c>
      <c r="C226" s="129" t="str">
        <f t="shared" si="7"/>
        <v>10.09.2021_BRAohBo</v>
      </c>
      <c r="D226" s="143">
        <f t="shared" si="8"/>
        <v>0</v>
      </c>
      <c r="E226" s="144">
        <v>2.9595520904191298E-2</v>
      </c>
      <c r="F226" s="145">
        <v>5.746600885863648E-2</v>
      </c>
      <c r="G226" s="146">
        <v>5.2187356848373792E-2</v>
      </c>
      <c r="H226" s="146">
        <v>2.7060068443804031E-2</v>
      </c>
      <c r="I226" s="147">
        <v>4.9089999999999998</v>
      </c>
      <c r="J226" s="148">
        <v>1.1575572285569096</v>
      </c>
      <c r="K226" s="149">
        <v>35</v>
      </c>
      <c r="L226" s="149">
        <v>121</v>
      </c>
      <c r="M226" s="148">
        <v>12.96</v>
      </c>
      <c r="N226" s="135"/>
    </row>
    <row r="227" spans="1:14" x14ac:dyDescent="0.25">
      <c r="A227" s="142">
        <v>44449</v>
      </c>
      <c r="B227" s="81" t="s">
        <v>43</v>
      </c>
      <c r="C227" s="129" t="str">
        <f t="shared" si="7"/>
        <v>10.09.2021_HAAob</v>
      </c>
      <c r="D227" s="143">
        <f t="shared" si="8"/>
        <v>0</v>
      </c>
      <c r="E227" s="144">
        <v>3.8844121186751082E-2</v>
      </c>
      <c r="F227" s="145">
        <v>3.7393411513009724E-3</v>
      </c>
      <c r="G227" s="146">
        <v>8.6978928080622991E-2</v>
      </c>
      <c r="H227" s="146">
        <v>4.7753061959654184E-3</v>
      </c>
      <c r="I227" s="147">
        <v>0.32900000000000001</v>
      </c>
      <c r="J227" s="148">
        <v>0.14330333983668464</v>
      </c>
      <c r="K227" s="149">
        <v>15.747999999999999</v>
      </c>
      <c r="L227" s="149">
        <v>79</v>
      </c>
      <c r="M227" s="148">
        <v>6.6139999999999999</v>
      </c>
      <c r="N227" s="135"/>
    </row>
    <row r="228" spans="1:14" x14ac:dyDescent="0.25">
      <c r="A228" s="142">
        <v>44449</v>
      </c>
      <c r="B228" s="81" t="s">
        <v>45</v>
      </c>
      <c r="C228" s="129" t="str">
        <f t="shared" si="7"/>
        <v>10.09.2021_HAAun</v>
      </c>
      <c r="D228" s="143">
        <f t="shared" si="8"/>
        <v>0</v>
      </c>
      <c r="E228" s="144">
        <v>2.5896080791167387E-2</v>
      </c>
      <c r="F228" s="145">
        <v>4.8419491798915981E-3</v>
      </c>
      <c r="G228" s="146">
        <v>0.19383875400824557</v>
      </c>
      <c r="H228" s="146">
        <v>2.3876530979827084E-2</v>
      </c>
      <c r="I228" s="147">
        <v>0.61299999999999999</v>
      </c>
      <c r="J228" s="148">
        <v>0.29624137395667094</v>
      </c>
      <c r="K228" s="149">
        <v>27</v>
      </c>
      <c r="L228" s="149">
        <v>178</v>
      </c>
      <c r="M228" s="148">
        <v>13.27</v>
      </c>
      <c r="N228" s="135"/>
    </row>
    <row r="229" spans="1:14" x14ac:dyDescent="0.25">
      <c r="A229" s="142">
        <v>44449</v>
      </c>
      <c r="B229" s="81" t="s">
        <v>47</v>
      </c>
      <c r="C229" s="129" t="str">
        <f t="shared" si="7"/>
        <v>10.09.2021_KIRob</v>
      </c>
      <c r="D229" s="143">
        <f t="shared" si="8"/>
        <v>0</v>
      </c>
      <c r="E229" s="144">
        <v>0</v>
      </c>
      <c r="F229" s="145">
        <v>1.1070877060665119E-2</v>
      </c>
      <c r="G229" s="146">
        <v>0.3404603756298672</v>
      </c>
      <c r="H229" s="146">
        <v>6.5262518011527354E-2</v>
      </c>
      <c r="I229" s="147">
        <v>2.6440000000000001</v>
      </c>
      <c r="J229" s="148">
        <v>0.88143353068144514</v>
      </c>
      <c r="K229" s="149">
        <v>32</v>
      </c>
      <c r="L229" s="149">
        <v>82</v>
      </c>
      <c r="M229" s="148">
        <v>3.4409999999999998</v>
      </c>
      <c r="N229" s="135"/>
    </row>
    <row r="230" spans="1:14" x14ac:dyDescent="0.25">
      <c r="A230" s="142">
        <v>44449</v>
      </c>
      <c r="B230" s="81" t="s">
        <v>49</v>
      </c>
      <c r="C230" s="129" t="str">
        <f t="shared" si="7"/>
        <v>10.09.2021_KIRun</v>
      </c>
      <c r="D230" s="143">
        <f t="shared" si="8"/>
        <v>0</v>
      </c>
      <c r="E230" s="144">
        <v>0</v>
      </c>
      <c r="F230" s="145">
        <v>8.8617307728983321E-3</v>
      </c>
      <c r="G230" s="146">
        <v>0.16401740723774624</v>
      </c>
      <c r="H230" s="146">
        <v>3.979421829971181E-2</v>
      </c>
      <c r="I230" s="147">
        <v>4.4669999999999996</v>
      </c>
      <c r="J230" s="148">
        <v>1.1484345163073848</v>
      </c>
      <c r="K230" s="149">
        <v>32</v>
      </c>
      <c r="L230" s="149">
        <v>85</v>
      </c>
      <c r="M230" s="148">
        <v>2.21</v>
      </c>
      <c r="N230" s="135"/>
    </row>
    <row r="231" spans="1:14" x14ac:dyDescent="0.25">
      <c r="A231" s="142">
        <v>44449</v>
      </c>
      <c r="B231" s="81" t="s">
        <v>50</v>
      </c>
      <c r="C231" s="129" t="str">
        <f t="shared" si="7"/>
        <v>10.09.2021_LIEohBo</v>
      </c>
      <c r="D231" s="143">
        <f t="shared" si="8"/>
        <v>0</v>
      </c>
      <c r="E231" s="144">
        <v>0</v>
      </c>
      <c r="F231" s="145">
        <v>4.4696899123998655E-3</v>
      </c>
      <c r="G231" s="146">
        <v>8.2008703618873094E-2</v>
      </c>
      <c r="H231" s="146">
        <v>1.7509456051873196E-2</v>
      </c>
      <c r="I231" s="147">
        <v>1.7110000000000001</v>
      </c>
      <c r="J231" s="148">
        <v>0.45547326216801154</v>
      </c>
      <c r="K231" s="149">
        <v>18.311</v>
      </c>
      <c r="L231" s="149">
        <v>70</v>
      </c>
      <c r="M231" s="148">
        <v>9.8149999999999995</v>
      </c>
      <c r="N231" s="135"/>
    </row>
    <row r="232" spans="1:14" x14ac:dyDescent="0.25">
      <c r="A232" s="142">
        <v>44449</v>
      </c>
      <c r="B232" s="81" t="s">
        <v>53</v>
      </c>
      <c r="C232" s="129" t="str">
        <f t="shared" si="7"/>
        <v>10.09.2021_NATohBo</v>
      </c>
      <c r="D232" s="143">
        <f t="shared" si="8"/>
        <v>0</v>
      </c>
      <c r="E232" s="144">
        <v>0</v>
      </c>
      <c r="F232" s="145">
        <v>4.1999999999999997E-3</v>
      </c>
      <c r="G232" s="146">
        <v>0.19</v>
      </c>
      <c r="H232" s="146">
        <v>1.7509456051873196E-2</v>
      </c>
      <c r="I232" s="147">
        <v>0.8</v>
      </c>
      <c r="J232" s="148">
        <v>0.33355985389499276</v>
      </c>
      <c r="K232" s="149">
        <v>29</v>
      </c>
      <c r="L232" s="149">
        <v>75</v>
      </c>
      <c r="M232" s="148">
        <v>11.16</v>
      </c>
      <c r="N232" s="135"/>
    </row>
    <row r="233" spans="1:14" x14ac:dyDescent="0.25">
      <c r="A233" s="142">
        <v>44449</v>
      </c>
      <c r="B233" s="81" t="s">
        <v>55</v>
      </c>
      <c r="C233" s="129" t="str">
        <f t="shared" si="7"/>
        <v>10.09.2021_QUAohBo</v>
      </c>
      <c r="D233" s="143">
        <f t="shared" si="8"/>
        <v>0</v>
      </c>
      <c r="E233" s="144">
        <v>0</v>
      </c>
      <c r="F233" s="145">
        <v>3.3757048293486954E-3</v>
      </c>
      <c r="G233" s="146">
        <v>9.4434264773247817E-2</v>
      </c>
      <c r="H233" s="146">
        <v>4.7753061959654184E-3</v>
      </c>
      <c r="I233" s="147">
        <v>0.28599999999999998</v>
      </c>
      <c r="J233" s="148">
        <v>0.13937992422514084</v>
      </c>
      <c r="K233" s="149">
        <v>16.596</v>
      </c>
      <c r="L233" s="149">
        <v>57</v>
      </c>
      <c r="M233" s="148">
        <v>6.7839999999999998</v>
      </c>
      <c r="N233" s="135"/>
    </row>
    <row r="234" spans="1:14" x14ac:dyDescent="0.25">
      <c r="A234" s="142">
        <v>44449</v>
      </c>
      <c r="B234" s="81" t="s">
        <v>57</v>
      </c>
      <c r="C234" s="129" t="str">
        <f t="shared" si="7"/>
        <v>10.09.2021_SCHohVo</v>
      </c>
      <c r="D234" s="143">
        <f t="shared" si="8"/>
        <v>0</v>
      </c>
      <c r="E234" s="144">
        <v>0</v>
      </c>
      <c r="F234" s="145">
        <v>2.9377822406321509E-2</v>
      </c>
      <c r="G234" s="146">
        <v>0.12922583600549703</v>
      </c>
      <c r="H234" s="146">
        <v>1.4325918587896254E-2</v>
      </c>
      <c r="I234" s="147">
        <v>1.5469999999999999</v>
      </c>
      <c r="J234" s="148">
        <v>0.45412498531399337</v>
      </c>
      <c r="K234" s="149">
        <v>15.941000000000001</v>
      </c>
      <c r="L234" s="149">
        <v>27.207999999999998</v>
      </c>
      <c r="M234" s="148">
        <v>7.1970000000000001</v>
      </c>
      <c r="N234" s="135"/>
    </row>
    <row r="235" spans="1:14" x14ac:dyDescent="0.25">
      <c r="A235" s="142">
        <v>44449</v>
      </c>
      <c r="B235" s="81" t="s">
        <v>60</v>
      </c>
      <c r="C235" s="129" t="str">
        <f t="shared" si="7"/>
        <v>10.09.2021_VORohBo</v>
      </c>
      <c r="D235" s="143">
        <f t="shared" si="8"/>
        <v>0</v>
      </c>
      <c r="E235" s="144">
        <v>0</v>
      </c>
      <c r="F235" s="145">
        <v>8.7268561237868938E-3</v>
      </c>
      <c r="G235" s="146">
        <v>0.22863032524049473</v>
      </c>
      <c r="H235" s="146">
        <v>9.5506123919308367E-3</v>
      </c>
      <c r="I235" s="147">
        <v>0.84</v>
      </c>
      <c r="J235" s="148">
        <v>0.37016764518871503</v>
      </c>
      <c r="K235" s="149">
        <v>12.912000000000001</v>
      </c>
      <c r="L235" s="149">
        <v>131</v>
      </c>
      <c r="M235" s="148">
        <v>2.9220000000000002</v>
      </c>
      <c r="N235" s="135"/>
    </row>
    <row r="236" spans="1:14" x14ac:dyDescent="0.25">
      <c r="A236" s="142">
        <v>44449</v>
      </c>
      <c r="B236" s="81" t="s">
        <v>62</v>
      </c>
      <c r="C236" s="129" t="str">
        <f t="shared" si="7"/>
        <v>10.09.2021_VORuhSc</v>
      </c>
      <c r="D236" s="143">
        <f t="shared" si="8"/>
        <v>0</v>
      </c>
      <c r="E236" s="144">
        <v>0</v>
      </c>
      <c r="F236" s="145">
        <v>8.4126372973151887E-3</v>
      </c>
      <c r="G236" s="146">
        <v>0.22863032524049473</v>
      </c>
      <c r="H236" s="146">
        <v>3.1835374639769447E-3</v>
      </c>
      <c r="I236" s="147">
        <v>1.5609999999999999</v>
      </c>
      <c r="J236" s="148">
        <v>0.53108145922689942</v>
      </c>
      <c r="K236" s="149">
        <v>15.696</v>
      </c>
      <c r="L236" s="149">
        <v>132</v>
      </c>
      <c r="M236" s="148">
        <v>2.6080000000000001</v>
      </c>
      <c r="N236" s="135"/>
    </row>
    <row r="237" spans="1:14" x14ac:dyDescent="0.25">
      <c r="A237" s="142">
        <v>44449</v>
      </c>
      <c r="B237" s="81" t="s">
        <v>64</v>
      </c>
      <c r="C237" s="129" t="str">
        <f t="shared" si="7"/>
        <v>10.09.2021_WITob</v>
      </c>
      <c r="D237" s="143">
        <f t="shared" si="8"/>
        <v>0</v>
      </c>
      <c r="E237" s="144">
        <v>0</v>
      </c>
      <c r="F237" s="145">
        <v>3.5297299442274555E-3</v>
      </c>
      <c r="G237" s="146">
        <v>2.9821346770499323E-2</v>
      </c>
      <c r="H237" s="146">
        <v>1.5917687319884739E-3</v>
      </c>
      <c r="I237" s="147">
        <v>0.3</v>
      </c>
      <c r="J237" s="148">
        <v>9.1401591544278904E-2</v>
      </c>
      <c r="K237" s="149">
        <v>38</v>
      </c>
      <c r="L237" s="149">
        <v>142</v>
      </c>
      <c r="M237" s="148">
        <v>8.6630000000000003</v>
      </c>
      <c r="N237" s="135"/>
    </row>
    <row r="238" spans="1:14" x14ac:dyDescent="0.25">
      <c r="A238" s="142">
        <v>44463</v>
      </c>
      <c r="B238" s="81" t="s">
        <v>22</v>
      </c>
      <c r="C238" s="129" t="str">
        <f t="shared" si="7"/>
        <v>24.09.2021_BOYkl</v>
      </c>
      <c r="D238" s="143">
        <f t="shared" si="8"/>
        <v>0</v>
      </c>
      <c r="E238" s="144">
        <v>1.8497200565119561E-2</v>
      </c>
      <c r="F238" s="145">
        <v>2.1731458991976994E-3</v>
      </c>
      <c r="G238" s="146">
        <v>-2.4851122308749449E-3</v>
      </c>
      <c r="H238" s="146">
        <v>1.1142381123919305E-2</v>
      </c>
      <c r="I238" s="147">
        <v>27.111999999999998</v>
      </c>
      <c r="J238" s="148">
        <v>6.1252500731370247</v>
      </c>
      <c r="K238" s="149">
        <v>29</v>
      </c>
      <c r="L238" s="149">
        <v>47.637</v>
      </c>
      <c r="M238" s="148">
        <v>6.1989999999999998</v>
      </c>
      <c r="N238" s="135"/>
    </row>
    <row r="239" spans="1:14" x14ac:dyDescent="0.25">
      <c r="A239" s="142">
        <v>44463</v>
      </c>
      <c r="B239" s="81" t="s">
        <v>25</v>
      </c>
      <c r="C239" s="129" t="str">
        <f t="shared" si="7"/>
        <v>24.09.2021_BOYohB224</v>
      </c>
      <c r="D239" s="143">
        <f t="shared" si="8"/>
        <v>0</v>
      </c>
      <c r="E239" s="144">
        <v>0</v>
      </c>
      <c r="F239" s="145">
        <v>1.2699999999999999E-2</v>
      </c>
      <c r="G239" s="146">
        <v>0.03</v>
      </c>
      <c r="H239" s="146">
        <v>0.01</v>
      </c>
      <c r="I239" s="147">
        <v>1.1000000000000001</v>
      </c>
      <c r="J239" s="148">
        <v>0.27479619999999999</v>
      </c>
      <c r="K239" s="149">
        <v>20</v>
      </c>
      <c r="L239" s="149">
        <v>74</v>
      </c>
      <c r="M239" s="148">
        <v>6.3140000000000001</v>
      </c>
      <c r="N239" s="135"/>
    </row>
    <row r="240" spans="1:14" x14ac:dyDescent="0.25">
      <c r="A240" s="142">
        <v>44463</v>
      </c>
      <c r="B240" s="81" t="s">
        <v>28</v>
      </c>
      <c r="C240" s="129" t="str">
        <f t="shared" si="7"/>
        <v>24.09.2021_BOYohBr</v>
      </c>
      <c r="D240" s="143">
        <f t="shared" si="8"/>
        <v>0</v>
      </c>
      <c r="E240" s="144">
        <v>0</v>
      </c>
      <c r="F240" s="145">
        <v>3.0222164216726429E-3</v>
      </c>
      <c r="G240" s="146">
        <v>3.4791571232249213E-2</v>
      </c>
      <c r="H240" s="146">
        <v>1.5917687319884726E-2</v>
      </c>
      <c r="I240" s="147">
        <v>3.0329999999999999</v>
      </c>
      <c r="J240" s="148">
        <v>0.71692515705066806</v>
      </c>
      <c r="K240" s="149">
        <v>8.1039999999999992</v>
      </c>
      <c r="L240" s="149">
        <v>41.993000000000002</v>
      </c>
      <c r="M240" s="148">
        <v>6.0110000000000001</v>
      </c>
      <c r="N240" s="135"/>
    </row>
    <row r="241" spans="1:14" x14ac:dyDescent="0.25">
      <c r="A241" s="142">
        <v>44463</v>
      </c>
      <c r="B241" s="81" t="s">
        <v>30</v>
      </c>
      <c r="C241" s="129" t="str">
        <f t="shared" si="7"/>
        <v>24.09.2021_BOYohKi</v>
      </c>
      <c r="D241" s="143">
        <f t="shared" si="8"/>
        <v>0</v>
      </c>
      <c r="E241" s="144">
        <v>8.3237402543038019E-2</v>
      </c>
      <c r="F241" s="145">
        <v>1.6128337702206185E-2</v>
      </c>
      <c r="G241" s="146">
        <v>2.9821346770499323E-2</v>
      </c>
      <c r="H241" s="146">
        <v>7.9588436599423631E-3</v>
      </c>
      <c r="I241" s="147">
        <v>5.6950000000000003</v>
      </c>
      <c r="J241" s="148">
        <v>1.3119086975060945</v>
      </c>
      <c r="K241" s="149">
        <v>42</v>
      </c>
      <c r="L241" s="149">
        <v>150</v>
      </c>
      <c r="M241" s="148">
        <v>6.8710000000000004</v>
      </c>
      <c r="N241" s="135"/>
    </row>
    <row r="242" spans="1:14" x14ac:dyDescent="0.25">
      <c r="A242" s="142">
        <v>44463</v>
      </c>
      <c r="B242" s="81" t="s">
        <v>32</v>
      </c>
      <c r="C242" s="129" t="str">
        <f t="shared" si="7"/>
        <v>24.09.2021_BOYohSp</v>
      </c>
      <c r="D242" s="143">
        <f t="shared" si="8"/>
        <v>0</v>
      </c>
      <c r="E242" s="144">
        <v>0</v>
      </c>
      <c r="F242" s="145">
        <v>3.6051242676747061E-3</v>
      </c>
      <c r="G242" s="146">
        <v>9.9404489234997621E-3</v>
      </c>
      <c r="H242" s="146">
        <v>1.1142381123919305E-2</v>
      </c>
      <c r="I242" s="147">
        <v>3.6</v>
      </c>
      <c r="J242" s="148">
        <v>0.8242429571177855</v>
      </c>
      <c r="K242" s="149">
        <v>16.454999999999998</v>
      </c>
      <c r="L242" s="149">
        <v>44.195999999999998</v>
      </c>
      <c r="M242" s="148">
        <v>5.3620000000000001</v>
      </c>
      <c r="N242" s="135"/>
    </row>
    <row r="243" spans="1:14" x14ac:dyDescent="0.25">
      <c r="A243" s="142">
        <v>44463</v>
      </c>
      <c r="B243" s="81" t="s">
        <v>36</v>
      </c>
      <c r="C243" s="129" t="str">
        <f t="shared" si="7"/>
        <v>24.09.2021_BOYuhSp</v>
      </c>
      <c r="D243" s="143">
        <f t="shared" si="8"/>
        <v>0</v>
      </c>
      <c r="E243" s="144">
        <v>0</v>
      </c>
      <c r="F243" s="145">
        <v>2.9635836644694488E-3</v>
      </c>
      <c r="G243" s="146">
        <v>9.9404489234997621E-3</v>
      </c>
      <c r="H243" s="146">
        <v>1.5917687319884739E-3</v>
      </c>
      <c r="I243" s="147">
        <v>3.9119999999999999</v>
      </c>
      <c r="J243" s="148">
        <v>0.8918067131750621</v>
      </c>
      <c r="K243" s="149">
        <v>18.431000000000001</v>
      </c>
      <c r="L243" s="149">
        <v>56</v>
      </c>
      <c r="M243" s="148">
        <v>6.907</v>
      </c>
      <c r="N243" s="135"/>
    </row>
    <row r="244" spans="1:14" x14ac:dyDescent="0.25">
      <c r="A244" s="142">
        <v>44463</v>
      </c>
      <c r="B244" s="81" t="s">
        <v>38</v>
      </c>
      <c r="C244" s="129" t="str">
        <f t="shared" si="7"/>
        <v>24.09.2021_BRAob</v>
      </c>
      <c r="D244" s="143">
        <f t="shared" si="8"/>
        <v>0</v>
      </c>
      <c r="E244" s="144">
        <v>0</v>
      </c>
      <c r="F244" s="145">
        <v>3.1519762078322153E-3</v>
      </c>
      <c r="G244" s="146">
        <v>8.449381584974805E-2</v>
      </c>
      <c r="H244" s="146">
        <v>1.5917687319884726E-2</v>
      </c>
      <c r="I244" s="147">
        <v>2.492</v>
      </c>
      <c r="J244" s="148">
        <v>0.6333227829737097</v>
      </c>
      <c r="K244" s="149">
        <v>45</v>
      </c>
      <c r="L244" s="149">
        <v>149</v>
      </c>
      <c r="M244" s="148">
        <v>6.774</v>
      </c>
      <c r="N244" s="135"/>
    </row>
    <row r="245" spans="1:14" x14ac:dyDescent="0.25">
      <c r="A245" s="142">
        <v>44463</v>
      </c>
      <c r="B245" s="81" t="s">
        <v>41</v>
      </c>
      <c r="C245" s="129" t="str">
        <f t="shared" si="7"/>
        <v>24.09.2021_BRAohBo</v>
      </c>
      <c r="D245" s="143">
        <f t="shared" si="8"/>
        <v>0</v>
      </c>
      <c r="E245" s="144">
        <v>6.2890481921406519E-2</v>
      </c>
      <c r="F245" s="145">
        <v>1.5468942529413352E-3</v>
      </c>
      <c r="G245" s="146">
        <v>7.455336692624835E-3</v>
      </c>
      <c r="H245" s="146">
        <v>7.9588436599423631E-3</v>
      </c>
      <c r="I245" s="147">
        <v>4.6230000000000002</v>
      </c>
      <c r="J245" s="148">
        <v>1.0524090743407255</v>
      </c>
      <c r="K245" s="149">
        <v>38.148000000000003</v>
      </c>
      <c r="L245" s="149">
        <v>114</v>
      </c>
      <c r="M245" s="148">
        <v>8.3170000000000002</v>
      </c>
      <c r="N245" s="135"/>
    </row>
    <row r="246" spans="1:14" x14ac:dyDescent="0.25">
      <c r="A246" s="142">
        <v>44463</v>
      </c>
      <c r="B246" s="81" t="s">
        <v>43</v>
      </c>
      <c r="C246" s="129" t="str">
        <f t="shared" si="7"/>
        <v>24.09.2021_HAAob</v>
      </c>
      <c r="D246" s="143">
        <f t="shared" si="8"/>
        <v>0</v>
      </c>
      <c r="E246" s="144">
        <v>0</v>
      </c>
      <c r="F246" s="145">
        <v>2.0024845534882266E-2</v>
      </c>
      <c r="G246" s="146">
        <v>0</v>
      </c>
      <c r="H246" s="146">
        <v>-1.5917687319884711E-3</v>
      </c>
      <c r="I246" s="147">
        <v>0.23400000000000001</v>
      </c>
      <c r="J246" s="148">
        <v>5.236896600954611E-2</v>
      </c>
      <c r="K246" s="149">
        <v>25.088000000000001</v>
      </c>
      <c r="L246" s="149">
        <v>119</v>
      </c>
      <c r="M246" s="148">
        <v>7.2789999999999999</v>
      </c>
      <c r="N246" s="135"/>
    </row>
    <row r="247" spans="1:14" x14ac:dyDescent="0.25">
      <c r="A247" s="142">
        <v>44463</v>
      </c>
      <c r="B247" s="81" t="s">
        <v>45</v>
      </c>
      <c r="C247" s="129" t="str">
        <f t="shared" si="7"/>
        <v>24.09.2021_HAAun</v>
      </c>
      <c r="D247" s="143">
        <f t="shared" si="8"/>
        <v>0</v>
      </c>
      <c r="E247" s="144">
        <v>0</v>
      </c>
      <c r="F247" s="145">
        <v>1.7292026291895076E-2</v>
      </c>
      <c r="G247" s="146">
        <v>3.9761795693999069E-2</v>
      </c>
      <c r="H247" s="146">
        <v>1.5917687319884739E-3</v>
      </c>
      <c r="I247" s="147">
        <v>0.58899999999999997</v>
      </c>
      <c r="J247" s="148">
        <v>0.16439668072888719</v>
      </c>
      <c r="K247" s="149">
        <v>26</v>
      </c>
      <c r="L247" s="149">
        <v>223</v>
      </c>
      <c r="M247" s="148">
        <v>6.2290000000000001</v>
      </c>
      <c r="N247" s="135"/>
    </row>
    <row r="248" spans="1:14" x14ac:dyDescent="0.25">
      <c r="A248" s="142">
        <v>44463</v>
      </c>
      <c r="B248" s="81" t="s">
        <v>47</v>
      </c>
      <c r="C248" s="129" t="str">
        <f t="shared" si="7"/>
        <v>24.09.2021_KIRob</v>
      </c>
      <c r="D248" s="143">
        <f t="shared" si="8"/>
        <v>0</v>
      </c>
      <c r="E248" s="144">
        <v>0</v>
      </c>
      <c r="F248" s="145">
        <v>1.2347763490640647E-3</v>
      </c>
      <c r="G248" s="146">
        <v>0.14910673385249659</v>
      </c>
      <c r="H248" s="146">
        <v>5.2528368155619592E-2</v>
      </c>
      <c r="I248" s="147">
        <v>7.3620000000000001</v>
      </c>
      <c r="J248" s="148">
        <v>1.7946270894541034</v>
      </c>
      <c r="K248" s="149">
        <v>112</v>
      </c>
      <c r="L248" s="149">
        <v>197</v>
      </c>
      <c r="M248" s="148">
        <v>8.2750000000000004</v>
      </c>
      <c r="N248" s="135"/>
    </row>
    <row r="249" spans="1:14" x14ac:dyDescent="0.25">
      <c r="A249" s="142">
        <v>44463</v>
      </c>
      <c r="B249" s="81" t="s">
        <v>49</v>
      </c>
      <c r="C249" s="129" t="str">
        <f t="shared" si="7"/>
        <v>24.09.2021_KIRun</v>
      </c>
      <c r="D249" s="143">
        <f t="shared" si="8"/>
        <v>0</v>
      </c>
      <c r="E249" s="144">
        <v>0</v>
      </c>
      <c r="F249" s="145">
        <v>1.1332644816508214E-3</v>
      </c>
      <c r="G249" s="146">
        <v>1.4910673385249653E-2</v>
      </c>
      <c r="H249" s="146">
        <v>1.5917687319884726E-2</v>
      </c>
      <c r="I249" s="147">
        <v>3.53</v>
      </c>
      <c r="J249" s="148">
        <v>0.81374522868145127</v>
      </c>
      <c r="K249" s="149">
        <v>51</v>
      </c>
      <c r="L249" s="149">
        <v>155</v>
      </c>
      <c r="M249" s="148">
        <v>6.7380000000000004</v>
      </c>
      <c r="N249" s="135"/>
    </row>
    <row r="250" spans="1:14" x14ac:dyDescent="0.25">
      <c r="A250" s="142">
        <v>44463</v>
      </c>
      <c r="B250" s="81" t="s">
        <v>50</v>
      </c>
      <c r="C250" s="129" t="str">
        <f t="shared" si="7"/>
        <v>24.09.2021_LIEohBo</v>
      </c>
      <c r="D250" s="143">
        <f t="shared" si="8"/>
        <v>0</v>
      </c>
      <c r="E250" s="144">
        <v>0</v>
      </c>
      <c r="F250" s="145">
        <v>9.5058173539516698E-3</v>
      </c>
      <c r="G250" s="146">
        <v>4.9702244617498897E-3</v>
      </c>
      <c r="H250" s="146">
        <v>1.1142381123919305E-2</v>
      </c>
      <c r="I250" s="147">
        <v>1.9219999999999999</v>
      </c>
      <c r="J250" s="148">
        <v>0.44137376752548135</v>
      </c>
      <c r="K250" s="149">
        <v>13.317</v>
      </c>
      <c r="L250" s="149">
        <v>65</v>
      </c>
      <c r="M250" s="148">
        <v>8.25</v>
      </c>
      <c r="N250" s="135"/>
    </row>
    <row r="251" spans="1:14" x14ac:dyDescent="0.25">
      <c r="A251" s="142">
        <v>44463</v>
      </c>
      <c r="B251" s="81" t="s">
        <v>53</v>
      </c>
      <c r="C251" s="129" t="str">
        <f t="shared" si="7"/>
        <v>24.09.2021_NATohBo</v>
      </c>
      <c r="D251" s="143">
        <f t="shared" si="8"/>
        <v>0</v>
      </c>
      <c r="E251" s="144">
        <v>0</v>
      </c>
      <c r="F251" s="145">
        <v>1.0200000000000001E-2</v>
      </c>
      <c r="G251" s="146">
        <v>0.05</v>
      </c>
      <c r="H251" s="146">
        <v>0</v>
      </c>
      <c r="I251" s="147">
        <v>0.9</v>
      </c>
      <c r="J251" s="148">
        <v>0.2421075</v>
      </c>
      <c r="K251" s="149">
        <v>58</v>
      </c>
      <c r="L251" s="149">
        <v>201</v>
      </c>
      <c r="M251" s="148">
        <v>6.2430000000000003</v>
      </c>
      <c r="N251" s="135"/>
    </row>
    <row r="252" spans="1:14" x14ac:dyDescent="0.25">
      <c r="A252" s="142">
        <v>44463</v>
      </c>
      <c r="B252" s="81" t="s">
        <v>55</v>
      </c>
      <c r="C252" s="129" t="str">
        <f t="shared" si="7"/>
        <v>24.09.2021_QUAohBo</v>
      </c>
      <c r="D252" s="143">
        <f t="shared" si="8"/>
        <v>0</v>
      </c>
      <c r="E252" s="144">
        <v>0</v>
      </c>
      <c r="F252" s="145">
        <v>9.5386499963036088E-3</v>
      </c>
      <c r="G252" s="146">
        <v>3.9761795693999069E-2</v>
      </c>
      <c r="H252" s="146">
        <v>7.9588436599423631E-3</v>
      </c>
      <c r="I252" s="147">
        <v>0.44500000000000001</v>
      </c>
      <c r="J252" s="148">
        <v>0.13380985669070278</v>
      </c>
      <c r="K252" s="149">
        <v>14.66</v>
      </c>
      <c r="L252" s="149">
        <v>55</v>
      </c>
      <c r="M252" s="148">
        <v>7.0579999999999998</v>
      </c>
      <c r="N252" s="135"/>
    </row>
    <row r="253" spans="1:14" x14ac:dyDescent="0.25">
      <c r="A253" s="142">
        <v>44463</v>
      </c>
      <c r="B253" s="81" t="s">
        <v>57</v>
      </c>
      <c r="C253" s="129" t="str">
        <f t="shared" si="7"/>
        <v>24.09.2021_SCHohVo</v>
      </c>
      <c r="D253" s="143">
        <f t="shared" si="8"/>
        <v>0</v>
      </c>
      <c r="E253" s="144">
        <v>0</v>
      </c>
      <c r="F253" s="145">
        <v>2.9661034625967277E-3</v>
      </c>
      <c r="G253" s="146">
        <v>4.473202015574896E-2</v>
      </c>
      <c r="H253" s="146">
        <v>6.3670749279538894E-3</v>
      </c>
      <c r="I253" s="147">
        <v>1.2170000000000001</v>
      </c>
      <c r="J253" s="148">
        <v>0.31155621229255309</v>
      </c>
      <c r="K253" s="149">
        <v>37</v>
      </c>
      <c r="L253" s="149">
        <v>63</v>
      </c>
      <c r="M253" s="148">
        <v>13.24</v>
      </c>
      <c r="N253" s="135"/>
    </row>
    <row r="254" spans="1:14" x14ac:dyDescent="0.25">
      <c r="A254" s="142">
        <v>44463</v>
      </c>
      <c r="B254" s="81" t="s">
        <v>60</v>
      </c>
      <c r="C254" s="129" t="str">
        <f t="shared" si="7"/>
        <v>24.09.2021_VORohBo</v>
      </c>
      <c r="D254" s="143">
        <f t="shared" si="8"/>
        <v>0</v>
      </c>
      <c r="E254" s="144">
        <v>0</v>
      </c>
      <c r="F254" s="145">
        <v>1.6741767830199331E-3</v>
      </c>
      <c r="G254" s="146">
        <v>0.23360054970224461</v>
      </c>
      <c r="H254" s="146">
        <v>2.3876530979827084E-2</v>
      </c>
      <c r="I254" s="147">
        <v>1.3320000000000001</v>
      </c>
      <c r="J254" s="148">
        <v>0.48951654069510431</v>
      </c>
      <c r="K254" s="149">
        <v>41</v>
      </c>
      <c r="L254" s="149">
        <v>204</v>
      </c>
      <c r="M254" s="148">
        <v>7.6950000000000003</v>
      </c>
      <c r="N254" s="135"/>
    </row>
    <row r="255" spans="1:14" x14ac:dyDescent="0.25">
      <c r="A255" s="142">
        <v>44463</v>
      </c>
      <c r="B255" s="81" t="s">
        <v>62</v>
      </c>
      <c r="C255" s="129" t="str">
        <f t="shared" si="7"/>
        <v>24.09.2021_VORuhSc</v>
      </c>
      <c r="D255" s="143">
        <f t="shared" si="8"/>
        <v>0</v>
      </c>
      <c r="E255" s="144">
        <v>0</v>
      </c>
      <c r="F255" s="145">
        <v>1.8650662172542761E-3</v>
      </c>
      <c r="G255" s="146">
        <v>0.13171094823637197</v>
      </c>
      <c r="H255" s="146">
        <v>1.5917687319884726E-2</v>
      </c>
      <c r="I255" s="147">
        <v>0.436</v>
      </c>
      <c r="J255" s="148">
        <v>0.20559769410059936</v>
      </c>
      <c r="K255" s="149">
        <v>35</v>
      </c>
      <c r="L255" s="149">
        <v>168</v>
      </c>
      <c r="M255" s="148">
        <v>7.3979999999999997</v>
      </c>
      <c r="N255" s="135"/>
    </row>
    <row r="256" spans="1:14" x14ac:dyDescent="0.25">
      <c r="A256" s="142">
        <v>44463</v>
      </c>
      <c r="B256" s="81" t="s">
        <v>64</v>
      </c>
      <c r="C256" s="129" t="str">
        <f t="shared" si="7"/>
        <v>24.09.2021_WITob</v>
      </c>
      <c r="D256" s="143">
        <f t="shared" si="8"/>
        <v>0</v>
      </c>
      <c r="E256" s="144">
        <v>0</v>
      </c>
      <c r="F256" s="145">
        <v>7.5953129587788626E-3</v>
      </c>
      <c r="G256" s="146">
        <v>-4.9702244617498897E-3</v>
      </c>
      <c r="H256" s="146">
        <v>1.5917687319884739E-3</v>
      </c>
      <c r="I256" s="147">
        <v>0.22800000000000001</v>
      </c>
      <c r="J256" s="148">
        <v>4.8123644398149722E-2</v>
      </c>
      <c r="K256" s="149">
        <v>47</v>
      </c>
      <c r="L256" s="149">
        <v>184</v>
      </c>
      <c r="M256" s="148">
        <v>6.6589999999999998</v>
      </c>
      <c r="N256" s="135"/>
    </row>
    <row r="257" spans="1:14" x14ac:dyDescent="0.25">
      <c r="A257" s="142">
        <v>44477</v>
      </c>
      <c r="B257" s="81" t="s">
        <v>22</v>
      </c>
      <c r="C257" s="129" t="str">
        <f t="shared" si="7"/>
        <v>08.10.2021_BOYkl</v>
      </c>
      <c r="D257" s="143">
        <f t="shared" si="8"/>
        <v>0</v>
      </c>
      <c r="E257" s="144">
        <v>2.1022555252800477E-2</v>
      </c>
      <c r="F257" s="145">
        <v>3.7912895219861631E-2</v>
      </c>
      <c r="G257" s="146">
        <v>3.6123217847381255E-2</v>
      </c>
      <c r="H257" s="146">
        <v>1.8823216187433441E-2</v>
      </c>
      <c r="I257" s="147">
        <v>15.632</v>
      </c>
      <c r="J257" s="148">
        <v>3.5645798855945769</v>
      </c>
      <c r="K257" s="149">
        <v>13.611000000000001</v>
      </c>
      <c r="L257" s="149">
        <v>33</v>
      </c>
      <c r="M257" s="148">
        <v>17.07</v>
      </c>
      <c r="N257" s="135"/>
    </row>
    <row r="258" spans="1:14" x14ac:dyDescent="0.25">
      <c r="A258" s="142">
        <v>44477</v>
      </c>
      <c r="B258" s="81" t="s">
        <v>25</v>
      </c>
      <c r="C258" s="129" t="str">
        <f t="shared" si="7"/>
        <v>08.10.2021_BOYohB224</v>
      </c>
      <c r="D258" s="143">
        <f t="shared" si="8"/>
        <v>0</v>
      </c>
      <c r="E258" s="144">
        <v>0</v>
      </c>
      <c r="F258" s="145">
        <v>2.2539178185150745E-2</v>
      </c>
      <c r="G258" s="146">
        <v>1.71</v>
      </c>
      <c r="H258" s="146">
        <v>0.01</v>
      </c>
      <c r="I258" s="147">
        <v>1.7</v>
      </c>
      <c r="J258" s="148">
        <v>1.7148213999999999</v>
      </c>
      <c r="K258" s="149">
        <v>18</v>
      </c>
      <c r="L258" s="149">
        <v>52</v>
      </c>
      <c r="M258" s="148">
        <v>12.67</v>
      </c>
      <c r="N258" s="135"/>
    </row>
    <row r="259" spans="1:14" x14ac:dyDescent="0.25">
      <c r="A259" s="142">
        <v>44477</v>
      </c>
      <c r="B259" s="81" t="s">
        <v>28</v>
      </c>
      <c r="C259" s="129" t="str">
        <f t="shared" si="7"/>
        <v>08.10.2021_BOYohBr</v>
      </c>
      <c r="D259" s="143">
        <f t="shared" si="8"/>
        <v>0</v>
      </c>
      <c r="E259" s="144">
        <v>2.6755979412655156E-2</v>
      </c>
      <c r="F259" s="145">
        <v>3.6239824580329108E-2</v>
      </c>
      <c r="G259" s="146">
        <v>0.15412572948216002</v>
      </c>
      <c r="H259" s="146">
        <v>7.3724263400780976E-2</v>
      </c>
      <c r="I259" s="147">
        <v>13.651999999999999</v>
      </c>
      <c r="J259" s="148">
        <v>3.22569967967797</v>
      </c>
      <c r="K259" s="149">
        <v>32.250999999999998</v>
      </c>
      <c r="L259" s="149">
        <v>78</v>
      </c>
      <c r="M259" s="148">
        <v>28.38</v>
      </c>
      <c r="N259" s="135"/>
    </row>
    <row r="260" spans="1:14" x14ac:dyDescent="0.25">
      <c r="A260" s="142">
        <v>44477</v>
      </c>
      <c r="B260" s="81" t="s">
        <v>30</v>
      </c>
      <c r="C260" s="129" t="str">
        <f t="shared" si="7"/>
        <v>08.10.2021_BOYohKi</v>
      </c>
      <c r="D260" s="143">
        <f t="shared" si="8"/>
        <v>0</v>
      </c>
      <c r="E260" s="144">
        <v>2.1022555252800477E-2</v>
      </c>
      <c r="F260" s="145">
        <v>2.7817273079428315E-2</v>
      </c>
      <c r="G260" s="146">
        <v>4.5756075940016266E-2</v>
      </c>
      <c r="H260" s="146">
        <v>2.039181753638623E-2</v>
      </c>
      <c r="I260" s="147">
        <v>4.1959999999999997</v>
      </c>
      <c r="J260" s="148">
        <v>0.98948794425561593</v>
      </c>
      <c r="K260" s="149">
        <v>25.599</v>
      </c>
      <c r="L260" s="149">
        <v>88</v>
      </c>
      <c r="M260" s="148">
        <v>13.5</v>
      </c>
      <c r="N260" s="135"/>
    </row>
    <row r="261" spans="1:14" x14ac:dyDescent="0.25">
      <c r="A261" s="142">
        <v>44477</v>
      </c>
      <c r="B261" s="81" t="s">
        <v>32</v>
      </c>
      <c r="C261" s="129" t="str">
        <f t="shared" ref="C261:C324" si="9">CONCATENATE(TEXT(A261,"TT.MM.JJJJ"),"_",B261)</f>
        <v>08.10.2021_BOYohSp</v>
      </c>
      <c r="D261" s="143">
        <f t="shared" ref="D261:D324" si="10">COUNTBLANK(E261:L261)</f>
        <v>0</v>
      </c>
      <c r="E261" s="144">
        <v>2.1022555252800477E-2</v>
      </c>
      <c r="F261" s="145">
        <v>3.3926517759196036E-2</v>
      </c>
      <c r="G261" s="146">
        <v>9.6328580926350035E-2</v>
      </c>
      <c r="H261" s="146">
        <v>4.2352236421725246E-2</v>
      </c>
      <c r="I261" s="147">
        <v>10.731999999999999</v>
      </c>
      <c r="J261" s="148">
        <v>2.5117291581820953</v>
      </c>
      <c r="K261" s="149">
        <v>33</v>
      </c>
      <c r="L261" s="149">
        <v>100</v>
      </c>
      <c r="M261" s="148">
        <v>13.23</v>
      </c>
      <c r="N261" s="135"/>
    </row>
    <row r="262" spans="1:14" x14ac:dyDescent="0.25">
      <c r="A262" s="142">
        <v>44477</v>
      </c>
      <c r="B262" s="81" t="s">
        <v>36</v>
      </c>
      <c r="C262" s="129" t="str">
        <f t="shared" si="9"/>
        <v>08.10.2021_BOYuhSp</v>
      </c>
      <c r="D262" s="143">
        <f t="shared" si="10"/>
        <v>0</v>
      </c>
      <c r="E262" s="144">
        <v>1.7200272479564026E-2</v>
      </c>
      <c r="F262" s="145">
        <v>3.2512433003641775E-2</v>
      </c>
      <c r="G262" s="146">
        <v>1.4449287138952514E-2</v>
      </c>
      <c r="H262" s="146">
        <v>3.2940628328008523E-2</v>
      </c>
      <c r="I262" s="147">
        <v>4.4420000000000002</v>
      </c>
      <c r="J262" s="148">
        <v>1.0245630412649875</v>
      </c>
      <c r="K262" s="149">
        <v>18.146999999999998</v>
      </c>
      <c r="L262" s="149">
        <v>52</v>
      </c>
      <c r="M262" s="148">
        <v>11.47</v>
      </c>
      <c r="N262" s="135"/>
    </row>
    <row r="263" spans="1:14" x14ac:dyDescent="0.25">
      <c r="A263" s="142">
        <v>44477</v>
      </c>
      <c r="B263" s="81" t="s">
        <v>38</v>
      </c>
      <c r="C263" s="129" t="str">
        <f t="shared" si="9"/>
        <v>08.10.2021_BRAob</v>
      </c>
      <c r="D263" s="143">
        <f t="shared" si="10"/>
        <v>0</v>
      </c>
      <c r="E263" s="144">
        <v>0</v>
      </c>
      <c r="F263" s="145">
        <v>2.0985977002502508E-2</v>
      </c>
      <c r="G263" s="146">
        <v>7.2246435694762509E-2</v>
      </c>
      <c r="H263" s="146">
        <v>3.7646432374866888E-2</v>
      </c>
      <c r="I263" s="147">
        <v>1.5349999999999999</v>
      </c>
      <c r="J263" s="148">
        <v>0.4142705411891543</v>
      </c>
      <c r="K263" s="149">
        <v>36</v>
      </c>
      <c r="L263" s="149">
        <v>120</v>
      </c>
      <c r="M263" s="148">
        <v>13.11</v>
      </c>
      <c r="N263" s="135"/>
    </row>
    <row r="264" spans="1:14" x14ac:dyDescent="0.25">
      <c r="A264" s="142">
        <v>44477</v>
      </c>
      <c r="B264" s="81" t="s">
        <v>41</v>
      </c>
      <c r="C264" s="129" t="str">
        <f t="shared" si="9"/>
        <v>08.10.2021_BRAohBo</v>
      </c>
      <c r="D264" s="143">
        <f t="shared" si="10"/>
        <v>0</v>
      </c>
      <c r="E264" s="144">
        <v>3.2489403572509831E-2</v>
      </c>
      <c r="F264" s="145">
        <v>4.8972818010012721E-2</v>
      </c>
      <c r="G264" s="146">
        <v>6.7430006648445007E-2</v>
      </c>
      <c r="H264" s="146">
        <v>2.196041888533902E-2</v>
      </c>
      <c r="I264" s="147">
        <v>2.246</v>
      </c>
      <c r="J264" s="148">
        <v>0.56634859539209248</v>
      </c>
      <c r="K264" s="149">
        <v>16.757999999999999</v>
      </c>
      <c r="L264" s="149">
        <v>57</v>
      </c>
      <c r="M264" s="148">
        <v>16.5</v>
      </c>
      <c r="N264" s="135"/>
    </row>
    <row r="265" spans="1:14" x14ac:dyDescent="0.25">
      <c r="A265" s="142">
        <v>44477</v>
      </c>
      <c r="B265" s="81" t="s">
        <v>43</v>
      </c>
      <c r="C265" s="129" t="str">
        <f t="shared" si="9"/>
        <v>08.10.2021_HAAob</v>
      </c>
      <c r="D265" s="143">
        <f t="shared" si="10"/>
        <v>0</v>
      </c>
      <c r="E265" s="144">
        <v>1.7200272479564026E-2</v>
      </c>
      <c r="F265" s="145">
        <v>2.4706551684037806E-2</v>
      </c>
      <c r="G265" s="146">
        <v>4.0939646893698757E-2</v>
      </c>
      <c r="H265" s="146">
        <v>9.4116080937167237E-3</v>
      </c>
      <c r="I265" s="147">
        <v>0.48</v>
      </c>
      <c r="J265" s="148">
        <v>0.1430721905006202</v>
      </c>
      <c r="K265" s="149">
        <v>33</v>
      </c>
      <c r="L265" s="149">
        <v>160</v>
      </c>
      <c r="M265" s="148">
        <v>15.36</v>
      </c>
      <c r="N265" s="135"/>
    </row>
    <row r="266" spans="1:14" x14ac:dyDescent="0.25">
      <c r="A266" s="142">
        <v>44477</v>
      </c>
      <c r="B266" s="81" t="s">
        <v>45</v>
      </c>
      <c r="C266" s="129" t="str">
        <f t="shared" si="9"/>
        <v>08.10.2021_HAAun</v>
      </c>
      <c r="D266" s="143">
        <f t="shared" si="10"/>
        <v>0</v>
      </c>
      <c r="E266" s="144">
        <v>1.5289131092945803E-2</v>
      </c>
      <c r="F266" s="145">
        <v>2.5349575744991464E-2</v>
      </c>
      <c r="G266" s="146">
        <v>7.7062864741080012E-2</v>
      </c>
      <c r="H266" s="146">
        <v>7.8430067447639359E-3</v>
      </c>
      <c r="I266" s="147">
        <v>0.41899999999999998</v>
      </c>
      <c r="J266" s="148">
        <v>0.15686587724624459</v>
      </c>
      <c r="K266" s="149">
        <v>21.821000000000002</v>
      </c>
      <c r="L266" s="149">
        <v>201</v>
      </c>
      <c r="M266" s="148">
        <v>13.13</v>
      </c>
      <c r="N266" s="135"/>
    </row>
    <row r="267" spans="1:14" x14ac:dyDescent="0.25">
      <c r="A267" s="142">
        <v>44477</v>
      </c>
      <c r="B267" s="81" t="s">
        <v>47</v>
      </c>
      <c r="C267" s="129" t="str">
        <f t="shared" si="9"/>
        <v>08.10.2021_KIRob</v>
      </c>
      <c r="D267" s="143">
        <f t="shared" si="10"/>
        <v>0</v>
      </c>
      <c r="E267" s="144">
        <v>0</v>
      </c>
      <c r="F267" s="145">
        <v>1.2171725334055167E-2</v>
      </c>
      <c r="G267" s="146">
        <v>0.42866218512225757</v>
      </c>
      <c r="H267" s="146">
        <v>7.8430067447639348E-2</v>
      </c>
      <c r="I267" s="147">
        <v>2.2949999999999999</v>
      </c>
      <c r="J267" s="148">
        <v>0.8751015841600156</v>
      </c>
      <c r="K267" s="149">
        <v>35</v>
      </c>
      <c r="L267" s="149">
        <v>112</v>
      </c>
      <c r="M267" s="148">
        <v>11.89</v>
      </c>
      <c r="N267" s="135"/>
    </row>
    <row r="268" spans="1:14" x14ac:dyDescent="0.25">
      <c r="A268" s="142">
        <v>44477</v>
      </c>
      <c r="B268" s="81" t="s">
        <v>49</v>
      </c>
      <c r="C268" s="129" t="str">
        <f t="shared" si="9"/>
        <v>08.10.2021_KIRun</v>
      </c>
      <c r="D268" s="143">
        <f t="shared" si="10"/>
        <v>0</v>
      </c>
      <c r="E268" s="144">
        <v>0</v>
      </c>
      <c r="F268" s="145">
        <v>1.0809758953924484E-2</v>
      </c>
      <c r="G268" s="146">
        <v>8.1879293787397514E-2</v>
      </c>
      <c r="H268" s="146">
        <v>2.980342563010295E-2</v>
      </c>
      <c r="I268" s="147">
        <v>2.4129999999999998</v>
      </c>
      <c r="J268" s="148">
        <v>0.61767641576606103</v>
      </c>
      <c r="K268" s="149">
        <v>36</v>
      </c>
      <c r="L268" s="149">
        <v>135</v>
      </c>
      <c r="M268" s="148">
        <v>15.82</v>
      </c>
      <c r="N268" s="135"/>
    </row>
    <row r="269" spans="1:14" x14ac:dyDescent="0.25">
      <c r="A269" s="142">
        <v>44477</v>
      </c>
      <c r="B269" s="81" t="s">
        <v>50</v>
      </c>
      <c r="C269" s="129" t="str">
        <f t="shared" si="9"/>
        <v>08.10.2021_LIEohBo</v>
      </c>
      <c r="D269" s="143">
        <f t="shared" si="10"/>
        <v>0</v>
      </c>
      <c r="E269" s="144">
        <v>0</v>
      </c>
      <c r="F269" s="145">
        <v>1.5269040584771109E-2</v>
      </c>
      <c r="G269" s="146">
        <v>2.1673930708428771E-2</v>
      </c>
      <c r="H269" s="146">
        <v>9.4116080937167237E-3</v>
      </c>
      <c r="I269" s="147">
        <v>2.6960000000000002</v>
      </c>
      <c r="J269" s="148">
        <v>0.62864047453991989</v>
      </c>
      <c r="K269" s="149">
        <v>14.682</v>
      </c>
      <c r="L269" s="149">
        <v>58</v>
      </c>
      <c r="M269" s="148">
        <v>13.68</v>
      </c>
      <c r="N269" s="135"/>
    </row>
    <row r="270" spans="1:14" x14ac:dyDescent="0.25">
      <c r="A270" s="142">
        <v>44477</v>
      </c>
      <c r="B270" s="81" t="s">
        <v>53</v>
      </c>
      <c r="C270" s="129" t="str">
        <f t="shared" si="9"/>
        <v>08.10.2021_NATohBo</v>
      </c>
      <c r="D270" s="143">
        <f t="shared" si="10"/>
        <v>0</v>
      </c>
      <c r="E270" s="144">
        <v>0</v>
      </c>
      <c r="F270" s="145">
        <v>1.6400000000000001E-2</v>
      </c>
      <c r="G270" s="146">
        <v>0.15</v>
      </c>
      <c r="H270" s="146">
        <v>0.02</v>
      </c>
      <c r="I270" s="147">
        <v>1.6</v>
      </c>
      <c r="J270" s="148">
        <v>0.48395450000000001</v>
      </c>
      <c r="K270" s="149">
        <v>100</v>
      </c>
      <c r="L270" s="149">
        <v>373</v>
      </c>
      <c r="M270" s="148">
        <v>19.899999999999999</v>
      </c>
      <c r="N270" s="135"/>
    </row>
    <row r="271" spans="1:14" x14ac:dyDescent="0.25">
      <c r="A271" s="142">
        <v>44477</v>
      </c>
      <c r="B271" s="81" t="s">
        <v>55</v>
      </c>
      <c r="C271" s="129" t="str">
        <f t="shared" si="9"/>
        <v>08.10.2021_QUAohBo</v>
      </c>
      <c r="D271" s="143">
        <f t="shared" si="10"/>
        <v>0</v>
      </c>
      <c r="E271" s="144">
        <v>0</v>
      </c>
      <c r="F271" s="145">
        <v>1.4933915033806538E-2</v>
      </c>
      <c r="G271" s="146">
        <v>6.7430006648445007E-2</v>
      </c>
      <c r="H271" s="146">
        <v>4.7058040468583619E-3</v>
      </c>
      <c r="I271" s="147">
        <v>2.4830000000000001</v>
      </c>
      <c r="J271" s="148">
        <v>0.61462661790451711</v>
      </c>
      <c r="K271" s="149">
        <v>38</v>
      </c>
      <c r="L271" s="149">
        <v>116</v>
      </c>
      <c r="M271" s="148">
        <v>14.8</v>
      </c>
      <c r="N271" s="135"/>
    </row>
    <row r="272" spans="1:14" x14ac:dyDescent="0.25">
      <c r="A272" s="142">
        <v>44477</v>
      </c>
      <c r="B272" s="81" t="s">
        <v>57</v>
      </c>
      <c r="C272" s="129" t="str">
        <f t="shared" si="9"/>
        <v>08.10.2021_SCHohVo</v>
      </c>
      <c r="D272" s="143">
        <f t="shared" si="10"/>
        <v>0</v>
      </c>
      <c r="E272" s="144">
        <v>2.1022555252800477E-2</v>
      </c>
      <c r="F272" s="145">
        <v>2.7861595371649662E-2</v>
      </c>
      <c r="G272" s="146">
        <v>7.4654650217921253E-2</v>
      </c>
      <c r="H272" s="146">
        <v>3.2940628328008523E-2</v>
      </c>
      <c r="I272" s="147">
        <v>1.4970000000000001</v>
      </c>
      <c r="J272" s="148">
        <v>0.40612475364217593</v>
      </c>
      <c r="K272" s="149">
        <v>20</v>
      </c>
      <c r="L272" s="149">
        <v>80</v>
      </c>
      <c r="M272" s="148">
        <v>24.36</v>
      </c>
      <c r="N272" s="135"/>
    </row>
    <row r="273" spans="1:14" x14ac:dyDescent="0.25">
      <c r="A273" s="142">
        <v>44477</v>
      </c>
      <c r="B273" s="81" t="s">
        <v>60</v>
      </c>
      <c r="C273" s="129" t="str">
        <f t="shared" si="9"/>
        <v>08.10.2021_VORohBo</v>
      </c>
      <c r="D273" s="143">
        <f t="shared" si="10"/>
        <v>0</v>
      </c>
      <c r="E273" s="144">
        <v>0</v>
      </c>
      <c r="F273" s="145">
        <v>1.2643067169162475E-2</v>
      </c>
      <c r="G273" s="146">
        <v>0.33715003324222509</v>
      </c>
      <c r="H273" s="146">
        <v>1.7254614838480654E-2</v>
      </c>
      <c r="I273" s="147">
        <v>1.159</v>
      </c>
      <c r="J273" s="148">
        <v>0.52883012679983077</v>
      </c>
      <c r="K273" s="149">
        <v>36</v>
      </c>
      <c r="L273" s="149">
        <v>186</v>
      </c>
      <c r="M273" s="148">
        <v>16.98</v>
      </c>
      <c r="N273" s="135"/>
    </row>
    <row r="274" spans="1:14" x14ac:dyDescent="0.25">
      <c r="A274" s="142">
        <v>44477</v>
      </c>
      <c r="B274" s="81" t="s">
        <v>62</v>
      </c>
      <c r="C274" s="129" t="str">
        <f t="shared" si="9"/>
        <v>08.10.2021_VORuhSc</v>
      </c>
      <c r="D274" s="143">
        <f t="shared" si="10"/>
        <v>0</v>
      </c>
      <c r="E274" s="144">
        <v>0</v>
      </c>
      <c r="F274" s="145">
        <v>1.023157959461374E-2</v>
      </c>
      <c r="G274" s="146">
        <v>0.21673930708428751</v>
      </c>
      <c r="H274" s="146">
        <v>4.7058040468583619E-3</v>
      </c>
      <c r="I274" s="147">
        <v>0.315</v>
      </c>
      <c r="J274" s="148">
        <v>0.24087763659994443</v>
      </c>
      <c r="K274" s="149">
        <v>22</v>
      </c>
      <c r="L274" s="149">
        <v>196</v>
      </c>
      <c r="M274" s="148">
        <v>17.09</v>
      </c>
      <c r="N274" s="135"/>
    </row>
    <row r="275" spans="1:14" x14ac:dyDescent="0.25">
      <c r="A275" s="142">
        <v>44477</v>
      </c>
      <c r="B275" s="81" t="s">
        <v>64</v>
      </c>
      <c r="C275" s="129" t="str">
        <f t="shared" si="9"/>
        <v>08.10.2021_WITob</v>
      </c>
      <c r="D275" s="143">
        <f t="shared" si="10"/>
        <v>0</v>
      </c>
      <c r="E275" s="144">
        <v>0</v>
      </c>
      <c r="F275" s="145">
        <v>1.0944550114057853E-2</v>
      </c>
      <c r="G275" s="146">
        <v>4.3347861416857508E-2</v>
      </c>
      <c r="H275" s="146">
        <v>6.2744053958111471E-3</v>
      </c>
      <c r="I275" s="147">
        <v>8.4000000000000005E-2</v>
      </c>
      <c r="J275" s="148">
        <v>5.4542503634330386E-2</v>
      </c>
      <c r="K275" s="149">
        <v>19.795000000000002</v>
      </c>
      <c r="L275" s="149">
        <v>127</v>
      </c>
      <c r="M275" s="148">
        <v>15.29</v>
      </c>
      <c r="N275" s="135"/>
    </row>
    <row r="276" spans="1:14" x14ac:dyDescent="0.25">
      <c r="A276" s="142">
        <v>44491</v>
      </c>
      <c r="B276" s="81" t="s">
        <v>22</v>
      </c>
      <c r="C276" s="129" t="str">
        <f t="shared" si="9"/>
        <v>22.10.2021_BOYkl</v>
      </c>
      <c r="D276" s="143">
        <f t="shared" si="10"/>
        <v>0</v>
      </c>
      <c r="E276" s="144">
        <v>4.6236469129472574E-2</v>
      </c>
      <c r="F276" s="145">
        <v>4.7081216921454984E-2</v>
      </c>
      <c r="G276" s="146">
        <v>0</v>
      </c>
      <c r="H276" s="146">
        <v>1.9183285849952516E-2</v>
      </c>
      <c r="I276" s="147">
        <v>13.829000000000001</v>
      </c>
      <c r="J276" s="148">
        <v>3.1293965813770184</v>
      </c>
      <c r="K276" s="149">
        <v>16.523</v>
      </c>
      <c r="L276" s="149">
        <v>36.984000000000002</v>
      </c>
      <c r="M276" s="148">
        <v>11.63</v>
      </c>
      <c r="N276" s="135"/>
    </row>
    <row r="277" spans="1:14" x14ac:dyDescent="0.25">
      <c r="A277" s="142">
        <v>44491</v>
      </c>
      <c r="B277" s="81" t="s">
        <v>25</v>
      </c>
      <c r="C277" s="129" t="str">
        <f t="shared" si="9"/>
        <v>22.10.2021_BOYohB224</v>
      </c>
      <c r="D277" s="143">
        <f t="shared" si="10"/>
        <v>0</v>
      </c>
      <c r="E277" s="144">
        <v>0</v>
      </c>
      <c r="F277" s="145">
        <v>1.6E-2</v>
      </c>
      <c r="G277" s="146">
        <v>0</v>
      </c>
      <c r="H277" s="146">
        <v>1.438746438746439E-2</v>
      </c>
      <c r="I277" s="147">
        <v>1</v>
      </c>
      <c r="J277" s="148">
        <v>0.23025026353276351</v>
      </c>
      <c r="K277" s="149">
        <v>69</v>
      </c>
      <c r="L277" s="149">
        <v>255</v>
      </c>
      <c r="M277" s="148">
        <v>9.1820000000000004</v>
      </c>
      <c r="N277" s="135"/>
    </row>
    <row r="278" spans="1:14" x14ac:dyDescent="0.25">
      <c r="A278" s="142">
        <v>44491</v>
      </c>
      <c r="B278" s="81" t="s">
        <v>28</v>
      </c>
      <c r="C278" s="129" t="str">
        <f t="shared" si="9"/>
        <v>22.10.2021_BOYohBr</v>
      </c>
      <c r="D278" s="143">
        <f t="shared" si="10"/>
        <v>0</v>
      </c>
      <c r="E278" s="144">
        <v>0</v>
      </c>
      <c r="F278" s="145">
        <v>1.2789911073926501E-2</v>
      </c>
      <c r="G278" s="146">
        <v>0</v>
      </c>
      <c r="H278" s="146">
        <v>1.2788857233301677E-2</v>
      </c>
      <c r="I278" s="147">
        <v>10.493</v>
      </c>
      <c r="J278" s="148">
        <v>2.3739474775846783</v>
      </c>
      <c r="K278" s="149">
        <v>25</v>
      </c>
      <c r="L278" s="149">
        <v>91</v>
      </c>
      <c r="M278" s="148"/>
      <c r="N278" s="135"/>
    </row>
    <row r="279" spans="1:14" x14ac:dyDescent="0.25">
      <c r="A279" s="142">
        <v>44491</v>
      </c>
      <c r="B279" s="81" t="s">
        <v>30</v>
      </c>
      <c r="C279" s="129" t="str">
        <f t="shared" si="9"/>
        <v>22.10.2021_BOYohKi</v>
      </c>
      <c r="D279" s="143">
        <f t="shared" si="10"/>
        <v>0</v>
      </c>
      <c r="E279" s="144">
        <v>0</v>
      </c>
      <c r="F279" s="145">
        <v>2.0128261283892415E-2</v>
      </c>
      <c r="G279" s="146">
        <v>0</v>
      </c>
      <c r="H279" s="146">
        <v>1.5986071541627095E-2</v>
      </c>
      <c r="I279" s="147">
        <v>2.8010000000000002</v>
      </c>
      <c r="J279" s="148">
        <v>0.63752882948084832</v>
      </c>
      <c r="K279" s="149">
        <v>18.789000000000001</v>
      </c>
      <c r="L279" s="149">
        <v>90.766999999999996</v>
      </c>
      <c r="M279" s="148">
        <v>9.5050000000000008</v>
      </c>
      <c r="N279" s="135"/>
    </row>
    <row r="280" spans="1:14" x14ac:dyDescent="0.25">
      <c r="A280" s="142">
        <v>44491</v>
      </c>
      <c r="B280" s="81" t="s">
        <v>32</v>
      </c>
      <c r="C280" s="129" t="str">
        <f t="shared" si="9"/>
        <v>22.10.2021_BOYohSp</v>
      </c>
      <c r="D280" s="143">
        <f t="shared" si="10"/>
        <v>0</v>
      </c>
      <c r="E280" s="144">
        <v>0</v>
      </c>
      <c r="F280" s="145">
        <v>1.9533036568268301E-2</v>
      </c>
      <c r="G280" s="146">
        <v>0</v>
      </c>
      <c r="H280" s="146">
        <v>2.0781893004115228E-2</v>
      </c>
      <c r="I280" s="147">
        <v>2.742</v>
      </c>
      <c r="J280" s="148">
        <v>0.62566258732510294</v>
      </c>
      <c r="K280" s="149">
        <v>13.629</v>
      </c>
      <c r="L280" s="149">
        <v>71.974999999999994</v>
      </c>
      <c r="M280" s="148">
        <v>9.1359999999999992</v>
      </c>
      <c r="N280" s="135"/>
    </row>
    <row r="281" spans="1:14" x14ac:dyDescent="0.25">
      <c r="A281" s="142">
        <v>44491</v>
      </c>
      <c r="B281" s="81" t="s">
        <v>36</v>
      </c>
      <c r="C281" s="129" t="str">
        <f t="shared" si="9"/>
        <v>22.10.2021_BOYuhSp</v>
      </c>
      <c r="D281" s="143">
        <f t="shared" si="10"/>
        <v>0</v>
      </c>
      <c r="E281" s="144">
        <v>2.7741881477683542E-2</v>
      </c>
      <c r="F281" s="145">
        <v>2.1293713353960988E-2</v>
      </c>
      <c r="G281" s="146">
        <v>0</v>
      </c>
      <c r="H281" s="146">
        <v>2.8774928774928779E-2</v>
      </c>
      <c r="I281" s="147">
        <v>3.98</v>
      </c>
      <c r="J281" s="148">
        <v>0.90772312706552705</v>
      </c>
      <c r="K281" s="149">
        <v>22.43</v>
      </c>
      <c r="L281" s="149">
        <v>81</v>
      </c>
      <c r="M281" s="148">
        <v>12.21</v>
      </c>
      <c r="N281" s="135"/>
    </row>
    <row r="282" spans="1:14" x14ac:dyDescent="0.25">
      <c r="A282" s="142">
        <v>44491</v>
      </c>
      <c r="B282" s="81" t="s">
        <v>38</v>
      </c>
      <c r="C282" s="129" t="str">
        <f t="shared" si="9"/>
        <v>22.10.2021_BRAob</v>
      </c>
      <c r="D282" s="143">
        <f t="shared" si="10"/>
        <v>0</v>
      </c>
      <c r="E282" s="144">
        <v>0</v>
      </c>
      <c r="F282" s="145">
        <v>1.5910408757652612E-2</v>
      </c>
      <c r="G282" s="146">
        <v>1.2223630474581014E-2</v>
      </c>
      <c r="H282" s="146">
        <v>1.2788857233301677E-2</v>
      </c>
      <c r="I282" s="147">
        <v>1.3859999999999999</v>
      </c>
      <c r="J282" s="148">
        <v>0.32644091441188605</v>
      </c>
      <c r="K282" s="149">
        <v>43</v>
      </c>
      <c r="L282" s="149">
        <v>119</v>
      </c>
      <c r="M282" s="148">
        <v>14.81</v>
      </c>
      <c r="N282" s="135"/>
    </row>
    <row r="283" spans="1:14" x14ac:dyDescent="0.25">
      <c r="A283" s="142">
        <v>44491</v>
      </c>
      <c r="B283" s="81" t="s">
        <v>41</v>
      </c>
      <c r="C283" s="129" t="str">
        <f t="shared" si="9"/>
        <v>22.10.2021_BRAohBo</v>
      </c>
      <c r="D283" s="143">
        <f t="shared" si="10"/>
        <v>0</v>
      </c>
      <c r="E283" s="144">
        <v>0</v>
      </c>
      <c r="F283" s="145">
        <v>2.2166877791044634E-2</v>
      </c>
      <c r="G283" s="146">
        <v>0.15585128855090832</v>
      </c>
      <c r="H283" s="146">
        <v>4.9556821779044004E-2</v>
      </c>
      <c r="I283" s="147">
        <v>4.1340000000000003</v>
      </c>
      <c r="J283" s="148">
        <v>1.0698511214375248</v>
      </c>
      <c r="K283" s="149">
        <v>31</v>
      </c>
      <c r="L283" s="149">
        <v>94</v>
      </c>
      <c r="M283" s="148">
        <v>16.22</v>
      </c>
      <c r="N283" s="135"/>
    </row>
    <row r="284" spans="1:14" x14ac:dyDescent="0.25">
      <c r="A284" s="142">
        <v>44491</v>
      </c>
      <c r="B284" s="81" t="s">
        <v>43</v>
      </c>
      <c r="C284" s="129" t="str">
        <f t="shared" si="9"/>
        <v>22.10.2021_HAAob</v>
      </c>
      <c r="D284" s="143">
        <f t="shared" si="10"/>
        <v>0</v>
      </c>
      <c r="E284" s="144">
        <v>0</v>
      </c>
      <c r="F284" s="145">
        <v>1.487420951021054E-2</v>
      </c>
      <c r="G284" s="146">
        <v>0</v>
      </c>
      <c r="H284" s="146">
        <v>1.5986071541627112E-3</v>
      </c>
      <c r="I284" s="147">
        <v>0.53200000000000003</v>
      </c>
      <c r="J284" s="148">
        <v>0.12064953594808484</v>
      </c>
      <c r="K284" s="149">
        <v>34.286999999999999</v>
      </c>
      <c r="L284" s="149">
        <v>125</v>
      </c>
      <c r="M284" s="148">
        <v>12.88</v>
      </c>
      <c r="N284" s="135"/>
    </row>
    <row r="285" spans="1:14" x14ac:dyDescent="0.25">
      <c r="A285" s="142">
        <v>44491</v>
      </c>
      <c r="B285" s="81" t="s">
        <v>45</v>
      </c>
      <c r="C285" s="129" t="str">
        <f t="shared" si="9"/>
        <v>22.10.2021_HAAun</v>
      </c>
      <c r="D285" s="143">
        <f t="shared" si="10"/>
        <v>0</v>
      </c>
      <c r="E285" s="144">
        <v>1.6645128886610124E-2</v>
      </c>
      <c r="F285" s="145">
        <v>1.5655682653536056E-2</v>
      </c>
      <c r="G285" s="146">
        <v>0</v>
      </c>
      <c r="H285" s="146">
        <v>0</v>
      </c>
      <c r="I285" s="147">
        <v>0.30299999999999999</v>
      </c>
      <c r="J285" s="148">
        <v>6.8438609999999997E-2</v>
      </c>
      <c r="K285" s="149">
        <v>12.388</v>
      </c>
      <c r="L285" s="149">
        <v>154</v>
      </c>
      <c r="M285" s="148">
        <v>9.8759999999999994</v>
      </c>
      <c r="N285" s="135"/>
    </row>
    <row r="286" spans="1:14" x14ac:dyDescent="0.25">
      <c r="A286" s="142">
        <v>44491</v>
      </c>
      <c r="B286" s="81" t="s">
        <v>47</v>
      </c>
      <c r="C286" s="129" t="str">
        <f t="shared" si="9"/>
        <v>22.10.2021_KIRob</v>
      </c>
      <c r="D286" s="143">
        <f t="shared" si="10"/>
        <v>0</v>
      </c>
      <c r="E286" s="144">
        <v>0</v>
      </c>
      <c r="F286" s="145">
        <v>9.0285472850771108E-3</v>
      </c>
      <c r="G286" s="146">
        <v>0.37893254471201243</v>
      </c>
      <c r="H286" s="146">
        <v>0.14387464387464388</v>
      </c>
      <c r="I286" s="147">
        <v>3.1219999999999999</v>
      </c>
      <c r="J286" s="148">
        <v>1.0432061069710656</v>
      </c>
      <c r="K286" s="149">
        <v>52</v>
      </c>
      <c r="L286" s="149">
        <v>122</v>
      </c>
      <c r="M286" s="148">
        <v>12.36</v>
      </c>
      <c r="N286" s="135"/>
    </row>
    <row r="287" spans="1:14" x14ac:dyDescent="0.25">
      <c r="A287" s="142">
        <v>44491</v>
      </c>
      <c r="B287" s="81" t="s">
        <v>49</v>
      </c>
      <c r="C287" s="129" t="str">
        <f t="shared" si="9"/>
        <v>22.10.2021_KIRun</v>
      </c>
      <c r="D287" s="143">
        <f t="shared" si="10"/>
        <v>0</v>
      </c>
      <c r="E287" s="144">
        <v>0</v>
      </c>
      <c r="F287" s="145">
        <v>8.7969911402375946E-3</v>
      </c>
      <c r="G287" s="146">
        <v>6.7229967610195729E-2</v>
      </c>
      <c r="H287" s="146">
        <v>6.3944286166508393E-2</v>
      </c>
      <c r="I287" s="147">
        <v>4.3099999999999996</v>
      </c>
      <c r="J287" s="148">
        <v>1.0451709354730343</v>
      </c>
      <c r="K287" s="149">
        <v>71</v>
      </c>
      <c r="L287" s="149">
        <v>168</v>
      </c>
      <c r="M287" s="148">
        <v>5.3070000000000004</v>
      </c>
      <c r="N287" s="135"/>
    </row>
    <row r="288" spans="1:14" x14ac:dyDescent="0.25">
      <c r="A288" s="142">
        <v>44491</v>
      </c>
      <c r="B288" s="81" t="s">
        <v>50</v>
      </c>
      <c r="C288" s="129" t="str">
        <f t="shared" si="9"/>
        <v>22.10.2021_LIEohBo</v>
      </c>
      <c r="D288" s="143">
        <f t="shared" si="10"/>
        <v>0</v>
      </c>
      <c r="E288" s="144">
        <v>3.1440799008041351E-2</v>
      </c>
      <c r="F288" s="145">
        <v>2.7355794848788473E-2</v>
      </c>
      <c r="G288" s="146">
        <v>5.1950429516969453E-2</v>
      </c>
      <c r="H288" s="146">
        <v>4.6359607470718579E-2</v>
      </c>
      <c r="I288" s="147">
        <v>7.4820000000000002</v>
      </c>
      <c r="J288" s="148">
        <v>1.7444125115100917</v>
      </c>
      <c r="K288" s="149">
        <v>24.242000000000001</v>
      </c>
      <c r="L288" s="149">
        <v>70</v>
      </c>
      <c r="M288" s="148">
        <v>9.7720000000000002</v>
      </c>
      <c r="N288" s="135"/>
    </row>
    <row r="289" spans="1:14" x14ac:dyDescent="0.25">
      <c r="A289" s="142">
        <v>44491</v>
      </c>
      <c r="B289" s="81" t="s">
        <v>53</v>
      </c>
      <c r="C289" s="129" t="str">
        <f t="shared" si="9"/>
        <v>22.10.2021_NATohBo</v>
      </c>
      <c r="D289" s="143">
        <f t="shared" si="10"/>
        <v>0</v>
      </c>
      <c r="E289" s="144">
        <v>0.02</v>
      </c>
      <c r="F289" s="145">
        <v>1.52E-2</v>
      </c>
      <c r="G289" s="146">
        <v>0.08</v>
      </c>
      <c r="H289" s="146">
        <v>1.438746438746439E-2</v>
      </c>
      <c r="I289" s="147">
        <v>1.9</v>
      </c>
      <c r="J289" s="148">
        <v>0.49565246353276349</v>
      </c>
      <c r="K289" s="149">
        <v>21</v>
      </c>
      <c r="L289" s="149">
        <v>169</v>
      </c>
      <c r="M289" s="148">
        <v>11.01</v>
      </c>
      <c r="N289" s="135"/>
    </row>
    <row r="290" spans="1:14" x14ac:dyDescent="0.25">
      <c r="A290" s="142">
        <v>44491</v>
      </c>
      <c r="B290" s="81" t="s">
        <v>55</v>
      </c>
      <c r="C290" s="129" t="str">
        <f t="shared" si="9"/>
        <v>22.10.2021_QUAohBo</v>
      </c>
      <c r="D290" s="143">
        <f t="shared" si="10"/>
        <v>0</v>
      </c>
      <c r="E290" s="144">
        <v>0</v>
      </c>
      <c r="F290" s="145">
        <v>1.0756309007489957E-2</v>
      </c>
      <c r="G290" s="146">
        <v>0</v>
      </c>
      <c r="H290" s="146">
        <v>1.9183285849952516E-2</v>
      </c>
      <c r="I290" s="147">
        <v>3.161</v>
      </c>
      <c r="J290" s="148">
        <v>0.71981542137701793</v>
      </c>
      <c r="K290" s="149">
        <v>30.523</v>
      </c>
      <c r="L290" s="149">
        <v>102</v>
      </c>
      <c r="M290" s="148">
        <v>12.2</v>
      </c>
      <c r="N290" s="135"/>
    </row>
    <row r="291" spans="1:14" x14ac:dyDescent="0.25">
      <c r="A291" s="142">
        <v>44491</v>
      </c>
      <c r="B291" s="81" t="s">
        <v>57</v>
      </c>
      <c r="C291" s="129" t="str">
        <f t="shared" si="9"/>
        <v>22.10.2021_SCHohVo</v>
      </c>
      <c r="D291" s="143">
        <f t="shared" si="10"/>
        <v>0</v>
      </c>
      <c r="E291" s="144">
        <v>0</v>
      </c>
      <c r="F291" s="145">
        <v>2.1092402893512864E-2</v>
      </c>
      <c r="G291" s="146">
        <v>6.4174059991550472E-2</v>
      </c>
      <c r="H291" s="146">
        <v>3.0373535929091488E-2</v>
      </c>
      <c r="I291" s="147">
        <v>1.419</v>
      </c>
      <c r="J291" s="148">
        <v>0.37958726885645094</v>
      </c>
      <c r="K291" s="149">
        <v>24.914999999999999</v>
      </c>
      <c r="L291" s="149">
        <v>75</v>
      </c>
      <c r="M291" s="148">
        <v>18.010000000000002</v>
      </c>
      <c r="N291" s="135"/>
    </row>
    <row r="292" spans="1:14" x14ac:dyDescent="0.25">
      <c r="A292" s="142">
        <v>44491</v>
      </c>
      <c r="B292" s="81" t="s">
        <v>60</v>
      </c>
      <c r="C292" s="129" t="str">
        <f t="shared" si="9"/>
        <v>22.10.2021_VORohBo</v>
      </c>
      <c r="D292" s="143">
        <f t="shared" si="10"/>
        <v>0</v>
      </c>
      <c r="E292" s="144">
        <v>0</v>
      </c>
      <c r="F292" s="145">
        <v>9.2384240817478501E-3</v>
      </c>
      <c r="G292" s="146">
        <v>0.29642303900859041</v>
      </c>
      <c r="H292" s="146">
        <v>1.7584678695789807E-2</v>
      </c>
      <c r="I292" s="147">
        <v>1.0489999999999999</v>
      </c>
      <c r="J292" s="148">
        <v>0.47246081098871356</v>
      </c>
      <c r="K292" s="149">
        <v>36.93</v>
      </c>
      <c r="L292" s="149">
        <v>192</v>
      </c>
      <c r="M292" s="148">
        <v>13.78</v>
      </c>
      <c r="N292" s="135"/>
    </row>
    <row r="293" spans="1:14" x14ac:dyDescent="0.25">
      <c r="A293" s="142">
        <v>44491</v>
      </c>
      <c r="B293" s="81" t="s">
        <v>62</v>
      </c>
      <c r="C293" s="129" t="str">
        <f t="shared" si="9"/>
        <v>22.10.2021_VORuhSc</v>
      </c>
      <c r="D293" s="143">
        <f t="shared" si="10"/>
        <v>0</v>
      </c>
      <c r="E293" s="144">
        <v>0</v>
      </c>
      <c r="F293" s="145">
        <v>1.0129500799596951E-2</v>
      </c>
      <c r="G293" s="146">
        <v>0.12834811998310103</v>
      </c>
      <c r="H293" s="146">
        <v>1.438746438746439E-2</v>
      </c>
      <c r="I293" s="147">
        <v>0.67800000000000005</v>
      </c>
      <c r="J293" s="148">
        <v>0.25718115521844165</v>
      </c>
      <c r="K293" s="149">
        <v>31.768000000000001</v>
      </c>
      <c r="L293" s="149">
        <v>169</v>
      </c>
      <c r="M293" s="148">
        <v>13.02</v>
      </c>
      <c r="N293" s="135"/>
    </row>
    <row r="294" spans="1:14" x14ac:dyDescent="0.25">
      <c r="A294" s="142">
        <v>44491</v>
      </c>
      <c r="B294" s="81" t="s">
        <v>64</v>
      </c>
      <c r="C294" s="129" t="str">
        <f t="shared" si="9"/>
        <v>22.10.2021_WITob</v>
      </c>
      <c r="D294" s="143">
        <f t="shared" si="10"/>
        <v>0</v>
      </c>
      <c r="E294" s="144">
        <v>0</v>
      </c>
      <c r="F294" s="145">
        <v>9.2052096488730462E-3</v>
      </c>
      <c r="G294" s="146">
        <v>0</v>
      </c>
      <c r="H294" s="146">
        <v>-1.5986071541627112E-3</v>
      </c>
      <c r="I294" s="147">
        <v>0.24399999999999999</v>
      </c>
      <c r="J294" s="148">
        <v>5.4625584051915158E-2</v>
      </c>
      <c r="K294" s="149">
        <v>32</v>
      </c>
      <c r="L294" s="149">
        <v>187</v>
      </c>
      <c r="M294" s="148">
        <v>10.62</v>
      </c>
      <c r="N294" s="135"/>
    </row>
    <row r="295" spans="1:14" x14ac:dyDescent="0.25">
      <c r="A295" s="142">
        <v>44505</v>
      </c>
      <c r="B295" s="81" t="s">
        <v>22</v>
      </c>
      <c r="C295" s="129" t="str">
        <f t="shared" si="9"/>
        <v>05.11.2021_BOYkl</v>
      </c>
      <c r="D295" s="143">
        <f t="shared" si="10"/>
        <v>0</v>
      </c>
      <c r="E295" s="144">
        <v>8.0895157509321053E-2</v>
      </c>
      <c r="F295" s="145">
        <v>8.4547883049420333E-2</v>
      </c>
      <c r="G295" s="146">
        <v>2.4254147756863336E-2</v>
      </c>
      <c r="H295" s="146">
        <v>3.6273151711046126E-3</v>
      </c>
      <c r="I295" s="147">
        <v>9.3740000000000006</v>
      </c>
      <c r="J295" s="148">
        <v>2.1372428192955693</v>
      </c>
      <c r="K295" s="149">
        <v>10.502000000000001</v>
      </c>
      <c r="L295" s="149">
        <v>33.448</v>
      </c>
      <c r="M295" s="148">
        <v>12.06</v>
      </c>
      <c r="N295" s="135"/>
    </row>
    <row r="296" spans="1:14" x14ac:dyDescent="0.25">
      <c r="A296" s="142">
        <v>44505</v>
      </c>
      <c r="B296" s="81" t="s">
        <v>25</v>
      </c>
      <c r="C296" s="129" t="str">
        <f t="shared" si="9"/>
        <v>05.11.2021_BOYohB224</v>
      </c>
      <c r="D296" s="143">
        <f t="shared" si="10"/>
        <v>0</v>
      </c>
      <c r="E296" s="144">
        <v>0</v>
      </c>
      <c r="F296" s="145">
        <v>2.1700000000000001E-2</v>
      </c>
      <c r="G296" s="146">
        <v>0.09</v>
      </c>
      <c r="H296" s="146">
        <v>0.02</v>
      </c>
      <c r="I296" s="147">
        <v>1.7</v>
      </c>
      <c r="J296" s="148">
        <v>0.45995209999999997</v>
      </c>
      <c r="K296" s="149">
        <v>25</v>
      </c>
      <c r="L296" s="149">
        <v>165</v>
      </c>
      <c r="M296" s="148">
        <v>18.989999999999998</v>
      </c>
      <c r="N296" s="135"/>
    </row>
    <row r="297" spans="1:14" x14ac:dyDescent="0.25">
      <c r="A297" s="142">
        <v>44505</v>
      </c>
      <c r="B297" s="81" t="s">
        <v>28</v>
      </c>
      <c r="C297" s="129" t="str">
        <f t="shared" si="9"/>
        <v>05.11.2021_BOYohBr</v>
      </c>
      <c r="D297" s="143">
        <f t="shared" si="10"/>
        <v>0</v>
      </c>
      <c r="E297" s="144">
        <v>1.9730526221785623E-2</v>
      </c>
      <c r="F297" s="145">
        <v>3.0561238655086143E-2</v>
      </c>
      <c r="G297" s="146">
        <v>8.7314931924708003E-2</v>
      </c>
      <c r="H297" s="146">
        <v>2.7204863783284596E-2</v>
      </c>
      <c r="I297" s="147">
        <v>1.946</v>
      </c>
      <c r="J297" s="148">
        <v>0.5156247122690375</v>
      </c>
      <c r="K297" s="149">
        <v>5.4489999999999998</v>
      </c>
      <c r="L297" s="149">
        <v>47.83</v>
      </c>
      <c r="M297" s="148">
        <v>8.7370000000000001</v>
      </c>
      <c r="N297" s="135"/>
    </row>
    <row r="298" spans="1:14" x14ac:dyDescent="0.25">
      <c r="A298" s="142">
        <v>44505</v>
      </c>
      <c r="B298" s="81" t="s">
        <v>30</v>
      </c>
      <c r="C298" s="129" t="str">
        <f t="shared" si="9"/>
        <v>05.11.2021_BOYohKi</v>
      </c>
      <c r="D298" s="143">
        <f t="shared" si="10"/>
        <v>0</v>
      </c>
      <c r="E298" s="144">
        <v>0</v>
      </c>
      <c r="F298" s="145">
        <v>2.1734385397750702E-2</v>
      </c>
      <c r="G298" s="146">
        <v>4.6082880738040337E-2</v>
      </c>
      <c r="H298" s="146">
        <v>3.6273151711046126E-3</v>
      </c>
      <c r="I298" s="147">
        <v>1.28</v>
      </c>
      <c r="J298" s="148">
        <v>0.3260008321681237</v>
      </c>
      <c r="K298" s="149">
        <v>10.093</v>
      </c>
      <c r="L298" s="149">
        <v>86.373999999999995</v>
      </c>
      <c r="M298" s="148">
        <v>10.49</v>
      </c>
      <c r="N298" s="135"/>
    </row>
    <row r="299" spans="1:14" x14ac:dyDescent="0.25">
      <c r="A299" s="142">
        <v>44505</v>
      </c>
      <c r="B299" s="81" t="s">
        <v>32</v>
      </c>
      <c r="C299" s="129" t="str">
        <f t="shared" si="9"/>
        <v>05.11.2021_BOYohSp</v>
      </c>
      <c r="D299" s="143">
        <f t="shared" si="10"/>
        <v>0</v>
      </c>
      <c r="E299" s="144">
        <v>1.57844209774285E-2</v>
      </c>
      <c r="F299" s="145">
        <v>3.1323876461395055E-2</v>
      </c>
      <c r="G299" s="146">
        <v>7.5187858046276326E-2</v>
      </c>
      <c r="H299" s="146">
        <v>2.176389102662768E-2</v>
      </c>
      <c r="I299" s="147">
        <v>1.881</v>
      </c>
      <c r="J299" s="148">
        <v>0.48987010651740986</v>
      </c>
      <c r="K299" s="149">
        <v>9.8520000000000003</v>
      </c>
      <c r="L299" s="149">
        <v>60.752000000000002</v>
      </c>
      <c r="M299" s="148">
        <v>11.61</v>
      </c>
      <c r="N299" s="135"/>
    </row>
    <row r="300" spans="1:14" x14ac:dyDescent="0.25">
      <c r="A300" s="142">
        <v>44505</v>
      </c>
      <c r="B300" s="81" t="s">
        <v>36</v>
      </c>
      <c r="C300" s="129" t="str">
        <f t="shared" si="9"/>
        <v>05.11.2021_BOYuhSp</v>
      </c>
      <c r="D300" s="143">
        <f t="shared" si="10"/>
        <v>0</v>
      </c>
      <c r="E300" s="144">
        <v>2.5649684088321308E-2</v>
      </c>
      <c r="F300" s="145">
        <v>2.6735850312546713E-2</v>
      </c>
      <c r="G300" s="146">
        <v>8.7314931924708003E-2</v>
      </c>
      <c r="H300" s="146">
        <v>4.5341439638807657E-2</v>
      </c>
      <c r="I300" s="147">
        <v>2.6520000000000001</v>
      </c>
      <c r="J300" s="148">
        <v>0.68061061278825152</v>
      </c>
      <c r="K300" s="149">
        <v>15.577</v>
      </c>
      <c r="L300" s="149">
        <v>58.218000000000004</v>
      </c>
      <c r="M300" s="148">
        <v>8.9510000000000005</v>
      </c>
      <c r="N300" s="135"/>
    </row>
    <row r="301" spans="1:14" x14ac:dyDescent="0.25">
      <c r="A301" s="142">
        <v>44505</v>
      </c>
      <c r="B301" s="81" t="s">
        <v>38</v>
      </c>
      <c r="C301" s="129" t="str">
        <f t="shared" si="9"/>
        <v>05.11.2021_BRAob</v>
      </c>
      <c r="D301" s="143">
        <f t="shared" si="10"/>
        <v>0</v>
      </c>
      <c r="E301" s="144">
        <v>0</v>
      </c>
      <c r="F301" s="145">
        <v>2.2959146950388604E-2</v>
      </c>
      <c r="G301" s="146">
        <v>4.1232051186667666E-2</v>
      </c>
      <c r="H301" s="146">
        <v>7.2546303422092286E-3</v>
      </c>
      <c r="I301" s="147">
        <v>0.53900000000000003</v>
      </c>
      <c r="J301" s="148">
        <v>0.15596887763362116</v>
      </c>
      <c r="K301" s="149">
        <v>20.492999999999999</v>
      </c>
      <c r="L301" s="149">
        <v>90.153999999999996</v>
      </c>
      <c r="M301" s="148">
        <v>11.65</v>
      </c>
      <c r="N301" s="135"/>
    </row>
    <row r="302" spans="1:14" x14ac:dyDescent="0.25">
      <c r="A302" s="142">
        <v>44505</v>
      </c>
      <c r="B302" s="81" t="s">
        <v>41</v>
      </c>
      <c r="C302" s="129" t="str">
        <f t="shared" si="9"/>
        <v>05.11.2021_BRAohBo</v>
      </c>
      <c r="D302" s="143">
        <f t="shared" si="10"/>
        <v>0</v>
      </c>
      <c r="E302" s="144">
        <v>2.7622736710499873E-2</v>
      </c>
      <c r="F302" s="145">
        <v>3.6748649983472763E-2</v>
      </c>
      <c r="G302" s="146">
        <v>0.11884532400863032</v>
      </c>
      <c r="H302" s="146">
        <v>3.808680929659844E-2</v>
      </c>
      <c r="I302" s="147">
        <v>1.0629999999999999</v>
      </c>
      <c r="J302" s="148">
        <v>0.34397754472981074</v>
      </c>
      <c r="K302" s="149">
        <v>12.175000000000001</v>
      </c>
      <c r="L302" s="149">
        <v>69.394999999999996</v>
      </c>
      <c r="M302" s="148">
        <v>11.34</v>
      </c>
      <c r="N302" s="135"/>
    </row>
    <row r="303" spans="1:14" x14ac:dyDescent="0.25">
      <c r="A303" s="142">
        <v>44505</v>
      </c>
      <c r="B303" s="81" t="s">
        <v>43</v>
      </c>
      <c r="C303" s="129" t="str">
        <f t="shared" si="9"/>
        <v>05.11.2021_HAAob</v>
      </c>
      <c r="D303" s="143">
        <f t="shared" si="10"/>
        <v>0</v>
      </c>
      <c r="E303" s="144">
        <v>2.7622736710499873E-2</v>
      </c>
      <c r="F303" s="145">
        <v>2.4312066755571411E-2</v>
      </c>
      <c r="G303" s="146">
        <v>2.6679562532549671E-2</v>
      </c>
      <c r="H303" s="146">
        <v>-1.8136575855523048E-3</v>
      </c>
      <c r="I303" s="147">
        <v>0.155</v>
      </c>
      <c r="J303" s="148">
        <v>5.5174095458978098E-2</v>
      </c>
      <c r="K303" s="149">
        <v>20.369</v>
      </c>
      <c r="L303" s="149">
        <v>141.99600000000001</v>
      </c>
      <c r="M303" s="148">
        <v>10.1</v>
      </c>
      <c r="N303" s="135"/>
    </row>
    <row r="304" spans="1:14" x14ac:dyDescent="0.25">
      <c r="A304" s="142">
        <v>44505</v>
      </c>
      <c r="B304" s="81" t="s">
        <v>45</v>
      </c>
      <c r="C304" s="129" t="str">
        <f t="shared" si="9"/>
        <v>05.11.2021_HAAun</v>
      </c>
      <c r="D304" s="143">
        <f t="shared" si="10"/>
        <v>0</v>
      </c>
      <c r="E304" s="144">
        <v>4.1434105065749807E-2</v>
      </c>
      <c r="F304" s="145">
        <v>4.9749423278986758E-2</v>
      </c>
      <c r="G304" s="146">
        <v>2.9104977308235989E-2</v>
      </c>
      <c r="H304" s="146">
        <v>0</v>
      </c>
      <c r="I304" s="147">
        <v>0.10100000000000001</v>
      </c>
      <c r="J304" s="148">
        <v>4.5412593830072165E-2</v>
      </c>
      <c r="K304" s="149">
        <v>14.6</v>
      </c>
      <c r="L304" s="149">
        <v>157.084</v>
      </c>
      <c r="M304" s="148">
        <v>10.57</v>
      </c>
      <c r="N304" s="135"/>
    </row>
    <row r="305" spans="1:14" x14ac:dyDescent="0.25">
      <c r="A305" s="142">
        <v>44505</v>
      </c>
      <c r="B305" s="81" t="s">
        <v>47</v>
      </c>
      <c r="C305" s="129" t="str">
        <f t="shared" si="9"/>
        <v>05.11.2021_KIRob</v>
      </c>
      <c r="D305" s="143">
        <f t="shared" si="10"/>
        <v>0</v>
      </c>
      <c r="E305" s="144">
        <v>0</v>
      </c>
      <c r="F305" s="145">
        <v>1.6045717577710613E-2</v>
      </c>
      <c r="G305" s="146">
        <v>0.43414924484785361</v>
      </c>
      <c r="H305" s="146">
        <v>0.17773844338412603</v>
      </c>
      <c r="I305" s="147">
        <v>6.7850000000000001</v>
      </c>
      <c r="J305" s="148">
        <v>1.9237529662202071</v>
      </c>
      <c r="K305" s="149">
        <v>92</v>
      </c>
      <c r="L305" s="149">
        <v>202.327</v>
      </c>
      <c r="M305" s="148">
        <v>9.1839999999999993</v>
      </c>
      <c r="N305" s="135"/>
    </row>
    <row r="306" spans="1:14" x14ac:dyDescent="0.25">
      <c r="A306" s="142">
        <v>44505</v>
      </c>
      <c r="B306" s="81" t="s">
        <v>49</v>
      </c>
      <c r="C306" s="129" t="str">
        <f t="shared" si="9"/>
        <v>05.11.2021_KIRun</v>
      </c>
      <c r="D306" s="143">
        <f t="shared" si="10"/>
        <v>0</v>
      </c>
      <c r="E306" s="144">
        <v>0</v>
      </c>
      <c r="F306" s="145">
        <v>1.6342816953247959E-2</v>
      </c>
      <c r="G306" s="146">
        <v>5.3359125065099322E-2</v>
      </c>
      <c r="H306" s="146">
        <v>2.7204863783284596E-2</v>
      </c>
      <c r="I306" s="147">
        <v>1.7270000000000001</v>
      </c>
      <c r="J306" s="148">
        <v>0.43979283780061995</v>
      </c>
      <c r="K306" s="149">
        <v>34.107999999999997</v>
      </c>
      <c r="L306" s="149">
        <v>148.55600000000001</v>
      </c>
      <c r="M306" s="148">
        <v>9.7070000000000007</v>
      </c>
      <c r="N306" s="135"/>
    </row>
    <row r="307" spans="1:14" x14ac:dyDescent="0.25">
      <c r="A307" s="142">
        <v>44505</v>
      </c>
      <c r="B307" s="81" t="s">
        <v>50</v>
      </c>
      <c r="C307" s="129" t="str">
        <f t="shared" si="9"/>
        <v>05.11.2021_LIEohBo</v>
      </c>
      <c r="D307" s="143">
        <f t="shared" si="10"/>
        <v>0</v>
      </c>
      <c r="E307" s="144">
        <v>1.57844209774285E-2</v>
      </c>
      <c r="F307" s="145">
        <v>1.6865737674821257E-2</v>
      </c>
      <c r="G307" s="146">
        <v>2.1828732981177001E-2</v>
      </c>
      <c r="H307" s="146">
        <v>-3.6273151711046126E-3</v>
      </c>
      <c r="I307" s="147">
        <v>2.649</v>
      </c>
      <c r="J307" s="148">
        <v>0.61417508676871135</v>
      </c>
      <c r="K307" s="149">
        <v>8.1790000000000003</v>
      </c>
      <c r="L307" s="149">
        <v>69.816999999999993</v>
      </c>
      <c r="M307" s="148">
        <v>9.2739999999999991</v>
      </c>
      <c r="N307" s="135"/>
    </row>
    <row r="308" spans="1:14" x14ac:dyDescent="0.25">
      <c r="A308" s="142">
        <v>44505</v>
      </c>
      <c r="B308" s="81" t="s">
        <v>53</v>
      </c>
      <c r="C308" s="129" t="str">
        <f t="shared" si="9"/>
        <v>05.11.2021_NATohBo</v>
      </c>
      <c r="D308" s="143">
        <f t="shared" si="10"/>
        <v>0</v>
      </c>
      <c r="E308" s="144">
        <v>0</v>
      </c>
      <c r="F308" s="145">
        <v>2.1299999999999999E-2</v>
      </c>
      <c r="G308" s="146">
        <v>0.1</v>
      </c>
      <c r="H308" s="146">
        <v>0</v>
      </c>
      <c r="I308" s="147">
        <v>0.3</v>
      </c>
      <c r="J308" s="148">
        <v>0.14540999999999998</v>
      </c>
      <c r="K308" s="149">
        <v>64</v>
      </c>
      <c r="L308" s="149">
        <v>254</v>
      </c>
      <c r="M308" s="148">
        <v>10.43</v>
      </c>
      <c r="N308" s="135"/>
    </row>
    <row r="309" spans="1:14" x14ac:dyDescent="0.25">
      <c r="A309" s="142">
        <v>44505</v>
      </c>
      <c r="B309" s="81" t="s">
        <v>55</v>
      </c>
      <c r="C309" s="129" t="str">
        <f t="shared" si="9"/>
        <v>05.11.2021_QUAohBo</v>
      </c>
      <c r="D309" s="143">
        <f t="shared" si="10"/>
        <v>0</v>
      </c>
      <c r="E309" s="144">
        <v>0</v>
      </c>
      <c r="F309" s="145">
        <v>1.4158725533542025E-2</v>
      </c>
      <c r="G309" s="146">
        <v>1.9403318205490665E-2</v>
      </c>
      <c r="H309" s="146">
        <v>5.4409727566569208E-3</v>
      </c>
      <c r="I309" s="147">
        <v>0.63500000000000001</v>
      </c>
      <c r="J309" s="148">
        <v>0.16015043670914564</v>
      </c>
      <c r="K309" s="149">
        <v>14.12</v>
      </c>
      <c r="L309" s="149">
        <v>84.245999999999995</v>
      </c>
      <c r="M309" s="148">
        <v>10.27</v>
      </c>
      <c r="N309" s="135"/>
    </row>
    <row r="310" spans="1:14" x14ac:dyDescent="0.25">
      <c r="A310" s="142">
        <v>44505</v>
      </c>
      <c r="B310" s="81" t="s">
        <v>57</v>
      </c>
      <c r="C310" s="129" t="str">
        <f t="shared" si="9"/>
        <v>05.11.2021_SCHohVo</v>
      </c>
      <c r="D310" s="143">
        <f t="shared" si="10"/>
        <v>0</v>
      </c>
      <c r="E310" s="144">
        <v>0</v>
      </c>
      <c r="F310" s="145">
        <v>3.2119775477077984E-2</v>
      </c>
      <c r="G310" s="146">
        <v>1.2127073878431659E-2</v>
      </c>
      <c r="H310" s="146">
        <v>-1.8136575855523048E-3</v>
      </c>
      <c r="I310" s="147">
        <v>0.47299999999999998</v>
      </c>
      <c r="J310" s="148">
        <v>0.11570089354394197</v>
      </c>
      <c r="K310" s="149">
        <v>13.5</v>
      </c>
      <c r="L310" s="149">
        <v>66.355999999999995</v>
      </c>
      <c r="M310" s="148">
        <v>17.41</v>
      </c>
      <c r="N310" s="135"/>
    </row>
    <row r="311" spans="1:14" x14ac:dyDescent="0.25">
      <c r="A311" s="142">
        <v>44505</v>
      </c>
      <c r="B311" s="81" t="s">
        <v>60</v>
      </c>
      <c r="C311" s="129" t="str">
        <f t="shared" si="9"/>
        <v>05.11.2021_VORohBo</v>
      </c>
      <c r="D311" s="143">
        <f t="shared" si="10"/>
        <v>0</v>
      </c>
      <c r="E311" s="144">
        <v>0</v>
      </c>
      <c r="F311" s="145">
        <v>1.3369110160920097E-2</v>
      </c>
      <c r="G311" s="146">
        <v>0.30317684696079161</v>
      </c>
      <c r="H311" s="146">
        <v>5.4409727566569208E-3</v>
      </c>
      <c r="I311" s="147">
        <v>0.36799999999999999</v>
      </c>
      <c r="J311" s="148">
        <v>0.3201904540523493</v>
      </c>
      <c r="K311" s="149">
        <v>16.047999999999998</v>
      </c>
      <c r="L311" s="149">
        <v>122.61</v>
      </c>
      <c r="M311" s="148">
        <v>17.16</v>
      </c>
      <c r="N311" s="135"/>
    </row>
    <row r="312" spans="1:14" x14ac:dyDescent="0.25">
      <c r="A312" s="142">
        <v>44505</v>
      </c>
      <c r="B312" s="81" t="s">
        <v>62</v>
      </c>
      <c r="C312" s="129" t="str">
        <f t="shared" si="9"/>
        <v>05.11.2021_VORuhSc</v>
      </c>
      <c r="D312" s="143">
        <f t="shared" si="10"/>
        <v>0</v>
      </c>
      <c r="E312" s="144">
        <v>0</v>
      </c>
      <c r="F312" s="145">
        <v>1.1932931305570696E-2</v>
      </c>
      <c r="G312" s="146">
        <v>0.15765196041961166</v>
      </c>
      <c r="H312" s="146">
        <v>-1.8136575855523048E-3</v>
      </c>
      <c r="I312" s="147">
        <v>7.8E-2</v>
      </c>
      <c r="J312" s="148">
        <v>0.13948086269430285</v>
      </c>
      <c r="K312" s="149">
        <v>10.183999999999999</v>
      </c>
      <c r="L312" s="149">
        <v>107.38800000000001</v>
      </c>
      <c r="M312" s="148">
        <v>12.14</v>
      </c>
      <c r="N312" s="135"/>
    </row>
    <row r="313" spans="1:14" x14ac:dyDescent="0.25">
      <c r="A313" s="142">
        <v>44505</v>
      </c>
      <c r="B313" s="81" t="s">
        <v>64</v>
      </c>
      <c r="C313" s="129" t="str">
        <f t="shared" si="9"/>
        <v>05.11.2021_WITob</v>
      </c>
      <c r="D313" s="143">
        <f t="shared" si="10"/>
        <v>0</v>
      </c>
      <c r="E313" s="144">
        <v>0</v>
      </c>
      <c r="F313" s="145">
        <v>1.3487064899769917E-2</v>
      </c>
      <c r="G313" s="146">
        <v>2.6679562532549671E-2</v>
      </c>
      <c r="H313" s="146">
        <v>0</v>
      </c>
      <c r="I313" s="147">
        <v>7.3999999999999996E-2</v>
      </c>
      <c r="J313" s="148">
        <v>3.7430793510899493E-2</v>
      </c>
      <c r="K313" s="149">
        <v>23.102</v>
      </c>
      <c r="L313" s="149">
        <v>167.042</v>
      </c>
      <c r="M313" s="148">
        <v>10.91</v>
      </c>
      <c r="N313" s="135"/>
    </row>
    <row r="314" spans="1:14" x14ac:dyDescent="0.25">
      <c r="A314" s="142">
        <v>44519</v>
      </c>
      <c r="B314" s="81" t="s">
        <v>22</v>
      </c>
      <c r="C314" s="129" t="str">
        <f t="shared" si="9"/>
        <v>19.11.2021_BOYkl</v>
      </c>
      <c r="D314" s="143">
        <f t="shared" si="10"/>
        <v>0</v>
      </c>
      <c r="E314" s="144">
        <v>3.2138116624543155E-2</v>
      </c>
      <c r="F314" s="145">
        <v>5.2947618103456363E-2</v>
      </c>
      <c r="G314" s="146">
        <v>7.7271793467095798E-2</v>
      </c>
      <c r="H314" s="146">
        <v>8.8600456518820217E-2</v>
      </c>
      <c r="I314" s="147">
        <v>18.96</v>
      </c>
      <c r="J314" s="148">
        <v>4.3694703838964193</v>
      </c>
      <c r="K314" s="149">
        <v>23.478000000000002</v>
      </c>
      <c r="L314" s="149">
        <v>42.41</v>
      </c>
      <c r="M314" s="148">
        <v>10.63</v>
      </c>
      <c r="N314" s="135"/>
    </row>
    <row r="315" spans="1:14" x14ac:dyDescent="0.25">
      <c r="A315" s="142">
        <v>44519</v>
      </c>
      <c r="B315" s="81" t="s">
        <v>25</v>
      </c>
      <c r="C315" s="129" t="str">
        <f t="shared" si="9"/>
        <v>19.11.2021_BOYohB224</v>
      </c>
      <c r="D315" s="143">
        <f t="shared" si="10"/>
        <v>0</v>
      </c>
      <c r="E315" s="144">
        <v>0</v>
      </c>
      <c r="F315" s="145">
        <v>5.1210516087733422E-2</v>
      </c>
      <c r="G315" s="146">
        <v>0.10699171403136344</v>
      </c>
      <c r="H315" s="146">
        <v>6.4868191379850504E-2</v>
      </c>
      <c r="I315" s="147">
        <v>2.8380000000000001</v>
      </c>
      <c r="J315" s="148">
        <v>0.74384617689380883</v>
      </c>
      <c r="K315" s="149">
        <v>32</v>
      </c>
      <c r="L315" s="149">
        <v>148</v>
      </c>
      <c r="M315" s="148">
        <v>9.4979999999999993</v>
      </c>
      <c r="N315" s="135"/>
    </row>
    <row r="316" spans="1:14" x14ac:dyDescent="0.25">
      <c r="A316" s="142">
        <v>44519</v>
      </c>
      <c r="B316" s="81" t="s">
        <v>28</v>
      </c>
      <c r="C316" s="129" t="str">
        <f t="shared" si="9"/>
        <v>19.11.2021_BOYohBr</v>
      </c>
      <c r="D316" s="143">
        <f t="shared" si="10"/>
        <v>0</v>
      </c>
      <c r="E316" s="144">
        <v>0</v>
      </c>
      <c r="F316" s="145">
        <v>3.795435336530828E-2</v>
      </c>
      <c r="G316" s="146">
        <v>0.19020749161131276</v>
      </c>
      <c r="H316" s="146">
        <v>7.5943248444703029E-2</v>
      </c>
      <c r="I316" s="147">
        <v>8.9090000000000007</v>
      </c>
      <c r="J316" s="148">
        <v>2.1830909671502581</v>
      </c>
      <c r="K316" s="149">
        <v>24</v>
      </c>
      <c r="L316" s="149">
        <v>89</v>
      </c>
      <c r="M316" s="148">
        <v>9.4039999999999999</v>
      </c>
      <c r="N316" s="135"/>
    </row>
    <row r="317" spans="1:14" x14ac:dyDescent="0.25">
      <c r="A317" s="142">
        <v>44519</v>
      </c>
      <c r="B317" s="81" t="s">
        <v>30</v>
      </c>
      <c r="C317" s="129" t="str">
        <f t="shared" si="9"/>
        <v>19.11.2021_BOYohKi</v>
      </c>
      <c r="D317" s="143">
        <f t="shared" si="10"/>
        <v>0</v>
      </c>
      <c r="E317" s="144">
        <v>0</v>
      </c>
      <c r="F317" s="145">
        <v>4.216577989723351E-2</v>
      </c>
      <c r="G317" s="146">
        <v>0.16048757104704517</v>
      </c>
      <c r="H317" s="146">
        <v>5.5375285324262634E-2</v>
      </c>
      <c r="I317" s="147">
        <v>4.9669999999999996</v>
      </c>
      <c r="J317" s="148">
        <v>1.2633722896592916</v>
      </c>
      <c r="K317" s="149">
        <v>37</v>
      </c>
      <c r="L317" s="149">
        <v>146</v>
      </c>
      <c r="M317" s="148">
        <v>9.0690000000000008</v>
      </c>
      <c r="N317" s="135"/>
    </row>
    <row r="318" spans="1:14" x14ac:dyDescent="0.25">
      <c r="A318" s="142">
        <v>44519</v>
      </c>
      <c r="B318" s="81" t="s">
        <v>32</v>
      </c>
      <c r="C318" s="129" t="str">
        <f t="shared" si="9"/>
        <v>19.11.2021_BOYohSp</v>
      </c>
      <c r="D318" s="143">
        <f t="shared" si="10"/>
        <v>0</v>
      </c>
      <c r="E318" s="144">
        <v>0</v>
      </c>
      <c r="F318" s="145">
        <v>4.9279402501233416E-2</v>
      </c>
      <c r="G318" s="146">
        <v>0.16643155515989866</v>
      </c>
      <c r="H318" s="146">
        <v>7.1196795416909084E-2</v>
      </c>
      <c r="I318" s="147">
        <v>6.9260000000000002</v>
      </c>
      <c r="J318" s="148">
        <v>1.7152839226307874</v>
      </c>
      <c r="K318" s="149">
        <v>33</v>
      </c>
      <c r="L318" s="149">
        <v>109</v>
      </c>
      <c r="M318" s="148">
        <v>9.1050000000000004</v>
      </c>
      <c r="N318" s="135"/>
    </row>
    <row r="319" spans="1:14" x14ac:dyDescent="0.25">
      <c r="A319" s="142">
        <v>44519</v>
      </c>
      <c r="B319" s="81" t="s">
        <v>36</v>
      </c>
      <c r="C319" s="129" t="str">
        <f t="shared" si="9"/>
        <v>19.11.2021_BOYuhSp</v>
      </c>
      <c r="D319" s="143">
        <f t="shared" si="10"/>
        <v>0</v>
      </c>
      <c r="E319" s="144">
        <v>0</v>
      </c>
      <c r="F319" s="145">
        <v>4.5446157767446121E-2</v>
      </c>
      <c r="G319" s="146">
        <v>0.14265561870848456</v>
      </c>
      <c r="H319" s="146">
        <v>6.9614644407644449E-2</v>
      </c>
      <c r="I319" s="147">
        <v>5.8550000000000004</v>
      </c>
      <c r="J319" s="148">
        <v>1.4544336898608585</v>
      </c>
      <c r="K319" s="149">
        <v>30</v>
      </c>
      <c r="L319" s="149">
        <v>106</v>
      </c>
      <c r="M319" s="148">
        <v>9.3699999999999992</v>
      </c>
      <c r="N319" s="135"/>
    </row>
    <row r="320" spans="1:14" x14ac:dyDescent="0.25">
      <c r="A320" s="142">
        <v>44519</v>
      </c>
      <c r="B320" s="81" t="s">
        <v>38</v>
      </c>
      <c r="C320" s="129" t="str">
        <f t="shared" si="9"/>
        <v>19.11.2021_BRAob</v>
      </c>
      <c r="D320" s="143">
        <f t="shared" si="10"/>
        <v>0</v>
      </c>
      <c r="E320" s="144">
        <v>0</v>
      </c>
      <c r="F320" s="145">
        <v>2.8208325092235174E-2</v>
      </c>
      <c r="G320" s="146">
        <v>9.5103745805656378E-2</v>
      </c>
      <c r="H320" s="146">
        <v>1.4239359083381817E-2</v>
      </c>
      <c r="I320" s="147">
        <v>1.5</v>
      </c>
      <c r="J320" s="148">
        <v>0.4169872804535697</v>
      </c>
      <c r="K320" s="149">
        <v>46</v>
      </c>
      <c r="L320" s="149">
        <v>143</v>
      </c>
      <c r="M320" s="148">
        <v>11.19</v>
      </c>
      <c r="N320" s="135"/>
    </row>
    <row r="321" spans="1:14" x14ac:dyDescent="0.25">
      <c r="A321" s="142">
        <v>44519</v>
      </c>
      <c r="B321" s="81" t="s">
        <v>41</v>
      </c>
      <c r="C321" s="129" t="str">
        <f t="shared" si="9"/>
        <v>19.11.2021_BRAohBo</v>
      </c>
      <c r="D321" s="143">
        <f t="shared" si="10"/>
        <v>0</v>
      </c>
      <c r="E321" s="144">
        <v>0</v>
      </c>
      <c r="F321" s="145">
        <v>4.9526802262223557E-2</v>
      </c>
      <c r="G321" s="146">
        <v>0.16048757104704517</v>
      </c>
      <c r="H321" s="146">
        <v>7.1196795416909084E-2</v>
      </c>
      <c r="I321" s="147">
        <v>3.5910000000000002</v>
      </c>
      <c r="J321" s="148">
        <v>0.957392028406998</v>
      </c>
      <c r="K321" s="149">
        <v>35</v>
      </c>
      <c r="L321" s="149">
        <v>106</v>
      </c>
      <c r="M321" s="148">
        <v>10.24</v>
      </c>
      <c r="N321" s="135"/>
    </row>
    <row r="322" spans="1:14" x14ac:dyDescent="0.25">
      <c r="A322" s="142">
        <v>44519</v>
      </c>
      <c r="B322" s="81" t="s">
        <v>43</v>
      </c>
      <c r="C322" s="129" t="str">
        <f t="shared" si="9"/>
        <v>19.11.2021_HAAob</v>
      </c>
      <c r="D322" s="143">
        <f t="shared" si="10"/>
        <v>0</v>
      </c>
      <c r="E322" s="144">
        <v>0</v>
      </c>
      <c r="F322" s="145">
        <v>5.2418649554235884E-2</v>
      </c>
      <c r="G322" s="146">
        <v>6.5383825241388777E-2</v>
      </c>
      <c r="H322" s="146">
        <v>1.5821510092646452E-3</v>
      </c>
      <c r="I322" s="147">
        <v>0.42499999999999999</v>
      </c>
      <c r="J322" s="148">
        <v>0.1472463223364566</v>
      </c>
      <c r="K322" s="149">
        <v>30</v>
      </c>
      <c r="L322" s="149">
        <v>174</v>
      </c>
      <c r="M322" s="148">
        <v>10.83</v>
      </c>
      <c r="N322" s="135"/>
    </row>
    <row r="323" spans="1:14" x14ac:dyDescent="0.25">
      <c r="A323" s="142">
        <v>44519</v>
      </c>
      <c r="B323" s="81" t="s">
        <v>45</v>
      </c>
      <c r="C323" s="129" t="str">
        <f t="shared" si="9"/>
        <v>19.11.2021_HAAun</v>
      </c>
      <c r="D323" s="143">
        <f t="shared" si="10"/>
        <v>0</v>
      </c>
      <c r="E323" s="144">
        <v>0</v>
      </c>
      <c r="F323" s="145">
        <v>8.6320433333054628E-2</v>
      </c>
      <c r="G323" s="146">
        <v>0.10699171403136344</v>
      </c>
      <c r="H323" s="146">
        <v>0</v>
      </c>
      <c r="I323" s="147">
        <v>0.38700000000000001</v>
      </c>
      <c r="J323" s="148">
        <v>0.17048968602821341</v>
      </c>
      <c r="K323" s="149">
        <v>32</v>
      </c>
      <c r="L323" s="149">
        <v>225</v>
      </c>
      <c r="M323" s="148">
        <v>10.75</v>
      </c>
      <c r="N323" s="135"/>
    </row>
    <row r="324" spans="1:14" x14ac:dyDescent="0.25">
      <c r="A324" s="142">
        <v>44519</v>
      </c>
      <c r="B324" s="81" t="s">
        <v>47</v>
      </c>
      <c r="C324" s="129" t="str">
        <f t="shared" si="9"/>
        <v>19.11.2021_KIRob</v>
      </c>
      <c r="D324" s="143">
        <f t="shared" si="10"/>
        <v>0</v>
      </c>
      <c r="E324" s="144">
        <v>0</v>
      </c>
      <c r="F324" s="145">
        <v>1.5669672908265909E-2</v>
      </c>
      <c r="G324" s="146">
        <v>0.31503115798123676</v>
      </c>
      <c r="H324" s="146">
        <v>0.15346864789867071</v>
      </c>
      <c r="I324" s="147">
        <v>1.526</v>
      </c>
      <c r="J324" s="148">
        <v>0.63601969371360079</v>
      </c>
      <c r="K324" s="149">
        <v>28.12</v>
      </c>
      <c r="L324" s="149">
        <v>62</v>
      </c>
      <c r="M324" s="148">
        <v>11.1</v>
      </c>
      <c r="N324" s="135"/>
    </row>
    <row r="325" spans="1:14" x14ac:dyDescent="0.25">
      <c r="A325" s="142">
        <v>44519</v>
      </c>
      <c r="B325" s="81" t="s">
        <v>49</v>
      </c>
      <c r="C325" s="129" t="str">
        <f t="shared" ref="C325:C388" si="11">CONCATENATE(TEXT(A325,"TT.MM.JJJJ"),"_",B325)</f>
        <v>19.11.2021_KIRun</v>
      </c>
      <c r="D325" s="143">
        <f t="shared" ref="D325:D388" si="12">COUNTBLANK(E325:L325)</f>
        <v>0</v>
      </c>
      <c r="E325" s="144">
        <v>0</v>
      </c>
      <c r="F325" s="145">
        <v>1.8332422312939106E-2</v>
      </c>
      <c r="G325" s="146">
        <v>0.10104772991850991</v>
      </c>
      <c r="H325" s="146">
        <v>2.5314416148234344E-2</v>
      </c>
      <c r="I325" s="147">
        <v>3.3439999999999999</v>
      </c>
      <c r="J325" s="148">
        <v>0.84147880580075363</v>
      </c>
      <c r="K325" s="149">
        <v>54</v>
      </c>
      <c r="L325" s="149">
        <v>148</v>
      </c>
      <c r="M325" s="148">
        <v>9.0760000000000005</v>
      </c>
      <c r="N325" s="135"/>
    </row>
    <row r="326" spans="1:14" x14ac:dyDescent="0.25">
      <c r="A326" s="142">
        <v>44519</v>
      </c>
      <c r="B326" s="81" t="s">
        <v>50</v>
      </c>
      <c r="C326" s="129" t="str">
        <f t="shared" si="11"/>
        <v>19.11.2021_LIEohBo</v>
      </c>
      <c r="D326" s="143">
        <f t="shared" si="12"/>
        <v>0</v>
      </c>
      <c r="E326" s="144">
        <v>0</v>
      </c>
      <c r="F326" s="145">
        <v>5.0576234917642987E-2</v>
      </c>
      <c r="G326" s="146">
        <v>8.3215777579949329E-2</v>
      </c>
      <c r="H326" s="146">
        <v>1.7403661101911112E-2</v>
      </c>
      <c r="I326" s="147">
        <v>8.3000000000000007</v>
      </c>
      <c r="J326" s="148">
        <v>1.9446357637555318</v>
      </c>
      <c r="K326" s="149">
        <v>23</v>
      </c>
      <c r="L326" s="149">
        <v>80</v>
      </c>
      <c r="M326" s="148">
        <v>8.6029999999999998</v>
      </c>
      <c r="N326" s="135"/>
    </row>
    <row r="327" spans="1:14" x14ac:dyDescent="0.25">
      <c r="A327" s="142">
        <v>44519</v>
      </c>
      <c r="B327" s="81" t="s">
        <v>53</v>
      </c>
      <c r="C327" s="129" t="str">
        <f t="shared" si="11"/>
        <v>19.11.2021_NATohBo</v>
      </c>
      <c r="D327" s="143">
        <f t="shared" si="12"/>
        <v>0</v>
      </c>
      <c r="E327" s="144">
        <v>0</v>
      </c>
      <c r="F327" s="145">
        <v>4.9351331645824996E-2</v>
      </c>
      <c r="G327" s="146">
        <v>0.43391084023830728</v>
      </c>
      <c r="H327" s="146">
        <v>6.4868191379850504E-2</v>
      </c>
      <c r="I327" s="147">
        <v>1.363</v>
      </c>
      <c r="J327" s="148">
        <v>0.66453735920223878</v>
      </c>
      <c r="K327" s="149">
        <v>78</v>
      </c>
      <c r="L327" s="149">
        <v>290</v>
      </c>
      <c r="M327" s="148">
        <v>11.57</v>
      </c>
      <c r="N327" s="135"/>
    </row>
    <row r="328" spans="1:14" x14ac:dyDescent="0.25">
      <c r="A328" s="142">
        <v>44519</v>
      </c>
      <c r="B328" s="81" t="s">
        <v>55</v>
      </c>
      <c r="C328" s="129" t="str">
        <f t="shared" si="11"/>
        <v>19.11.2021_QUAohBo</v>
      </c>
      <c r="D328" s="143">
        <f t="shared" si="12"/>
        <v>0</v>
      </c>
      <c r="E328" s="144">
        <v>0</v>
      </c>
      <c r="F328" s="145">
        <v>2.7504534860019397E-2</v>
      </c>
      <c r="G328" s="146">
        <v>6.5383825241388777E-2</v>
      </c>
      <c r="H328" s="146">
        <v>1.4239359083381817E-2</v>
      </c>
      <c r="I328" s="147">
        <v>1.3240000000000001</v>
      </c>
      <c r="J328" s="148">
        <v>0.35415693933462156</v>
      </c>
      <c r="K328" s="149">
        <v>36</v>
      </c>
      <c r="L328" s="149">
        <v>129</v>
      </c>
      <c r="M328" s="148">
        <v>10.18</v>
      </c>
      <c r="N328" s="135"/>
    </row>
    <row r="329" spans="1:14" x14ac:dyDescent="0.25">
      <c r="A329" s="142">
        <v>44519</v>
      </c>
      <c r="B329" s="81" t="s">
        <v>57</v>
      </c>
      <c r="C329" s="129" t="str">
        <f t="shared" si="11"/>
        <v>19.11.2021_SCHohVo</v>
      </c>
      <c r="D329" s="143">
        <f t="shared" si="12"/>
        <v>0</v>
      </c>
      <c r="E329" s="144">
        <v>0</v>
      </c>
      <c r="F329" s="145">
        <v>3.389326957740018E-2</v>
      </c>
      <c r="G329" s="146">
        <v>7.1327809354242308E-2</v>
      </c>
      <c r="H329" s="146">
        <v>0</v>
      </c>
      <c r="I329" s="147">
        <v>1.204</v>
      </c>
      <c r="J329" s="148">
        <v>0.32733281068547559</v>
      </c>
      <c r="K329" s="149">
        <v>29</v>
      </c>
      <c r="L329" s="149">
        <v>125</v>
      </c>
      <c r="M329" s="148">
        <v>15.04</v>
      </c>
      <c r="N329" s="135"/>
    </row>
    <row r="330" spans="1:14" x14ac:dyDescent="0.25">
      <c r="A330" s="142">
        <v>44519</v>
      </c>
      <c r="B330" s="81" t="s">
        <v>60</v>
      </c>
      <c r="C330" s="129" t="str">
        <f t="shared" si="11"/>
        <v>19.11.2021_VORohBo</v>
      </c>
      <c r="D330" s="143">
        <f t="shared" si="12"/>
        <v>0</v>
      </c>
      <c r="E330" s="144">
        <v>0</v>
      </c>
      <c r="F330" s="145">
        <v>1.5505473240450089E-2</v>
      </c>
      <c r="G330" s="146">
        <v>0.58251044305964539</v>
      </c>
      <c r="H330" s="146">
        <v>2.5314416148234344E-2</v>
      </c>
      <c r="I330" s="147">
        <v>0.92</v>
      </c>
      <c r="J330" s="148">
        <v>0.66782090792771398</v>
      </c>
      <c r="K330" s="149">
        <v>33</v>
      </c>
      <c r="L330" s="149">
        <v>201</v>
      </c>
      <c r="M330" s="148">
        <v>11.36</v>
      </c>
      <c r="N330" s="135"/>
    </row>
    <row r="331" spans="1:14" x14ac:dyDescent="0.25">
      <c r="A331" s="142">
        <v>44519</v>
      </c>
      <c r="B331" s="81" t="s">
        <v>62</v>
      </c>
      <c r="C331" s="129" t="str">
        <f t="shared" si="11"/>
        <v>19.11.2021_VORuhSc</v>
      </c>
      <c r="D331" s="143">
        <f t="shared" si="12"/>
        <v>0</v>
      </c>
      <c r="E331" s="144">
        <v>0</v>
      </c>
      <c r="F331" s="145">
        <v>1.4211436604792852E-2</v>
      </c>
      <c r="G331" s="146">
        <v>0.34475107854550441</v>
      </c>
      <c r="H331" s="146">
        <v>6.3286040370585835E-3</v>
      </c>
      <c r="I331" s="147">
        <v>0.34100000000000003</v>
      </c>
      <c r="J331" s="148">
        <v>0.34664417847888124</v>
      </c>
      <c r="K331" s="149">
        <v>30</v>
      </c>
      <c r="L331" s="149">
        <v>186</v>
      </c>
      <c r="M331" s="148">
        <v>11.92</v>
      </c>
      <c r="N331" s="135"/>
    </row>
    <row r="332" spans="1:14" x14ac:dyDescent="0.25">
      <c r="A332" s="142">
        <v>44519</v>
      </c>
      <c r="B332" s="81" t="s">
        <v>64</v>
      </c>
      <c r="C332" s="129" t="str">
        <f t="shared" si="11"/>
        <v>19.11.2021_WITob</v>
      </c>
      <c r="D332" s="143">
        <f t="shared" si="12"/>
        <v>0</v>
      </c>
      <c r="E332" s="144">
        <v>0</v>
      </c>
      <c r="F332" s="145">
        <v>2.539579893057323E-2</v>
      </c>
      <c r="G332" s="146">
        <v>7.1327809354242308E-2</v>
      </c>
      <c r="H332" s="146">
        <v>0</v>
      </c>
      <c r="I332" s="147">
        <v>0.34499999999999997</v>
      </c>
      <c r="J332" s="148">
        <v>0.1333104806854756</v>
      </c>
      <c r="K332" s="149">
        <v>53</v>
      </c>
      <c r="L332" s="149">
        <v>198</v>
      </c>
      <c r="M332" s="148">
        <v>9.1039999999999992</v>
      </c>
      <c r="N332" s="135"/>
    </row>
    <row r="333" spans="1:14" x14ac:dyDescent="0.25">
      <c r="A333" s="142">
        <v>44536</v>
      </c>
      <c r="B333" s="81" t="s">
        <v>22</v>
      </c>
      <c r="C333" s="129" t="str">
        <f t="shared" si="11"/>
        <v>06.12.2021_BOYkl</v>
      </c>
      <c r="D333" s="143">
        <f t="shared" si="12"/>
        <v>0</v>
      </c>
      <c r="E333" s="144">
        <v>3.0798406207889966E-2</v>
      </c>
      <c r="F333" s="145">
        <v>5.4526913050513034E-2</v>
      </c>
      <c r="G333" s="146">
        <v>0.2178246217824622</v>
      </c>
      <c r="H333" s="146">
        <v>9.0736581564834745E-2</v>
      </c>
      <c r="I333" s="147">
        <v>14.935</v>
      </c>
      <c r="J333" s="148">
        <v>3.570131842825278</v>
      </c>
      <c r="K333" s="149">
        <v>13.316000000000001</v>
      </c>
      <c r="L333" s="149">
        <v>27.91</v>
      </c>
      <c r="M333" s="148">
        <v>13.27</v>
      </c>
      <c r="N333" s="135"/>
    </row>
    <row r="334" spans="1:14" x14ac:dyDescent="0.25">
      <c r="A334" s="142">
        <v>44536</v>
      </c>
      <c r="B334" s="81" t="s">
        <v>25</v>
      </c>
      <c r="C334" s="129" t="str">
        <f t="shared" si="11"/>
        <v>06.12.2021_BOYohB224</v>
      </c>
      <c r="D334" s="143">
        <f t="shared" si="12"/>
        <v>0</v>
      </c>
      <c r="E334" s="144">
        <v>0</v>
      </c>
      <c r="F334" s="145">
        <v>2.6297905879999275E-2</v>
      </c>
      <c r="G334" s="146">
        <v>7.4682727468272772E-2</v>
      </c>
      <c r="H334" s="146">
        <v>8.5875693266718622E-2</v>
      </c>
      <c r="I334" s="147">
        <v>9.2949999999999999</v>
      </c>
      <c r="J334" s="148">
        <v>2.1835968958668914</v>
      </c>
      <c r="K334" s="149">
        <v>31</v>
      </c>
      <c r="L334" s="149">
        <v>139</v>
      </c>
      <c r="M334" s="148">
        <v>13.62</v>
      </c>
      <c r="N334" s="135"/>
    </row>
    <row r="335" spans="1:14" x14ac:dyDescent="0.25">
      <c r="A335" s="142">
        <v>44536</v>
      </c>
      <c r="B335" s="81" t="s">
        <v>28</v>
      </c>
      <c r="C335" s="129" t="str">
        <f t="shared" si="11"/>
        <v>06.12.2021_BOYohBr</v>
      </c>
      <c r="D335" s="143">
        <f t="shared" si="12"/>
        <v>0</v>
      </c>
      <c r="E335" s="144">
        <v>0</v>
      </c>
      <c r="F335" s="145">
        <v>3.8964826346948075E-2</v>
      </c>
      <c r="G335" s="146">
        <v>0.22404818240481827</v>
      </c>
      <c r="H335" s="146">
        <v>0.11990191135353165</v>
      </c>
      <c r="I335" s="147">
        <v>10.375</v>
      </c>
      <c r="J335" s="148">
        <v>2.5538765600671001</v>
      </c>
      <c r="K335" s="149">
        <v>13.714</v>
      </c>
      <c r="L335" s="149">
        <v>42.747999999999998</v>
      </c>
      <c r="M335" s="148">
        <v>14.14</v>
      </c>
      <c r="N335" s="135"/>
    </row>
    <row r="336" spans="1:14" x14ac:dyDescent="0.25">
      <c r="A336" s="142">
        <v>44536</v>
      </c>
      <c r="B336" s="81" t="s">
        <v>30</v>
      </c>
      <c r="C336" s="129" t="str">
        <f t="shared" si="11"/>
        <v>06.12.2021_BOYohKi</v>
      </c>
      <c r="D336" s="143">
        <f t="shared" si="12"/>
        <v>0</v>
      </c>
      <c r="E336" s="144">
        <v>0</v>
      </c>
      <c r="F336" s="145">
        <v>2.3907697370694533E-2</v>
      </c>
      <c r="G336" s="146">
        <v>9.9576969957697006E-2</v>
      </c>
      <c r="H336" s="146">
        <v>6.4811843974881975E-2</v>
      </c>
      <c r="I336" s="147">
        <v>10.548999999999999</v>
      </c>
      <c r="J336" s="148">
        <v>2.4797551173006047</v>
      </c>
      <c r="K336" s="149">
        <v>26</v>
      </c>
      <c r="L336" s="149">
        <v>113</v>
      </c>
      <c r="M336" s="148">
        <v>13.75</v>
      </c>
      <c r="N336" s="135"/>
    </row>
    <row r="337" spans="1:14" x14ac:dyDescent="0.25">
      <c r="A337" s="142">
        <v>44536</v>
      </c>
      <c r="B337" s="81" t="s">
        <v>32</v>
      </c>
      <c r="C337" s="129" t="str">
        <f t="shared" si="11"/>
        <v>06.12.2021_BOYohSp</v>
      </c>
      <c r="D337" s="143">
        <f t="shared" si="12"/>
        <v>0</v>
      </c>
      <c r="E337" s="144">
        <v>2.0532270805259979E-2</v>
      </c>
      <c r="F337" s="145">
        <v>2.4459611699731064E-2</v>
      </c>
      <c r="G337" s="146">
        <v>0.11202409120240914</v>
      </c>
      <c r="H337" s="146">
        <v>8.4255397167346577E-2</v>
      </c>
      <c r="I337" s="147">
        <v>10.491</v>
      </c>
      <c r="J337" s="148">
        <v>2.482239312245357</v>
      </c>
      <c r="K337" s="149">
        <v>23.74</v>
      </c>
      <c r="L337" s="149">
        <v>72</v>
      </c>
      <c r="M337" s="148">
        <v>12.16</v>
      </c>
      <c r="N337" s="135"/>
    </row>
    <row r="338" spans="1:14" x14ac:dyDescent="0.25">
      <c r="A338" s="142">
        <v>44536</v>
      </c>
      <c r="B338" s="81" t="s">
        <v>36</v>
      </c>
      <c r="C338" s="129" t="str">
        <f t="shared" si="11"/>
        <v>06.12.2021_BOYuhSp</v>
      </c>
      <c r="D338" s="143">
        <f t="shared" si="12"/>
        <v>0</v>
      </c>
      <c r="E338" s="144">
        <v>0</v>
      </c>
      <c r="F338" s="145">
        <v>2.4342362547650175E-2</v>
      </c>
      <c r="G338" s="146">
        <v>0.14314189431418944</v>
      </c>
      <c r="H338" s="146">
        <v>8.91162854654627E-2</v>
      </c>
      <c r="I338" s="147">
        <v>6.9939999999999998</v>
      </c>
      <c r="J338" s="148">
        <v>1.7180144826259849</v>
      </c>
      <c r="K338" s="149">
        <v>16.027999999999999</v>
      </c>
      <c r="L338" s="149">
        <v>63.546999999999997</v>
      </c>
      <c r="M338" s="148">
        <v>11.73</v>
      </c>
      <c r="N338" s="135"/>
    </row>
    <row r="339" spans="1:14" x14ac:dyDescent="0.25">
      <c r="A339" s="142">
        <v>44536</v>
      </c>
      <c r="B339" s="81" t="s">
        <v>38</v>
      </c>
      <c r="C339" s="129" t="str">
        <f t="shared" si="11"/>
        <v>06.12.2021_BRAob</v>
      </c>
      <c r="D339" s="143">
        <f t="shared" si="12"/>
        <v>0</v>
      </c>
      <c r="E339" s="144">
        <v>0</v>
      </c>
      <c r="F339" s="145">
        <v>1.5070287558422097E-2</v>
      </c>
      <c r="G339" s="146">
        <v>3.7341363734136365E-2</v>
      </c>
      <c r="H339" s="146">
        <v>5.9950955676765824E-2</v>
      </c>
      <c r="I339" s="147">
        <v>1.601</v>
      </c>
      <c r="J339" s="148">
        <v>0.40886513398171087</v>
      </c>
      <c r="K339" s="149">
        <v>36.819000000000003</v>
      </c>
      <c r="L339" s="149">
        <v>98</v>
      </c>
      <c r="M339" s="148">
        <v>11.46</v>
      </c>
      <c r="N339" s="135"/>
    </row>
    <row r="340" spans="1:14" x14ac:dyDescent="0.25">
      <c r="A340" s="142">
        <v>44536</v>
      </c>
      <c r="B340" s="81" t="s">
        <v>41</v>
      </c>
      <c r="C340" s="129" t="str">
        <f t="shared" si="11"/>
        <v>06.12.2021_BRAohBo</v>
      </c>
      <c r="D340" s="143">
        <f t="shared" si="12"/>
        <v>0</v>
      </c>
      <c r="E340" s="144">
        <v>0</v>
      </c>
      <c r="F340" s="145">
        <v>1.6994405408412412E-2</v>
      </c>
      <c r="G340" s="146">
        <v>0.23649530364953042</v>
      </c>
      <c r="H340" s="146">
        <v>0.22522115781271487</v>
      </c>
      <c r="I340" s="147">
        <v>6.1130000000000004</v>
      </c>
      <c r="J340" s="148">
        <v>1.6329481298269048</v>
      </c>
      <c r="K340" s="149">
        <v>26.747</v>
      </c>
      <c r="L340" s="149">
        <v>77</v>
      </c>
      <c r="M340" s="148">
        <v>15.01</v>
      </c>
      <c r="N340" s="135"/>
    </row>
    <row r="341" spans="1:14" x14ac:dyDescent="0.25">
      <c r="A341" s="142">
        <v>44536</v>
      </c>
      <c r="B341" s="81" t="s">
        <v>43</v>
      </c>
      <c r="C341" s="129" t="str">
        <f t="shared" si="11"/>
        <v>06.12.2021_HAAob</v>
      </c>
      <c r="D341" s="143">
        <f t="shared" si="12"/>
        <v>0</v>
      </c>
      <c r="E341" s="144">
        <v>0</v>
      </c>
      <c r="F341" s="145">
        <v>2.1285219105961366E-2</v>
      </c>
      <c r="G341" s="146">
        <v>6.2235606223560641E-2</v>
      </c>
      <c r="H341" s="146">
        <v>4.3747994683045327E-2</v>
      </c>
      <c r="I341" s="147">
        <v>1.08</v>
      </c>
      <c r="J341" s="148">
        <v>0.30558400285778575</v>
      </c>
      <c r="K341" s="149">
        <v>22.521000000000001</v>
      </c>
      <c r="L341" s="149">
        <v>118</v>
      </c>
      <c r="M341" s="148">
        <v>11.17</v>
      </c>
      <c r="N341" s="135"/>
    </row>
    <row r="342" spans="1:14" x14ac:dyDescent="0.25">
      <c r="A342" s="142">
        <v>44536</v>
      </c>
      <c r="B342" s="81" t="s">
        <v>45</v>
      </c>
      <c r="C342" s="129" t="str">
        <f t="shared" si="11"/>
        <v>06.12.2021_HAAun</v>
      </c>
      <c r="D342" s="143">
        <f t="shared" si="12"/>
        <v>0</v>
      </c>
      <c r="E342" s="144">
        <v>6.1596812415779932E-2</v>
      </c>
      <c r="F342" s="145">
        <v>8.3941373976098202E-2</v>
      </c>
      <c r="G342" s="146">
        <v>0.24271886427188649</v>
      </c>
      <c r="H342" s="146">
        <v>2.9165329788696889E-2</v>
      </c>
      <c r="I342" s="147">
        <v>1.415</v>
      </c>
      <c r="J342" s="148">
        <v>0.51695420557264593</v>
      </c>
      <c r="K342" s="149">
        <v>27.297999999999998</v>
      </c>
      <c r="L342" s="149">
        <v>153</v>
      </c>
      <c r="M342" s="148">
        <v>10.37</v>
      </c>
      <c r="N342" s="135"/>
    </row>
    <row r="343" spans="1:14" x14ac:dyDescent="0.25">
      <c r="A343" s="142">
        <v>44536</v>
      </c>
      <c r="B343" s="81" t="s">
        <v>47</v>
      </c>
      <c r="C343" s="129" t="str">
        <f t="shared" si="11"/>
        <v>06.12.2021_KIRob</v>
      </c>
      <c r="D343" s="143">
        <f t="shared" si="12"/>
        <v>0</v>
      </c>
      <c r="E343" s="144">
        <v>0</v>
      </c>
      <c r="F343" s="145">
        <v>1.2899746541444285E-2</v>
      </c>
      <c r="G343" s="146">
        <v>0.8090628809062882</v>
      </c>
      <c r="H343" s="146">
        <v>0.19767612412339003</v>
      </c>
      <c r="I343" s="147">
        <v>2.8620000000000001</v>
      </c>
      <c r="J343" s="148">
        <v>1.3348516723842898</v>
      </c>
      <c r="K343" s="149">
        <v>44</v>
      </c>
      <c r="L343" s="149">
        <v>117</v>
      </c>
      <c r="M343" s="148">
        <v>9.4390000000000001</v>
      </c>
      <c r="N343" s="135"/>
    </row>
    <row r="344" spans="1:14" x14ac:dyDescent="0.25">
      <c r="A344" s="142">
        <v>44536</v>
      </c>
      <c r="B344" s="81" t="s">
        <v>49</v>
      </c>
      <c r="C344" s="129" t="str">
        <f t="shared" si="11"/>
        <v>06.12.2021_KIRun</v>
      </c>
      <c r="D344" s="143">
        <f t="shared" si="12"/>
        <v>0</v>
      </c>
      <c r="E344" s="144">
        <v>0</v>
      </c>
      <c r="F344" s="145">
        <v>1.4130010161134949E-2</v>
      </c>
      <c r="G344" s="146">
        <v>0.1306947730694773</v>
      </c>
      <c r="H344" s="146">
        <v>4.2127698583673275E-2</v>
      </c>
      <c r="I344" s="147">
        <v>2.702</v>
      </c>
      <c r="J344" s="148">
        <v>0.72460970217451781</v>
      </c>
      <c r="K344" s="149">
        <v>38</v>
      </c>
      <c r="L344" s="149">
        <v>12</v>
      </c>
      <c r="M344" s="148">
        <v>11.62</v>
      </c>
      <c r="N344" s="135"/>
    </row>
    <row r="345" spans="1:14" x14ac:dyDescent="0.25">
      <c r="A345" s="142">
        <v>44536</v>
      </c>
      <c r="B345" s="81" t="s">
        <v>50</v>
      </c>
      <c r="C345" s="129" t="str">
        <f t="shared" si="11"/>
        <v>06.12.2021_LIEohBo</v>
      </c>
      <c r="D345" s="143">
        <f t="shared" si="12"/>
        <v>0</v>
      </c>
      <c r="E345" s="144">
        <v>2.2585497885785972E-2</v>
      </c>
      <c r="F345" s="145">
        <v>2.5260236648860242E-2</v>
      </c>
      <c r="G345" s="146">
        <v>1.8670681867068203E-2</v>
      </c>
      <c r="H345" s="146">
        <v>3.8887106384929183E-2</v>
      </c>
      <c r="I345" s="147">
        <v>6.173</v>
      </c>
      <c r="J345" s="148">
        <v>1.4206322873018513</v>
      </c>
      <c r="K345" s="149">
        <v>13.673999999999999</v>
      </c>
      <c r="L345" s="149">
        <v>69</v>
      </c>
      <c r="M345" s="148">
        <v>16.63</v>
      </c>
      <c r="N345" s="135"/>
    </row>
    <row r="346" spans="1:14" x14ac:dyDescent="0.25">
      <c r="A346" s="142">
        <v>44536</v>
      </c>
      <c r="B346" s="81" t="s">
        <v>53</v>
      </c>
      <c r="C346" s="129" t="str">
        <f t="shared" si="11"/>
        <v>06.12.2021_NATohBo</v>
      </c>
      <c r="D346" s="143">
        <f t="shared" si="12"/>
        <v>0</v>
      </c>
      <c r="E346" s="144">
        <v>0</v>
      </c>
      <c r="F346" s="145">
        <v>1.903841328981961E-2</v>
      </c>
      <c r="G346" s="146">
        <v>0.15558901555890156</v>
      </c>
      <c r="H346" s="146">
        <v>4.3747994683045327E-2</v>
      </c>
      <c r="I346" s="147">
        <v>2.0459999999999998</v>
      </c>
      <c r="J346" s="148">
        <v>0.59626241167258454</v>
      </c>
      <c r="K346" s="149">
        <v>40</v>
      </c>
      <c r="L346" s="149">
        <v>175</v>
      </c>
      <c r="M346" s="148">
        <v>12.1</v>
      </c>
      <c r="N346" s="135"/>
    </row>
    <row r="347" spans="1:14" x14ac:dyDescent="0.25">
      <c r="A347" s="142">
        <v>44536</v>
      </c>
      <c r="B347" s="81" t="s">
        <v>55</v>
      </c>
      <c r="C347" s="129" t="str">
        <f t="shared" si="11"/>
        <v>06.12.2021_QUAohBo</v>
      </c>
      <c r="D347" s="143">
        <f t="shared" si="12"/>
        <v>0</v>
      </c>
      <c r="E347" s="144">
        <v>0</v>
      </c>
      <c r="F347" s="145">
        <v>1.2303585211785753E-2</v>
      </c>
      <c r="G347" s="146">
        <v>0.19915393991539401</v>
      </c>
      <c r="H347" s="146">
        <v>4.8608882981161478E-2</v>
      </c>
      <c r="I347" s="147">
        <v>4.407</v>
      </c>
      <c r="J347" s="148">
        <v>1.164849107228519</v>
      </c>
      <c r="K347" s="149">
        <v>18.824999999999999</v>
      </c>
      <c r="L347" s="149">
        <v>74.918999999999997</v>
      </c>
      <c r="M347" s="148">
        <v>11.62</v>
      </c>
      <c r="N347" s="135"/>
    </row>
    <row r="348" spans="1:14" x14ac:dyDescent="0.25">
      <c r="A348" s="142">
        <v>44536</v>
      </c>
      <c r="B348" s="81" t="s">
        <v>57</v>
      </c>
      <c r="C348" s="129" t="str">
        <f t="shared" si="11"/>
        <v>06.12.2021_SCHohVo</v>
      </c>
      <c r="D348" s="143">
        <f t="shared" si="12"/>
        <v>0</v>
      </c>
      <c r="E348" s="144">
        <v>0</v>
      </c>
      <c r="F348" s="145">
        <v>2.9144773804199196E-2</v>
      </c>
      <c r="G348" s="146">
        <v>0.32984871298487134</v>
      </c>
      <c r="H348" s="146">
        <v>6.4811843974881975E-2</v>
      </c>
      <c r="I348" s="147">
        <v>2.7149999999999999</v>
      </c>
      <c r="J348" s="148">
        <v>0.88909324304377557</v>
      </c>
      <c r="K348" s="149">
        <v>28.934000000000001</v>
      </c>
      <c r="L348" s="149">
        <v>91</v>
      </c>
      <c r="M348" s="148">
        <v>17.399999999999999</v>
      </c>
      <c r="N348" s="135"/>
    </row>
    <row r="349" spans="1:14" x14ac:dyDescent="0.25">
      <c r="A349" s="142">
        <v>44536</v>
      </c>
      <c r="B349" s="81" t="s">
        <v>60</v>
      </c>
      <c r="C349" s="129" t="str">
        <f t="shared" si="11"/>
        <v>06.12.2021_VORohBo</v>
      </c>
      <c r="D349" s="143">
        <f t="shared" si="12"/>
        <v>0</v>
      </c>
      <c r="E349" s="144">
        <v>0</v>
      </c>
      <c r="F349" s="145">
        <v>1.0482828171990387E-2</v>
      </c>
      <c r="G349" s="146">
        <v>0.48543772854377287</v>
      </c>
      <c r="H349" s="146">
        <v>3.0785625888068931E-2</v>
      </c>
      <c r="I349" s="147">
        <v>1.272</v>
      </c>
      <c r="J349" s="148">
        <v>0.67361686563857681</v>
      </c>
      <c r="K349" s="149">
        <v>25.574000000000002</v>
      </c>
      <c r="L349" s="149">
        <v>164</v>
      </c>
      <c r="M349" s="148">
        <v>8.0730000000000004</v>
      </c>
      <c r="N349" s="135"/>
    </row>
    <row r="350" spans="1:14" x14ac:dyDescent="0.25">
      <c r="A350" s="142">
        <v>44536</v>
      </c>
      <c r="B350" s="81" t="s">
        <v>62</v>
      </c>
      <c r="C350" s="129" t="str">
        <f t="shared" si="11"/>
        <v>06.12.2021_VORuhSc</v>
      </c>
      <c r="D350" s="143">
        <f t="shared" si="12"/>
        <v>0</v>
      </c>
      <c r="E350" s="144">
        <v>0</v>
      </c>
      <c r="F350" s="145">
        <v>1.0854658746553969E-2</v>
      </c>
      <c r="G350" s="146">
        <v>0.37963719796371981</v>
      </c>
      <c r="H350" s="146">
        <v>3.5646514186185085E-2</v>
      </c>
      <c r="I350" s="147">
        <v>0.80500000000000005</v>
      </c>
      <c r="J350" s="148">
        <v>0.48746241909083288</v>
      </c>
      <c r="K350" s="149">
        <v>14.726000000000001</v>
      </c>
      <c r="L350" s="149">
        <v>109.41200000000001</v>
      </c>
      <c r="M350" s="148">
        <v>14.6</v>
      </c>
      <c r="N350" s="135"/>
    </row>
    <row r="351" spans="1:14" x14ac:dyDescent="0.25">
      <c r="A351" s="142">
        <v>44536</v>
      </c>
      <c r="B351" s="81" t="s">
        <v>64</v>
      </c>
      <c r="C351" s="129" t="str">
        <f t="shared" si="11"/>
        <v>06.12.2021_WITob</v>
      </c>
      <c r="D351" s="143">
        <f t="shared" si="12"/>
        <v>0</v>
      </c>
      <c r="E351" s="144">
        <v>0</v>
      </c>
      <c r="F351" s="145">
        <v>1.569583235221678E-2</v>
      </c>
      <c r="G351" s="146">
        <v>7.4682727468272772E-2</v>
      </c>
      <c r="H351" s="146">
        <v>1.6202960993720451E-3</v>
      </c>
      <c r="I351" s="147">
        <v>0.58599999999999997</v>
      </c>
      <c r="J351" s="148">
        <v>0.19084351019929294</v>
      </c>
      <c r="K351" s="149">
        <v>59.874000000000002</v>
      </c>
      <c r="L351" s="149">
        <v>252.57900000000001</v>
      </c>
      <c r="M351" s="148">
        <v>8.7420000000000009</v>
      </c>
      <c r="N351" s="135"/>
    </row>
    <row r="352" spans="1:14" x14ac:dyDescent="0.25">
      <c r="A352" s="142">
        <v>44547</v>
      </c>
      <c r="B352" s="81" t="s">
        <v>22</v>
      </c>
      <c r="C352" s="129" t="str">
        <f t="shared" si="11"/>
        <v>17.12.2021_BOYkl</v>
      </c>
      <c r="D352" s="143">
        <f t="shared" si="12"/>
        <v>0</v>
      </c>
      <c r="E352" s="144">
        <v>0</v>
      </c>
      <c r="F352" s="145">
        <v>6.4984674041906054E-2</v>
      </c>
      <c r="G352" s="146">
        <v>8.3036841033991463E-2</v>
      </c>
      <c r="H352" s="146">
        <v>6.5864576232674388E-2</v>
      </c>
      <c r="I352" s="147">
        <v>7.3860000000000001</v>
      </c>
      <c r="J352" s="148">
        <v>1.7528055669285216</v>
      </c>
      <c r="K352" s="149">
        <v>37</v>
      </c>
      <c r="L352" s="149">
        <v>167</v>
      </c>
      <c r="M352" s="148">
        <v>11.78</v>
      </c>
      <c r="N352" s="135"/>
    </row>
    <row r="353" spans="1:14" x14ac:dyDescent="0.25">
      <c r="A353" s="142">
        <v>44547</v>
      </c>
      <c r="B353" s="81" t="s">
        <v>25</v>
      </c>
      <c r="C353" s="129" t="str">
        <f t="shared" si="11"/>
        <v>17.12.2021_BOYohB224</v>
      </c>
      <c r="D353" s="143">
        <f t="shared" si="12"/>
        <v>0</v>
      </c>
      <c r="E353" s="144">
        <v>2.5539778253258115E-2</v>
      </c>
      <c r="F353" s="145">
        <v>5.4831974330532871E-2</v>
      </c>
      <c r="G353" s="146">
        <v>4.5935273763484628E-2</v>
      </c>
      <c r="H353" s="146">
        <v>0.10923880936150875</v>
      </c>
      <c r="I353" s="147">
        <v>34</v>
      </c>
      <c r="J353" s="148">
        <v>7.7485060362347191</v>
      </c>
      <c r="K353" s="149">
        <v>32</v>
      </c>
      <c r="L353" s="149">
        <v>63</v>
      </c>
      <c r="M353" s="148">
        <v>23.18</v>
      </c>
      <c r="N353" s="135"/>
    </row>
    <row r="354" spans="1:14" x14ac:dyDescent="0.25">
      <c r="A354" s="142">
        <v>44547</v>
      </c>
      <c r="B354" s="81" t="s">
        <v>28</v>
      </c>
      <c r="C354" s="129" t="str">
        <f t="shared" si="11"/>
        <v>17.12.2021_BOYohBr</v>
      </c>
      <c r="D354" s="143">
        <f t="shared" si="12"/>
        <v>0</v>
      </c>
      <c r="E354" s="144">
        <v>1.9645983271737014E-2</v>
      </c>
      <c r="F354" s="145">
        <v>6.7740918648632173E-2</v>
      </c>
      <c r="G354" s="146">
        <v>0.10070425401994708</v>
      </c>
      <c r="H354" s="146">
        <v>8.3535560099977271E-2</v>
      </c>
      <c r="I354" s="147">
        <v>17.245999999999999</v>
      </c>
      <c r="J354" s="148">
        <v>3.9989822674763866</v>
      </c>
      <c r="K354" s="149">
        <v>27</v>
      </c>
      <c r="L354" s="149">
        <v>95</v>
      </c>
      <c r="M354" s="148">
        <v>10.220000000000001</v>
      </c>
      <c r="N354" s="135"/>
    </row>
    <row r="355" spans="1:14" x14ac:dyDescent="0.25">
      <c r="A355" s="142">
        <v>44547</v>
      </c>
      <c r="B355" s="81" t="s">
        <v>30</v>
      </c>
      <c r="C355" s="129" t="str">
        <f t="shared" si="11"/>
        <v>17.12.2021_BOYohKi</v>
      </c>
      <c r="D355" s="143">
        <f t="shared" si="12"/>
        <v>0</v>
      </c>
      <c r="E355" s="144">
        <v>0</v>
      </c>
      <c r="F355" s="145">
        <v>5.5593017078190088E-2</v>
      </c>
      <c r="G355" s="146">
        <v>0.12897211479747611</v>
      </c>
      <c r="H355" s="146">
        <v>7.8716200863440125E-2</v>
      </c>
      <c r="I355" s="147">
        <v>10.093</v>
      </c>
      <c r="J355" s="148">
        <v>2.4038166147719662</v>
      </c>
      <c r="K355" s="149">
        <v>37</v>
      </c>
      <c r="L355" s="149">
        <v>143</v>
      </c>
      <c r="M355" s="148">
        <v>12.01</v>
      </c>
      <c r="N355" s="135"/>
    </row>
    <row r="356" spans="1:14" x14ac:dyDescent="0.25">
      <c r="A356" s="142">
        <v>44547</v>
      </c>
      <c r="B356" s="81" t="s">
        <v>32</v>
      </c>
      <c r="C356" s="129" t="str">
        <f t="shared" si="11"/>
        <v>17.12.2021_BOYohSp</v>
      </c>
      <c r="D356" s="143">
        <f t="shared" si="12"/>
        <v>0</v>
      </c>
      <c r="E356" s="144">
        <v>0</v>
      </c>
      <c r="F356" s="145">
        <v>6.8998039268282088E-2</v>
      </c>
      <c r="G356" s="146">
        <v>0.1766741298595563</v>
      </c>
      <c r="H356" s="146">
        <v>8.3535560099977271E-2</v>
      </c>
      <c r="I356" s="147">
        <v>13.172000000000001</v>
      </c>
      <c r="J356" s="148">
        <v>3.1377777363670849</v>
      </c>
      <c r="K356" s="149">
        <v>33</v>
      </c>
      <c r="L356" s="149">
        <v>108</v>
      </c>
      <c r="M356" s="148">
        <v>19.02</v>
      </c>
      <c r="N356" s="135"/>
    </row>
    <row r="357" spans="1:14" x14ac:dyDescent="0.25">
      <c r="A357" s="142">
        <v>44547</v>
      </c>
      <c r="B357" s="81" t="s">
        <v>36</v>
      </c>
      <c r="C357" s="129" t="str">
        <f t="shared" si="11"/>
        <v>17.12.2021_BOYuhSp</v>
      </c>
      <c r="D357" s="143">
        <f t="shared" si="12"/>
        <v>0</v>
      </c>
      <c r="E357" s="144">
        <v>0</v>
      </c>
      <c r="F357" s="145">
        <v>5.9930458670308454E-2</v>
      </c>
      <c r="G357" s="146">
        <v>0.18197435375534299</v>
      </c>
      <c r="H357" s="146">
        <v>7.8716200863440125E-2</v>
      </c>
      <c r="I357" s="147">
        <v>12.135999999999999</v>
      </c>
      <c r="J357" s="148">
        <v>2.9064247333003603</v>
      </c>
      <c r="K357" s="149">
        <v>35</v>
      </c>
      <c r="L357" s="149">
        <v>121</v>
      </c>
      <c r="M357" s="148">
        <v>10.61</v>
      </c>
      <c r="N357" s="135"/>
    </row>
    <row r="358" spans="1:14" x14ac:dyDescent="0.25">
      <c r="A358" s="142">
        <v>44547</v>
      </c>
      <c r="B358" s="81" t="s">
        <v>38</v>
      </c>
      <c r="C358" s="129" t="str">
        <f t="shared" si="11"/>
        <v>17.12.2021_BRAob</v>
      </c>
      <c r="D358" s="143">
        <f t="shared" si="12"/>
        <v>0</v>
      </c>
      <c r="E358" s="144">
        <v>1.7681384944563307E-2</v>
      </c>
      <c r="F358" s="145">
        <v>5.1427835589843679E-2</v>
      </c>
      <c r="G358" s="146">
        <v>0.13250559739466725</v>
      </c>
      <c r="H358" s="146">
        <v>4.1767780049988636E-2</v>
      </c>
      <c r="I358" s="147">
        <v>2.6429999999999998</v>
      </c>
      <c r="J358" s="148">
        <v>0.71257988195720412</v>
      </c>
      <c r="K358" s="149">
        <v>67</v>
      </c>
      <c r="L358" s="149">
        <v>165</v>
      </c>
      <c r="M358" s="148">
        <v>11.56</v>
      </c>
      <c r="N358" s="135"/>
    </row>
    <row r="359" spans="1:14" x14ac:dyDescent="0.25">
      <c r="A359" s="142">
        <v>44547</v>
      </c>
      <c r="B359" s="81" t="s">
        <v>41</v>
      </c>
      <c r="C359" s="129" t="str">
        <f t="shared" si="11"/>
        <v>17.12.2021_BRAohBo</v>
      </c>
      <c r="D359" s="143">
        <f t="shared" si="12"/>
        <v>0</v>
      </c>
      <c r="E359" s="144">
        <v>0</v>
      </c>
      <c r="F359" s="145">
        <v>5.4318175209513139E-2</v>
      </c>
      <c r="G359" s="146">
        <v>0.22790962751882762</v>
      </c>
      <c r="H359" s="146">
        <v>7.3896841626902965E-2</v>
      </c>
      <c r="I359" s="147">
        <v>8.7739999999999991</v>
      </c>
      <c r="J359" s="148">
        <v>2.1812508201054048</v>
      </c>
      <c r="K359" s="149">
        <v>45</v>
      </c>
      <c r="L359" s="149">
        <v>133</v>
      </c>
      <c r="M359" s="148">
        <v>12.55</v>
      </c>
      <c r="N359" s="135"/>
    </row>
    <row r="360" spans="1:14" x14ac:dyDescent="0.25">
      <c r="A360" s="142">
        <v>44547</v>
      </c>
      <c r="B360" s="81" t="s">
        <v>43</v>
      </c>
      <c r="C360" s="129" t="str">
        <f t="shared" si="11"/>
        <v>17.12.2021_HAAob</v>
      </c>
      <c r="D360" s="143">
        <f t="shared" si="12"/>
        <v>0</v>
      </c>
      <c r="E360" s="144">
        <v>0</v>
      </c>
      <c r="F360" s="145">
        <v>4.918902022783668E-2</v>
      </c>
      <c r="G360" s="146">
        <v>9.1870547526969285E-2</v>
      </c>
      <c r="H360" s="146">
        <v>2.5703249261531468E-2</v>
      </c>
      <c r="I360" s="147">
        <v>2.2240000000000002</v>
      </c>
      <c r="J360" s="148">
        <v>0.58149679568688972</v>
      </c>
      <c r="K360" s="149">
        <v>35</v>
      </c>
      <c r="L360" s="149">
        <v>208</v>
      </c>
      <c r="M360" s="148">
        <v>10.38</v>
      </c>
      <c r="N360" s="135"/>
    </row>
    <row r="361" spans="1:14" x14ac:dyDescent="0.25">
      <c r="A361" s="142">
        <v>44547</v>
      </c>
      <c r="B361" s="81" t="s">
        <v>45</v>
      </c>
      <c r="C361" s="129" t="str">
        <f t="shared" si="11"/>
        <v>17.12.2021_HAAun</v>
      </c>
      <c r="D361" s="143">
        <f t="shared" si="12"/>
        <v>0</v>
      </c>
      <c r="E361" s="144">
        <v>5.8937949815211034E-2</v>
      </c>
      <c r="F361" s="145">
        <v>0.13836784906784599</v>
      </c>
      <c r="G361" s="146">
        <v>0.29857927946265017</v>
      </c>
      <c r="H361" s="146">
        <v>3.8554873892297198E-2</v>
      </c>
      <c r="I361" s="147">
        <v>1.9079999999999999</v>
      </c>
      <c r="J361" s="148">
        <v>0.67454181606646313</v>
      </c>
      <c r="K361" s="149">
        <v>37</v>
      </c>
      <c r="L361" s="149">
        <v>277</v>
      </c>
      <c r="M361" s="148">
        <v>13.21</v>
      </c>
      <c r="N361" s="135"/>
    </row>
    <row r="362" spans="1:14" x14ac:dyDescent="0.25">
      <c r="A362" s="142">
        <v>44547</v>
      </c>
      <c r="B362" s="81" t="s">
        <v>47</v>
      </c>
      <c r="C362" s="129" t="str">
        <f t="shared" si="11"/>
        <v>17.12.2021_KIRob</v>
      </c>
      <c r="D362" s="143">
        <f t="shared" si="12"/>
        <v>0</v>
      </c>
      <c r="E362" s="144">
        <v>0</v>
      </c>
      <c r="F362" s="145">
        <v>2.6623034459284094E-2</v>
      </c>
      <c r="G362" s="146">
        <v>0.37631589660085496</v>
      </c>
      <c r="H362" s="146">
        <v>0.1831356509884117</v>
      </c>
      <c r="I362" s="147">
        <v>7.298</v>
      </c>
      <c r="J362" s="148">
        <v>1.9963604394950196</v>
      </c>
      <c r="K362" s="149">
        <v>99</v>
      </c>
      <c r="L362" s="149">
        <v>191</v>
      </c>
      <c r="M362" s="148">
        <v>10.83</v>
      </c>
      <c r="N362" s="135"/>
    </row>
    <row r="363" spans="1:14" x14ac:dyDescent="0.25">
      <c r="A363" s="142">
        <v>44547</v>
      </c>
      <c r="B363" s="81" t="s">
        <v>49</v>
      </c>
      <c r="C363" s="129" t="str">
        <f t="shared" si="11"/>
        <v>17.12.2021_KIRun</v>
      </c>
      <c r="D363" s="143">
        <f t="shared" si="12"/>
        <v>0</v>
      </c>
      <c r="E363" s="144">
        <v>0</v>
      </c>
      <c r="F363" s="145">
        <v>2.7770456058593972E-2</v>
      </c>
      <c r="G363" s="146">
        <v>3.8868308569102394E-2</v>
      </c>
      <c r="H363" s="146">
        <v>2.4096796182685752E-2</v>
      </c>
      <c r="I363" s="147">
        <v>3.0910000000000002</v>
      </c>
      <c r="J363" s="148">
        <v>0.73568129251864089</v>
      </c>
      <c r="K363" s="149">
        <v>40</v>
      </c>
      <c r="L363" s="149">
        <v>89</v>
      </c>
      <c r="M363" s="148">
        <v>8.1999999999999993</v>
      </c>
      <c r="N363" s="135"/>
    </row>
    <row r="364" spans="1:14" x14ac:dyDescent="0.25">
      <c r="A364" s="142">
        <v>44547</v>
      </c>
      <c r="B364" s="81" t="s">
        <v>50</v>
      </c>
      <c r="C364" s="129" t="str">
        <f t="shared" si="11"/>
        <v>17.12.2021_LIEohBo</v>
      </c>
      <c r="D364" s="143">
        <f t="shared" si="12"/>
        <v>0</v>
      </c>
      <c r="E364" s="144">
        <v>1.7681384944563307E-2</v>
      </c>
      <c r="F364" s="145">
        <v>5.5021565347450223E-2</v>
      </c>
      <c r="G364" s="146">
        <v>7.9503358436800328E-2</v>
      </c>
      <c r="H364" s="146">
        <v>4.016132697114292E-2</v>
      </c>
      <c r="I364" s="147">
        <v>14.170999999999999</v>
      </c>
      <c r="J364" s="148">
        <v>3.2747644487889551</v>
      </c>
      <c r="K364" s="149">
        <v>26</v>
      </c>
      <c r="L364" s="149">
        <v>115</v>
      </c>
      <c r="M364" s="148">
        <v>13.95</v>
      </c>
      <c r="N364" s="135"/>
    </row>
    <row r="365" spans="1:14" x14ac:dyDescent="0.25">
      <c r="A365" s="142">
        <v>44547</v>
      </c>
      <c r="B365" s="81" t="s">
        <v>53</v>
      </c>
      <c r="C365" s="129" t="str">
        <f t="shared" si="11"/>
        <v>17.12.2021_NATohBo</v>
      </c>
      <c r="D365" s="143">
        <f t="shared" si="12"/>
        <v>0</v>
      </c>
      <c r="E365" s="144">
        <v>1.9645983271737014E-2</v>
      </c>
      <c r="F365" s="145">
        <v>6.0755257905035151E-2</v>
      </c>
      <c r="G365" s="146">
        <v>0.23851007531040103</v>
      </c>
      <c r="H365" s="146">
        <v>6.1045216996137235E-2</v>
      </c>
      <c r="I365" s="147">
        <v>2.6869999999999998</v>
      </c>
      <c r="J365" s="148">
        <v>0.81069859469224714</v>
      </c>
      <c r="K365" s="149">
        <v>93</v>
      </c>
      <c r="L365" s="149">
        <v>357</v>
      </c>
      <c r="M365" s="148">
        <v>20.37</v>
      </c>
      <c r="N365" s="135"/>
    </row>
    <row r="366" spans="1:14" x14ac:dyDescent="0.25">
      <c r="A366" s="142">
        <v>44547</v>
      </c>
      <c r="B366" s="81" t="s">
        <v>55</v>
      </c>
      <c r="C366" s="129" t="str">
        <f t="shared" si="11"/>
        <v>17.12.2021_QUAohBo</v>
      </c>
      <c r="D366" s="143">
        <f t="shared" si="12"/>
        <v>0</v>
      </c>
      <c r="E366" s="144">
        <v>1.9645983271737014E-2</v>
      </c>
      <c r="F366" s="145">
        <v>3.5642345146292831E-2</v>
      </c>
      <c r="G366" s="146">
        <v>0.13780582129045393</v>
      </c>
      <c r="H366" s="146">
        <v>4.4980686207680073E-2</v>
      </c>
      <c r="I366" s="147">
        <v>6.726</v>
      </c>
      <c r="J366" s="148">
        <v>1.6399008320897526</v>
      </c>
      <c r="K366" s="149">
        <v>38</v>
      </c>
      <c r="L366" s="149">
        <v>139</v>
      </c>
      <c r="M366" s="148">
        <v>10.48</v>
      </c>
      <c r="N366" s="135"/>
    </row>
    <row r="367" spans="1:14" x14ac:dyDescent="0.25">
      <c r="A367" s="142">
        <v>44547</v>
      </c>
      <c r="B367" s="81" t="s">
        <v>57</v>
      </c>
      <c r="C367" s="129" t="str">
        <f t="shared" si="11"/>
        <v>17.12.2021_SCHohVo</v>
      </c>
      <c r="D367" s="143">
        <f t="shared" si="12"/>
        <v>0</v>
      </c>
      <c r="E367" s="144">
        <v>0</v>
      </c>
      <c r="F367" s="145">
        <v>2.8727359593267578E-2</v>
      </c>
      <c r="G367" s="146">
        <v>0.13250559739466725</v>
      </c>
      <c r="H367" s="146">
        <v>6.7471029311520103E-2</v>
      </c>
      <c r="I367" s="147">
        <v>2.8620000000000001</v>
      </c>
      <c r="J367" s="148">
        <v>0.76987076619487738</v>
      </c>
      <c r="K367" s="149">
        <v>32</v>
      </c>
      <c r="L367" s="149">
        <v>121</v>
      </c>
      <c r="M367" s="148">
        <v>17.22</v>
      </c>
      <c r="N367" s="135"/>
    </row>
    <row r="368" spans="1:14" x14ac:dyDescent="0.25">
      <c r="A368" s="142">
        <v>44547</v>
      </c>
      <c r="B368" s="81" t="s">
        <v>60</v>
      </c>
      <c r="C368" s="129" t="str">
        <f t="shared" si="11"/>
        <v>17.12.2021_VORohBo</v>
      </c>
      <c r="D368" s="143">
        <f t="shared" si="12"/>
        <v>0</v>
      </c>
      <c r="E368" s="144">
        <v>0</v>
      </c>
      <c r="F368" s="145">
        <v>2.5801011488515647E-2</v>
      </c>
      <c r="G368" s="146">
        <v>0.34804803582332594</v>
      </c>
      <c r="H368" s="146">
        <v>3.5341967734605767E-2</v>
      </c>
      <c r="I368" s="147">
        <v>1.722</v>
      </c>
      <c r="J368" s="148">
        <v>0.66996382141325506</v>
      </c>
      <c r="K368" s="149">
        <v>39</v>
      </c>
      <c r="L368" s="149">
        <v>235</v>
      </c>
      <c r="M368" s="148">
        <v>12.53</v>
      </c>
      <c r="N368" s="135"/>
    </row>
    <row r="369" spans="1:14" x14ac:dyDescent="0.25">
      <c r="A369" s="142">
        <v>44547</v>
      </c>
      <c r="B369" s="81" t="s">
        <v>62</v>
      </c>
      <c r="C369" s="129" t="str">
        <f t="shared" si="11"/>
        <v>17.12.2021_VORuhSc</v>
      </c>
      <c r="D369" s="143">
        <f t="shared" si="12"/>
        <v>0</v>
      </c>
      <c r="E369" s="144">
        <v>0</v>
      </c>
      <c r="F369" s="145">
        <v>2.7243785611876729E-2</v>
      </c>
      <c r="G369" s="146">
        <v>0.2491105231019744</v>
      </c>
      <c r="H369" s="146">
        <v>2.7309702340377186E-2</v>
      </c>
      <c r="I369" s="147">
        <v>1.335</v>
      </c>
      <c r="J369" s="148">
        <v>0.50328271896097987</v>
      </c>
      <c r="K369" s="149">
        <v>35</v>
      </c>
      <c r="L369" s="149">
        <v>226</v>
      </c>
      <c r="M369" s="148">
        <v>21.64</v>
      </c>
      <c r="N369" s="135"/>
    </row>
    <row r="370" spans="1:14" x14ac:dyDescent="0.25">
      <c r="A370" s="142">
        <v>44547</v>
      </c>
      <c r="B370" s="81" t="s">
        <v>64</v>
      </c>
      <c r="C370" s="129" t="str">
        <f t="shared" si="11"/>
        <v>17.12.2021_WITob</v>
      </c>
      <c r="D370" s="143">
        <f t="shared" si="12"/>
        <v>0</v>
      </c>
      <c r="E370" s="144">
        <v>1.9645983271737014E-2</v>
      </c>
      <c r="F370" s="145">
        <v>3.0896563429980307E-2</v>
      </c>
      <c r="G370" s="146">
        <v>9.0103806228373717E-2</v>
      </c>
      <c r="H370" s="146">
        <v>1.2851624630765701E-2</v>
      </c>
      <c r="I370" s="147">
        <v>1.2230000000000001</v>
      </c>
      <c r="J370" s="148">
        <v>0.35011639161710656</v>
      </c>
      <c r="K370" s="149">
        <v>81</v>
      </c>
      <c r="L370" s="149">
        <v>316</v>
      </c>
      <c r="M370" s="148">
        <v>21.23</v>
      </c>
      <c r="N370" s="135"/>
    </row>
    <row r="371" spans="1:14" x14ac:dyDescent="0.25">
      <c r="A371" s="142">
        <v>44560</v>
      </c>
      <c r="B371" s="81" t="s">
        <v>22</v>
      </c>
      <c r="C371" s="129" t="str">
        <f t="shared" si="11"/>
        <v>30.12.2021_BOYkl</v>
      </c>
      <c r="D371" s="143">
        <f t="shared" si="12"/>
        <v>0</v>
      </c>
      <c r="E371" s="144">
        <v>1.6554964668172214E-2</v>
      </c>
      <c r="F371" s="145">
        <v>5.3850435321378801E-2</v>
      </c>
      <c r="G371" s="146">
        <v>3.7101567270506834E-2</v>
      </c>
      <c r="H371" s="146">
        <v>0.12371399419197864</v>
      </c>
      <c r="I371" s="147">
        <v>4.3879999999999999</v>
      </c>
      <c r="J371" s="148">
        <v>1.0575912815016237</v>
      </c>
      <c r="K371" s="149">
        <v>15.526</v>
      </c>
      <c r="L371" s="149">
        <v>67.201999999999998</v>
      </c>
      <c r="M371" s="148">
        <v>11.63</v>
      </c>
      <c r="N371" s="135"/>
    </row>
    <row r="372" spans="1:14" x14ac:dyDescent="0.25">
      <c r="A372" s="142">
        <v>44560</v>
      </c>
      <c r="B372" s="81" t="s">
        <v>25</v>
      </c>
      <c r="C372" s="129" t="str">
        <f t="shared" si="11"/>
        <v>30.12.2021_BOYohB224</v>
      </c>
      <c r="D372" s="143">
        <f t="shared" si="12"/>
        <v>0</v>
      </c>
      <c r="E372" s="144">
        <v>8.0935382822175259E-2</v>
      </c>
      <c r="F372" s="145">
        <v>3.1744728769735928E-2</v>
      </c>
      <c r="G372" s="146">
        <v>5.1235497659271323E-2</v>
      </c>
      <c r="H372" s="146">
        <v>0.19859351699238678</v>
      </c>
      <c r="I372" s="147">
        <v>16.327000000000002</v>
      </c>
      <c r="J372" s="148">
        <v>3.7880251378257799</v>
      </c>
      <c r="K372" s="149">
        <v>15.135999999999999</v>
      </c>
      <c r="L372" s="149">
        <v>25.922000000000001</v>
      </c>
      <c r="M372" s="148">
        <v>12.52</v>
      </c>
      <c r="N372" s="135"/>
    </row>
    <row r="373" spans="1:14" x14ac:dyDescent="0.25">
      <c r="A373" s="142">
        <v>44560</v>
      </c>
      <c r="B373" s="81" t="s">
        <v>28</v>
      </c>
      <c r="C373" s="129" t="str">
        <f t="shared" si="11"/>
        <v>30.12.2021_BOYohBr</v>
      </c>
      <c r="D373" s="143">
        <f t="shared" si="12"/>
        <v>0</v>
      </c>
      <c r="E373" s="144">
        <v>5.8862096597945654E-2</v>
      </c>
      <c r="F373" s="145">
        <v>5.7860926173607878E-2</v>
      </c>
      <c r="G373" s="146">
        <v>7.5969875839609208E-2</v>
      </c>
      <c r="H373" s="146">
        <v>0.18068754414881091</v>
      </c>
      <c r="I373" s="147">
        <v>9.3130000000000006</v>
      </c>
      <c r="J373" s="148">
        <v>2.2175274817068038</v>
      </c>
      <c r="K373" s="149">
        <v>12.319000000000001</v>
      </c>
      <c r="L373" s="149">
        <v>38.244</v>
      </c>
      <c r="M373" s="148">
        <v>12.57</v>
      </c>
      <c r="N373" s="135"/>
    </row>
    <row r="374" spans="1:14" x14ac:dyDescent="0.25">
      <c r="A374" s="142">
        <v>44560</v>
      </c>
      <c r="B374" s="81" t="s">
        <v>30</v>
      </c>
      <c r="C374" s="129" t="str">
        <f t="shared" si="11"/>
        <v>30.12.2021_BOYohKi</v>
      </c>
      <c r="D374" s="143">
        <f t="shared" si="12"/>
        <v>0</v>
      </c>
      <c r="E374" s="144">
        <v>4.5986012967145044E-2</v>
      </c>
      <c r="F374" s="145">
        <v>3.2692243473608072E-2</v>
      </c>
      <c r="G374" s="146">
        <v>7.4203134541013641E-2</v>
      </c>
      <c r="H374" s="146">
        <v>0.12371399419197864</v>
      </c>
      <c r="I374" s="147">
        <v>6.96</v>
      </c>
      <c r="J374" s="148">
        <v>1.6673379174714995</v>
      </c>
      <c r="K374" s="149">
        <v>19.896999999999998</v>
      </c>
      <c r="L374" s="149">
        <v>65</v>
      </c>
      <c r="M374" s="148">
        <v>12.7</v>
      </c>
      <c r="N374" s="135"/>
    </row>
    <row r="375" spans="1:14" x14ac:dyDescent="0.25">
      <c r="A375" s="142">
        <v>44560</v>
      </c>
      <c r="B375" s="81" t="s">
        <v>32</v>
      </c>
      <c r="C375" s="129" t="str">
        <f t="shared" si="11"/>
        <v>30.12.2021_BOYohSp</v>
      </c>
      <c r="D375" s="143">
        <f t="shared" si="12"/>
        <v>0</v>
      </c>
      <c r="E375" s="144">
        <v>4.7825453485830838E-2</v>
      </c>
      <c r="F375" s="145">
        <v>4.2070220717566421E-2</v>
      </c>
      <c r="G375" s="146">
        <v>9.0103806228373717E-2</v>
      </c>
      <c r="H375" s="146">
        <v>0.1611537555921827</v>
      </c>
      <c r="I375" s="147">
        <v>6.9130000000000003</v>
      </c>
      <c r="J375" s="148">
        <v>1.6804672753883099</v>
      </c>
      <c r="K375" s="149">
        <v>14.605</v>
      </c>
      <c r="L375" s="149">
        <v>44.493000000000002</v>
      </c>
      <c r="M375" s="148">
        <v>11.83</v>
      </c>
      <c r="N375" s="135"/>
    </row>
    <row r="376" spans="1:14" x14ac:dyDescent="0.25">
      <c r="A376" s="142">
        <v>44560</v>
      </c>
      <c r="B376" s="81" t="s">
        <v>36</v>
      </c>
      <c r="C376" s="129" t="str">
        <f t="shared" si="11"/>
        <v>30.12.2021_BOYuhSp</v>
      </c>
      <c r="D376" s="143">
        <f t="shared" si="12"/>
        <v>0</v>
      </c>
      <c r="E376" s="144">
        <v>2.2073286224229619E-2</v>
      </c>
      <c r="F376" s="145">
        <v>4.2265125160185844E-2</v>
      </c>
      <c r="G376" s="146">
        <v>0.12543863220028498</v>
      </c>
      <c r="H376" s="146">
        <v>0.14813122988776389</v>
      </c>
      <c r="I376" s="147">
        <v>6.1710000000000003</v>
      </c>
      <c r="J376" s="148">
        <v>1.5363441664565289</v>
      </c>
      <c r="K376" s="149">
        <v>14.167999999999999</v>
      </c>
      <c r="L376" s="149">
        <v>49.87</v>
      </c>
      <c r="M376" s="148">
        <v>13.46</v>
      </c>
      <c r="N376" s="135"/>
    </row>
    <row r="377" spans="1:14" x14ac:dyDescent="0.25">
      <c r="A377" s="142">
        <v>44560</v>
      </c>
      <c r="B377" s="81" t="s">
        <v>38</v>
      </c>
      <c r="C377" s="129" t="str">
        <f t="shared" si="11"/>
        <v>30.12.2021_BRAob</v>
      </c>
      <c r="D377" s="143">
        <f t="shared" si="12"/>
        <v>0</v>
      </c>
      <c r="E377" s="144">
        <v>3.1270488817658627E-2</v>
      </c>
      <c r="F377" s="145">
        <v>2.7826263783435473E-2</v>
      </c>
      <c r="G377" s="146">
        <v>7.0669651943822534E-2</v>
      </c>
      <c r="H377" s="146">
        <v>5.6973549956832258E-2</v>
      </c>
      <c r="I377" s="147">
        <v>2.1230000000000002</v>
      </c>
      <c r="J377" s="148">
        <v>0.55174188532221635</v>
      </c>
      <c r="K377" s="149">
        <v>30</v>
      </c>
      <c r="L377" s="149">
        <v>81</v>
      </c>
      <c r="M377" s="148">
        <v>8.0020000000000007</v>
      </c>
      <c r="N377" s="135"/>
    </row>
    <row r="378" spans="1:14" x14ac:dyDescent="0.25">
      <c r="A378" s="142">
        <v>44560</v>
      </c>
      <c r="B378" s="81" t="s">
        <v>41</v>
      </c>
      <c r="C378" s="129" t="str">
        <f t="shared" si="11"/>
        <v>30.12.2021_BRAohBo</v>
      </c>
      <c r="D378" s="143">
        <f t="shared" si="12"/>
        <v>0</v>
      </c>
      <c r="E378" s="144">
        <v>2.9431048298972827E-2</v>
      </c>
      <c r="F378" s="145">
        <v>5.258804890928636E-2</v>
      </c>
      <c r="G378" s="146">
        <v>0.21024221453287198</v>
      </c>
      <c r="H378" s="146">
        <v>0.15952593987913036</v>
      </c>
      <c r="I378" s="147">
        <v>3.8029999999999999</v>
      </c>
      <c r="J378" s="148">
        <v>1.0708022595588309</v>
      </c>
      <c r="K378" s="149">
        <v>13.179</v>
      </c>
      <c r="L378" s="149">
        <v>44.828000000000003</v>
      </c>
      <c r="M378" s="148">
        <v>13.92</v>
      </c>
      <c r="N378" s="135"/>
    </row>
    <row r="379" spans="1:14" x14ac:dyDescent="0.25">
      <c r="A379" s="142">
        <v>44560</v>
      </c>
      <c r="B379" s="81" t="s">
        <v>43</v>
      </c>
      <c r="C379" s="129" t="str">
        <f t="shared" si="11"/>
        <v>30.12.2021_HAAob</v>
      </c>
      <c r="D379" s="143">
        <f t="shared" si="12"/>
        <v>0</v>
      </c>
      <c r="E379" s="144">
        <v>0</v>
      </c>
      <c r="F379" s="145">
        <v>2.4791044516073713E-2</v>
      </c>
      <c r="G379" s="146">
        <v>4.7702015062080196E-2</v>
      </c>
      <c r="H379" s="146">
        <v>7.3251707087355761E-2</v>
      </c>
      <c r="I379" s="147">
        <v>0.71799999999999997</v>
      </c>
      <c r="J379" s="148">
        <v>0.22151627989830014</v>
      </c>
      <c r="K379" s="149">
        <v>9.1929999999999996</v>
      </c>
      <c r="L379" s="149">
        <v>79</v>
      </c>
      <c r="M379" s="148">
        <v>7.34</v>
      </c>
      <c r="N379" s="135"/>
    </row>
    <row r="380" spans="1:14" x14ac:dyDescent="0.25">
      <c r="A380" s="142">
        <v>44560</v>
      </c>
      <c r="B380" s="81" t="s">
        <v>45</v>
      </c>
      <c r="C380" s="129" t="str">
        <f t="shared" si="11"/>
        <v>30.12.2021_HAAun</v>
      </c>
      <c r="D380" s="143">
        <f t="shared" si="12"/>
        <v>0</v>
      </c>
      <c r="E380" s="144">
        <v>9.5650906971661676E-2</v>
      </c>
      <c r="F380" s="145">
        <v>0.14866132825398848</v>
      </c>
      <c r="G380" s="146">
        <v>0.60775900671687366</v>
      </c>
      <c r="H380" s="146">
        <v>5.5345734243779907E-2</v>
      </c>
      <c r="I380" s="147">
        <v>1</v>
      </c>
      <c r="J380" s="148">
        <v>0.71463879991610402</v>
      </c>
      <c r="K380" s="149">
        <v>15.715999999999999</v>
      </c>
      <c r="L380" s="149">
        <v>115</v>
      </c>
      <c r="M380" s="148">
        <v>10.6</v>
      </c>
      <c r="N380" s="135"/>
    </row>
    <row r="381" spans="1:14" x14ac:dyDescent="0.25">
      <c r="A381" s="142">
        <v>44560</v>
      </c>
      <c r="B381" s="81" t="s">
        <v>47</v>
      </c>
      <c r="C381" s="129" t="str">
        <f t="shared" si="11"/>
        <v>30.12.2021_KIRob</v>
      </c>
      <c r="D381" s="143">
        <f t="shared" si="12"/>
        <v>0</v>
      </c>
      <c r="E381" s="144">
        <v>0</v>
      </c>
      <c r="F381" s="145">
        <v>1.1582617694782492E-2</v>
      </c>
      <c r="G381" s="146">
        <v>0.43991858335029516</v>
      </c>
      <c r="H381" s="146">
        <v>0.26370614551448074</v>
      </c>
      <c r="I381" s="147">
        <v>3.722</v>
      </c>
      <c r="J381" s="148">
        <v>1.2625658567875542</v>
      </c>
      <c r="K381" s="149">
        <v>52</v>
      </c>
      <c r="L381" s="149">
        <v>107</v>
      </c>
      <c r="M381" s="148">
        <v>9.8330000000000002</v>
      </c>
      <c r="N381" s="135"/>
    </row>
    <row r="382" spans="1:14" x14ac:dyDescent="0.25">
      <c r="A382" s="142">
        <v>44560</v>
      </c>
      <c r="B382" s="81" t="s">
        <v>49</v>
      </c>
      <c r="C382" s="129" t="str">
        <f t="shared" si="11"/>
        <v>30.12.2021_KIRun</v>
      </c>
      <c r="D382" s="143">
        <f t="shared" si="12"/>
        <v>0</v>
      </c>
      <c r="E382" s="144">
        <v>0</v>
      </c>
      <c r="F382" s="145">
        <v>1.497480905423728E-2</v>
      </c>
      <c r="G382" s="146">
        <v>0.1148381844087116</v>
      </c>
      <c r="H382" s="146">
        <v>0.12208617847892628</v>
      </c>
      <c r="I382" s="147">
        <v>4.101</v>
      </c>
      <c r="J382" s="148">
        <v>1.0526327088494296</v>
      </c>
      <c r="K382" s="149">
        <v>51</v>
      </c>
      <c r="L382" s="149">
        <v>120</v>
      </c>
      <c r="M382" s="148">
        <v>10.6</v>
      </c>
      <c r="N382" s="135"/>
    </row>
    <row r="383" spans="1:14" x14ac:dyDescent="0.25">
      <c r="A383" s="142">
        <v>44560</v>
      </c>
      <c r="B383" s="81" t="s">
        <v>50</v>
      </c>
      <c r="C383" s="129" t="str">
        <f t="shared" si="11"/>
        <v>30.12.2021_LIEohBo</v>
      </c>
      <c r="D383" s="143">
        <f t="shared" si="12"/>
        <v>0</v>
      </c>
      <c r="E383" s="144">
        <v>4.0467691411087629E-2</v>
      </c>
      <c r="F383" s="145">
        <v>2.9507733533738742E-2</v>
      </c>
      <c r="G383" s="146">
        <v>3.5334825971911267E-2</v>
      </c>
      <c r="H383" s="146">
        <v>0.10418020563535044</v>
      </c>
      <c r="I383" s="147">
        <v>7.2539999999999996</v>
      </c>
      <c r="J383" s="148">
        <v>1.6976157826246117</v>
      </c>
      <c r="K383" s="149">
        <v>16.077000000000002</v>
      </c>
      <c r="L383" s="149">
        <v>60</v>
      </c>
      <c r="M383" s="148">
        <v>11.21</v>
      </c>
      <c r="N383" s="135"/>
    </row>
    <row r="384" spans="1:14" x14ac:dyDescent="0.25">
      <c r="A384" s="142">
        <v>44560</v>
      </c>
      <c r="B384" s="81" t="s">
        <v>53</v>
      </c>
      <c r="C384" s="129" t="str">
        <f t="shared" si="11"/>
        <v>30.12.2021_NATohBo</v>
      </c>
      <c r="D384" s="143">
        <f t="shared" si="12"/>
        <v>0</v>
      </c>
      <c r="E384" s="144">
        <v>0</v>
      </c>
      <c r="F384" s="145">
        <v>2.1763650346895098E-2</v>
      </c>
      <c r="G384" s="146">
        <v>7.2436393242418073E-2</v>
      </c>
      <c r="H384" s="146">
        <v>0.15627030845302564</v>
      </c>
      <c r="I384" s="147">
        <v>1.627</v>
      </c>
      <c r="J384" s="148">
        <v>0.47131312039732887</v>
      </c>
      <c r="K384" s="149">
        <v>24</v>
      </c>
      <c r="L384" s="149">
        <v>72</v>
      </c>
      <c r="M384" s="148">
        <v>11.61</v>
      </c>
      <c r="N384" s="135"/>
    </row>
    <row r="385" spans="1:14" x14ac:dyDescent="0.25">
      <c r="A385" s="142">
        <v>44560</v>
      </c>
      <c r="B385" s="81" t="s">
        <v>55</v>
      </c>
      <c r="C385" s="129" t="str">
        <f t="shared" si="11"/>
        <v>30.12.2021_QUAohBo</v>
      </c>
      <c r="D385" s="143">
        <f t="shared" si="12"/>
        <v>0</v>
      </c>
      <c r="E385" s="144">
        <v>0</v>
      </c>
      <c r="F385" s="145">
        <v>1.8542327048104486E-2</v>
      </c>
      <c r="G385" s="146">
        <v>6.0069204152249145E-2</v>
      </c>
      <c r="H385" s="146">
        <v>0.10255238992229808</v>
      </c>
      <c r="I385" s="147">
        <v>6.2759999999999998</v>
      </c>
      <c r="J385" s="148">
        <v>1.4954253314440236</v>
      </c>
      <c r="K385" s="149">
        <v>23.151</v>
      </c>
      <c r="L385" s="149">
        <v>61.853999999999999</v>
      </c>
      <c r="M385" s="148">
        <v>12.04</v>
      </c>
      <c r="N385" s="135"/>
    </row>
    <row r="386" spans="1:14" x14ac:dyDescent="0.25">
      <c r="A386" s="142">
        <v>44560</v>
      </c>
      <c r="B386" s="81" t="s">
        <v>57</v>
      </c>
      <c r="C386" s="129" t="str">
        <f t="shared" si="11"/>
        <v>30.12.2021_SCHohVo</v>
      </c>
      <c r="D386" s="143">
        <f t="shared" si="12"/>
        <v>0</v>
      </c>
      <c r="E386" s="144">
        <v>0</v>
      </c>
      <c r="F386" s="145">
        <v>1.8477779402311767E-2</v>
      </c>
      <c r="G386" s="146">
        <v>0.12013840830449829</v>
      </c>
      <c r="H386" s="146">
        <v>0.13999215132250212</v>
      </c>
      <c r="I386" s="147">
        <v>2.0209999999999999</v>
      </c>
      <c r="J386" s="148">
        <v>0.59239015313449561</v>
      </c>
      <c r="K386" s="149">
        <v>12.739000000000001</v>
      </c>
      <c r="L386" s="149">
        <v>46.98</v>
      </c>
      <c r="M386" s="148">
        <v>14.5</v>
      </c>
      <c r="N386" s="135"/>
    </row>
    <row r="387" spans="1:14" x14ac:dyDescent="0.25">
      <c r="A387" s="142">
        <v>44560</v>
      </c>
      <c r="B387" s="81" t="s">
        <v>60</v>
      </c>
      <c r="C387" s="129" t="str">
        <f t="shared" si="11"/>
        <v>30.12.2021_VORohBo</v>
      </c>
      <c r="D387" s="143">
        <f t="shared" si="12"/>
        <v>0</v>
      </c>
      <c r="E387" s="144">
        <v>2.3912726742915419E-2</v>
      </c>
      <c r="F387" s="145">
        <v>1.3542307718938133E-2</v>
      </c>
      <c r="G387" s="146">
        <v>0.18374109505393857</v>
      </c>
      <c r="H387" s="146">
        <v>5.6973549956832258E-2</v>
      </c>
      <c r="I387" s="147">
        <v>0.91</v>
      </c>
      <c r="J387" s="148">
        <v>0.36556042018279034</v>
      </c>
      <c r="K387" s="149">
        <v>15.997999999999999</v>
      </c>
      <c r="L387" s="149">
        <v>124</v>
      </c>
      <c r="M387" s="148">
        <v>10.94</v>
      </c>
      <c r="N387" s="135"/>
    </row>
    <row r="388" spans="1:14" x14ac:dyDescent="0.25">
      <c r="A388" s="142">
        <v>44560</v>
      </c>
      <c r="B388" s="81" t="s">
        <v>62</v>
      </c>
      <c r="C388" s="129" t="str">
        <f t="shared" si="11"/>
        <v>30.12.2021_VORuhSc</v>
      </c>
      <c r="D388" s="143">
        <f t="shared" si="12"/>
        <v>0</v>
      </c>
      <c r="E388" s="144">
        <v>0</v>
      </c>
      <c r="F388" s="145">
        <v>1.370101260966412E-2</v>
      </c>
      <c r="G388" s="146">
        <v>0.16784042336657848</v>
      </c>
      <c r="H388" s="146">
        <v>5.5345734243779907E-2</v>
      </c>
      <c r="I388" s="147">
        <v>1.17</v>
      </c>
      <c r="J388" s="148">
        <v>0.41144431913043322</v>
      </c>
      <c r="K388" s="149">
        <v>19.891999999999999</v>
      </c>
      <c r="L388" s="149">
        <v>134</v>
      </c>
      <c r="M388" s="148">
        <v>13.15</v>
      </c>
      <c r="N388" s="135"/>
    </row>
    <row r="389" spans="1:14" x14ac:dyDescent="0.25">
      <c r="A389" s="142">
        <v>44560</v>
      </c>
      <c r="B389" s="81" t="s">
        <v>64</v>
      </c>
      <c r="C389" s="129" t="str">
        <f t="shared" ref="C389:C452" si="13">CONCATENATE(TEXT(A389,"TT.MM.JJJJ"),"_",B389)</f>
        <v>30.12.2021_WITob</v>
      </c>
      <c r="D389" s="143">
        <f t="shared" ref="D389:D452" si="14">COUNTBLANK(E389:L389)</f>
        <v>0</v>
      </c>
      <c r="E389" s="144">
        <v>0</v>
      </c>
      <c r="F389" s="145">
        <v>1.3787634714335374E-2</v>
      </c>
      <c r="G389" s="146">
        <v>2.4734378180337878E-2</v>
      </c>
      <c r="H389" s="146">
        <v>3.5811945687151708E-2</v>
      </c>
      <c r="I389" s="147">
        <v>0.317</v>
      </c>
      <c r="J389" s="148">
        <v>0.1017097341777039</v>
      </c>
      <c r="K389" s="149">
        <v>14.09</v>
      </c>
      <c r="L389" s="149">
        <v>87</v>
      </c>
      <c r="M389" s="148">
        <v>9.7390000000000008</v>
      </c>
      <c r="N389" s="135"/>
    </row>
    <row r="390" spans="1:14" x14ac:dyDescent="0.25">
      <c r="A390" s="142">
        <v>44575</v>
      </c>
      <c r="B390" s="81" t="s">
        <v>22</v>
      </c>
      <c r="C390" s="129" t="str">
        <f t="shared" si="13"/>
        <v>14.01.2022_BOYkl</v>
      </c>
      <c r="D390" s="143">
        <f t="shared" si="14"/>
        <v>0</v>
      </c>
      <c r="E390" s="144">
        <v>0.03</v>
      </c>
      <c r="F390" s="145">
        <v>2.9910469035561986E-2</v>
      </c>
      <c r="G390" s="146">
        <v>0.12</v>
      </c>
      <c r="H390" s="146">
        <v>0.04</v>
      </c>
      <c r="I390" s="147">
        <v>37</v>
      </c>
      <c r="J390" s="148">
        <v>8.4625468000000001</v>
      </c>
      <c r="K390" s="149">
        <v>31</v>
      </c>
      <c r="L390" s="149">
        <v>62</v>
      </c>
      <c r="M390" s="148">
        <v>16.527241621337101</v>
      </c>
      <c r="N390" s="135"/>
    </row>
    <row r="391" spans="1:14" x14ac:dyDescent="0.25">
      <c r="A391" s="142">
        <v>44575</v>
      </c>
      <c r="B391" s="81" t="s">
        <v>25</v>
      </c>
      <c r="C391" s="129" t="str">
        <f t="shared" si="13"/>
        <v>14.01.2022_BOYohB224</v>
      </c>
      <c r="D391" s="143">
        <f t="shared" si="14"/>
        <v>0</v>
      </c>
      <c r="E391" s="144">
        <v>0</v>
      </c>
      <c r="F391" s="145">
        <v>2.4052572790658484E-2</v>
      </c>
      <c r="G391" s="146">
        <v>0.28000000000000003</v>
      </c>
      <c r="H391" s="146">
        <v>0.08</v>
      </c>
      <c r="I391" s="147">
        <v>11.942</v>
      </c>
      <c r="J391" s="148">
        <v>2.9391127399999997</v>
      </c>
      <c r="K391" s="149">
        <v>40</v>
      </c>
      <c r="L391" s="149">
        <v>183</v>
      </c>
      <c r="M391" s="148">
        <v>20.545490436918801</v>
      </c>
      <c r="N391" s="135"/>
    </row>
    <row r="392" spans="1:14" x14ac:dyDescent="0.25">
      <c r="A392" s="142">
        <v>44575</v>
      </c>
      <c r="B392" s="81" t="s">
        <v>28</v>
      </c>
      <c r="C392" s="129" t="str">
        <f t="shared" si="13"/>
        <v>14.01.2022_BOYohBr</v>
      </c>
      <c r="D392" s="143">
        <f t="shared" si="14"/>
        <v>0</v>
      </c>
      <c r="E392" s="144">
        <v>1.9807250518294389E-2</v>
      </c>
      <c r="F392" s="145">
        <v>2.4318647682415019E-2</v>
      </c>
      <c r="G392" s="146">
        <v>0.20157399045284483</v>
      </c>
      <c r="H392" s="146">
        <v>7.179487179487179E-2</v>
      </c>
      <c r="I392" s="147">
        <v>23.042000000000002</v>
      </c>
      <c r="J392" s="148">
        <v>5.3828746765646782</v>
      </c>
      <c r="K392" s="149">
        <v>27</v>
      </c>
      <c r="L392" s="149">
        <v>97</v>
      </c>
      <c r="M392" s="148">
        <v>19.9839884190209</v>
      </c>
      <c r="N392" s="135"/>
    </row>
    <row r="393" spans="1:14" x14ac:dyDescent="0.25">
      <c r="A393" s="142">
        <v>44575</v>
      </c>
      <c r="B393" s="81" t="s">
        <v>30</v>
      </c>
      <c r="C393" s="129" t="str">
        <f t="shared" si="13"/>
        <v>14.01.2022_BOYohKi</v>
      </c>
      <c r="D393" s="143">
        <f t="shared" si="14"/>
        <v>0</v>
      </c>
      <c r="E393" s="144">
        <v>1.9807250518294389E-2</v>
      </c>
      <c r="F393" s="145">
        <v>2.2282210098048903E-2</v>
      </c>
      <c r="G393" s="146">
        <v>0.23996903625338667</v>
      </c>
      <c r="H393" s="146">
        <v>6.58119658119658E-2</v>
      </c>
      <c r="I393" s="147">
        <v>14.102</v>
      </c>
      <c r="J393" s="148">
        <v>3.3915887499518451</v>
      </c>
      <c r="K393" s="149">
        <v>36</v>
      </c>
      <c r="L393" s="149">
        <v>145</v>
      </c>
      <c r="M393" s="148">
        <v>19.668143533953302</v>
      </c>
      <c r="N393" s="135"/>
    </row>
    <row r="394" spans="1:14" x14ac:dyDescent="0.25">
      <c r="A394" s="142">
        <v>44575</v>
      </c>
      <c r="B394" s="81" t="s">
        <v>32</v>
      </c>
      <c r="C394" s="129" t="str">
        <f t="shared" si="13"/>
        <v>14.01.2022_BOYohSp</v>
      </c>
      <c r="D394" s="143">
        <f t="shared" si="14"/>
        <v>0</v>
      </c>
      <c r="E394" s="144">
        <v>1.9807250518294389E-2</v>
      </c>
      <c r="F394" s="145">
        <v>1.9234372081384243E-2</v>
      </c>
      <c r="G394" s="146">
        <v>0.21117275190298029</v>
      </c>
      <c r="H394" s="146">
        <v>8.6752136752136749E-2</v>
      </c>
      <c r="I394" s="147">
        <v>18.050999999999998</v>
      </c>
      <c r="J394" s="148">
        <v>4.2675645881593329</v>
      </c>
      <c r="K394" s="149">
        <v>35</v>
      </c>
      <c r="L394" s="149">
        <v>117</v>
      </c>
      <c r="M394" s="148">
        <v>16.628136515178099</v>
      </c>
      <c r="N394" s="135"/>
    </row>
    <row r="395" spans="1:14" x14ac:dyDescent="0.25">
      <c r="A395" s="142">
        <v>44575</v>
      </c>
      <c r="B395" s="81" t="s">
        <v>36</v>
      </c>
      <c r="C395" s="129" t="str">
        <f t="shared" si="13"/>
        <v>14.01.2022_BOYuhSp</v>
      </c>
      <c r="D395" s="143">
        <f t="shared" si="14"/>
        <v>0</v>
      </c>
      <c r="E395" s="144">
        <v>1.7826525466464949E-2</v>
      </c>
      <c r="F395" s="145">
        <v>2.1705923192761694E-2</v>
      </c>
      <c r="G395" s="146">
        <v>0.24796800412849956</v>
      </c>
      <c r="H395" s="146">
        <v>7.3290598290598294E-2</v>
      </c>
      <c r="I395" s="147">
        <v>16.363</v>
      </c>
      <c r="J395" s="148">
        <v>3.9107688081753111</v>
      </c>
      <c r="K395" s="149">
        <v>34</v>
      </c>
      <c r="L395" s="149">
        <v>125</v>
      </c>
      <c r="M395" s="148">
        <v>17.904676258992801</v>
      </c>
      <c r="N395" s="135"/>
    </row>
    <row r="396" spans="1:14" x14ac:dyDescent="0.25">
      <c r="A396" s="142">
        <v>44575</v>
      </c>
      <c r="B396" s="81" t="s">
        <v>38</v>
      </c>
      <c r="C396" s="129" t="str">
        <f t="shared" si="13"/>
        <v>14.01.2022_BRAob</v>
      </c>
      <c r="D396" s="143">
        <f t="shared" si="14"/>
        <v>0</v>
      </c>
      <c r="E396" s="144">
        <v>1.584580041463551E-2</v>
      </c>
      <c r="F396" s="145">
        <v>1.7895749556373054E-2</v>
      </c>
      <c r="G396" s="146">
        <v>0.22717068765320605</v>
      </c>
      <c r="H396" s="146">
        <v>3.4401709401709397E-2</v>
      </c>
      <c r="I396" s="147">
        <v>4.7409999999999997</v>
      </c>
      <c r="J396" s="148">
        <v>1.2577190376831884</v>
      </c>
      <c r="K396" s="149">
        <v>68</v>
      </c>
      <c r="L396" s="149">
        <v>168</v>
      </c>
      <c r="M396" s="148">
        <v>19.769038427794399</v>
      </c>
      <c r="N396" s="135"/>
    </row>
    <row r="397" spans="1:14" x14ac:dyDescent="0.25">
      <c r="A397" s="142">
        <v>44575</v>
      </c>
      <c r="B397" s="81" t="s">
        <v>41</v>
      </c>
      <c r="C397" s="129" t="str">
        <f t="shared" si="13"/>
        <v>14.01.2022_BRAohBo</v>
      </c>
      <c r="D397" s="143">
        <f t="shared" si="14"/>
        <v>0</v>
      </c>
      <c r="E397" s="144">
        <v>1.7826525466464949E-2</v>
      </c>
      <c r="F397" s="145">
        <v>2.334829134705492E-2</v>
      </c>
      <c r="G397" s="146">
        <v>0.40314798090568965</v>
      </c>
      <c r="H397" s="146">
        <v>6.431623931623931E-2</v>
      </c>
      <c r="I397" s="147">
        <v>13.058</v>
      </c>
      <c r="J397" s="148">
        <v>3.2820319147532877</v>
      </c>
      <c r="K397" s="149">
        <v>45</v>
      </c>
      <c r="L397" s="149">
        <v>131</v>
      </c>
      <c r="M397" s="148">
        <v>20.216485348306701</v>
      </c>
      <c r="N397" s="135"/>
    </row>
    <row r="398" spans="1:14" x14ac:dyDescent="0.25">
      <c r="A398" s="142">
        <v>44575</v>
      </c>
      <c r="B398" s="81" t="s">
        <v>43</v>
      </c>
      <c r="C398" s="129" t="str">
        <f t="shared" si="13"/>
        <v>14.01.2022_HAAob</v>
      </c>
      <c r="D398" s="143">
        <f t="shared" si="14"/>
        <v>0</v>
      </c>
      <c r="E398" s="144">
        <v>1.9807250518294389E-2</v>
      </c>
      <c r="F398" s="145">
        <v>1.5884339620098342E-2</v>
      </c>
      <c r="G398" s="146">
        <v>0.18397626112759644</v>
      </c>
      <c r="H398" s="146">
        <v>5.9829059829059825E-3</v>
      </c>
      <c r="I398" s="147">
        <v>3.2490000000000001</v>
      </c>
      <c r="J398" s="148">
        <v>0.87852885272946302</v>
      </c>
      <c r="K398" s="149">
        <v>32</v>
      </c>
      <c r="L398" s="149">
        <v>178</v>
      </c>
      <c r="M398" s="148">
        <v>19.514607825934402</v>
      </c>
      <c r="N398" s="135"/>
    </row>
    <row r="399" spans="1:14" x14ac:dyDescent="0.25">
      <c r="A399" s="142">
        <v>44575</v>
      </c>
      <c r="B399" s="81" t="s">
        <v>45</v>
      </c>
      <c r="C399" s="129" t="str">
        <f t="shared" si="13"/>
        <v>14.01.2022_HAAun</v>
      </c>
      <c r="D399" s="143">
        <f t="shared" si="14"/>
        <v>0</v>
      </c>
      <c r="E399" s="144">
        <v>4.1595226088418216E-2</v>
      </c>
      <c r="F399" s="145">
        <v>5.864591569056888E-2</v>
      </c>
      <c r="G399" s="146">
        <v>0.5391304347826088</v>
      </c>
      <c r="H399" s="146">
        <v>2.6923076923076925E-2</v>
      </c>
      <c r="I399" s="147">
        <v>3.18</v>
      </c>
      <c r="J399" s="148">
        <v>1.1450927220735787</v>
      </c>
      <c r="K399" s="149">
        <v>34</v>
      </c>
      <c r="L399" s="149">
        <v>254</v>
      </c>
      <c r="M399" s="148">
        <v>16.7772854886822</v>
      </c>
      <c r="N399" s="135"/>
    </row>
    <row r="400" spans="1:14" x14ac:dyDescent="0.25">
      <c r="A400" s="142">
        <v>44575</v>
      </c>
      <c r="B400" s="81" t="s">
        <v>47</v>
      </c>
      <c r="C400" s="129" t="str">
        <f t="shared" si="13"/>
        <v>14.01.2022_KIRob</v>
      </c>
      <c r="D400" s="143">
        <f t="shared" si="14"/>
        <v>0</v>
      </c>
      <c r="E400" s="144">
        <v>1.9807250518294389E-2</v>
      </c>
      <c r="F400" s="145">
        <v>9.9908595728555542E-3</v>
      </c>
      <c r="G400" s="146">
        <v>0.63991743000903123</v>
      </c>
      <c r="H400" s="146">
        <v>0.12863247863247865</v>
      </c>
      <c r="I400" s="147">
        <v>7.3339999999999996</v>
      </c>
      <c r="J400" s="148">
        <v>2.1925822233473706</v>
      </c>
      <c r="K400" s="149">
        <v>97</v>
      </c>
      <c r="L400" s="149">
        <v>195</v>
      </c>
      <c r="M400" s="148">
        <v>14.0443498859449</v>
      </c>
      <c r="N400" s="135"/>
    </row>
    <row r="401" spans="1:14" x14ac:dyDescent="0.25">
      <c r="A401" s="142">
        <v>44575</v>
      </c>
      <c r="B401" s="81" t="s">
        <v>49</v>
      </c>
      <c r="C401" s="129" t="str">
        <f t="shared" si="13"/>
        <v>14.01.2022_KIRun</v>
      </c>
      <c r="D401" s="143">
        <f t="shared" si="14"/>
        <v>0</v>
      </c>
      <c r="E401" s="144">
        <v>1.9807250518294389E-2</v>
      </c>
      <c r="F401" s="145">
        <v>1.1567149752461659E-2</v>
      </c>
      <c r="G401" s="146">
        <v>0.19997419687782225</v>
      </c>
      <c r="H401" s="146">
        <v>3.5897435897435895E-2</v>
      </c>
      <c r="I401" s="147">
        <v>6.2880000000000003</v>
      </c>
      <c r="J401" s="148">
        <v>1.5864774984926346</v>
      </c>
      <c r="K401" s="149">
        <v>77</v>
      </c>
      <c r="L401" s="149">
        <v>179</v>
      </c>
      <c r="M401" s="148">
        <v>16.8386997718898</v>
      </c>
      <c r="N401" s="135"/>
    </row>
    <row r="402" spans="1:14" x14ac:dyDescent="0.25">
      <c r="A402" s="142">
        <v>44575</v>
      </c>
      <c r="B402" s="81" t="s">
        <v>50</v>
      </c>
      <c r="C402" s="129" t="str">
        <f t="shared" si="13"/>
        <v>14.01.2022_LIEohBo</v>
      </c>
      <c r="D402" s="143">
        <f t="shared" si="14"/>
        <v>0</v>
      </c>
      <c r="E402" s="144">
        <v>1.9807250518294389E-2</v>
      </c>
      <c r="F402" s="145">
        <v>1.7661517557763802E-2</v>
      </c>
      <c r="G402" s="146">
        <v>0.14238162817700942</v>
      </c>
      <c r="H402" s="146">
        <v>3.7393162393162392E-2</v>
      </c>
      <c r="I402" s="147">
        <v>16.45</v>
      </c>
      <c r="J402" s="148">
        <v>3.8375037587537641</v>
      </c>
      <c r="K402" s="149">
        <v>25</v>
      </c>
      <c r="L402" s="149">
        <v>117</v>
      </c>
      <c r="M402" s="148">
        <v>18.097692577645201</v>
      </c>
      <c r="N402" s="135"/>
    </row>
    <row r="403" spans="1:14" x14ac:dyDescent="0.25">
      <c r="A403" s="142">
        <v>44575</v>
      </c>
      <c r="B403" s="81" t="s">
        <v>53</v>
      </c>
      <c r="C403" s="129" t="str">
        <f t="shared" si="13"/>
        <v>14.01.2022_NATohBo</v>
      </c>
      <c r="D403" s="143">
        <f t="shared" si="14"/>
        <v>0</v>
      </c>
      <c r="E403" s="144">
        <v>1.9807250518294389E-2</v>
      </c>
      <c r="F403" s="145">
        <v>1.771151990185979E-2</v>
      </c>
      <c r="G403" s="146">
        <v>0.29596181137917693</v>
      </c>
      <c r="H403" s="146">
        <v>5.2350427350427345E-2</v>
      </c>
      <c r="I403" s="147">
        <v>5.6870000000000003</v>
      </c>
      <c r="J403" s="148">
        <v>1.5302721645246546</v>
      </c>
      <c r="K403" s="149">
        <v>75</v>
      </c>
      <c r="L403" s="149">
        <v>302</v>
      </c>
      <c r="M403" s="148">
        <v>14.1101509036673</v>
      </c>
      <c r="N403" s="135"/>
    </row>
    <row r="404" spans="1:14" x14ac:dyDescent="0.25">
      <c r="A404" s="142">
        <v>44575</v>
      </c>
      <c r="B404" s="81" t="s">
        <v>55</v>
      </c>
      <c r="C404" s="129" t="str">
        <f t="shared" si="13"/>
        <v>14.01.2022_QUAohBo</v>
      </c>
      <c r="D404" s="143">
        <f t="shared" si="14"/>
        <v>0</v>
      </c>
      <c r="E404" s="144">
        <v>1.9807250518294389E-2</v>
      </c>
      <c r="F404" s="145">
        <v>1.3642236130545028E-2</v>
      </c>
      <c r="G404" s="146">
        <v>0.2383692426783641</v>
      </c>
      <c r="H404" s="146">
        <v>5.2350427350427345E-2</v>
      </c>
      <c r="I404" s="147">
        <v>10.398</v>
      </c>
      <c r="J404" s="148">
        <v>2.5496256808541604</v>
      </c>
      <c r="K404" s="149">
        <v>39</v>
      </c>
      <c r="L404" s="149">
        <v>140</v>
      </c>
      <c r="M404" s="148">
        <v>20.668319003333899</v>
      </c>
      <c r="N404" s="135"/>
    </row>
    <row r="405" spans="1:14" x14ac:dyDescent="0.25">
      <c r="A405" s="142">
        <v>44575</v>
      </c>
      <c r="B405" s="81" t="s">
        <v>57</v>
      </c>
      <c r="C405" s="129" t="str">
        <f t="shared" si="13"/>
        <v>14.01.2022_SCHohVo</v>
      </c>
      <c r="D405" s="143">
        <f t="shared" si="14"/>
        <v>0</v>
      </c>
      <c r="E405" s="144">
        <v>1.9807250518294389E-2</v>
      </c>
      <c r="F405" s="145">
        <v>1.5837193573861694E-2</v>
      </c>
      <c r="G405" s="146">
        <v>0.26236614630370281</v>
      </c>
      <c r="H405" s="146">
        <v>4.1880341880341877E-2</v>
      </c>
      <c r="I405" s="147">
        <v>4.7830000000000004</v>
      </c>
      <c r="J405" s="148">
        <v>1.2968113690288323</v>
      </c>
      <c r="K405" s="149">
        <v>30</v>
      </c>
      <c r="L405" s="149">
        <v>121</v>
      </c>
      <c r="M405" s="148">
        <v>23.2389454290226</v>
      </c>
      <c r="N405" s="135"/>
    </row>
    <row r="406" spans="1:14" x14ac:dyDescent="0.25">
      <c r="A406" s="142">
        <v>44575</v>
      </c>
      <c r="B406" s="81" t="s">
        <v>60</v>
      </c>
      <c r="C406" s="129" t="str">
        <f t="shared" si="13"/>
        <v>14.01.2022_VORohBo</v>
      </c>
      <c r="D406" s="143">
        <f t="shared" si="14"/>
        <v>0</v>
      </c>
      <c r="E406" s="144">
        <v>1.9807250518294389E-2</v>
      </c>
      <c r="F406" s="145">
        <v>1.0231779108546606E-2</v>
      </c>
      <c r="G406" s="146">
        <v>0.38874983873048641</v>
      </c>
      <c r="H406" s="146">
        <v>1.6452991452991454E-2</v>
      </c>
      <c r="I406" s="147">
        <v>2.8780000000000001</v>
      </c>
      <c r="J406" s="148">
        <v>0.95692333552369857</v>
      </c>
      <c r="K406" s="149">
        <v>37</v>
      </c>
      <c r="L406" s="149">
        <v>227</v>
      </c>
      <c r="M406" s="148">
        <v>19.3084313037375</v>
      </c>
      <c r="N406" s="135"/>
    </row>
    <row r="407" spans="1:14" x14ac:dyDescent="0.25">
      <c r="A407" s="142">
        <v>44575</v>
      </c>
      <c r="B407" s="81" t="s">
        <v>62</v>
      </c>
      <c r="C407" s="129" t="str">
        <f t="shared" si="13"/>
        <v>14.01.2022_VORuhSc</v>
      </c>
      <c r="D407" s="143">
        <f t="shared" si="14"/>
        <v>0</v>
      </c>
      <c r="E407" s="144">
        <v>1.9807250518294389E-2</v>
      </c>
      <c r="F407" s="145">
        <v>9.8307386919860278E-3</v>
      </c>
      <c r="G407" s="146">
        <v>0.31355954070442527</v>
      </c>
      <c r="H407" s="146">
        <v>2.5427350427350427E-2</v>
      </c>
      <c r="I407" s="147">
        <v>3.0270000000000001</v>
      </c>
      <c r="J407" s="148">
        <v>0.93492569459918595</v>
      </c>
      <c r="K407" s="149">
        <v>32</v>
      </c>
      <c r="L407" s="149">
        <v>209</v>
      </c>
      <c r="M407" s="148">
        <v>22.488813826987201</v>
      </c>
      <c r="N407" s="135"/>
    </row>
    <row r="408" spans="1:14" x14ac:dyDescent="0.25">
      <c r="A408" s="142">
        <v>44575</v>
      </c>
      <c r="B408" s="81" t="s">
        <v>64</v>
      </c>
      <c r="C408" s="129" t="str">
        <f t="shared" si="13"/>
        <v>14.01.2022_WITob</v>
      </c>
      <c r="D408" s="143">
        <f t="shared" si="14"/>
        <v>0</v>
      </c>
      <c r="E408" s="144">
        <v>1.9807250518294389E-2</v>
      </c>
      <c r="F408" s="145">
        <v>1.6110376504565906E-2</v>
      </c>
      <c r="G408" s="146">
        <v>0.22717068765320605</v>
      </c>
      <c r="H408" s="146">
        <v>2.0940170940170939E-2</v>
      </c>
      <c r="I408" s="147">
        <v>1.5209999999999999</v>
      </c>
      <c r="J408" s="148">
        <v>0.52631927229857289</v>
      </c>
      <c r="K408" s="149">
        <v>74</v>
      </c>
      <c r="L408" s="149">
        <v>306</v>
      </c>
      <c r="M408" s="148">
        <v>17.444069134936001</v>
      </c>
      <c r="N408" s="135"/>
    </row>
    <row r="409" spans="1:14" x14ac:dyDescent="0.25">
      <c r="A409" s="142">
        <v>44589</v>
      </c>
      <c r="B409" s="81" t="s">
        <v>22</v>
      </c>
      <c r="C409" s="129" t="str">
        <f t="shared" si="13"/>
        <v>28.01.2022_BOYkl</v>
      </c>
      <c r="D409" s="143">
        <f t="shared" si="14"/>
        <v>0</v>
      </c>
      <c r="E409" s="144">
        <v>0.03</v>
      </c>
      <c r="F409" s="145">
        <v>4.4880441365034884E-2</v>
      </c>
      <c r="G409" s="146">
        <v>6.4987521597235559E-2</v>
      </c>
      <c r="H409" s="146">
        <v>6.3181411974977675E-2</v>
      </c>
      <c r="I409" s="147">
        <v>37</v>
      </c>
      <c r="J409" s="148">
        <v>8.4268877415208188</v>
      </c>
      <c r="K409" s="149">
        <v>34</v>
      </c>
      <c r="L409" s="149">
        <v>63</v>
      </c>
      <c r="M409" s="148">
        <v>17.005395683453202</v>
      </c>
      <c r="N409" s="135"/>
    </row>
    <row r="410" spans="1:14" x14ac:dyDescent="0.25">
      <c r="A410" s="142">
        <v>44589</v>
      </c>
      <c r="B410" s="81" t="s">
        <v>25</v>
      </c>
      <c r="C410" s="129" t="str">
        <f t="shared" si="13"/>
        <v>28.01.2022_BOYohB224</v>
      </c>
      <c r="D410" s="143">
        <f t="shared" si="14"/>
        <v>0</v>
      </c>
      <c r="E410" s="144">
        <v>0</v>
      </c>
      <c r="F410" s="145">
        <v>3.3411361992182156E-2</v>
      </c>
      <c r="G410" s="146">
        <v>0.16663467076214242</v>
      </c>
      <c r="H410" s="146">
        <v>7.0703008638665479E-2</v>
      </c>
      <c r="I410" s="147">
        <v>8.6669999999999998</v>
      </c>
      <c r="J410" s="148">
        <v>2.1085309764801377</v>
      </c>
      <c r="K410" s="149">
        <v>40</v>
      </c>
      <c r="L410" s="149">
        <v>178</v>
      </c>
      <c r="M410" s="148">
        <v>15.7990436918758</v>
      </c>
      <c r="N410" s="135"/>
    </row>
    <row r="411" spans="1:14" x14ac:dyDescent="0.25">
      <c r="A411" s="142">
        <v>44589</v>
      </c>
      <c r="B411" s="81" t="s">
        <v>28</v>
      </c>
      <c r="C411" s="129" t="str">
        <f t="shared" si="13"/>
        <v>28.01.2022_BOYohBr</v>
      </c>
      <c r="D411" s="143">
        <f t="shared" si="14"/>
        <v>0</v>
      </c>
      <c r="E411" s="144">
        <v>2.0438359044440354E-2</v>
      </c>
      <c r="F411" s="145">
        <v>3.1852658135055716E-2</v>
      </c>
      <c r="G411" s="146">
        <v>9.6648109042042629E-2</v>
      </c>
      <c r="H411" s="146">
        <v>5.7164134644027413E-2</v>
      </c>
      <c r="I411" s="147">
        <v>16.968</v>
      </c>
      <c r="J411" s="148">
        <v>3.9250120709824294</v>
      </c>
      <c r="K411" s="149">
        <v>28</v>
      </c>
      <c r="L411" s="149">
        <v>101</v>
      </c>
      <c r="M411" s="148">
        <v>19.396165994034</v>
      </c>
      <c r="N411" s="135"/>
    </row>
    <row r="412" spans="1:14" x14ac:dyDescent="0.25">
      <c r="A412" s="142">
        <v>44589</v>
      </c>
      <c r="B412" s="81" t="s">
        <v>30</v>
      </c>
      <c r="C412" s="129" t="str">
        <f t="shared" si="13"/>
        <v>28.01.2022_BOYohKi</v>
      </c>
      <c r="D412" s="143">
        <f t="shared" si="14"/>
        <v>0</v>
      </c>
      <c r="E412" s="144">
        <v>0</v>
      </c>
      <c r="F412" s="145">
        <v>2.9752148525644149E-2</v>
      </c>
      <c r="G412" s="146">
        <v>0.18329813783835666</v>
      </c>
      <c r="H412" s="146">
        <v>8.2737563300566003E-2</v>
      </c>
      <c r="I412" s="147">
        <v>9.8369999999999997</v>
      </c>
      <c r="J412" s="148">
        <v>2.3894018121969625</v>
      </c>
      <c r="K412" s="149">
        <v>36</v>
      </c>
      <c r="L412" s="149">
        <v>138</v>
      </c>
      <c r="M412" s="148">
        <v>16.610589577118802</v>
      </c>
      <c r="N412" s="135"/>
    </row>
    <row r="413" spans="1:14" x14ac:dyDescent="0.25">
      <c r="A413" s="142">
        <v>44589</v>
      </c>
      <c r="B413" s="81" t="s">
        <v>32</v>
      </c>
      <c r="C413" s="129" t="str">
        <f t="shared" si="13"/>
        <v>28.01.2022_BOYohSp</v>
      </c>
      <c r="D413" s="143">
        <f t="shared" si="14"/>
        <v>0</v>
      </c>
      <c r="E413" s="144">
        <v>0</v>
      </c>
      <c r="F413" s="145">
        <v>3.4771405193724091E-2</v>
      </c>
      <c r="G413" s="146">
        <v>0.13497408331733537</v>
      </c>
      <c r="H413" s="146">
        <v>6.4685731307715238E-2</v>
      </c>
      <c r="I413" s="147">
        <v>13.782999999999999</v>
      </c>
      <c r="J413" s="148">
        <v>3.237665806851711</v>
      </c>
      <c r="K413" s="149">
        <v>34</v>
      </c>
      <c r="L413" s="149">
        <v>108</v>
      </c>
      <c r="M413" s="148">
        <v>15.8648447095982</v>
      </c>
      <c r="N413" s="135"/>
    </row>
    <row r="414" spans="1:14" x14ac:dyDescent="0.25">
      <c r="A414" s="142">
        <v>44589</v>
      </c>
      <c r="B414" s="81" t="s">
        <v>36</v>
      </c>
      <c r="C414" s="129" t="str">
        <f t="shared" si="13"/>
        <v>28.01.2022_BOYuhSp</v>
      </c>
      <c r="D414" s="143">
        <f t="shared" si="14"/>
        <v>0</v>
      </c>
      <c r="E414" s="144">
        <v>0</v>
      </c>
      <c r="F414" s="145">
        <v>2.9183399505656408E-2</v>
      </c>
      <c r="G414" s="146">
        <v>0.15497024380879248</v>
      </c>
      <c r="H414" s="146">
        <v>6.1677092642240104E-2</v>
      </c>
      <c r="I414" s="147">
        <v>11.954000000000001</v>
      </c>
      <c r="J414" s="148">
        <v>2.8391604154700194</v>
      </c>
      <c r="K414" s="149">
        <v>35</v>
      </c>
      <c r="L414" s="149">
        <v>120</v>
      </c>
      <c r="M414" s="148">
        <v>14.504957010001799</v>
      </c>
      <c r="N414" s="135"/>
    </row>
    <row r="415" spans="1:14" x14ac:dyDescent="0.25">
      <c r="A415" s="142">
        <v>44589</v>
      </c>
      <c r="B415" s="81" t="s">
        <v>38</v>
      </c>
      <c r="C415" s="129" t="str">
        <f t="shared" si="13"/>
        <v>28.01.2022_BRAob</v>
      </c>
      <c r="D415" s="143">
        <f t="shared" si="14"/>
        <v>0</v>
      </c>
      <c r="E415" s="144">
        <v>0</v>
      </c>
      <c r="F415" s="145">
        <v>2.6880609809785135E-2</v>
      </c>
      <c r="G415" s="146">
        <v>0.10997888270301404</v>
      </c>
      <c r="H415" s="146">
        <v>3.1590705987488837E-2</v>
      </c>
      <c r="I415" s="147">
        <v>3.4649999999999999</v>
      </c>
      <c r="J415" s="148">
        <v>0.87765484306795438</v>
      </c>
      <c r="K415" s="149">
        <v>64</v>
      </c>
      <c r="L415" s="149">
        <v>159</v>
      </c>
      <c r="M415" s="148">
        <v>19.843612914546402</v>
      </c>
      <c r="N415" s="135"/>
    </row>
    <row r="416" spans="1:14" x14ac:dyDescent="0.25">
      <c r="A416" s="142">
        <v>44589</v>
      </c>
      <c r="B416" s="81" t="s">
        <v>41</v>
      </c>
      <c r="C416" s="129" t="str">
        <f t="shared" si="13"/>
        <v>28.01.2022_BRAohBo</v>
      </c>
      <c r="D416" s="143">
        <f t="shared" si="14"/>
        <v>0</v>
      </c>
      <c r="E416" s="144">
        <v>1.8580326404036687E-2</v>
      </c>
      <c r="F416" s="145">
        <v>2.8355347231367099E-2</v>
      </c>
      <c r="G416" s="146">
        <v>0.2182914186984066</v>
      </c>
      <c r="H416" s="146">
        <v>5.8668453976764977E-2</v>
      </c>
      <c r="I416" s="147">
        <v>9.1820000000000004</v>
      </c>
      <c r="J416" s="148">
        <v>2.2613010545183516</v>
      </c>
      <c r="K416" s="149">
        <v>44</v>
      </c>
      <c r="L416" s="149">
        <v>128</v>
      </c>
      <c r="M416" s="148">
        <v>17.900289524478001</v>
      </c>
      <c r="N416" s="135"/>
    </row>
    <row r="417" spans="1:14" x14ac:dyDescent="0.25">
      <c r="A417" s="142">
        <v>44589</v>
      </c>
      <c r="B417" s="81" t="s">
        <v>43</v>
      </c>
      <c r="C417" s="129" t="str">
        <f t="shared" si="13"/>
        <v>28.01.2022_HAAob</v>
      </c>
      <c r="D417" s="143">
        <f t="shared" si="14"/>
        <v>0</v>
      </c>
      <c r="E417" s="144">
        <v>0</v>
      </c>
      <c r="F417" s="145">
        <v>2.1460583715235959E-2</v>
      </c>
      <c r="G417" s="146">
        <v>6.6653868304856978E-2</v>
      </c>
      <c r="H417" s="146">
        <v>3.4599344652963958E-2</v>
      </c>
      <c r="I417" s="147">
        <v>3.4079999999999999</v>
      </c>
      <c r="J417" s="148">
        <v>0.83205479267963323</v>
      </c>
      <c r="K417" s="149">
        <v>32</v>
      </c>
      <c r="L417" s="149">
        <v>175</v>
      </c>
      <c r="M417" s="148">
        <v>13.7592121424811</v>
      </c>
      <c r="N417" s="135"/>
    </row>
    <row r="418" spans="1:14" x14ac:dyDescent="0.25">
      <c r="A418" s="142">
        <v>44589</v>
      </c>
      <c r="B418" s="81" t="s">
        <v>45</v>
      </c>
      <c r="C418" s="129" t="str">
        <f t="shared" si="13"/>
        <v>28.01.2022_HAAun</v>
      </c>
      <c r="D418" s="143">
        <f t="shared" si="14"/>
        <v>0</v>
      </c>
      <c r="E418" s="144">
        <v>2.4154424325247691E-2</v>
      </c>
      <c r="F418" s="145">
        <v>4.280596237853556E-2</v>
      </c>
      <c r="G418" s="146">
        <v>0.27161451334229214</v>
      </c>
      <c r="H418" s="146">
        <v>3.4599344652963958E-2</v>
      </c>
      <c r="I418" s="147">
        <v>3.0150000000000001</v>
      </c>
      <c r="J418" s="148">
        <v>0.90243777394475133</v>
      </c>
      <c r="K418" s="149">
        <v>35</v>
      </c>
      <c r="L418" s="149">
        <v>259</v>
      </c>
      <c r="M418" s="148">
        <v>13.417046850324599</v>
      </c>
      <c r="N418" s="135"/>
    </row>
    <row r="419" spans="1:14" x14ac:dyDescent="0.25">
      <c r="A419" s="142">
        <v>44589</v>
      </c>
      <c r="B419" s="81" t="s">
        <v>47</v>
      </c>
      <c r="C419" s="129" t="str">
        <f t="shared" si="13"/>
        <v>28.01.2022_KIRob</v>
      </c>
      <c r="D419" s="143">
        <f t="shared" si="14"/>
        <v>0</v>
      </c>
      <c r="E419" s="144">
        <v>0</v>
      </c>
      <c r="F419" s="145">
        <v>1.3185820290491116E-2</v>
      </c>
      <c r="G419" s="146">
        <v>0.65154156267997687</v>
      </c>
      <c r="H419" s="146">
        <v>0.14291033661006852</v>
      </c>
      <c r="I419" s="147">
        <v>7.4029999999999996</v>
      </c>
      <c r="J419" s="148">
        <v>2.2215401699863104</v>
      </c>
      <c r="K419" s="149">
        <v>97</v>
      </c>
      <c r="L419" s="149">
        <v>188</v>
      </c>
      <c r="M419" s="148">
        <v>16.149982453061899</v>
      </c>
      <c r="N419" s="135"/>
    </row>
    <row r="420" spans="1:14" x14ac:dyDescent="0.25">
      <c r="A420" s="142">
        <v>44589</v>
      </c>
      <c r="B420" s="81" t="s">
        <v>49</v>
      </c>
      <c r="C420" s="129" t="str">
        <f t="shared" si="13"/>
        <v>28.01.2022_KIRun</v>
      </c>
      <c r="D420" s="143">
        <f t="shared" si="14"/>
        <v>0</v>
      </c>
      <c r="E420" s="144">
        <v>0</v>
      </c>
      <c r="F420" s="145">
        <v>1.7074241537048285E-2</v>
      </c>
      <c r="G420" s="146">
        <v>0.14663851027068536</v>
      </c>
      <c r="H420" s="146">
        <v>6.017277330950254E-2</v>
      </c>
      <c r="I420" s="147">
        <v>6.1890000000000001</v>
      </c>
      <c r="J420" s="148">
        <v>1.5300923676741625</v>
      </c>
      <c r="K420" s="149">
        <v>72</v>
      </c>
      <c r="L420" s="149">
        <v>166</v>
      </c>
      <c r="M420" s="148">
        <v>15.7069222670644</v>
      </c>
      <c r="N420" s="135"/>
    </row>
    <row r="421" spans="1:14" x14ac:dyDescent="0.25">
      <c r="A421" s="142">
        <v>44589</v>
      </c>
      <c r="B421" s="81" t="s">
        <v>50</v>
      </c>
      <c r="C421" s="129" t="str">
        <f t="shared" si="13"/>
        <v>28.01.2022_LIEohBo</v>
      </c>
      <c r="D421" s="143">
        <f t="shared" si="14"/>
        <v>0</v>
      </c>
      <c r="E421" s="144">
        <v>0</v>
      </c>
      <c r="F421" s="145">
        <v>3.1018260954834582E-2</v>
      </c>
      <c r="G421" s="146">
        <v>4.3325014398157044E-2</v>
      </c>
      <c r="H421" s="146">
        <v>3.0086386654751274E-2</v>
      </c>
      <c r="I421" s="147">
        <v>16.949000000000002</v>
      </c>
      <c r="J421" s="148">
        <v>3.8710718708470644</v>
      </c>
      <c r="K421" s="149">
        <v>27</v>
      </c>
      <c r="L421" s="149">
        <v>115</v>
      </c>
      <c r="M421" s="148">
        <v>13.9127478505001</v>
      </c>
      <c r="N421" s="135"/>
    </row>
    <row r="422" spans="1:14" x14ac:dyDescent="0.25">
      <c r="A422" s="142">
        <v>44589</v>
      </c>
      <c r="B422" s="81" t="s">
        <v>53</v>
      </c>
      <c r="C422" s="129" t="str">
        <f t="shared" si="13"/>
        <v>28.01.2022_NATohBo</v>
      </c>
      <c r="D422" s="143">
        <f t="shared" si="14"/>
        <v>0</v>
      </c>
      <c r="E422" s="144">
        <v>0</v>
      </c>
      <c r="F422" s="145">
        <v>2.2503970322799046E-2</v>
      </c>
      <c r="G422" s="146">
        <v>0.23828757918986371</v>
      </c>
      <c r="H422" s="146">
        <v>7.8224605302353312E-2</v>
      </c>
      <c r="I422" s="147">
        <v>6.0629999999999997</v>
      </c>
      <c r="J422" s="148">
        <v>1.5782932134494385</v>
      </c>
      <c r="K422" s="149">
        <v>109</v>
      </c>
      <c r="L422" s="149">
        <v>317</v>
      </c>
      <c r="M422" s="148">
        <v>19.058387436392401</v>
      </c>
      <c r="N422" s="135"/>
    </row>
    <row r="423" spans="1:14" x14ac:dyDescent="0.25">
      <c r="A423" s="142">
        <v>44589</v>
      </c>
      <c r="B423" s="81" t="s">
        <v>55</v>
      </c>
      <c r="C423" s="129" t="str">
        <f t="shared" si="13"/>
        <v>28.01.2022_QUAohBo</v>
      </c>
      <c r="D423" s="143">
        <f t="shared" si="14"/>
        <v>0</v>
      </c>
      <c r="E423" s="144">
        <v>0</v>
      </c>
      <c r="F423" s="145">
        <v>2.1957031332921571E-2</v>
      </c>
      <c r="G423" s="146">
        <v>0.11497792282587826</v>
      </c>
      <c r="H423" s="146">
        <v>4.3625260649389347E-2</v>
      </c>
      <c r="I423" s="147">
        <v>6.859</v>
      </c>
      <c r="J423" s="148">
        <v>1.6518032478997728</v>
      </c>
      <c r="K423" s="149">
        <v>47</v>
      </c>
      <c r="L423" s="149">
        <v>134</v>
      </c>
      <c r="M423" s="148">
        <v>17.593218108440102</v>
      </c>
      <c r="N423" s="135"/>
    </row>
    <row r="424" spans="1:14" x14ac:dyDescent="0.25">
      <c r="A424" s="142">
        <v>44589</v>
      </c>
      <c r="B424" s="81" t="s">
        <v>57</v>
      </c>
      <c r="C424" s="129" t="str">
        <f t="shared" si="13"/>
        <v>28.01.2022_SCHohVo</v>
      </c>
      <c r="D424" s="143">
        <f t="shared" si="14"/>
        <v>0</v>
      </c>
      <c r="E424" s="144">
        <v>0</v>
      </c>
      <c r="F424" s="145">
        <v>1.9505642507305864E-2</v>
      </c>
      <c r="G424" s="146">
        <v>0.18829717796122095</v>
      </c>
      <c r="H424" s="146">
        <v>3.7607983318439092E-2</v>
      </c>
      <c r="I424" s="147">
        <v>4.1310000000000002</v>
      </c>
      <c r="J424" s="148">
        <v>1.0907295962364072</v>
      </c>
      <c r="K424" s="149">
        <v>30</v>
      </c>
      <c r="L424" s="149">
        <v>121</v>
      </c>
      <c r="M424" s="148">
        <v>20.475302684681498</v>
      </c>
      <c r="N424" s="135"/>
    </row>
    <row r="425" spans="1:14" x14ac:dyDescent="0.25">
      <c r="A425" s="142">
        <v>44589</v>
      </c>
      <c r="B425" s="81" t="s">
        <v>60</v>
      </c>
      <c r="C425" s="129" t="str">
        <f t="shared" si="13"/>
        <v>28.01.2022_VORohBo</v>
      </c>
      <c r="D425" s="143">
        <f t="shared" si="14"/>
        <v>0</v>
      </c>
      <c r="E425" s="144">
        <v>0</v>
      </c>
      <c r="F425" s="145">
        <v>1.67851605209852E-2</v>
      </c>
      <c r="G425" s="146">
        <v>0.33326934152428489</v>
      </c>
      <c r="H425" s="146">
        <v>2.858206732201371E-2</v>
      </c>
      <c r="I425" s="147">
        <v>2.641</v>
      </c>
      <c r="J425" s="148">
        <v>0.86400479139637909</v>
      </c>
      <c r="K425" s="149">
        <v>36</v>
      </c>
      <c r="L425" s="149">
        <v>218</v>
      </c>
      <c r="M425" s="148">
        <v>17.825715037725899</v>
      </c>
      <c r="N425" s="135"/>
    </row>
    <row r="426" spans="1:14" x14ac:dyDescent="0.25">
      <c r="A426" s="142">
        <v>44589</v>
      </c>
      <c r="B426" s="81" t="s">
        <v>62</v>
      </c>
      <c r="C426" s="129" t="str">
        <f t="shared" si="13"/>
        <v>28.01.2022_VORuhSc</v>
      </c>
      <c r="D426" s="143">
        <f t="shared" si="14"/>
        <v>0</v>
      </c>
      <c r="E426" s="144">
        <v>0</v>
      </c>
      <c r="F426" s="145">
        <v>1.5188898060164151E-2</v>
      </c>
      <c r="G426" s="146">
        <v>0.2249568055288923</v>
      </c>
      <c r="H426" s="146">
        <v>2.5573428656538579E-2</v>
      </c>
      <c r="I426" s="147">
        <v>2.5819999999999999</v>
      </c>
      <c r="J426" s="148">
        <v>0.76565888027961282</v>
      </c>
      <c r="K426" s="149">
        <v>34</v>
      </c>
      <c r="L426" s="149">
        <v>211</v>
      </c>
      <c r="M426" s="148">
        <v>18.966266011580998</v>
      </c>
      <c r="N426" s="135"/>
    </row>
    <row r="427" spans="1:14" x14ac:dyDescent="0.25">
      <c r="A427" s="142">
        <v>44589</v>
      </c>
      <c r="B427" s="81" t="s">
        <v>64</v>
      </c>
      <c r="C427" s="129" t="str">
        <f t="shared" si="13"/>
        <v>28.01.2022_WITob</v>
      </c>
      <c r="D427" s="143">
        <f t="shared" si="14"/>
        <v>0</v>
      </c>
      <c r="E427" s="144">
        <v>0</v>
      </c>
      <c r="F427" s="145">
        <v>1.5972361562527081E-2</v>
      </c>
      <c r="G427" s="146">
        <v>7.4985601842964086E-2</v>
      </c>
      <c r="H427" s="146">
        <v>1.6547512660113201E-2</v>
      </c>
      <c r="I427" s="147">
        <v>1.3280000000000001</v>
      </c>
      <c r="J427" s="148">
        <v>0.36321882020441465</v>
      </c>
      <c r="K427" s="149">
        <v>70</v>
      </c>
      <c r="L427" s="149">
        <v>281</v>
      </c>
      <c r="M427" s="148">
        <v>14.2505264081418</v>
      </c>
      <c r="N427" s="135"/>
    </row>
    <row r="428" spans="1:14" x14ac:dyDescent="0.25">
      <c r="A428" s="142">
        <v>44603</v>
      </c>
      <c r="B428" s="81" t="s">
        <v>22</v>
      </c>
      <c r="C428" s="129" t="str">
        <f t="shared" si="13"/>
        <v>11.02.2022_BOYkl</v>
      </c>
      <c r="D428" s="143">
        <f t="shared" si="14"/>
        <v>0</v>
      </c>
      <c r="E428" s="144">
        <v>2.8790865110521088E-2</v>
      </c>
      <c r="F428" s="145">
        <v>3.684107259015041E-2</v>
      </c>
      <c r="G428" s="146">
        <v>1.9125070106561989E-2</v>
      </c>
      <c r="H428" s="146">
        <v>3.5264139486467727E-2</v>
      </c>
      <c r="I428" s="147">
        <v>33.22</v>
      </c>
      <c r="J428" s="148">
        <v>7.5289879929536996</v>
      </c>
      <c r="K428" s="149">
        <v>31.155000000000001</v>
      </c>
      <c r="L428" s="149">
        <v>58.945999999999998</v>
      </c>
      <c r="M428" s="148">
        <v>20.34</v>
      </c>
      <c r="N428" s="135"/>
    </row>
    <row r="429" spans="1:14" x14ac:dyDescent="0.25">
      <c r="A429" s="142">
        <v>44603</v>
      </c>
      <c r="B429" s="81" t="s">
        <v>25</v>
      </c>
      <c r="C429" s="129" t="str">
        <f t="shared" si="13"/>
        <v>11.02.2022_BOYohB224</v>
      </c>
      <c r="D429" s="143">
        <f t="shared" si="14"/>
        <v>0</v>
      </c>
      <c r="E429" s="144">
        <v>0</v>
      </c>
      <c r="F429" s="145">
        <v>2.052390882697477E-2</v>
      </c>
      <c r="G429" s="146">
        <v>0.13909141895681437</v>
      </c>
      <c r="H429" s="146">
        <v>5.8262491325468423E-2</v>
      </c>
      <c r="I429" s="147">
        <v>13.313000000000001</v>
      </c>
      <c r="J429" s="148">
        <v>3.1327484213898158</v>
      </c>
      <c r="K429" s="149">
        <v>35</v>
      </c>
      <c r="L429" s="149">
        <v>183</v>
      </c>
      <c r="M429" s="148">
        <v>20.67</v>
      </c>
      <c r="N429" s="135"/>
    </row>
    <row r="430" spans="1:14" x14ac:dyDescent="0.25">
      <c r="A430" s="142">
        <v>44603</v>
      </c>
      <c r="B430" s="81" t="s">
        <v>28</v>
      </c>
      <c r="C430" s="129" t="str">
        <f t="shared" si="13"/>
        <v>11.02.2022_BOYohBr</v>
      </c>
      <c r="D430" s="143">
        <f t="shared" si="14"/>
        <v>0</v>
      </c>
      <c r="E430" s="144">
        <v>0</v>
      </c>
      <c r="F430" s="145">
        <v>2.8808495981904894E-2</v>
      </c>
      <c r="G430" s="146">
        <v>0.16343241727425692</v>
      </c>
      <c r="H430" s="146">
        <v>6.592860860513533E-2</v>
      </c>
      <c r="I430" s="147">
        <v>24.318999999999999</v>
      </c>
      <c r="J430" s="148">
        <v>5.6399081325791203</v>
      </c>
      <c r="K430" s="149">
        <v>27.652000000000001</v>
      </c>
      <c r="L430" s="149">
        <v>91</v>
      </c>
      <c r="M430" s="148">
        <v>16.690000000000001</v>
      </c>
      <c r="N430" s="135"/>
    </row>
    <row r="431" spans="1:14" x14ac:dyDescent="0.25">
      <c r="A431" s="142">
        <v>44603</v>
      </c>
      <c r="B431" s="81" t="s">
        <v>30</v>
      </c>
      <c r="C431" s="129" t="str">
        <f t="shared" si="13"/>
        <v>11.02.2022_BOYohKi</v>
      </c>
      <c r="D431" s="143">
        <f t="shared" si="14"/>
        <v>0</v>
      </c>
      <c r="E431" s="144">
        <v>0</v>
      </c>
      <c r="F431" s="145">
        <v>1.9166531915470041E-2</v>
      </c>
      <c r="G431" s="146">
        <v>0.15300056085249583</v>
      </c>
      <c r="H431" s="146">
        <v>6.592860860513533E-2</v>
      </c>
      <c r="I431" s="147">
        <v>15.67</v>
      </c>
      <c r="J431" s="148">
        <v>3.6782582703861877</v>
      </c>
      <c r="K431" s="149">
        <v>29</v>
      </c>
      <c r="L431" s="149">
        <v>126</v>
      </c>
      <c r="M431" s="148">
        <v>18.670000000000002</v>
      </c>
      <c r="N431" s="135"/>
    </row>
    <row r="432" spans="1:14" x14ac:dyDescent="0.25">
      <c r="A432" s="142">
        <v>44603</v>
      </c>
      <c r="B432" s="81" t="s">
        <v>32</v>
      </c>
      <c r="C432" s="129" t="str">
        <f t="shared" si="13"/>
        <v>11.02.2022_BOYohSp</v>
      </c>
      <c r="D432" s="143">
        <f t="shared" si="14"/>
        <v>0</v>
      </c>
      <c r="E432" s="144">
        <v>1.7274519066312652E-2</v>
      </c>
      <c r="F432" s="145">
        <v>2.1752421285077331E-2</v>
      </c>
      <c r="G432" s="146">
        <v>0.25210319685922605</v>
      </c>
      <c r="H432" s="146">
        <v>6.4395385149201942E-2</v>
      </c>
      <c r="I432" s="147">
        <v>20.652000000000001</v>
      </c>
      <c r="J432" s="148">
        <v>4.8800280263378948</v>
      </c>
      <c r="K432" s="149">
        <v>36</v>
      </c>
      <c r="L432" s="149">
        <v>129.26</v>
      </c>
      <c r="M432" s="148">
        <v>21.45</v>
      </c>
      <c r="N432" s="135"/>
    </row>
    <row r="433" spans="1:14" x14ac:dyDescent="0.25">
      <c r="A433" s="142">
        <v>44603</v>
      </c>
      <c r="B433" s="81" t="s">
        <v>36</v>
      </c>
      <c r="C433" s="129" t="str">
        <f t="shared" si="13"/>
        <v>11.02.2022_BOYuhSp</v>
      </c>
      <c r="D433" s="143">
        <f t="shared" si="14"/>
        <v>0</v>
      </c>
      <c r="E433" s="144">
        <v>0</v>
      </c>
      <c r="F433" s="145">
        <v>2.0091200901908142E-2</v>
      </c>
      <c r="G433" s="146">
        <v>0.16169377453729672</v>
      </c>
      <c r="H433" s="146">
        <v>5.5196044413601666E-2</v>
      </c>
      <c r="I433" s="147">
        <v>16.969000000000001</v>
      </c>
      <c r="J433" s="148">
        <v>3.9751460647121868</v>
      </c>
      <c r="K433" s="149">
        <v>31</v>
      </c>
      <c r="L433" s="149">
        <v>138</v>
      </c>
      <c r="M433" s="148">
        <v>26.61</v>
      </c>
      <c r="N433" s="135"/>
    </row>
    <row r="434" spans="1:14" x14ac:dyDescent="0.25">
      <c r="A434" s="142">
        <v>44603</v>
      </c>
      <c r="B434" s="81" t="s">
        <v>38</v>
      </c>
      <c r="C434" s="129" t="str">
        <f t="shared" si="13"/>
        <v>11.02.2022_BRAob</v>
      </c>
      <c r="D434" s="143">
        <f t="shared" si="14"/>
        <v>0</v>
      </c>
      <c r="E434" s="144">
        <v>0</v>
      </c>
      <c r="F434" s="145">
        <v>1.4909200550207665E-2</v>
      </c>
      <c r="G434" s="146">
        <v>3.8250140213123979E-2</v>
      </c>
      <c r="H434" s="146">
        <v>5.3662820957668285E-2</v>
      </c>
      <c r="I434" s="147">
        <v>6.9720000000000004</v>
      </c>
      <c r="J434" s="148">
        <v>1.6208041372146509</v>
      </c>
      <c r="K434" s="149">
        <v>58</v>
      </c>
      <c r="L434" s="149">
        <v>154</v>
      </c>
      <c r="M434" s="148">
        <v>21.69</v>
      </c>
      <c r="N434" s="135"/>
    </row>
    <row r="435" spans="1:14" x14ac:dyDescent="0.25">
      <c r="A435" s="142">
        <v>44603</v>
      </c>
      <c r="B435" s="81" t="s">
        <v>41</v>
      </c>
      <c r="C435" s="129" t="str">
        <f t="shared" si="13"/>
        <v>11.02.2022_BRAohBo</v>
      </c>
      <c r="D435" s="143">
        <f t="shared" si="14"/>
        <v>0</v>
      </c>
      <c r="E435" s="144">
        <v>0</v>
      </c>
      <c r="F435" s="145">
        <v>1.9468253325755115E-2</v>
      </c>
      <c r="G435" s="146">
        <v>0.19820527201346044</v>
      </c>
      <c r="H435" s="146">
        <v>5.9795714781401797E-2</v>
      </c>
      <c r="I435" s="147">
        <v>13.46</v>
      </c>
      <c r="J435" s="148">
        <v>3.2123194170309302</v>
      </c>
      <c r="K435" s="149">
        <v>32</v>
      </c>
      <c r="L435" s="149">
        <v>113</v>
      </c>
      <c r="M435" s="148">
        <v>19.96</v>
      </c>
      <c r="N435" s="135"/>
    </row>
    <row r="436" spans="1:14" x14ac:dyDescent="0.25">
      <c r="A436" s="142">
        <v>44603</v>
      </c>
      <c r="B436" s="81" t="s">
        <v>43</v>
      </c>
      <c r="C436" s="129" t="str">
        <f t="shared" si="13"/>
        <v>11.02.2022_HAAob</v>
      </c>
      <c r="D436" s="143">
        <f t="shared" si="14"/>
        <v>0</v>
      </c>
      <c r="E436" s="144">
        <v>0</v>
      </c>
      <c r="F436" s="145">
        <v>1.2612062103510404E-2</v>
      </c>
      <c r="G436" s="146">
        <v>0.10084127874369039</v>
      </c>
      <c r="H436" s="146">
        <v>3.2197692574600978E-2</v>
      </c>
      <c r="I436" s="147">
        <v>3.9510000000000001</v>
      </c>
      <c r="J436" s="148">
        <v>0.98051720203602533</v>
      </c>
      <c r="K436" s="149">
        <v>26</v>
      </c>
      <c r="L436" s="149">
        <v>155</v>
      </c>
      <c r="M436" s="148">
        <v>19.63</v>
      </c>
      <c r="N436" s="135"/>
    </row>
    <row r="437" spans="1:14" x14ac:dyDescent="0.25">
      <c r="A437" s="142">
        <v>44603</v>
      </c>
      <c r="B437" s="81" t="s">
        <v>45</v>
      </c>
      <c r="C437" s="129" t="str">
        <f t="shared" si="13"/>
        <v>11.02.2022_HAAun</v>
      </c>
      <c r="D437" s="143">
        <f t="shared" si="14"/>
        <v>0</v>
      </c>
      <c r="E437" s="144">
        <v>0</v>
      </c>
      <c r="F437" s="145">
        <v>2.6209096855199086E-2</v>
      </c>
      <c r="G437" s="146">
        <v>0.33555804823331464</v>
      </c>
      <c r="H437" s="146">
        <v>5.5196044413601666E-2</v>
      </c>
      <c r="I437" s="147">
        <v>5.7089999999999996</v>
      </c>
      <c r="J437" s="148">
        <v>1.5668537345944071</v>
      </c>
      <c r="K437" s="149">
        <v>37</v>
      </c>
      <c r="L437" s="149">
        <v>263</v>
      </c>
      <c r="M437" s="148">
        <v>17.27</v>
      </c>
      <c r="N437" s="135"/>
    </row>
    <row r="438" spans="1:14" x14ac:dyDescent="0.25">
      <c r="A438" s="142">
        <v>44603</v>
      </c>
      <c r="B438" s="81" t="s">
        <v>47</v>
      </c>
      <c r="C438" s="129" t="str">
        <f t="shared" si="13"/>
        <v>11.02.2022_KIRob</v>
      </c>
      <c r="D438" s="143">
        <f t="shared" si="14"/>
        <v>0</v>
      </c>
      <c r="E438" s="144">
        <v>0</v>
      </c>
      <c r="F438" s="145">
        <v>1.0083219766793728E-2</v>
      </c>
      <c r="G438" s="146">
        <v>0.59287717330342127</v>
      </c>
      <c r="H438" s="146">
        <v>9.8126301179736294E-2</v>
      </c>
      <c r="I438" s="147">
        <v>6.3419999999999996</v>
      </c>
      <c r="J438" s="148">
        <v>1.9227052886925442</v>
      </c>
      <c r="K438" s="149">
        <v>80</v>
      </c>
      <c r="L438" s="149">
        <v>209</v>
      </c>
      <c r="M438" s="148">
        <v>17.600000000000001</v>
      </c>
      <c r="N438" s="135"/>
    </row>
    <row r="439" spans="1:14" x14ac:dyDescent="0.25">
      <c r="A439" s="142">
        <v>44603</v>
      </c>
      <c r="B439" s="81" t="s">
        <v>49</v>
      </c>
      <c r="C439" s="129" t="str">
        <f t="shared" si="13"/>
        <v>11.02.2022_KIRun</v>
      </c>
      <c r="D439" s="143">
        <f t="shared" si="14"/>
        <v>0</v>
      </c>
      <c r="E439" s="144">
        <v>0</v>
      </c>
      <c r="F439" s="145">
        <v>1.1593052431226988E-2</v>
      </c>
      <c r="G439" s="146">
        <v>0.20863712843522153</v>
      </c>
      <c r="H439" s="146">
        <v>9.3526630811936143E-2</v>
      </c>
      <c r="I439" s="147">
        <v>6.0129999999999999</v>
      </c>
      <c r="J439" s="148">
        <v>1.5486351366093589</v>
      </c>
      <c r="K439" s="149">
        <v>67</v>
      </c>
      <c r="L439" s="149">
        <v>169</v>
      </c>
      <c r="M439" s="148">
        <v>17.05</v>
      </c>
      <c r="N439" s="135"/>
    </row>
    <row r="440" spans="1:14" x14ac:dyDescent="0.25">
      <c r="A440" s="142">
        <v>44603</v>
      </c>
      <c r="B440" s="81" t="s">
        <v>50</v>
      </c>
      <c r="C440" s="129" t="str">
        <f t="shared" si="13"/>
        <v>11.02.2022_LIEohBo</v>
      </c>
      <c r="D440" s="143">
        <f t="shared" si="14"/>
        <v>0</v>
      </c>
      <c r="E440" s="144">
        <v>3.6468429139993375E-2</v>
      </c>
      <c r="F440" s="145">
        <v>2.0654121454685627E-2</v>
      </c>
      <c r="G440" s="146">
        <v>8.171620863712846E-2</v>
      </c>
      <c r="H440" s="146">
        <v>3.6797362942401109E-2</v>
      </c>
      <c r="I440" s="147">
        <v>16.399999999999999</v>
      </c>
      <c r="J440" s="148">
        <v>3.7789227759924571</v>
      </c>
      <c r="K440" s="149">
        <v>28.187999999999999</v>
      </c>
      <c r="L440" s="149">
        <v>120</v>
      </c>
      <c r="M440" s="148">
        <v>17.95</v>
      </c>
      <c r="N440" s="135"/>
    </row>
    <row r="441" spans="1:14" x14ac:dyDescent="0.25">
      <c r="A441" s="142">
        <v>44603</v>
      </c>
      <c r="B441" s="81" t="s">
        <v>53</v>
      </c>
      <c r="C441" s="129" t="str">
        <f t="shared" si="13"/>
        <v>11.02.2022_NATohBo</v>
      </c>
      <c r="D441" s="143">
        <f t="shared" si="14"/>
        <v>0</v>
      </c>
      <c r="E441" s="144">
        <v>0</v>
      </c>
      <c r="F441" s="145">
        <v>1.552609009635021E-2</v>
      </c>
      <c r="G441" s="146">
        <v>0.21559169938306225</v>
      </c>
      <c r="H441" s="146">
        <v>5.6729267869535048E-2</v>
      </c>
      <c r="I441" s="147">
        <v>8.7260000000000009</v>
      </c>
      <c r="J441" s="148">
        <v>2.155617644256834</v>
      </c>
      <c r="K441" s="149">
        <v>98</v>
      </c>
      <c r="L441" s="149">
        <v>400</v>
      </c>
      <c r="M441" s="148">
        <v>21.22</v>
      </c>
      <c r="N441" s="135"/>
    </row>
    <row r="442" spans="1:14" x14ac:dyDescent="0.25">
      <c r="A442" s="142">
        <v>44603</v>
      </c>
      <c r="B442" s="81" t="s">
        <v>55</v>
      </c>
      <c r="C442" s="129" t="str">
        <f t="shared" si="13"/>
        <v>11.02.2022_QUAohBo</v>
      </c>
      <c r="D442" s="143">
        <f t="shared" si="14"/>
        <v>0</v>
      </c>
      <c r="E442" s="144">
        <v>1.5355128058944581E-2</v>
      </c>
      <c r="F442" s="145">
        <v>1.3271165263396507E-2</v>
      </c>
      <c r="G442" s="146">
        <v>0.14430734716769492</v>
      </c>
      <c r="H442" s="146">
        <v>4.9063150589868147E-2</v>
      </c>
      <c r="I442" s="147">
        <v>11.773999999999999</v>
      </c>
      <c r="J442" s="148">
        <v>2.7863838681993283</v>
      </c>
      <c r="K442" s="149">
        <v>41</v>
      </c>
      <c r="L442" s="149">
        <v>130</v>
      </c>
      <c r="M442" s="148">
        <v>17.64</v>
      </c>
      <c r="N442" s="135"/>
    </row>
    <row r="443" spans="1:14" x14ac:dyDescent="0.25">
      <c r="A443" s="142">
        <v>44603</v>
      </c>
      <c r="B443" s="81" t="s">
        <v>57</v>
      </c>
      <c r="C443" s="129" t="str">
        <f t="shared" si="13"/>
        <v>11.02.2022_SCHohVo</v>
      </c>
      <c r="D443" s="143">
        <f t="shared" si="14"/>
        <v>0</v>
      </c>
      <c r="E443" s="144">
        <v>0</v>
      </c>
      <c r="F443" s="145">
        <v>1.4651335075096746E-2</v>
      </c>
      <c r="G443" s="146">
        <v>0.11822770611329221</v>
      </c>
      <c r="H443" s="146">
        <v>3.6797362942401109E-2</v>
      </c>
      <c r="I443" s="147">
        <v>7.383</v>
      </c>
      <c r="J443" s="148">
        <v>1.7706037986677243</v>
      </c>
      <c r="K443" s="149">
        <v>27.907</v>
      </c>
      <c r="L443" s="149">
        <v>98</v>
      </c>
      <c r="M443" s="148">
        <v>23.9</v>
      </c>
      <c r="N443" s="135"/>
    </row>
    <row r="444" spans="1:14" x14ac:dyDescent="0.25">
      <c r="A444" s="142">
        <v>44603</v>
      </c>
      <c r="B444" s="81" t="s">
        <v>60</v>
      </c>
      <c r="C444" s="129" t="str">
        <f t="shared" si="13"/>
        <v>11.02.2022_VORohBo</v>
      </c>
      <c r="D444" s="143">
        <f t="shared" si="14"/>
        <v>0</v>
      </c>
      <c r="E444" s="144">
        <v>0</v>
      </c>
      <c r="F444" s="145">
        <v>9.7232152053557865E-3</v>
      </c>
      <c r="G444" s="146">
        <v>0.18777341559169936</v>
      </c>
      <c r="H444" s="146">
        <v>3.2197692574600978E-2</v>
      </c>
      <c r="I444" s="147">
        <v>4.25</v>
      </c>
      <c r="J444" s="148">
        <v>1.1155542669771359</v>
      </c>
      <c r="K444" s="149">
        <v>36.883000000000003</v>
      </c>
      <c r="L444" s="149">
        <v>224.333</v>
      </c>
      <c r="M444" s="148">
        <v>19.38</v>
      </c>
      <c r="N444" s="135"/>
    </row>
    <row r="445" spans="1:14" x14ac:dyDescent="0.25">
      <c r="A445" s="142">
        <v>44603</v>
      </c>
      <c r="B445" s="81" t="s">
        <v>62</v>
      </c>
      <c r="C445" s="129" t="str">
        <f t="shared" si="13"/>
        <v>11.02.2022_VORuhSc</v>
      </c>
      <c r="D445" s="143">
        <f t="shared" si="14"/>
        <v>0</v>
      </c>
      <c r="E445" s="144">
        <v>0</v>
      </c>
      <c r="F445" s="145">
        <v>9.7313147564622882E-3</v>
      </c>
      <c r="G445" s="146">
        <v>0.17386427369601801</v>
      </c>
      <c r="H445" s="146">
        <v>2.9131245662734215E-2</v>
      </c>
      <c r="I445" s="147">
        <v>5.1079999999999997</v>
      </c>
      <c r="J445" s="148">
        <v>1.2976168376242403</v>
      </c>
      <c r="K445" s="149">
        <v>34.045999999999999</v>
      </c>
      <c r="L445" s="149">
        <v>210.70400000000001</v>
      </c>
      <c r="M445" s="148">
        <v>20.53</v>
      </c>
      <c r="N445" s="135"/>
    </row>
    <row r="446" spans="1:14" x14ac:dyDescent="0.25">
      <c r="A446" s="142">
        <v>44603</v>
      </c>
      <c r="B446" s="81" t="s">
        <v>64</v>
      </c>
      <c r="C446" s="129" t="str">
        <f t="shared" si="13"/>
        <v>11.02.2022_WITob</v>
      </c>
      <c r="D446" s="143">
        <f t="shared" si="14"/>
        <v>0</v>
      </c>
      <c r="E446" s="144">
        <v>0</v>
      </c>
      <c r="F446" s="145">
        <v>1.0067577443061462E-2</v>
      </c>
      <c r="G446" s="146">
        <v>0.11301177790241167</v>
      </c>
      <c r="H446" s="146">
        <v>1.6865458015267176E-2</v>
      </c>
      <c r="I446" s="147">
        <v>1.907</v>
      </c>
      <c r="J446" s="148">
        <v>0.52362129411619163</v>
      </c>
      <c r="K446" s="149">
        <v>65</v>
      </c>
      <c r="L446" s="149">
        <v>308</v>
      </c>
      <c r="M446" s="148">
        <v>15.17</v>
      </c>
      <c r="N446" s="135"/>
    </row>
    <row r="447" spans="1:14" x14ac:dyDescent="0.25">
      <c r="A447" s="142">
        <v>44617</v>
      </c>
      <c r="B447" s="81" t="s">
        <v>22</v>
      </c>
      <c r="C447" s="129" t="str">
        <f t="shared" si="13"/>
        <v>25.02.2022_BOYkl</v>
      </c>
      <c r="D447" s="143">
        <f t="shared" si="14"/>
        <v>0</v>
      </c>
      <c r="E447" s="144">
        <v>3.6205009891490073E-2</v>
      </c>
      <c r="F447" s="145">
        <v>3.3407066960894842E-2</v>
      </c>
      <c r="G447" s="146">
        <v>9.3888588426176312E-2</v>
      </c>
      <c r="H447" s="146">
        <v>2.238252453529917E-2</v>
      </c>
      <c r="I447" s="147">
        <v>35.566000000000003</v>
      </c>
      <c r="J447" s="148">
        <v>8.1130103296218135</v>
      </c>
      <c r="K447" s="149">
        <v>28</v>
      </c>
      <c r="L447" s="149">
        <v>52</v>
      </c>
      <c r="M447" s="148"/>
      <c r="N447" s="135"/>
    </row>
    <row r="448" spans="1:14" x14ac:dyDescent="0.25">
      <c r="A448" s="142">
        <v>44617</v>
      </c>
      <c r="B448" s="81" t="s">
        <v>25</v>
      </c>
      <c r="C448" s="129" t="str">
        <f t="shared" si="13"/>
        <v>25.02.2022_BOYohB224</v>
      </c>
      <c r="D448" s="143">
        <f t="shared" si="14"/>
        <v>0</v>
      </c>
      <c r="E448" s="144">
        <v>0</v>
      </c>
      <c r="F448" s="145">
        <v>2.0869715536490606E-2</v>
      </c>
      <c r="G448" s="146">
        <v>0.11649139675099654</v>
      </c>
      <c r="H448" s="146">
        <v>3.197503505042739E-2</v>
      </c>
      <c r="I448" s="147">
        <v>14.721</v>
      </c>
      <c r="J448" s="148">
        <v>3.4252214740842839</v>
      </c>
      <c r="K448" s="149">
        <v>30</v>
      </c>
      <c r="L448" s="149">
        <v>126</v>
      </c>
      <c r="M448" s="148"/>
      <c r="N448" s="135"/>
    </row>
    <row r="449" spans="1:14" x14ac:dyDescent="0.25">
      <c r="A449" s="142">
        <v>44617</v>
      </c>
      <c r="B449" s="81" t="s">
        <v>28</v>
      </c>
      <c r="C449" s="129" t="str">
        <f t="shared" si="13"/>
        <v>25.02.2022_BOYohBr</v>
      </c>
      <c r="D449" s="143">
        <f t="shared" si="14"/>
        <v>0</v>
      </c>
      <c r="E449" s="144">
        <v>2.8582902545913218E-2</v>
      </c>
      <c r="F449" s="145">
        <v>2.5541695058298987E-2</v>
      </c>
      <c r="G449" s="146">
        <v>0.10432065380686258</v>
      </c>
      <c r="H449" s="146">
        <v>1.9185021030256429E-2</v>
      </c>
      <c r="I449" s="147">
        <v>25.260999999999999</v>
      </c>
      <c r="J449" s="148">
        <v>5.7925468941271516</v>
      </c>
      <c r="K449" s="149">
        <v>24.209</v>
      </c>
      <c r="L449" s="149">
        <v>83.712999999999994</v>
      </c>
      <c r="M449" s="150"/>
      <c r="N449" s="135"/>
    </row>
    <row r="450" spans="1:14" x14ac:dyDescent="0.25">
      <c r="A450" s="142">
        <v>44617</v>
      </c>
      <c r="B450" s="81" t="s">
        <v>30</v>
      </c>
      <c r="C450" s="129" t="str">
        <f t="shared" si="13"/>
        <v>25.02.2022_BOYohKi</v>
      </c>
      <c r="D450" s="143">
        <f t="shared" si="14"/>
        <v>0</v>
      </c>
      <c r="E450" s="144">
        <v>2.2866322036730575E-2</v>
      </c>
      <c r="F450" s="145">
        <v>2.4226875457318602E-2</v>
      </c>
      <c r="G450" s="146">
        <v>0.10258197624341486</v>
      </c>
      <c r="H450" s="146">
        <v>3.197503505042739E-2</v>
      </c>
      <c r="I450" s="147">
        <v>17.303000000000001</v>
      </c>
      <c r="J450" s="148">
        <v>3.9976172881543519</v>
      </c>
      <c r="K450" s="149">
        <v>30.672999999999998</v>
      </c>
      <c r="L450" s="149">
        <v>96</v>
      </c>
      <c r="M450" s="150"/>
      <c r="N450" s="135"/>
    </row>
    <row r="451" spans="1:14" x14ac:dyDescent="0.25">
      <c r="A451" s="142">
        <v>44617</v>
      </c>
      <c r="B451" s="81" t="s">
        <v>32</v>
      </c>
      <c r="C451" s="129" t="str">
        <f t="shared" si="13"/>
        <v>25.02.2022_BOYohSp</v>
      </c>
      <c r="D451" s="143">
        <f t="shared" si="14"/>
        <v>0</v>
      </c>
      <c r="E451" s="144">
        <v>0</v>
      </c>
      <c r="F451" s="145">
        <v>2.5852901815841135E-2</v>
      </c>
      <c r="G451" s="146">
        <v>0.12518478456823509</v>
      </c>
      <c r="H451" s="146">
        <v>2.8777531545384649E-2</v>
      </c>
      <c r="I451" s="147">
        <v>18.236000000000001</v>
      </c>
      <c r="J451" s="148">
        <v>4.2249313728483813</v>
      </c>
      <c r="K451" s="149">
        <v>29.934999999999999</v>
      </c>
      <c r="L451" s="149">
        <v>77</v>
      </c>
      <c r="M451" s="150"/>
      <c r="N451" s="135"/>
    </row>
    <row r="452" spans="1:14" x14ac:dyDescent="0.25">
      <c r="A452" s="142">
        <v>44617</v>
      </c>
      <c r="B452" s="81" t="s">
        <v>36</v>
      </c>
      <c r="C452" s="129" t="str">
        <f t="shared" si="13"/>
        <v>25.02.2022_BOYuhSp</v>
      </c>
      <c r="D452" s="143">
        <f t="shared" si="14"/>
        <v>0</v>
      </c>
      <c r="E452" s="144">
        <v>1.5244214691153717E-2</v>
      </c>
      <c r="F452" s="145">
        <v>4.2250627008452904E-2</v>
      </c>
      <c r="G452" s="146">
        <v>0.11301404162410113</v>
      </c>
      <c r="H452" s="146">
        <v>3.197503505042739E-2</v>
      </c>
      <c r="I452" s="147">
        <v>19.986000000000001</v>
      </c>
      <c r="J452" s="148">
        <v>4.6117268926018005</v>
      </c>
      <c r="K452" s="149">
        <v>27</v>
      </c>
      <c r="L452" s="149">
        <v>100</v>
      </c>
      <c r="M452" s="150"/>
      <c r="N452" s="135"/>
    </row>
    <row r="453" spans="1:14" x14ac:dyDescent="0.25">
      <c r="A453" s="142">
        <v>44617</v>
      </c>
      <c r="B453" s="81" t="s">
        <v>38</v>
      </c>
      <c r="C453" s="129" t="str">
        <f t="shared" ref="C453:C516" si="15">CONCATENATE(TEXT(A453,"TT.MM.JJJJ"),"_",B453)</f>
        <v>25.02.2022_BRAob</v>
      </c>
      <c r="D453" s="143">
        <f t="shared" ref="D453:D516" si="16">COUNTBLANK(E453:L453)</f>
        <v>0</v>
      </c>
      <c r="E453" s="144">
        <v>0</v>
      </c>
      <c r="F453" s="145">
        <v>1.3401441592089192E-2</v>
      </c>
      <c r="G453" s="146">
        <v>0.10084329867996716</v>
      </c>
      <c r="H453" s="146">
        <v>1.9185021030256429E-2</v>
      </c>
      <c r="I453" s="147">
        <v>9.5779999999999994</v>
      </c>
      <c r="J453" s="148">
        <v>2.2475275526446685</v>
      </c>
      <c r="K453" s="149">
        <v>45</v>
      </c>
      <c r="L453" s="149">
        <v>124</v>
      </c>
      <c r="M453" s="150"/>
      <c r="N453" s="135"/>
    </row>
    <row r="454" spans="1:14" x14ac:dyDescent="0.25">
      <c r="A454" s="142">
        <v>44617</v>
      </c>
      <c r="B454" s="81" t="s">
        <v>41</v>
      </c>
      <c r="C454" s="129" t="str">
        <f t="shared" si="15"/>
        <v>25.02.2022_BRAohBo</v>
      </c>
      <c r="D454" s="143">
        <f t="shared" si="16"/>
        <v>0</v>
      </c>
      <c r="E454" s="144">
        <v>1.5244214691153717E-2</v>
      </c>
      <c r="F454" s="145">
        <v>2.2246338056768518E-2</v>
      </c>
      <c r="G454" s="146">
        <v>0.16691304609098012</v>
      </c>
      <c r="H454" s="146">
        <v>3.197503505042739E-2</v>
      </c>
      <c r="I454" s="147">
        <v>16.114000000000001</v>
      </c>
      <c r="J454" s="148">
        <v>3.7790102905802874</v>
      </c>
      <c r="K454" s="149">
        <v>32</v>
      </c>
      <c r="L454" s="149">
        <v>95</v>
      </c>
      <c r="M454" s="150"/>
      <c r="N454" s="135"/>
    </row>
    <row r="455" spans="1:14" x14ac:dyDescent="0.25">
      <c r="A455" s="142">
        <v>44617</v>
      </c>
      <c r="B455" s="81" t="s">
        <v>43</v>
      </c>
      <c r="C455" s="129" t="str">
        <f t="shared" si="15"/>
        <v>25.02.2022_HAAob</v>
      </c>
      <c r="D455" s="143">
        <f t="shared" si="16"/>
        <v>0</v>
      </c>
      <c r="E455" s="144">
        <v>0</v>
      </c>
      <c r="F455" s="145">
        <v>1.2757729156726131E-2</v>
      </c>
      <c r="G455" s="146">
        <v>6.6069747411012958E-2</v>
      </c>
      <c r="H455" s="146">
        <v>2.3981276287820538E-2</v>
      </c>
      <c r="I455" s="147">
        <v>5.7279999999999998</v>
      </c>
      <c r="J455" s="148">
        <v>1.3523869577330043</v>
      </c>
      <c r="K455" s="149">
        <v>31.411000000000001</v>
      </c>
      <c r="L455" s="149">
        <v>122</v>
      </c>
      <c r="M455" s="150"/>
      <c r="N455" s="135"/>
    </row>
    <row r="456" spans="1:14" x14ac:dyDescent="0.25">
      <c r="A456" s="142">
        <v>44617</v>
      </c>
      <c r="B456" s="81" t="s">
        <v>45</v>
      </c>
      <c r="C456" s="129" t="str">
        <f t="shared" si="15"/>
        <v>25.02.2022_HAAun</v>
      </c>
      <c r="D456" s="143">
        <f t="shared" si="16"/>
        <v>0</v>
      </c>
      <c r="E456" s="144">
        <v>0</v>
      </c>
      <c r="F456" s="145">
        <v>1.6692574495906654E-2</v>
      </c>
      <c r="G456" s="146">
        <v>0.15821965827374157</v>
      </c>
      <c r="H456" s="146">
        <v>6.3950070100854767E-2</v>
      </c>
      <c r="I456" s="147">
        <v>7.3049999999999997</v>
      </c>
      <c r="J456" s="148">
        <v>1.7923059312951828</v>
      </c>
      <c r="K456" s="149">
        <v>29</v>
      </c>
      <c r="L456" s="149">
        <v>185</v>
      </c>
      <c r="M456" s="150"/>
      <c r="N456" s="135"/>
    </row>
    <row r="457" spans="1:14" x14ac:dyDescent="0.25">
      <c r="A457" s="142">
        <v>44617</v>
      </c>
      <c r="B457" s="81" t="s">
        <v>47</v>
      </c>
      <c r="C457" s="129" t="str">
        <f t="shared" si="15"/>
        <v>25.02.2022_KIRob</v>
      </c>
      <c r="D457" s="143">
        <f t="shared" si="16"/>
        <v>0</v>
      </c>
      <c r="E457" s="144">
        <v>0</v>
      </c>
      <c r="F457" s="145">
        <v>8.2809102321857002E-3</v>
      </c>
      <c r="G457" s="146">
        <v>0.53899004466878997</v>
      </c>
      <c r="H457" s="146">
        <v>8.9530098141196668E-2</v>
      </c>
      <c r="I457" s="147">
        <v>8.4090000000000007</v>
      </c>
      <c r="J457" s="148">
        <v>2.3451186481639561</v>
      </c>
      <c r="K457" s="149">
        <v>87</v>
      </c>
      <c r="L457" s="149">
        <v>187</v>
      </c>
      <c r="M457" s="150"/>
      <c r="N457" s="135"/>
    </row>
    <row r="458" spans="1:14" x14ac:dyDescent="0.25">
      <c r="A458" s="142">
        <v>44617</v>
      </c>
      <c r="B458" s="81" t="s">
        <v>49</v>
      </c>
      <c r="C458" s="129" t="str">
        <f t="shared" si="15"/>
        <v>25.02.2022_KIRun</v>
      </c>
      <c r="D458" s="143">
        <f t="shared" si="16"/>
        <v>0</v>
      </c>
      <c r="E458" s="144">
        <v>1.9055268363942147E-2</v>
      </c>
      <c r="F458" s="145">
        <v>9.7553133315926056E-3</v>
      </c>
      <c r="G458" s="146">
        <v>0.18256114416200953</v>
      </c>
      <c r="H458" s="146">
        <v>6.2351318348333393E-2</v>
      </c>
      <c r="I458" s="147">
        <v>6.891</v>
      </c>
      <c r="J458" s="148">
        <v>1.7172099317015086</v>
      </c>
      <c r="K458" s="149">
        <v>69</v>
      </c>
      <c r="L458" s="149">
        <v>166</v>
      </c>
      <c r="M458" s="150"/>
      <c r="N458" s="135"/>
    </row>
    <row r="459" spans="1:14" x14ac:dyDescent="0.25">
      <c r="A459" s="142">
        <v>44617</v>
      </c>
      <c r="B459" s="81" t="s">
        <v>50</v>
      </c>
      <c r="C459" s="129" t="str">
        <f t="shared" si="15"/>
        <v>25.02.2022_LIEohBo</v>
      </c>
      <c r="D459" s="143">
        <f t="shared" si="16"/>
        <v>0</v>
      </c>
      <c r="E459" s="144">
        <v>1.7149741527547929E-2</v>
      </c>
      <c r="F459" s="145">
        <v>1.5864986358803745E-2</v>
      </c>
      <c r="G459" s="146">
        <v>5.9115037157222119E-2</v>
      </c>
      <c r="H459" s="146">
        <v>3.5172538555470118E-2</v>
      </c>
      <c r="I459" s="147">
        <v>14.593</v>
      </c>
      <c r="J459" s="148">
        <v>3.3527314245654241</v>
      </c>
      <c r="K459" s="149">
        <v>22.913</v>
      </c>
      <c r="L459" s="149">
        <v>98</v>
      </c>
      <c r="M459" s="150"/>
      <c r="N459" s="135"/>
    </row>
    <row r="460" spans="1:14" x14ac:dyDescent="0.25">
      <c r="A460" s="142">
        <v>44617</v>
      </c>
      <c r="B460" s="81" t="s">
        <v>53</v>
      </c>
      <c r="C460" s="129" t="str">
        <f t="shared" si="15"/>
        <v>25.02.2022_NATohBo</v>
      </c>
      <c r="D460" s="143">
        <f t="shared" si="16"/>
        <v>0</v>
      </c>
      <c r="E460" s="144">
        <v>0</v>
      </c>
      <c r="F460" s="145">
        <v>1.844459549311022E-2</v>
      </c>
      <c r="G460" s="146">
        <v>0.11301404162410113</v>
      </c>
      <c r="H460" s="146">
        <v>8.4733842883632574E-2</v>
      </c>
      <c r="I460" s="147">
        <v>12.39</v>
      </c>
      <c r="J460" s="148">
        <v>2.9120807916466203</v>
      </c>
      <c r="K460" s="149">
        <v>63</v>
      </c>
      <c r="L460" s="149">
        <v>259</v>
      </c>
      <c r="M460" s="150"/>
      <c r="N460" s="135"/>
    </row>
    <row r="461" spans="1:14" x14ac:dyDescent="0.25">
      <c r="A461" s="142">
        <v>44617</v>
      </c>
      <c r="B461" s="81" t="s">
        <v>55</v>
      </c>
      <c r="C461" s="129" t="str">
        <f t="shared" si="15"/>
        <v>25.02.2022_QUAohBo</v>
      </c>
      <c r="D461" s="143">
        <f t="shared" si="16"/>
        <v>0</v>
      </c>
      <c r="E461" s="144">
        <v>0</v>
      </c>
      <c r="F461" s="145">
        <v>2.5005274704846269E-2</v>
      </c>
      <c r="G461" s="146">
        <v>0.11996875187789197</v>
      </c>
      <c r="H461" s="146">
        <v>2.3981276287820538E-2</v>
      </c>
      <c r="I461" s="147">
        <v>11.061999999999999</v>
      </c>
      <c r="J461" s="148">
        <v>2.5990295757114912</v>
      </c>
      <c r="K461" s="149">
        <v>31</v>
      </c>
      <c r="L461" s="149">
        <v>90</v>
      </c>
      <c r="M461" s="150"/>
      <c r="N461" s="135"/>
    </row>
    <row r="462" spans="1:14" x14ac:dyDescent="0.25">
      <c r="A462" s="142">
        <v>44617</v>
      </c>
      <c r="B462" s="81" t="s">
        <v>57</v>
      </c>
      <c r="C462" s="129" t="str">
        <f t="shared" si="15"/>
        <v>25.02.2022_SCHohVo</v>
      </c>
      <c r="D462" s="143">
        <f t="shared" si="16"/>
        <v>0</v>
      </c>
      <c r="E462" s="144">
        <v>0</v>
      </c>
      <c r="F462" s="145">
        <v>1.268970297622901E-2</v>
      </c>
      <c r="G462" s="146">
        <v>0.11301404162410113</v>
      </c>
      <c r="H462" s="146">
        <v>1.7586269277735059E-2</v>
      </c>
      <c r="I462" s="147">
        <v>11.000999999999999</v>
      </c>
      <c r="J462" s="148">
        <v>2.5779042828623044</v>
      </c>
      <c r="K462" s="149">
        <v>29.666</v>
      </c>
      <c r="L462" s="149">
        <v>96</v>
      </c>
      <c r="M462" s="150"/>
      <c r="N462" s="135"/>
    </row>
    <row r="463" spans="1:14" x14ac:dyDescent="0.25">
      <c r="A463" s="142">
        <v>44617</v>
      </c>
      <c r="B463" s="81" t="s">
        <v>60</v>
      </c>
      <c r="C463" s="129" t="str">
        <f t="shared" si="15"/>
        <v>25.02.2022_VORohBo</v>
      </c>
      <c r="D463" s="143">
        <f t="shared" si="16"/>
        <v>0</v>
      </c>
      <c r="E463" s="144">
        <v>0</v>
      </c>
      <c r="F463" s="145">
        <v>9.4388337348362914E-3</v>
      </c>
      <c r="G463" s="146">
        <v>0.19299320954269578</v>
      </c>
      <c r="H463" s="146">
        <v>1.7586269277735059E-2</v>
      </c>
      <c r="I463" s="147">
        <v>7.1319999999999997</v>
      </c>
      <c r="J463" s="148">
        <v>1.7661162769594141</v>
      </c>
      <c r="K463" s="149">
        <v>33</v>
      </c>
      <c r="L463" s="149">
        <v>189</v>
      </c>
      <c r="M463" s="150"/>
      <c r="N463" s="135"/>
    </row>
    <row r="464" spans="1:14" x14ac:dyDescent="0.25">
      <c r="A464" s="142">
        <v>44617</v>
      </c>
      <c r="B464" s="81" t="s">
        <v>62</v>
      </c>
      <c r="C464" s="129" t="str">
        <f t="shared" si="15"/>
        <v>25.02.2022_VORuhSc</v>
      </c>
      <c r="D464" s="143">
        <f t="shared" si="16"/>
        <v>0</v>
      </c>
      <c r="E464" s="144">
        <v>0</v>
      </c>
      <c r="F464" s="145">
        <v>9.2201820562350621E-3</v>
      </c>
      <c r="G464" s="146">
        <v>0.14257156020271222</v>
      </c>
      <c r="H464" s="146">
        <v>1.5987517525213695E-2</v>
      </c>
      <c r="I464" s="147">
        <v>8.4990000000000006</v>
      </c>
      <c r="J464" s="148">
        <v>2.0352419204923553</v>
      </c>
      <c r="K464" s="149">
        <v>29</v>
      </c>
      <c r="L464" s="149">
        <v>168</v>
      </c>
      <c r="M464" s="150"/>
      <c r="N464" s="135"/>
    </row>
    <row r="465" spans="1:14" x14ac:dyDescent="0.25">
      <c r="A465" s="142">
        <v>44617</v>
      </c>
      <c r="B465" s="81" t="s">
        <v>64</v>
      </c>
      <c r="C465" s="129" t="str">
        <f t="shared" si="15"/>
        <v>25.02.2022_WITob</v>
      </c>
      <c r="D465" s="143">
        <f t="shared" si="16"/>
        <v>0</v>
      </c>
      <c r="E465" s="144">
        <v>0</v>
      </c>
      <c r="F465" s="145">
        <v>9.7395749261481139E-3</v>
      </c>
      <c r="G465" s="146">
        <v>0.11127536406065341</v>
      </c>
      <c r="H465" s="146">
        <v>7.9937587626068476E-3</v>
      </c>
      <c r="I465" s="147">
        <v>2.782</v>
      </c>
      <c r="J465" s="148">
        <v>0.71720824729473232</v>
      </c>
      <c r="K465" s="149">
        <v>67</v>
      </c>
      <c r="L465" s="149">
        <v>249</v>
      </c>
      <c r="M465" s="150"/>
      <c r="N465" s="135"/>
    </row>
    <row r="466" spans="1:14" x14ac:dyDescent="0.25">
      <c r="A466" s="142">
        <v>44631</v>
      </c>
      <c r="B466" s="81" t="s">
        <v>22</v>
      </c>
      <c r="C466" s="129" t="str">
        <f t="shared" si="15"/>
        <v>11.03.2022_BOYkl</v>
      </c>
      <c r="D466" s="143">
        <f t="shared" si="16"/>
        <v>0</v>
      </c>
      <c r="E466" s="144">
        <v>0</v>
      </c>
      <c r="F466" s="145">
        <v>3.4109141132504753E-2</v>
      </c>
      <c r="G466" s="146">
        <v>7.8033074784135834E-2</v>
      </c>
      <c r="H466" s="146">
        <v>3.6382959681389E-2</v>
      </c>
      <c r="I466" s="147">
        <v>28</v>
      </c>
      <c r="J466" s="148">
        <v>6.3960286943141318</v>
      </c>
      <c r="K466" s="149">
        <v>27</v>
      </c>
      <c r="L466" s="149">
        <v>53</v>
      </c>
      <c r="M466" s="148">
        <v>20.059999999999999</v>
      </c>
      <c r="N466" s="135"/>
    </row>
    <row r="467" spans="1:14" x14ac:dyDescent="0.25">
      <c r="A467" s="142">
        <v>44631</v>
      </c>
      <c r="B467" s="81" t="s">
        <v>25</v>
      </c>
      <c r="C467" s="129" t="str">
        <f t="shared" si="15"/>
        <v>11.03.2022_BOYohB224</v>
      </c>
      <c r="D467" s="143">
        <f t="shared" si="16"/>
        <v>0</v>
      </c>
      <c r="E467" s="144">
        <v>0</v>
      </c>
      <c r="F467" s="145">
        <v>2.169912804682991E-2</v>
      </c>
      <c r="G467" s="146">
        <v>1.1214986096882775</v>
      </c>
      <c r="H467" s="146">
        <v>6.9602183738309384E-2</v>
      </c>
      <c r="I467" s="147">
        <v>7.548</v>
      </c>
      <c r="J467" s="148">
        <v>2.5968896002759787</v>
      </c>
      <c r="K467" s="149">
        <v>34</v>
      </c>
      <c r="L467" s="149">
        <v>175</v>
      </c>
      <c r="M467" s="148">
        <v>19.829999999999998</v>
      </c>
      <c r="N467" s="135"/>
    </row>
    <row r="468" spans="1:14" x14ac:dyDescent="0.25">
      <c r="A468" s="142">
        <v>44631</v>
      </c>
      <c r="B468" s="81" t="s">
        <v>28</v>
      </c>
      <c r="C468" s="129" t="str">
        <f t="shared" si="15"/>
        <v>11.03.2022_BOYohBr</v>
      </c>
      <c r="D468" s="143">
        <f t="shared" si="16"/>
        <v>0</v>
      </c>
      <c r="E468" s="144">
        <v>0</v>
      </c>
      <c r="F468" s="145">
        <v>3.5083644116358711E-2</v>
      </c>
      <c r="G468" s="146">
        <v>0.19054588028684327</v>
      </c>
      <c r="H468" s="146">
        <v>7.7511522799480911E-2</v>
      </c>
      <c r="I468" s="147">
        <v>19.983000000000001</v>
      </c>
      <c r="J468" s="148">
        <v>4.6851155637002329</v>
      </c>
      <c r="K468" s="149">
        <v>24</v>
      </c>
      <c r="L468" s="149">
        <v>94</v>
      </c>
      <c r="M468" s="148">
        <v>19.32</v>
      </c>
      <c r="N468" s="135"/>
    </row>
    <row r="469" spans="1:14" x14ac:dyDescent="0.25">
      <c r="A469" s="142">
        <v>44631</v>
      </c>
      <c r="B469" s="81" t="s">
        <v>30</v>
      </c>
      <c r="C469" s="129" t="str">
        <f t="shared" si="15"/>
        <v>11.03.2022_BOYohKi</v>
      </c>
      <c r="D469" s="143">
        <f t="shared" si="16"/>
        <v>0</v>
      </c>
      <c r="E469" s="144">
        <v>0</v>
      </c>
      <c r="F469" s="145">
        <v>2.0101639838114981E-2</v>
      </c>
      <c r="G469" s="146">
        <v>0.19054588028684327</v>
      </c>
      <c r="H469" s="146">
        <v>7.4347787175012295E-2</v>
      </c>
      <c r="I469" s="147">
        <v>7.2729999999999997</v>
      </c>
      <c r="J469" s="148">
        <v>1.8133446643893631</v>
      </c>
      <c r="K469" s="149">
        <v>25</v>
      </c>
      <c r="L469" s="149">
        <v>107</v>
      </c>
      <c r="M469" s="148">
        <v>17.239999999999998</v>
      </c>
      <c r="N469" s="135"/>
    </row>
    <row r="470" spans="1:14" x14ac:dyDescent="0.25">
      <c r="A470" s="142">
        <v>44631</v>
      </c>
      <c r="B470" s="81" t="s">
        <v>32</v>
      </c>
      <c r="C470" s="129" t="str">
        <f t="shared" si="15"/>
        <v>11.03.2022_BOYohSp</v>
      </c>
      <c r="D470" s="143">
        <f t="shared" si="16"/>
        <v>0</v>
      </c>
      <c r="E470" s="144">
        <v>0</v>
      </c>
      <c r="F470" s="145">
        <v>2.2383493781217106E-2</v>
      </c>
      <c r="G470" s="146">
        <v>0.15606614956827164</v>
      </c>
      <c r="H470" s="146">
        <v>6.3274712489372179E-2</v>
      </c>
      <c r="I470" s="147">
        <v>11.281000000000001</v>
      </c>
      <c r="J470" s="148">
        <v>2.6884872606956569</v>
      </c>
      <c r="K470" s="149">
        <v>27</v>
      </c>
      <c r="L470" s="149">
        <v>93</v>
      </c>
      <c r="M470" s="148">
        <v>20.45</v>
      </c>
      <c r="N470" s="135"/>
    </row>
    <row r="471" spans="1:14" x14ac:dyDescent="0.25">
      <c r="A471" s="142">
        <v>44631</v>
      </c>
      <c r="B471" s="81" t="s">
        <v>36</v>
      </c>
      <c r="C471" s="129" t="str">
        <f t="shared" si="15"/>
        <v>11.03.2022_BOYuhSp</v>
      </c>
      <c r="D471" s="143">
        <f t="shared" si="16"/>
        <v>0</v>
      </c>
      <c r="E471" s="144">
        <v>0</v>
      </c>
      <c r="F471" s="145">
        <v>2.1865579345503604E-2</v>
      </c>
      <c r="G471" s="146">
        <v>0.15062198156007611</v>
      </c>
      <c r="H471" s="146">
        <v>4.9037902179263432E-2</v>
      </c>
      <c r="I471" s="147">
        <v>11.212999999999999</v>
      </c>
      <c r="J471" s="148">
        <v>2.6645663617800595</v>
      </c>
      <c r="K471" s="149">
        <v>30</v>
      </c>
      <c r="L471" s="149">
        <v>117</v>
      </c>
      <c r="M471" s="148">
        <v>22.9</v>
      </c>
      <c r="N471" s="135"/>
    </row>
    <row r="472" spans="1:14" x14ac:dyDescent="0.25">
      <c r="A472" s="142">
        <v>44631</v>
      </c>
      <c r="B472" s="81" t="s">
        <v>38</v>
      </c>
      <c r="C472" s="129" t="str">
        <f t="shared" si="15"/>
        <v>11.03.2022_BRAob</v>
      </c>
      <c r="D472" s="143">
        <f t="shared" si="16"/>
        <v>0</v>
      </c>
      <c r="E472" s="144">
        <v>0</v>
      </c>
      <c r="F472" s="145">
        <v>1.4819281838240824E-2</v>
      </c>
      <c r="G472" s="146">
        <v>0.10525391482511344</v>
      </c>
      <c r="H472" s="146">
        <v>2.3728017183514562E-2</v>
      </c>
      <c r="I472" s="147">
        <v>4.78</v>
      </c>
      <c r="J472" s="148">
        <v>1.1686112071540731</v>
      </c>
      <c r="K472" s="149">
        <v>62</v>
      </c>
      <c r="L472" s="149">
        <v>166</v>
      </c>
      <c r="M472" s="148">
        <v>18.5</v>
      </c>
      <c r="N472" s="135"/>
    </row>
    <row r="473" spans="1:14" x14ac:dyDescent="0.25">
      <c r="A473" s="142">
        <v>44631</v>
      </c>
      <c r="B473" s="81" t="s">
        <v>41</v>
      </c>
      <c r="C473" s="129" t="str">
        <f t="shared" si="15"/>
        <v>11.03.2022_BRAohBo</v>
      </c>
      <c r="D473" s="143">
        <f t="shared" si="16"/>
        <v>0</v>
      </c>
      <c r="E473" s="144">
        <v>0</v>
      </c>
      <c r="F473" s="145">
        <v>2.3489635672247922E-2</v>
      </c>
      <c r="G473" s="146">
        <v>0.17784282160105375</v>
      </c>
      <c r="H473" s="146">
        <v>5.061976999149774E-2</v>
      </c>
      <c r="I473" s="147">
        <v>10.797000000000001</v>
      </c>
      <c r="J473" s="148">
        <v>2.5922227515189138</v>
      </c>
      <c r="K473" s="149">
        <v>43</v>
      </c>
      <c r="L473" s="149">
        <v>133</v>
      </c>
      <c r="M473" s="148">
        <v>17.510000000000002</v>
      </c>
      <c r="N473" s="135"/>
    </row>
    <row r="474" spans="1:14" x14ac:dyDescent="0.25">
      <c r="A474" s="142">
        <v>44631</v>
      </c>
      <c r="B474" s="81" t="s">
        <v>43</v>
      </c>
      <c r="C474" s="129" t="str">
        <f t="shared" si="15"/>
        <v>11.03.2022_HAAob</v>
      </c>
      <c r="D474" s="143">
        <f t="shared" si="16"/>
        <v>0</v>
      </c>
      <c r="E474" s="144">
        <v>0</v>
      </c>
      <c r="F474" s="145">
        <v>1.7354344948992819E-2</v>
      </c>
      <c r="G474" s="146">
        <v>3.9923898726767174E-2</v>
      </c>
      <c r="H474" s="146">
        <v>3.3219224056920384E-2</v>
      </c>
      <c r="I474" s="147">
        <v>2.855</v>
      </c>
      <c r="J474" s="148">
        <v>0.68597295088647681</v>
      </c>
      <c r="K474" s="149">
        <v>22.460999999999999</v>
      </c>
      <c r="L474" s="149">
        <v>125</v>
      </c>
      <c r="M474" s="148">
        <v>15.43</v>
      </c>
      <c r="N474" s="135"/>
    </row>
    <row r="475" spans="1:14" x14ac:dyDescent="0.25">
      <c r="A475" s="142">
        <v>44631</v>
      </c>
      <c r="B475" s="81" t="s">
        <v>45</v>
      </c>
      <c r="C475" s="129" t="str">
        <f t="shared" si="15"/>
        <v>11.03.2022_HAAun</v>
      </c>
      <c r="D475" s="143">
        <f t="shared" si="16"/>
        <v>0</v>
      </c>
      <c r="E475" s="144">
        <v>2.2702945709881826E-2</v>
      </c>
      <c r="F475" s="145">
        <v>1.9606244212968058E-2</v>
      </c>
      <c r="G475" s="146">
        <v>8.8921410800526859E-2</v>
      </c>
      <c r="H475" s="146">
        <v>3.0055488432451784E-2</v>
      </c>
      <c r="I475" s="147">
        <v>3.8250000000000002</v>
      </c>
      <c r="J475" s="148">
        <v>0.94214972972576105</v>
      </c>
      <c r="K475" s="149">
        <v>26</v>
      </c>
      <c r="L475" s="149">
        <v>213</v>
      </c>
      <c r="M475" s="148">
        <v>24.18</v>
      </c>
      <c r="N475" s="135"/>
    </row>
    <row r="476" spans="1:14" x14ac:dyDescent="0.25">
      <c r="A476" s="142">
        <v>44631</v>
      </c>
      <c r="B476" s="81" t="s">
        <v>47</v>
      </c>
      <c r="C476" s="129" t="str">
        <f t="shared" si="15"/>
        <v>11.03.2022_KIRob</v>
      </c>
      <c r="D476" s="143">
        <f t="shared" si="16"/>
        <v>0</v>
      </c>
      <c r="E476" s="144">
        <v>0</v>
      </c>
      <c r="F476" s="145">
        <v>1.0419782109166126E-2</v>
      </c>
      <c r="G476" s="146">
        <v>0.66418849699985372</v>
      </c>
      <c r="H476" s="146">
        <v>0.13762249966438447</v>
      </c>
      <c r="I476" s="147">
        <v>8.0419999999999998</v>
      </c>
      <c r="J476" s="148">
        <v>2.3740814360582383</v>
      </c>
      <c r="K476" s="149">
        <v>93</v>
      </c>
      <c r="L476" s="149">
        <v>197</v>
      </c>
      <c r="M476" s="148">
        <v>18.88</v>
      </c>
      <c r="N476" s="135"/>
    </row>
    <row r="477" spans="1:14" x14ac:dyDescent="0.25">
      <c r="A477" s="142">
        <v>44631</v>
      </c>
      <c r="B477" s="81" t="s">
        <v>49</v>
      </c>
      <c r="C477" s="129" t="str">
        <f t="shared" si="15"/>
        <v>11.03.2022_KIRun</v>
      </c>
      <c r="D477" s="143">
        <f t="shared" si="16"/>
        <v>0</v>
      </c>
      <c r="E477" s="144">
        <v>1.7027209282411367E-2</v>
      </c>
      <c r="F477" s="145">
        <v>1.1083162089139486E-2</v>
      </c>
      <c r="G477" s="146">
        <v>0.22502561100541493</v>
      </c>
      <c r="H477" s="146">
        <v>5.5365373428200658E-2</v>
      </c>
      <c r="I477" s="147">
        <v>6.2110000000000003</v>
      </c>
      <c r="J477" s="148">
        <v>1.5944646946298102</v>
      </c>
      <c r="K477" s="149">
        <v>71</v>
      </c>
      <c r="L477" s="149">
        <v>169</v>
      </c>
      <c r="M477" s="148">
        <v>18.05</v>
      </c>
      <c r="N477" s="135"/>
    </row>
    <row r="478" spans="1:14" x14ac:dyDescent="0.25">
      <c r="A478" s="142">
        <v>44631</v>
      </c>
      <c r="B478" s="81" t="s">
        <v>50</v>
      </c>
      <c r="C478" s="129" t="str">
        <f t="shared" si="15"/>
        <v>11.03.2022_LIEohBo</v>
      </c>
      <c r="D478" s="143">
        <f t="shared" si="16"/>
        <v>0</v>
      </c>
      <c r="E478" s="144">
        <v>0</v>
      </c>
      <c r="F478" s="145">
        <v>1.8002645628423453E-2</v>
      </c>
      <c r="G478" s="146">
        <v>2.54061173715791E-2</v>
      </c>
      <c r="H478" s="146">
        <v>1.8982413746811651E-2</v>
      </c>
      <c r="I478" s="147">
        <v>17.282</v>
      </c>
      <c r="J478" s="148">
        <v>3.9289921319430738</v>
      </c>
      <c r="K478" s="149">
        <v>26</v>
      </c>
      <c r="L478" s="149">
        <v>122</v>
      </c>
      <c r="M478" s="148">
        <v>24.67</v>
      </c>
      <c r="N478" s="135"/>
    </row>
    <row r="479" spans="1:14" x14ac:dyDescent="0.25">
      <c r="A479" s="142">
        <v>44631</v>
      </c>
      <c r="B479" s="81" t="s">
        <v>53</v>
      </c>
      <c r="C479" s="129" t="str">
        <f t="shared" si="15"/>
        <v>11.03.2022_NATohBo</v>
      </c>
      <c r="D479" s="143">
        <f t="shared" si="16"/>
        <v>0</v>
      </c>
      <c r="E479" s="144">
        <v>0</v>
      </c>
      <c r="F479" s="145">
        <v>2.101091328547491E-2</v>
      </c>
      <c r="G479" s="146">
        <v>0.18510171227864775</v>
      </c>
      <c r="H479" s="146">
        <v>3.7964827493623302E-2</v>
      </c>
      <c r="I479" s="147">
        <v>4.0209999999999999</v>
      </c>
      <c r="J479" s="148">
        <v>1.0635112902976807</v>
      </c>
      <c r="K479" s="149">
        <v>60</v>
      </c>
      <c r="L479" s="149">
        <v>298</v>
      </c>
      <c r="M479" s="148">
        <v>22.09</v>
      </c>
      <c r="N479" s="135"/>
    </row>
    <row r="480" spans="1:14" x14ac:dyDescent="0.25">
      <c r="A480" s="142">
        <v>44631</v>
      </c>
      <c r="B480" s="81" t="s">
        <v>55</v>
      </c>
      <c r="C480" s="129" t="str">
        <f t="shared" si="15"/>
        <v>11.03.2022_QUAohBo</v>
      </c>
      <c r="D480" s="143">
        <f t="shared" si="16"/>
        <v>0</v>
      </c>
      <c r="E480" s="144">
        <v>1.7027209282411367E-2</v>
      </c>
      <c r="F480" s="145">
        <v>1.7793509094067125E-2</v>
      </c>
      <c r="G480" s="146">
        <v>0.11795697351090301</v>
      </c>
      <c r="H480" s="146">
        <v>2.3728017183514562E-2</v>
      </c>
      <c r="I480" s="147">
        <v>5.6260000000000003</v>
      </c>
      <c r="J480" s="148">
        <v>1.3695610251930022</v>
      </c>
      <c r="K480" s="149">
        <v>40</v>
      </c>
      <c r="L480" s="149">
        <v>139</v>
      </c>
      <c r="M480" s="148">
        <v>20.9</v>
      </c>
      <c r="N480" s="135"/>
    </row>
    <row r="481" spans="1:14" x14ac:dyDescent="0.25">
      <c r="A481" s="142">
        <v>44631</v>
      </c>
      <c r="B481" s="81" t="s">
        <v>57</v>
      </c>
      <c r="C481" s="129" t="str">
        <f t="shared" si="15"/>
        <v>11.03.2022_SCHohVo</v>
      </c>
      <c r="D481" s="143">
        <f t="shared" si="16"/>
        <v>0</v>
      </c>
      <c r="E481" s="144">
        <v>0</v>
      </c>
      <c r="F481" s="145">
        <v>1.5518158804857613E-2</v>
      </c>
      <c r="G481" s="146">
        <v>8.5291965461729846E-2</v>
      </c>
      <c r="H481" s="146">
        <v>3.0055488432451784E-2</v>
      </c>
      <c r="I481" s="147">
        <v>5.992</v>
      </c>
      <c r="J481" s="148">
        <v>1.4287917917146384</v>
      </c>
      <c r="K481" s="149">
        <v>28</v>
      </c>
      <c r="L481" s="149">
        <v>125</v>
      </c>
      <c r="M481" s="148">
        <v>21.12</v>
      </c>
      <c r="N481" s="135"/>
    </row>
    <row r="482" spans="1:14" x14ac:dyDescent="0.25">
      <c r="A482" s="142">
        <v>44631</v>
      </c>
      <c r="B482" s="81" t="s">
        <v>60</v>
      </c>
      <c r="C482" s="129" t="str">
        <f t="shared" si="15"/>
        <v>11.03.2022_VORohBo</v>
      </c>
      <c r="D482" s="143">
        <f t="shared" si="16"/>
        <v>0</v>
      </c>
      <c r="E482" s="144">
        <v>0</v>
      </c>
      <c r="F482" s="145">
        <v>9.8868648436443666E-3</v>
      </c>
      <c r="G482" s="146">
        <v>0.26676423240158059</v>
      </c>
      <c r="H482" s="146">
        <v>1.7400545934577346E-2</v>
      </c>
      <c r="I482" s="147">
        <v>2.6970000000000001</v>
      </c>
      <c r="J482" s="148">
        <v>0.82160874502728543</v>
      </c>
      <c r="K482" s="149">
        <v>30</v>
      </c>
      <c r="L482" s="149">
        <v>204</v>
      </c>
      <c r="M482" s="148">
        <v>21.29</v>
      </c>
      <c r="N482" s="135"/>
    </row>
    <row r="483" spans="1:14" x14ac:dyDescent="0.25">
      <c r="A483" s="142">
        <v>44631</v>
      </c>
      <c r="B483" s="81" t="s">
        <v>62</v>
      </c>
      <c r="C483" s="129" t="str">
        <f t="shared" si="15"/>
        <v>11.03.2022_VORuhSc</v>
      </c>
      <c r="D483" s="143">
        <f t="shared" si="16"/>
        <v>0</v>
      </c>
      <c r="E483" s="144">
        <v>0</v>
      </c>
      <c r="F483" s="145">
        <v>9.5338249528892794E-3</v>
      </c>
      <c r="G483" s="146">
        <v>0.14336309088248209</v>
      </c>
      <c r="H483" s="146">
        <v>1.7400545934577346E-2</v>
      </c>
      <c r="I483" s="147">
        <v>3.165</v>
      </c>
      <c r="J483" s="148">
        <v>0.83149615264912058</v>
      </c>
      <c r="K483" s="149">
        <v>28</v>
      </c>
      <c r="L483" s="149">
        <v>174</v>
      </c>
      <c r="M483" s="148">
        <v>17.05</v>
      </c>
      <c r="N483" s="135"/>
    </row>
    <row r="484" spans="1:14" x14ac:dyDescent="0.25">
      <c r="A484" s="142">
        <v>44631</v>
      </c>
      <c r="B484" s="81" t="s">
        <v>64</v>
      </c>
      <c r="C484" s="129" t="str">
        <f t="shared" si="15"/>
        <v>11.03.2022_WITob</v>
      </c>
      <c r="D484" s="143">
        <f t="shared" si="16"/>
        <v>0</v>
      </c>
      <c r="E484" s="144">
        <v>0</v>
      </c>
      <c r="F484" s="145">
        <v>1.193415755391412E-2</v>
      </c>
      <c r="G484" s="146">
        <v>3.2665008049173133E-2</v>
      </c>
      <c r="H484" s="146">
        <v>7.9093390611715223E-3</v>
      </c>
      <c r="I484" s="147">
        <v>0.98699999999999999</v>
      </c>
      <c r="J484" s="148">
        <v>0.25070574037727611</v>
      </c>
      <c r="K484" s="149">
        <v>43</v>
      </c>
      <c r="L484" s="149">
        <v>198</v>
      </c>
      <c r="M484" s="148">
        <v>16.170000000000002</v>
      </c>
      <c r="N484" s="135"/>
    </row>
    <row r="485" spans="1:14" x14ac:dyDescent="0.25">
      <c r="A485" s="142">
        <v>44645</v>
      </c>
      <c r="B485" s="81" t="s">
        <v>22</v>
      </c>
      <c r="C485" s="129" t="str">
        <f t="shared" si="15"/>
        <v>25.03.2022_BOYkl</v>
      </c>
      <c r="D485" s="143">
        <f t="shared" si="16"/>
        <v>0</v>
      </c>
      <c r="E485" s="144">
        <v>0</v>
      </c>
      <c r="F485" s="145">
        <v>4.9845889711083322E-2</v>
      </c>
      <c r="G485" s="146">
        <v>4.2231018351925158E-2</v>
      </c>
      <c r="H485" s="146">
        <v>3.313492993391761E-2</v>
      </c>
      <c r="I485" s="147">
        <v>32</v>
      </c>
      <c r="J485" s="148">
        <v>7.2707198928584669</v>
      </c>
      <c r="K485" s="149">
        <v>32</v>
      </c>
      <c r="L485" s="149">
        <v>59</v>
      </c>
      <c r="M485" s="148">
        <v>20.47</v>
      </c>
      <c r="N485" s="135"/>
    </row>
    <row r="486" spans="1:14" x14ac:dyDescent="0.25">
      <c r="A486" s="142">
        <v>44645</v>
      </c>
      <c r="B486" s="81" t="s">
        <v>25</v>
      </c>
      <c r="C486" s="129" t="str">
        <f t="shared" si="15"/>
        <v>25.03.2022_BOYohB224</v>
      </c>
      <c r="D486" s="143">
        <f t="shared" si="16"/>
        <v>0</v>
      </c>
      <c r="E486" s="144">
        <v>3.1155073238658723E-2</v>
      </c>
      <c r="F486" s="145">
        <v>3.3014458927252244E-2</v>
      </c>
      <c r="G486" s="146">
        <v>0.12903922274199356</v>
      </c>
      <c r="H486" s="146">
        <v>6.6269859867835221E-2</v>
      </c>
      <c r="I486" s="147">
        <v>6.4560000000000004</v>
      </c>
      <c r="J486" s="148">
        <v>1.578590244903693</v>
      </c>
      <c r="K486" s="149">
        <v>39</v>
      </c>
      <c r="L486" s="149">
        <v>188</v>
      </c>
      <c r="M486" s="148">
        <v>16.309999999999999</v>
      </c>
      <c r="N486" s="135"/>
    </row>
    <row r="487" spans="1:14" x14ac:dyDescent="0.25">
      <c r="A487" s="142">
        <v>44645</v>
      </c>
      <c r="B487" s="81" t="s">
        <v>28</v>
      </c>
      <c r="C487" s="129" t="str">
        <f t="shared" si="15"/>
        <v>25.03.2022_BOYohBr</v>
      </c>
      <c r="D487" s="143">
        <f t="shared" si="16"/>
        <v>0</v>
      </c>
      <c r="E487" s="144">
        <v>1.6616039060617989E-2</v>
      </c>
      <c r="F487" s="145">
        <v>4.2286684780482371E-2</v>
      </c>
      <c r="G487" s="146">
        <v>0.23930910399424257</v>
      </c>
      <c r="H487" s="146">
        <v>0.16567464966958803</v>
      </c>
      <c r="I487" s="147">
        <v>17.213999999999999</v>
      </c>
      <c r="J487" s="148">
        <v>4.1243869532523956</v>
      </c>
      <c r="K487" s="149">
        <v>25</v>
      </c>
      <c r="L487" s="149">
        <v>97</v>
      </c>
      <c r="M487" s="148">
        <v>13.77</v>
      </c>
      <c r="N487" s="135"/>
    </row>
    <row r="488" spans="1:14" x14ac:dyDescent="0.25">
      <c r="A488" s="142">
        <v>44645</v>
      </c>
      <c r="B488" s="81" t="s">
        <v>30</v>
      </c>
      <c r="C488" s="129" t="str">
        <f t="shared" si="15"/>
        <v>25.03.2022_BOYohKi</v>
      </c>
      <c r="D488" s="143">
        <f t="shared" si="16"/>
        <v>0</v>
      </c>
      <c r="E488" s="144">
        <v>0</v>
      </c>
      <c r="F488" s="145">
        <v>3.3329511070298641E-2</v>
      </c>
      <c r="G488" s="146">
        <v>0.15015473191795611</v>
      </c>
      <c r="H488" s="146">
        <v>8.1180578338098136E-2</v>
      </c>
      <c r="I488" s="147">
        <v>7.8230000000000004</v>
      </c>
      <c r="J488" s="148">
        <v>1.9082900848620079</v>
      </c>
      <c r="K488" s="149">
        <v>37</v>
      </c>
      <c r="L488" s="149">
        <v>159</v>
      </c>
      <c r="M488" s="148">
        <v>16.690000000000001</v>
      </c>
      <c r="N488" s="135"/>
    </row>
    <row r="489" spans="1:14" x14ac:dyDescent="0.25">
      <c r="A489" s="142">
        <v>44645</v>
      </c>
      <c r="B489" s="81" t="s">
        <v>32</v>
      </c>
      <c r="C489" s="129" t="str">
        <f t="shared" si="15"/>
        <v>25.03.2022_BOYohSp</v>
      </c>
      <c r="D489" s="143">
        <f t="shared" si="16"/>
        <v>0</v>
      </c>
      <c r="E489" s="144">
        <v>0</v>
      </c>
      <c r="F489" s="145">
        <v>3.2548730305612089E-2</v>
      </c>
      <c r="G489" s="146">
        <v>0.2440014393666787</v>
      </c>
      <c r="H489" s="146">
        <v>0.1259127337488869</v>
      </c>
      <c r="I489" s="147">
        <v>11.722</v>
      </c>
      <c r="J489" s="148">
        <v>2.8754469494436807</v>
      </c>
      <c r="K489" s="149">
        <v>35</v>
      </c>
      <c r="L489" s="149">
        <v>120</v>
      </c>
      <c r="M489" s="148">
        <v>14.41</v>
      </c>
      <c r="N489" s="135"/>
    </row>
    <row r="490" spans="1:14" x14ac:dyDescent="0.25">
      <c r="A490" s="142">
        <v>44645</v>
      </c>
      <c r="B490" s="81" t="s">
        <v>34</v>
      </c>
      <c r="C490" s="129" t="str">
        <f t="shared" si="15"/>
        <v>25.03.2022_BOYuhHa</v>
      </c>
      <c r="D490" s="143">
        <f t="shared" si="16"/>
        <v>0</v>
      </c>
      <c r="E490" s="144">
        <v>0</v>
      </c>
      <c r="F490" s="145">
        <v>2.985107220608129E-2</v>
      </c>
      <c r="G490" s="146">
        <v>0.20646275638718964</v>
      </c>
      <c r="H490" s="146">
        <v>6.1299620377747568E-2</v>
      </c>
      <c r="I490" s="147">
        <v>6.4089999999999998</v>
      </c>
      <c r="J490" s="148">
        <v>1.626579765131094</v>
      </c>
      <c r="K490" s="149">
        <v>46</v>
      </c>
      <c r="L490" s="149">
        <v>278</v>
      </c>
      <c r="M490" s="148"/>
      <c r="N490" s="135"/>
    </row>
    <row r="491" spans="1:14" x14ac:dyDescent="0.25">
      <c r="A491" s="142">
        <v>44645</v>
      </c>
      <c r="B491" s="81" t="s">
        <v>36</v>
      </c>
      <c r="C491" s="129" t="str">
        <f t="shared" si="15"/>
        <v>25.03.2022_BOYuhSp</v>
      </c>
      <c r="D491" s="143">
        <f t="shared" si="16"/>
        <v>0</v>
      </c>
      <c r="E491" s="144">
        <v>0.13708232225009839</v>
      </c>
      <c r="F491" s="145">
        <v>3.4014768963254532E-2</v>
      </c>
      <c r="G491" s="146">
        <v>0.22757826556315222</v>
      </c>
      <c r="H491" s="146">
        <v>0.11265876177531987</v>
      </c>
      <c r="I491" s="147">
        <v>10.271000000000001</v>
      </c>
      <c r="J491" s="148">
        <v>2.5309219774496281</v>
      </c>
      <c r="K491" s="149">
        <v>36</v>
      </c>
      <c r="L491" s="149">
        <v>130</v>
      </c>
      <c r="M491" s="148">
        <v>19.14</v>
      </c>
      <c r="N491" s="135"/>
    </row>
    <row r="492" spans="1:14" x14ac:dyDescent="0.25">
      <c r="A492" s="142">
        <v>44645</v>
      </c>
      <c r="B492" s="81" t="s">
        <v>38</v>
      </c>
      <c r="C492" s="129" t="str">
        <f t="shared" si="15"/>
        <v>25.03.2022_BRAob</v>
      </c>
      <c r="D492" s="143">
        <f t="shared" si="16"/>
        <v>0</v>
      </c>
      <c r="E492" s="144">
        <v>0</v>
      </c>
      <c r="F492" s="145">
        <v>2.5905000234789387E-2</v>
      </c>
      <c r="G492" s="146">
        <v>0.10088521050737675</v>
      </c>
      <c r="H492" s="146">
        <v>4.3075408914092894E-2</v>
      </c>
      <c r="I492" s="147">
        <v>3.4449999999999998</v>
      </c>
      <c r="J492" s="148">
        <v>0.86957281535076847</v>
      </c>
      <c r="K492" s="149">
        <v>59</v>
      </c>
      <c r="L492" s="149">
        <v>156</v>
      </c>
      <c r="M492" s="148">
        <v>15.62</v>
      </c>
      <c r="N492" s="135"/>
    </row>
    <row r="493" spans="1:14" x14ac:dyDescent="0.25">
      <c r="A493" s="142">
        <v>44645</v>
      </c>
      <c r="B493" s="81" t="s">
        <v>41</v>
      </c>
      <c r="C493" s="129" t="str">
        <f t="shared" si="15"/>
        <v>25.03.2022_BRAohBo</v>
      </c>
      <c r="D493" s="143">
        <f t="shared" si="16"/>
        <v>0</v>
      </c>
      <c r="E493" s="144">
        <v>4.5694107416699464E-2</v>
      </c>
      <c r="F493" s="145">
        <v>4.1004230507496117E-2</v>
      </c>
      <c r="G493" s="146">
        <v>0.2956171284634761</v>
      </c>
      <c r="H493" s="146">
        <v>9.4434550311665172E-2</v>
      </c>
      <c r="I493" s="147">
        <v>8.7530000000000001</v>
      </c>
      <c r="J493" s="148">
        <v>2.235334452922991</v>
      </c>
      <c r="K493" s="149">
        <v>45</v>
      </c>
      <c r="L493" s="149">
        <v>136</v>
      </c>
      <c r="M493" s="148">
        <v>17.649999999999999</v>
      </c>
      <c r="N493" s="135"/>
    </row>
    <row r="494" spans="1:14" x14ac:dyDescent="0.25">
      <c r="A494" s="142">
        <v>44645</v>
      </c>
      <c r="B494" s="81" t="s">
        <v>43</v>
      </c>
      <c r="C494" s="129" t="str">
        <f t="shared" si="15"/>
        <v>25.03.2022_HAAob</v>
      </c>
      <c r="D494" s="143">
        <f t="shared" si="16"/>
        <v>0</v>
      </c>
      <c r="E494" s="144">
        <v>0</v>
      </c>
      <c r="F494" s="145">
        <v>3.4000000000000002E-2</v>
      </c>
      <c r="G494" s="146">
        <v>6.5692695214105784E-2</v>
      </c>
      <c r="H494" s="146">
        <v>3.9761915920701128E-2</v>
      </c>
      <c r="I494" s="147">
        <v>3.1110000000000002</v>
      </c>
      <c r="J494" s="148">
        <v>0.76579680620885848</v>
      </c>
      <c r="K494" s="149">
        <v>23</v>
      </c>
      <c r="L494" s="149">
        <v>113</v>
      </c>
      <c r="M494" s="148">
        <v>14.87</v>
      </c>
      <c r="N494" s="135"/>
    </row>
    <row r="495" spans="1:14" x14ac:dyDescent="0.25">
      <c r="A495" s="142">
        <v>44645</v>
      </c>
      <c r="B495" s="81" t="s">
        <v>45</v>
      </c>
      <c r="C495" s="129" t="str">
        <f t="shared" si="15"/>
        <v>25.03.2022_HAAun</v>
      </c>
      <c r="D495" s="143">
        <f t="shared" si="16"/>
        <v>0</v>
      </c>
      <c r="E495" s="144">
        <v>1.6616039060617989E-2</v>
      </c>
      <c r="F495" s="145">
        <v>3.0516469556858966E-2</v>
      </c>
      <c r="G495" s="146">
        <v>7.9769701331414186E-2</v>
      </c>
      <c r="H495" s="146">
        <v>3.9761915920701128E-2</v>
      </c>
      <c r="I495" s="147">
        <v>4.032</v>
      </c>
      <c r="J495" s="148">
        <v>0.98475373068888727</v>
      </c>
      <c r="K495" s="149">
        <v>28</v>
      </c>
      <c r="L495" s="149">
        <v>189</v>
      </c>
      <c r="M495" s="148">
        <v>14.07</v>
      </c>
      <c r="N495" s="135"/>
    </row>
    <row r="496" spans="1:14" x14ac:dyDescent="0.25">
      <c r="A496" s="142">
        <v>44645</v>
      </c>
      <c r="B496" s="81" t="s">
        <v>47</v>
      </c>
      <c r="C496" s="129" t="str">
        <f t="shared" si="15"/>
        <v>25.03.2022_KIRob</v>
      </c>
      <c r="D496" s="143">
        <f t="shared" si="16"/>
        <v>0</v>
      </c>
      <c r="E496" s="144">
        <v>0</v>
      </c>
      <c r="F496" s="145">
        <v>2.2024816904893281E-2</v>
      </c>
      <c r="G496" s="146">
        <v>0.6592731198272761</v>
      </c>
      <c r="H496" s="146">
        <v>0.21372029807376858</v>
      </c>
      <c r="I496" s="147">
        <v>8.3230000000000004</v>
      </c>
      <c r="J496" s="148">
        <v>2.4569021395632404</v>
      </c>
      <c r="K496" s="149">
        <v>94</v>
      </c>
      <c r="L496" s="149">
        <v>196</v>
      </c>
      <c r="M496" s="148">
        <v>15.75</v>
      </c>
      <c r="N496" s="135"/>
    </row>
    <row r="497" spans="1:14" x14ac:dyDescent="0.25">
      <c r="A497" s="142">
        <v>44645</v>
      </c>
      <c r="B497" s="81" t="s">
        <v>49</v>
      </c>
      <c r="C497" s="129" t="str">
        <f t="shared" si="15"/>
        <v>25.03.2022_KIRun</v>
      </c>
      <c r="D497" s="143">
        <f t="shared" si="16"/>
        <v>0</v>
      </c>
      <c r="E497" s="144">
        <v>0</v>
      </c>
      <c r="F497" s="145">
        <v>2.3237766563182861E-2</v>
      </c>
      <c r="G497" s="146">
        <v>0.20177042101475351</v>
      </c>
      <c r="H497" s="146">
        <v>8.9464310821577547E-2</v>
      </c>
      <c r="I497" s="147">
        <v>6.0810000000000004</v>
      </c>
      <c r="J497" s="148">
        <v>1.5574255936433752</v>
      </c>
      <c r="K497" s="149">
        <v>72</v>
      </c>
      <c r="L497" s="149">
        <v>178</v>
      </c>
      <c r="M497" s="148">
        <v>13.64</v>
      </c>
      <c r="N497" s="135"/>
    </row>
    <row r="498" spans="1:14" x14ac:dyDescent="0.25">
      <c r="A498" s="142">
        <v>44645</v>
      </c>
      <c r="B498" s="81" t="s">
        <v>50</v>
      </c>
      <c r="C498" s="129" t="str">
        <f t="shared" si="15"/>
        <v>25.03.2022_LIEohBo</v>
      </c>
      <c r="D498" s="143">
        <f t="shared" si="16"/>
        <v>0</v>
      </c>
      <c r="E498" s="144">
        <v>2.2847053708349732E-2</v>
      </c>
      <c r="F498" s="145">
        <v>2.7813356544936715E-2</v>
      </c>
      <c r="G498" s="146">
        <v>9.3846707448722658E-3</v>
      </c>
      <c r="H498" s="146">
        <v>8.1180578338098136E-2</v>
      </c>
      <c r="I498" s="147">
        <v>17.786000000000001</v>
      </c>
      <c r="J498" s="148">
        <v>4.0493263500617189</v>
      </c>
      <c r="K498" s="149">
        <v>28</v>
      </c>
      <c r="L498" s="149">
        <v>123</v>
      </c>
      <c r="M498" s="148">
        <v>13.76</v>
      </c>
      <c r="N498" s="135"/>
    </row>
    <row r="499" spans="1:14" x14ac:dyDescent="0.25">
      <c r="A499" s="142">
        <v>44645</v>
      </c>
      <c r="B499" s="81" t="s">
        <v>53</v>
      </c>
      <c r="C499" s="129" t="str">
        <f t="shared" si="15"/>
        <v>25.03.2022_NATohBo</v>
      </c>
      <c r="D499" s="143">
        <f t="shared" si="16"/>
        <v>0</v>
      </c>
      <c r="E499" s="144">
        <v>2.0770048825772484E-2</v>
      </c>
      <c r="F499" s="145">
        <v>2.7343112508499901E-2</v>
      </c>
      <c r="G499" s="146">
        <v>0.26746311622885927</v>
      </c>
      <c r="H499" s="146">
        <v>4.6388901907484646E-2</v>
      </c>
      <c r="I499" s="147">
        <v>4.0439999999999996</v>
      </c>
      <c r="J499" s="148">
        <v>1.1352238163062804</v>
      </c>
      <c r="K499" s="149">
        <v>97</v>
      </c>
      <c r="L499" s="149">
        <v>437</v>
      </c>
      <c r="M499" s="148">
        <v>15.67</v>
      </c>
      <c r="N499" s="135"/>
    </row>
    <row r="500" spans="1:14" x14ac:dyDescent="0.25">
      <c r="A500" s="142">
        <v>44645</v>
      </c>
      <c r="B500" s="81" t="s">
        <v>55</v>
      </c>
      <c r="C500" s="129" t="str">
        <f t="shared" si="15"/>
        <v>25.03.2022_QUAohBo</v>
      </c>
      <c r="D500" s="143">
        <f t="shared" si="16"/>
        <v>0</v>
      </c>
      <c r="E500" s="144">
        <v>0</v>
      </c>
      <c r="F500" s="145">
        <v>2.2941384203735239E-2</v>
      </c>
      <c r="G500" s="146">
        <v>0.18300107952500905</v>
      </c>
      <c r="H500" s="146">
        <v>2.9821436940525848E-2</v>
      </c>
      <c r="I500" s="147">
        <v>4.0519999999999996</v>
      </c>
      <c r="J500" s="148">
        <v>1.0664028847169171</v>
      </c>
      <c r="K500" s="149">
        <v>53</v>
      </c>
      <c r="L500" s="149">
        <v>151</v>
      </c>
      <c r="M500" s="148">
        <v>16.510000000000002</v>
      </c>
      <c r="N500" s="135"/>
    </row>
    <row r="501" spans="1:14" x14ac:dyDescent="0.25">
      <c r="A501" s="142">
        <v>44645</v>
      </c>
      <c r="B501" s="81" t="s">
        <v>57</v>
      </c>
      <c r="C501" s="129" t="str">
        <f t="shared" si="15"/>
        <v>25.03.2022_SCHohVo</v>
      </c>
      <c r="D501" s="143">
        <f t="shared" si="16"/>
        <v>0</v>
      </c>
      <c r="E501" s="144">
        <v>0</v>
      </c>
      <c r="F501" s="145">
        <v>3.3512902457386917E-2</v>
      </c>
      <c r="G501" s="146">
        <v>0.13138539042821162</v>
      </c>
      <c r="H501" s="146">
        <v>5.9642873881051689E-2</v>
      </c>
      <c r="I501" s="147">
        <v>3.988</v>
      </c>
      <c r="J501" s="148">
        <v>1.0209472747666881</v>
      </c>
      <c r="K501" s="149">
        <v>28</v>
      </c>
      <c r="L501" s="149">
        <v>124</v>
      </c>
      <c r="M501" s="148">
        <v>20.73</v>
      </c>
      <c r="N501" s="135"/>
    </row>
    <row r="502" spans="1:14" x14ac:dyDescent="0.25">
      <c r="A502" s="142">
        <v>44645</v>
      </c>
      <c r="B502" s="81" t="s">
        <v>60</v>
      </c>
      <c r="C502" s="129" t="str">
        <f t="shared" si="15"/>
        <v>25.03.2022_VORohBo</v>
      </c>
      <c r="D502" s="143">
        <f t="shared" si="16"/>
        <v>0</v>
      </c>
      <c r="E502" s="144">
        <v>0</v>
      </c>
      <c r="F502" s="145">
        <v>1.9225044884614115E-2</v>
      </c>
      <c r="G502" s="146">
        <v>0.31438646995322062</v>
      </c>
      <c r="H502" s="146">
        <v>2.8164690443829968E-2</v>
      </c>
      <c r="I502" s="147">
        <v>2.3199999999999998</v>
      </c>
      <c r="J502" s="148">
        <v>0.77671109005960026</v>
      </c>
      <c r="K502" s="149">
        <v>32</v>
      </c>
      <c r="L502" s="149">
        <v>210</v>
      </c>
      <c r="M502" s="148">
        <v>17.79</v>
      </c>
      <c r="N502" s="135"/>
    </row>
    <row r="503" spans="1:14" x14ac:dyDescent="0.25">
      <c r="A503" s="142">
        <v>44645</v>
      </c>
      <c r="B503" s="81" t="s">
        <v>62</v>
      </c>
      <c r="C503" s="129" t="str">
        <f t="shared" si="15"/>
        <v>25.03.2022_VORuhSc</v>
      </c>
      <c r="D503" s="143">
        <f t="shared" si="16"/>
        <v>0</v>
      </c>
      <c r="E503" s="144">
        <v>0</v>
      </c>
      <c r="F503" s="145">
        <v>1.8078672104330465E-2</v>
      </c>
      <c r="G503" s="146">
        <v>0.20646275638718964</v>
      </c>
      <c r="H503" s="146">
        <v>2.8164690443829968E-2</v>
      </c>
      <c r="I503" s="147">
        <v>2.7749999999999999</v>
      </c>
      <c r="J503" s="148">
        <v>0.79568025571271295</v>
      </c>
      <c r="K503" s="149">
        <v>34</v>
      </c>
      <c r="L503" s="149">
        <v>222</v>
      </c>
      <c r="M503" s="148">
        <v>14.85</v>
      </c>
      <c r="N503" s="135"/>
    </row>
    <row r="504" spans="1:14" x14ac:dyDescent="0.25">
      <c r="A504" s="142">
        <v>44645</v>
      </c>
      <c r="B504" s="81" t="s">
        <v>64</v>
      </c>
      <c r="C504" s="129" t="str">
        <f t="shared" si="15"/>
        <v>25.03.2022_WITob</v>
      </c>
      <c r="D504" s="143">
        <f t="shared" si="16"/>
        <v>0</v>
      </c>
      <c r="E504" s="144">
        <v>0</v>
      </c>
      <c r="F504" s="145">
        <v>2.051831430433108E-2</v>
      </c>
      <c r="G504" s="146">
        <v>7.5077365958978057E-2</v>
      </c>
      <c r="H504" s="146">
        <v>1.8224211463654681E-2</v>
      </c>
      <c r="I504" s="147">
        <v>1.109</v>
      </c>
      <c r="J504" s="148">
        <v>0.31433501507359651</v>
      </c>
      <c r="K504" s="149">
        <v>75</v>
      </c>
      <c r="L504" s="149">
        <v>280</v>
      </c>
      <c r="M504" s="148">
        <v>19.29</v>
      </c>
      <c r="N504" s="135"/>
    </row>
    <row r="505" spans="1:14" x14ac:dyDescent="0.25">
      <c r="A505" s="142">
        <v>44659</v>
      </c>
      <c r="B505" s="81" t="s">
        <v>22</v>
      </c>
      <c r="C505" s="129" t="str">
        <f t="shared" si="15"/>
        <v>08.04.2022_BOYkl</v>
      </c>
      <c r="D505" s="143">
        <f t="shared" si="16"/>
        <v>0</v>
      </c>
      <c r="E505" s="144">
        <v>5.7346236679439479E-2</v>
      </c>
      <c r="F505" s="145">
        <v>0.10481860457992911</v>
      </c>
      <c r="G505" s="146">
        <v>0.27566494640730455</v>
      </c>
      <c r="H505" s="146">
        <v>5.2959934937077305E-2</v>
      </c>
      <c r="I505" s="147">
        <v>10.331</v>
      </c>
      <c r="J505" s="148">
        <v>2.5636376964274006</v>
      </c>
      <c r="K505" s="149">
        <v>32</v>
      </c>
      <c r="L505" s="149">
        <v>134</v>
      </c>
      <c r="M505" s="148">
        <v>20.22</v>
      </c>
      <c r="N505" s="135"/>
    </row>
    <row r="506" spans="1:14" x14ac:dyDescent="0.25">
      <c r="A506" s="142">
        <v>44659</v>
      </c>
      <c r="B506" s="81" t="s">
        <v>25</v>
      </c>
      <c r="C506" s="129" t="str">
        <f t="shared" si="15"/>
        <v>08.04.2022_BOYohB224</v>
      </c>
      <c r="D506" s="143">
        <f t="shared" si="16"/>
        <v>0</v>
      </c>
      <c r="E506" s="144">
        <v>0</v>
      </c>
      <c r="F506" s="145">
        <v>4.1392444181475405E-2</v>
      </c>
      <c r="G506" s="146">
        <v>7.75307661770544E-2</v>
      </c>
      <c r="H506" s="146">
        <v>5.1446793938875093E-2</v>
      </c>
      <c r="I506" s="147">
        <v>27.446999999999999</v>
      </c>
      <c r="J506" s="148">
        <v>6.2753187310435106</v>
      </c>
      <c r="K506" s="149">
        <v>27.143999999999998</v>
      </c>
      <c r="L506" s="149">
        <v>54</v>
      </c>
      <c r="M506" s="148">
        <v>20</v>
      </c>
      <c r="N506" s="135"/>
    </row>
    <row r="507" spans="1:14" x14ac:dyDescent="0.25">
      <c r="A507" s="142">
        <v>44659</v>
      </c>
      <c r="B507" s="81" t="s">
        <v>28</v>
      </c>
      <c r="C507" s="129" t="str">
        <f t="shared" si="15"/>
        <v>08.04.2022_BOYohBr</v>
      </c>
      <c r="D507" s="143">
        <f t="shared" si="16"/>
        <v>0</v>
      </c>
      <c r="E507" s="144">
        <v>3.7571672307218966E-2</v>
      </c>
      <c r="F507" s="145">
        <v>6.8755052186793827E-2</v>
      </c>
      <c r="G507" s="146">
        <v>0.11198888447796748</v>
      </c>
      <c r="H507" s="146">
        <v>6.8091344919099392E-2</v>
      </c>
      <c r="I507" s="147">
        <v>14.319000000000001</v>
      </c>
      <c r="J507" s="148">
        <v>3.3419211888689166</v>
      </c>
      <c r="K507" s="149">
        <v>19.507000000000001</v>
      </c>
      <c r="L507" s="149">
        <v>67</v>
      </c>
      <c r="M507" s="148">
        <v>20.38</v>
      </c>
      <c r="N507" s="135"/>
    </row>
    <row r="508" spans="1:14" x14ac:dyDescent="0.25">
      <c r="A508" s="142">
        <v>44659</v>
      </c>
      <c r="B508" s="81" t="s">
        <v>30</v>
      </c>
      <c r="C508" s="129" t="str">
        <f t="shared" si="15"/>
        <v>08.04.2022_BOYohKi</v>
      </c>
      <c r="D508" s="143">
        <f t="shared" si="16"/>
        <v>0</v>
      </c>
      <c r="E508" s="144">
        <v>2.7684390121108713E-2</v>
      </c>
      <c r="F508" s="145">
        <v>4.9002629999110932E-2</v>
      </c>
      <c r="G508" s="146">
        <v>0.12749503771337836</v>
      </c>
      <c r="H508" s="146">
        <v>6.8091344919099392E-2</v>
      </c>
      <c r="I508" s="147">
        <v>11.901</v>
      </c>
      <c r="J508" s="148">
        <v>2.8078079017946806</v>
      </c>
      <c r="K508" s="149">
        <v>28</v>
      </c>
      <c r="L508" s="149">
        <v>105</v>
      </c>
      <c r="M508" s="148">
        <v>21.21</v>
      </c>
      <c r="N508" s="135"/>
    </row>
    <row r="509" spans="1:14" x14ac:dyDescent="0.25">
      <c r="A509" s="142">
        <v>44659</v>
      </c>
      <c r="B509" s="81" t="s">
        <v>32</v>
      </c>
      <c r="C509" s="129" t="str">
        <f t="shared" si="15"/>
        <v>08.04.2022_BOYohSp</v>
      </c>
      <c r="D509" s="143">
        <f t="shared" si="16"/>
        <v>0</v>
      </c>
      <c r="E509" s="144">
        <v>0</v>
      </c>
      <c r="F509" s="145">
        <v>5.9232957511741069E-2</v>
      </c>
      <c r="G509" s="146">
        <v>0.13266375545851528</v>
      </c>
      <c r="H509" s="146">
        <v>6.8091344919099392E-2</v>
      </c>
      <c r="I509" s="147">
        <v>14.887</v>
      </c>
      <c r="J509" s="148">
        <v>3.4862691794366021</v>
      </c>
      <c r="K509" s="149">
        <v>29</v>
      </c>
      <c r="L509" s="149">
        <v>89</v>
      </c>
      <c r="M509" s="148">
        <v>20.239999999999998</v>
      </c>
      <c r="N509" s="135"/>
    </row>
    <row r="510" spans="1:14" x14ac:dyDescent="0.25">
      <c r="A510" s="142">
        <v>44659</v>
      </c>
      <c r="B510" s="81" t="s">
        <v>36</v>
      </c>
      <c r="C510" s="129" t="str">
        <f t="shared" si="15"/>
        <v>08.04.2022_BOYuhSp</v>
      </c>
      <c r="D510" s="143">
        <f t="shared" si="16"/>
        <v>0</v>
      </c>
      <c r="E510" s="144">
        <v>2.570693368388666E-2</v>
      </c>
      <c r="F510" s="145">
        <v>5.0615730788318117E-2</v>
      </c>
      <c r="G510" s="146">
        <v>0.10509726081778485</v>
      </c>
      <c r="H510" s="146">
        <v>5.9012498929886137E-2</v>
      </c>
      <c r="I510" s="147">
        <v>12.956</v>
      </c>
      <c r="J510" s="148">
        <v>3.0259450473516054</v>
      </c>
      <c r="K510" s="149">
        <v>27</v>
      </c>
      <c r="L510" s="149">
        <v>100</v>
      </c>
      <c r="M510" s="148">
        <v>22.42</v>
      </c>
      <c r="N510" s="135"/>
    </row>
    <row r="511" spans="1:14" x14ac:dyDescent="0.25">
      <c r="A511" s="142">
        <v>44659</v>
      </c>
      <c r="B511" s="81" t="s">
        <v>38</v>
      </c>
      <c r="C511" s="129" t="str">
        <f t="shared" si="15"/>
        <v>08.04.2022_BRAob</v>
      </c>
      <c r="D511" s="143">
        <f t="shared" si="16"/>
        <v>0</v>
      </c>
      <c r="E511" s="144">
        <v>0</v>
      </c>
      <c r="F511" s="145">
        <v>3.8409559904204138E-2</v>
      </c>
      <c r="G511" s="146">
        <v>9.1314013497419619E-2</v>
      </c>
      <c r="H511" s="146">
        <v>2.8749678965841966E-2</v>
      </c>
      <c r="I511" s="147">
        <v>4.8239999999999998</v>
      </c>
      <c r="J511" s="148">
        <v>1.1692541381017618</v>
      </c>
      <c r="K511" s="149">
        <v>43</v>
      </c>
      <c r="L511" s="149">
        <v>130</v>
      </c>
      <c r="M511" s="148">
        <v>21.55</v>
      </c>
      <c r="N511" s="135"/>
    </row>
    <row r="512" spans="1:14" x14ac:dyDescent="0.25">
      <c r="A512" s="142">
        <v>44659</v>
      </c>
      <c r="B512" s="81" t="s">
        <v>41</v>
      </c>
      <c r="C512" s="129" t="str">
        <f t="shared" si="15"/>
        <v>08.04.2022_BRAohBo</v>
      </c>
      <c r="D512" s="143">
        <f t="shared" si="16"/>
        <v>0</v>
      </c>
      <c r="E512" s="144">
        <v>0</v>
      </c>
      <c r="F512" s="145">
        <v>4.9277526716825691E-2</v>
      </c>
      <c r="G512" s="146">
        <v>0.19813418023025012</v>
      </c>
      <c r="H512" s="146">
        <v>5.1446793938875093E-2</v>
      </c>
      <c r="I512" s="147">
        <v>11.481</v>
      </c>
      <c r="J512" s="148">
        <v>2.7627256560216775</v>
      </c>
      <c r="K512" s="149">
        <v>33</v>
      </c>
      <c r="L512" s="149">
        <v>98</v>
      </c>
      <c r="M512" s="148">
        <v>20.03</v>
      </c>
      <c r="N512" s="135"/>
    </row>
    <row r="513" spans="1:14" x14ac:dyDescent="0.25">
      <c r="A513" s="142">
        <v>44659</v>
      </c>
      <c r="B513" s="81" t="s">
        <v>43</v>
      </c>
      <c r="C513" s="129" t="str">
        <f t="shared" si="15"/>
        <v>08.04.2022_HAAob</v>
      </c>
      <c r="D513" s="143">
        <f t="shared" si="16"/>
        <v>0</v>
      </c>
      <c r="E513" s="144">
        <v>0</v>
      </c>
      <c r="F513" s="145">
        <v>2.1706286837412513E-2</v>
      </c>
      <c r="G513" s="146">
        <v>9.3036919412465266E-2</v>
      </c>
      <c r="H513" s="146">
        <v>4.6907370944268466E-2</v>
      </c>
      <c r="I513" s="147">
        <v>3.0979999999999999</v>
      </c>
      <c r="J513" s="148">
        <v>0.78626844663856765</v>
      </c>
      <c r="K513" s="149">
        <v>25</v>
      </c>
      <c r="L513" s="149">
        <v>125</v>
      </c>
      <c r="M513" s="148">
        <v>21.22</v>
      </c>
      <c r="N513" s="135"/>
    </row>
    <row r="514" spans="1:14" x14ac:dyDescent="0.25">
      <c r="A514" s="142">
        <v>44659</v>
      </c>
      <c r="B514" s="81" t="s">
        <v>45</v>
      </c>
      <c r="C514" s="129" t="str">
        <f t="shared" si="15"/>
        <v>08.04.2022_HAAun</v>
      </c>
      <c r="D514" s="143">
        <f t="shared" si="16"/>
        <v>0</v>
      </c>
      <c r="E514" s="144">
        <v>0</v>
      </c>
      <c r="F514" s="145">
        <v>2.9444933304224399E-2</v>
      </c>
      <c r="G514" s="146">
        <v>8.6145295752282677E-2</v>
      </c>
      <c r="H514" s="146">
        <v>4.6907370944268466E-2</v>
      </c>
      <c r="I514" s="147">
        <v>3.1949999999999998</v>
      </c>
      <c r="J514" s="148">
        <v>0.80282655978267248</v>
      </c>
      <c r="K514" s="149">
        <v>26</v>
      </c>
      <c r="L514" s="149">
        <v>175</v>
      </c>
      <c r="M514" s="148">
        <v>14.7</v>
      </c>
      <c r="N514" s="135"/>
    </row>
    <row r="515" spans="1:14" x14ac:dyDescent="0.25">
      <c r="A515" s="142">
        <v>44659</v>
      </c>
      <c r="B515" s="81" t="s">
        <v>47</v>
      </c>
      <c r="C515" s="129" t="str">
        <f t="shared" si="15"/>
        <v>08.04.2022_KIRob</v>
      </c>
      <c r="D515" s="143">
        <f t="shared" si="16"/>
        <v>0</v>
      </c>
      <c r="E515" s="144">
        <v>0</v>
      </c>
      <c r="F515" s="145">
        <v>1.6855677934299016E-2</v>
      </c>
      <c r="G515" s="146">
        <v>0.68743946010321577</v>
      </c>
      <c r="H515" s="146">
        <v>0.13618268983819876</v>
      </c>
      <c r="I515" s="147">
        <v>7.6890000000000001</v>
      </c>
      <c r="J515" s="148">
        <v>2.3119651162967854</v>
      </c>
      <c r="K515" s="149">
        <v>88</v>
      </c>
      <c r="L515" s="149">
        <v>191</v>
      </c>
      <c r="M515" s="148">
        <v>19.12</v>
      </c>
      <c r="N515" s="135"/>
    </row>
    <row r="516" spans="1:14" x14ac:dyDescent="0.25">
      <c r="A516" s="142">
        <v>44659</v>
      </c>
      <c r="B516" s="81" t="s">
        <v>49</v>
      </c>
      <c r="C516" s="129" t="str">
        <f t="shared" si="15"/>
        <v>08.04.2022_KIRun</v>
      </c>
      <c r="D516" s="143">
        <f t="shared" si="16"/>
        <v>0</v>
      </c>
      <c r="E516" s="144">
        <v>0</v>
      </c>
      <c r="F516" s="145">
        <v>2.1606306167898239E-2</v>
      </c>
      <c r="G516" s="146">
        <v>0.20674870980547841</v>
      </c>
      <c r="H516" s="146">
        <v>6.960448591730159E-2</v>
      </c>
      <c r="I516" s="147">
        <v>5.7050000000000001</v>
      </c>
      <c r="J516" s="148">
        <v>1.4703177414143782</v>
      </c>
      <c r="K516" s="149">
        <v>67</v>
      </c>
      <c r="L516" s="149">
        <v>171</v>
      </c>
      <c r="M516" s="148">
        <v>16.53</v>
      </c>
      <c r="N516" s="135"/>
    </row>
    <row r="517" spans="1:14" x14ac:dyDescent="0.25">
      <c r="A517" s="142">
        <v>44659</v>
      </c>
      <c r="B517" s="81" t="s">
        <v>50</v>
      </c>
      <c r="C517" s="129" t="str">
        <f t="shared" ref="C517:C580" si="17">CONCATENATE(TEXT(A517,"TT.MM.JJJJ"),"_",B517)</f>
        <v>08.04.2022_LIEohBo</v>
      </c>
      <c r="D517" s="143">
        <f t="shared" ref="D517:D580" si="18">COUNTBLANK(E517:L517)</f>
        <v>0</v>
      </c>
      <c r="E517" s="144">
        <v>0</v>
      </c>
      <c r="F517" s="145">
        <v>3.050261039774111E-2</v>
      </c>
      <c r="G517" s="146">
        <v>2.7566494640730455E-2</v>
      </c>
      <c r="H517" s="146">
        <v>3.1775960962246386E-2</v>
      </c>
      <c r="I517" s="147">
        <v>15.712999999999999</v>
      </c>
      <c r="J517" s="148">
        <v>3.5801746087385364</v>
      </c>
      <c r="K517" s="149">
        <v>26</v>
      </c>
      <c r="L517" s="149">
        <v>100</v>
      </c>
      <c r="M517" s="148">
        <v>20.52</v>
      </c>
      <c r="N517" s="135"/>
    </row>
    <row r="518" spans="1:14" x14ac:dyDescent="0.25">
      <c r="A518" s="142">
        <v>44659</v>
      </c>
      <c r="B518" s="81" t="s">
        <v>53</v>
      </c>
      <c r="C518" s="129" t="str">
        <f t="shared" si="17"/>
        <v>08.04.2022_NATohBo</v>
      </c>
      <c r="D518" s="143">
        <f t="shared" si="18"/>
        <v>0</v>
      </c>
      <c r="E518" s="144">
        <v>0</v>
      </c>
      <c r="F518" s="145">
        <v>2.7556291587722097E-2</v>
      </c>
      <c r="G518" s="146">
        <v>0.12404922588328707</v>
      </c>
      <c r="H518" s="146">
        <v>6.2038780926290553E-2</v>
      </c>
      <c r="I518" s="147">
        <v>5.7640000000000002</v>
      </c>
      <c r="J518" s="148">
        <v>1.4171253702591227</v>
      </c>
      <c r="K518" s="149">
        <v>56</v>
      </c>
      <c r="L518" s="149">
        <v>221</v>
      </c>
      <c r="M518" s="148">
        <v>15.09</v>
      </c>
      <c r="N518" s="135"/>
    </row>
    <row r="519" spans="1:14" x14ac:dyDescent="0.25">
      <c r="A519" s="142">
        <v>44659</v>
      </c>
      <c r="B519" s="81" t="s">
        <v>55</v>
      </c>
      <c r="C519" s="129" t="str">
        <f t="shared" si="17"/>
        <v>08.04.2022_QUAohBo</v>
      </c>
      <c r="D519" s="143">
        <f t="shared" si="18"/>
        <v>0</v>
      </c>
      <c r="E519" s="144">
        <v>1.7797107934998457E-2</v>
      </c>
      <c r="F519" s="145">
        <v>2.3773220128845019E-2</v>
      </c>
      <c r="G519" s="146">
        <v>0.10854307264787616</v>
      </c>
      <c r="H519" s="146">
        <v>3.0262819964044178E-2</v>
      </c>
      <c r="I519" s="147">
        <v>8.8610000000000007</v>
      </c>
      <c r="J519" s="148">
        <v>2.0949301960184026</v>
      </c>
      <c r="K519" s="149">
        <v>46</v>
      </c>
      <c r="L519" s="149">
        <v>119</v>
      </c>
      <c r="M519" s="148">
        <v>22.01</v>
      </c>
      <c r="N519" s="135"/>
    </row>
    <row r="520" spans="1:14" x14ac:dyDescent="0.25">
      <c r="A520" s="142">
        <v>44659</v>
      </c>
      <c r="B520" s="81" t="s">
        <v>57</v>
      </c>
      <c r="C520" s="129" t="str">
        <f t="shared" si="17"/>
        <v>08.04.2022_SCHohVo</v>
      </c>
      <c r="D520" s="143">
        <f t="shared" si="18"/>
        <v>0</v>
      </c>
      <c r="E520" s="144">
        <v>0</v>
      </c>
      <c r="F520" s="145">
        <v>2.2155491548366716E-2</v>
      </c>
      <c r="G520" s="146">
        <v>0.18262802699483924</v>
      </c>
      <c r="H520" s="146">
        <v>3.6315383956853006E-2</v>
      </c>
      <c r="I520" s="147">
        <v>4.8639999999999999</v>
      </c>
      <c r="J520" s="148">
        <v>1.2514967353268867</v>
      </c>
      <c r="K520" s="149">
        <v>23.847999999999999</v>
      </c>
      <c r="L520" s="149">
        <v>86</v>
      </c>
      <c r="M520" s="148">
        <v>23.8</v>
      </c>
      <c r="N520" s="135"/>
    </row>
    <row r="521" spans="1:14" x14ac:dyDescent="0.25">
      <c r="A521" s="142">
        <v>44659</v>
      </c>
      <c r="B521" s="81" t="s">
        <v>60</v>
      </c>
      <c r="C521" s="129" t="str">
        <f t="shared" si="17"/>
        <v>08.04.2022_VORohBo</v>
      </c>
      <c r="D521" s="143">
        <f t="shared" si="18"/>
        <v>0</v>
      </c>
      <c r="E521" s="144">
        <v>0</v>
      </c>
      <c r="F521" s="145">
        <v>1.7150492560467589E-2</v>
      </c>
      <c r="G521" s="146">
        <v>0.20330289797538709</v>
      </c>
      <c r="H521" s="146">
        <v>2.8749678965841966E-2</v>
      </c>
      <c r="I521" s="147">
        <v>3.2970000000000002</v>
      </c>
      <c r="J521" s="148">
        <v>0.9113088970100589</v>
      </c>
      <c r="K521" s="149">
        <v>27</v>
      </c>
      <c r="L521" s="149">
        <v>172</v>
      </c>
      <c r="M521" s="148">
        <v>21.37</v>
      </c>
      <c r="N521" s="135"/>
    </row>
    <row r="522" spans="1:14" x14ac:dyDescent="0.25">
      <c r="A522" s="142">
        <v>44659</v>
      </c>
      <c r="B522" s="81" t="s">
        <v>62</v>
      </c>
      <c r="C522" s="129" t="str">
        <f t="shared" si="17"/>
        <v>08.04.2022_VORuhSc</v>
      </c>
      <c r="D522" s="143">
        <f t="shared" si="18"/>
        <v>0</v>
      </c>
      <c r="E522" s="144">
        <v>0</v>
      </c>
      <c r="F522" s="145">
        <v>1.7734182594887897E-2</v>
      </c>
      <c r="G522" s="146">
        <v>0.14127828503374357</v>
      </c>
      <c r="H522" s="146">
        <v>2.8749678965841966E-2</v>
      </c>
      <c r="I522" s="147">
        <v>3.9169999999999998</v>
      </c>
      <c r="J522" s="148">
        <v>1.0031868053070021</v>
      </c>
      <c r="K522" s="149">
        <v>26</v>
      </c>
      <c r="L522" s="149">
        <v>160</v>
      </c>
      <c r="M522" s="148">
        <v>22.07</v>
      </c>
      <c r="N522" s="135"/>
    </row>
    <row r="523" spans="1:14" x14ac:dyDescent="0.25">
      <c r="A523" s="142">
        <v>44659</v>
      </c>
      <c r="B523" s="81" t="s">
        <v>64</v>
      </c>
      <c r="C523" s="129" t="str">
        <f t="shared" si="17"/>
        <v>08.04.2022_WITob</v>
      </c>
      <c r="D523" s="143">
        <f t="shared" si="18"/>
        <v>0</v>
      </c>
      <c r="E523" s="144">
        <v>0</v>
      </c>
      <c r="F523" s="145">
        <v>1.6441513623019089E-2</v>
      </c>
      <c r="G523" s="146">
        <v>5.6855895196506565E-2</v>
      </c>
      <c r="H523" s="146">
        <v>1.2105127985617671E-2</v>
      </c>
      <c r="I523" s="147">
        <v>1.103</v>
      </c>
      <c r="J523" s="148">
        <v>0.29696805027635664</v>
      </c>
      <c r="K523" s="149">
        <v>63</v>
      </c>
      <c r="L523" s="149">
        <v>258</v>
      </c>
      <c r="M523" s="148">
        <v>13.51</v>
      </c>
      <c r="N523" s="135"/>
    </row>
    <row r="524" spans="1:14" x14ac:dyDescent="0.25">
      <c r="A524" s="142">
        <v>44673</v>
      </c>
      <c r="B524" s="81" t="s">
        <v>22</v>
      </c>
      <c r="C524" s="129" t="str">
        <f t="shared" si="17"/>
        <v>22.04.2022_BOYkl</v>
      </c>
      <c r="D524" s="143">
        <f t="shared" si="18"/>
        <v>0</v>
      </c>
      <c r="E524" s="144">
        <v>0</v>
      </c>
      <c r="F524" s="145">
        <v>6.8051509589375475E-2</v>
      </c>
      <c r="G524" s="146">
        <v>7.9482533559335253E-2</v>
      </c>
      <c r="H524" s="146">
        <v>5.9730947532602573E-2</v>
      </c>
      <c r="I524" s="147">
        <v>28</v>
      </c>
      <c r="J524" s="148">
        <v>6.4042624794597884</v>
      </c>
      <c r="K524" s="149">
        <v>33</v>
      </c>
      <c r="L524" s="149">
        <v>62</v>
      </c>
      <c r="M524" s="148">
        <v>20.25</v>
      </c>
      <c r="N524" s="135"/>
    </row>
    <row r="525" spans="1:14" x14ac:dyDescent="0.25">
      <c r="A525" s="142">
        <v>44673</v>
      </c>
      <c r="B525" s="81" t="s">
        <v>25</v>
      </c>
      <c r="C525" s="129" t="str">
        <f t="shared" si="17"/>
        <v>22.04.2022_BOYohB224</v>
      </c>
      <c r="D525" s="143">
        <f t="shared" si="18"/>
        <v>0</v>
      </c>
      <c r="E525" s="144">
        <v>0</v>
      </c>
      <c r="F525" s="145">
        <v>2.4105760456867197E-2</v>
      </c>
      <c r="G525" s="146">
        <v>6.9335827147505233E-2</v>
      </c>
      <c r="H525" s="146">
        <v>4.9010008231879038E-2</v>
      </c>
      <c r="I525" s="147">
        <v>3.9889999999999999</v>
      </c>
      <c r="J525" s="148">
        <v>0.9697551034279619</v>
      </c>
      <c r="K525" s="149">
        <v>34</v>
      </c>
      <c r="L525" s="149">
        <v>219</v>
      </c>
      <c r="M525" s="148">
        <v>17.66</v>
      </c>
      <c r="N525" s="135"/>
    </row>
    <row r="526" spans="1:14" x14ac:dyDescent="0.25">
      <c r="A526" s="142">
        <v>44673</v>
      </c>
      <c r="B526" s="81" t="s">
        <v>28</v>
      </c>
      <c r="C526" s="129" t="str">
        <f t="shared" si="17"/>
        <v>22.04.2022_BOYohBr</v>
      </c>
      <c r="D526" s="143">
        <f t="shared" si="18"/>
        <v>0</v>
      </c>
      <c r="E526" s="144">
        <v>1.6813139773922323E-2</v>
      </c>
      <c r="F526" s="145">
        <v>3.9777792030421651E-2</v>
      </c>
      <c r="G526" s="146">
        <v>9.9775946382995334E-2</v>
      </c>
      <c r="H526" s="146">
        <v>0.11027251852172781</v>
      </c>
      <c r="I526" s="147">
        <v>12.42</v>
      </c>
      <c r="J526" s="148">
        <v>2.9163528928708722</v>
      </c>
      <c r="K526" s="149">
        <v>25</v>
      </c>
      <c r="L526" s="149">
        <v>106</v>
      </c>
      <c r="M526" s="148">
        <v>17.89</v>
      </c>
      <c r="N526" s="135"/>
    </row>
    <row r="527" spans="1:14" x14ac:dyDescent="0.25">
      <c r="A527" s="142">
        <v>44673</v>
      </c>
      <c r="B527" s="81" t="s">
        <v>30</v>
      </c>
      <c r="C527" s="129" t="str">
        <f t="shared" si="17"/>
        <v>22.04.2022_BOYohKi</v>
      </c>
      <c r="D527" s="143">
        <f t="shared" si="18"/>
        <v>0</v>
      </c>
      <c r="E527" s="144">
        <v>0</v>
      </c>
      <c r="F527" s="145">
        <v>2.6412034041319195E-2</v>
      </c>
      <c r="G527" s="146">
        <v>7.6100298088725232E-2</v>
      </c>
      <c r="H527" s="146">
        <v>5.2073133746371479E-2</v>
      </c>
      <c r="I527" s="147">
        <v>6.141</v>
      </c>
      <c r="J527" s="148">
        <v>1.4620124560319971</v>
      </c>
      <c r="K527" s="149">
        <v>37</v>
      </c>
      <c r="L527" s="149">
        <v>160</v>
      </c>
      <c r="M527" s="148">
        <v>16.399999999999999</v>
      </c>
      <c r="N527" s="135"/>
    </row>
    <row r="528" spans="1:14" x14ac:dyDescent="0.25">
      <c r="A528" s="142">
        <v>44673</v>
      </c>
      <c r="B528" s="81" t="s">
        <v>32</v>
      </c>
      <c r="C528" s="129" t="str">
        <f t="shared" si="17"/>
        <v>22.04.2022_BOYohSp</v>
      </c>
      <c r="D528" s="143">
        <f t="shared" si="18"/>
        <v>0</v>
      </c>
      <c r="E528" s="144">
        <v>0</v>
      </c>
      <c r="F528" s="145">
        <v>4.1776968278491887E-2</v>
      </c>
      <c r="G528" s="146">
        <v>0.10823153505952036</v>
      </c>
      <c r="H528" s="146">
        <v>9.9551579221004285E-2</v>
      </c>
      <c r="I528" s="147">
        <v>9.41</v>
      </c>
      <c r="J528" s="148">
        <v>2.2397858829522015</v>
      </c>
      <c r="K528" s="149">
        <v>38</v>
      </c>
      <c r="L528" s="149">
        <v>119</v>
      </c>
      <c r="M528" s="148">
        <v>16.420000000000002</v>
      </c>
      <c r="N528" s="135"/>
    </row>
    <row r="529" spans="1:14" x14ac:dyDescent="0.25">
      <c r="A529" s="142">
        <v>44673</v>
      </c>
      <c r="B529" s="81" t="s">
        <v>36</v>
      </c>
      <c r="C529" s="129" t="str">
        <f t="shared" si="17"/>
        <v>22.04.2022_BOYuhSp</v>
      </c>
      <c r="D529" s="143">
        <f t="shared" si="18"/>
        <v>0</v>
      </c>
      <c r="E529" s="144">
        <v>3.1758152906297722E-2</v>
      </c>
      <c r="F529" s="145">
        <v>4.0767718654143241E-2</v>
      </c>
      <c r="G529" s="146">
        <v>0.10654041732421536</v>
      </c>
      <c r="H529" s="146">
        <v>9.4956890949265627E-2</v>
      </c>
      <c r="I529" s="147">
        <v>8.7230000000000008</v>
      </c>
      <c r="J529" s="148">
        <v>2.0819012040975839</v>
      </c>
      <c r="K529" s="149">
        <v>37</v>
      </c>
      <c r="L529" s="149">
        <v>134</v>
      </c>
      <c r="M529" s="148">
        <v>15.48</v>
      </c>
      <c r="N529" s="135"/>
    </row>
    <row r="530" spans="1:14" x14ac:dyDescent="0.25">
      <c r="A530" s="142">
        <v>44673</v>
      </c>
      <c r="B530" s="81" t="s">
        <v>38</v>
      </c>
      <c r="C530" s="129" t="str">
        <f t="shared" si="17"/>
        <v>22.04.2022_BRAob</v>
      </c>
      <c r="D530" s="143">
        <f t="shared" si="18"/>
        <v>0</v>
      </c>
      <c r="E530" s="144">
        <v>0</v>
      </c>
      <c r="F530" s="145">
        <v>3.1205235982542549E-2</v>
      </c>
      <c r="G530" s="146">
        <v>7.271806261811524E-2</v>
      </c>
      <c r="H530" s="146">
        <v>2.9099692387678181E-2</v>
      </c>
      <c r="I530" s="147">
        <v>3.028</v>
      </c>
      <c r="J530" s="148">
        <v>0.74925860978976888</v>
      </c>
      <c r="K530" s="149">
        <v>58</v>
      </c>
      <c r="L530" s="149">
        <v>163</v>
      </c>
      <c r="M530" s="148">
        <v>16.690000000000001</v>
      </c>
      <c r="N530" s="135"/>
    </row>
    <row r="531" spans="1:14" x14ac:dyDescent="0.25">
      <c r="A531" s="142">
        <v>44673</v>
      </c>
      <c r="B531" s="81" t="s">
        <v>41</v>
      </c>
      <c r="C531" s="129" t="str">
        <f t="shared" si="17"/>
        <v>22.04.2022_BRAohBo</v>
      </c>
      <c r="D531" s="143">
        <f t="shared" si="18"/>
        <v>0</v>
      </c>
      <c r="E531" s="144">
        <v>0</v>
      </c>
      <c r="F531" s="145">
        <v>4.8366607796637553E-2</v>
      </c>
      <c r="G531" s="146">
        <v>6.5953591676895212E-2</v>
      </c>
      <c r="H531" s="146">
        <v>8.7299077163034519E-2</v>
      </c>
      <c r="I531" s="147">
        <v>6.3369999999999997</v>
      </c>
      <c r="J531" s="148">
        <v>1.5091286984434782</v>
      </c>
      <c r="K531" s="149">
        <v>45</v>
      </c>
      <c r="L531" s="149">
        <v>129</v>
      </c>
      <c r="M531" s="148">
        <v>14.83</v>
      </c>
      <c r="N531" s="135"/>
    </row>
    <row r="532" spans="1:14" x14ac:dyDescent="0.25">
      <c r="A532" s="142">
        <v>44673</v>
      </c>
      <c r="B532" s="81" t="s">
        <v>43</v>
      </c>
      <c r="C532" s="129" t="str">
        <f t="shared" si="17"/>
        <v>22.04.2022_HAAob</v>
      </c>
      <c r="D532" s="143">
        <f t="shared" si="18"/>
        <v>0</v>
      </c>
      <c r="E532" s="144">
        <v>0</v>
      </c>
      <c r="F532" s="145">
        <v>2.8323403866230428E-2</v>
      </c>
      <c r="G532" s="146">
        <v>1.5220059617745061E-2</v>
      </c>
      <c r="H532" s="146">
        <v>1.5315627572462199E-2</v>
      </c>
      <c r="I532" s="147">
        <v>2.5499999999999998</v>
      </c>
      <c r="J532" s="148">
        <v>0.59244956690701878</v>
      </c>
      <c r="K532" s="149">
        <v>34</v>
      </c>
      <c r="L532" s="149">
        <v>247</v>
      </c>
      <c r="M532" s="148">
        <v>17.72</v>
      </c>
      <c r="N532" s="135"/>
    </row>
    <row r="533" spans="1:14" x14ac:dyDescent="0.25">
      <c r="A533" s="142">
        <v>44673</v>
      </c>
      <c r="B533" s="81" t="s">
        <v>45</v>
      </c>
      <c r="C533" s="129" t="str">
        <f t="shared" si="17"/>
        <v>22.04.2022_HAAun</v>
      </c>
      <c r="D533" s="143">
        <f t="shared" si="18"/>
        <v>0</v>
      </c>
      <c r="E533" s="144">
        <v>2.0549393057016172E-2</v>
      </c>
      <c r="F533" s="145">
        <v>2.9239828148903736E-2</v>
      </c>
      <c r="G533" s="146">
        <v>4.0586825647320142E-2</v>
      </c>
      <c r="H533" s="146">
        <v>1.2252502057969756E-2</v>
      </c>
      <c r="I533" s="147">
        <v>2.5680000000000001</v>
      </c>
      <c r="J533" s="148">
        <v>0.61527969849843656</v>
      </c>
      <c r="K533" s="149">
        <v>35</v>
      </c>
      <c r="L533" s="149">
        <v>332</v>
      </c>
      <c r="M533" s="148">
        <v>15.94</v>
      </c>
      <c r="N533" s="135"/>
    </row>
    <row r="534" spans="1:14" x14ac:dyDescent="0.25">
      <c r="A534" s="142">
        <v>44673</v>
      </c>
      <c r="B534" s="81" t="s">
        <v>47</v>
      </c>
      <c r="C534" s="129" t="str">
        <f t="shared" si="17"/>
        <v>22.04.2022_KIRob</v>
      </c>
      <c r="D534" s="143">
        <f t="shared" si="18"/>
        <v>0</v>
      </c>
      <c r="E534" s="144">
        <v>1.6813139773922323E-2</v>
      </c>
      <c r="F534" s="145">
        <v>1.6738421930323811E-2</v>
      </c>
      <c r="G534" s="146">
        <v>0.43969061117930142</v>
      </c>
      <c r="H534" s="146">
        <v>0.14243533642389844</v>
      </c>
      <c r="I534" s="147">
        <v>8.4320000000000004</v>
      </c>
      <c r="J534" s="148">
        <v>2.289315640848872</v>
      </c>
      <c r="K534" s="149">
        <v>95</v>
      </c>
      <c r="L534" s="149">
        <v>191</v>
      </c>
      <c r="M534" s="148">
        <v>19.690000000000001</v>
      </c>
      <c r="N534" s="135"/>
    </row>
    <row r="535" spans="1:14" x14ac:dyDescent="0.25">
      <c r="A535" s="142">
        <v>44673</v>
      </c>
      <c r="B535" s="81" t="s">
        <v>49</v>
      </c>
      <c r="C535" s="129" t="str">
        <f t="shared" si="17"/>
        <v>22.04.2022_KIRun</v>
      </c>
      <c r="D535" s="143">
        <f t="shared" si="18"/>
        <v>0</v>
      </c>
      <c r="E535" s="144">
        <v>0</v>
      </c>
      <c r="F535" s="145">
        <v>2.0574716275602305E-2</v>
      </c>
      <c r="G535" s="146">
        <v>0.10654041732421536</v>
      </c>
      <c r="H535" s="146">
        <v>5.6667822018110131E-2</v>
      </c>
      <c r="I535" s="147">
        <v>4.843</v>
      </c>
      <c r="J535" s="148">
        <v>1.1938684970614934</v>
      </c>
      <c r="K535" s="149">
        <v>63</v>
      </c>
      <c r="L535" s="149">
        <v>173</v>
      </c>
      <c r="M535" s="148">
        <v>17.62</v>
      </c>
      <c r="N535" s="135"/>
    </row>
    <row r="536" spans="1:14" x14ac:dyDescent="0.25">
      <c r="A536" s="142">
        <v>44673</v>
      </c>
      <c r="B536" s="81" t="s">
        <v>50</v>
      </c>
      <c r="C536" s="129" t="str">
        <f t="shared" si="17"/>
        <v>22.04.2022_LIEohBo</v>
      </c>
      <c r="D536" s="143">
        <f t="shared" si="18"/>
        <v>0</v>
      </c>
      <c r="E536" s="144">
        <v>0</v>
      </c>
      <c r="F536" s="145">
        <v>2.3261047218194757E-2</v>
      </c>
      <c r="G536" s="146">
        <v>1.0146706411830041E-2</v>
      </c>
      <c r="H536" s="146">
        <v>3.3694380659416837E-2</v>
      </c>
      <c r="I536" s="147">
        <v>10.782999999999999</v>
      </c>
      <c r="J536" s="148">
        <v>2.4536932802534812</v>
      </c>
      <c r="K536" s="149">
        <v>27</v>
      </c>
      <c r="L536" s="149">
        <v>126</v>
      </c>
      <c r="M536" s="148">
        <v>16.690000000000001</v>
      </c>
      <c r="N536" s="135"/>
    </row>
    <row r="537" spans="1:14" x14ac:dyDescent="0.25">
      <c r="A537" s="142">
        <v>44673</v>
      </c>
      <c r="B537" s="81" t="s">
        <v>53</v>
      </c>
      <c r="C537" s="129" t="str">
        <f t="shared" si="17"/>
        <v>22.04.2022_NATohBo</v>
      </c>
      <c r="D537" s="143">
        <f t="shared" si="18"/>
        <v>0</v>
      </c>
      <c r="E537" s="144">
        <v>0</v>
      </c>
      <c r="F537" s="145">
        <v>2.5001228207477553E-2</v>
      </c>
      <c r="G537" s="146">
        <v>0.17080289126580553</v>
      </c>
      <c r="H537" s="146">
        <v>5.6667822018110131E-2</v>
      </c>
      <c r="I537" s="147">
        <v>3.294</v>
      </c>
      <c r="J537" s="148">
        <v>0.8938950354523989</v>
      </c>
      <c r="K537" s="149">
        <v>92</v>
      </c>
      <c r="L537" s="149">
        <v>482</v>
      </c>
      <c r="M537" s="148">
        <v>20.05</v>
      </c>
      <c r="N537" s="135"/>
    </row>
    <row r="538" spans="1:14" x14ac:dyDescent="0.25">
      <c r="A538" s="142">
        <v>44673</v>
      </c>
      <c r="B538" s="81" t="s">
        <v>55</v>
      </c>
      <c r="C538" s="129" t="str">
        <f t="shared" si="17"/>
        <v>22.04.2022_QUAohBo</v>
      </c>
      <c r="D538" s="143">
        <f t="shared" si="18"/>
        <v>0</v>
      </c>
      <c r="E538" s="144">
        <v>0</v>
      </c>
      <c r="F538" s="145">
        <v>2.8922499055258497E-2</v>
      </c>
      <c r="G538" s="146">
        <v>0.17587624447172054</v>
      </c>
      <c r="H538" s="146">
        <v>5.9730947532602573E-2</v>
      </c>
      <c r="I538" s="147">
        <v>3.2810000000000001</v>
      </c>
      <c r="J538" s="148">
        <v>0.89583070204614712</v>
      </c>
      <c r="K538" s="149">
        <v>53</v>
      </c>
      <c r="L538" s="149">
        <v>141</v>
      </c>
      <c r="M538" s="148">
        <v>16.66</v>
      </c>
      <c r="N538" s="135"/>
    </row>
    <row r="539" spans="1:14" x14ac:dyDescent="0.25">
      <c r="A539" s="142">
        <v>44673</v>
      </c>
      <c r="B539" s="81" t="s">
        <v>57</v>
      </c>
      <c r="C539" s="129" t="str">
        <f t="shared" si="17"/>
        <v>22.04.2022_SCHohVo</v>
      </c>
      <c r="D539" s="143">
        <f t="shared" si="18"/>
        <v>0</v>
      </c>
      <c r="E539" s="144">
        <v>0</v>
      </c>
      <c r="F539" s="145">
        <v>3.0592454626715525E-2</v>
      </c>
      <c r="G539" s="146">
        <v>4.7351296588540169E-2</v>
      </c>
      <c r="H539" s="146">
        <v>3.3694380659416837E-2</v>
      </c>
      <c r="I539" s="147">
        <v>3.1890000000000001</v>
      </c>
      <c r="J539" s="148">
        <v>0.76732549247979498</v>
      </c>
      <c r="K539" s="149">
        <v>27</v>
      </c>
      <c r="L539" s="149">
        <v>132</v>
      </c>
      <c r="M539" s="148">
        <v>20.68</v>
      </c>
      <c r="N539" s="135"/>
    </row>
    <row r="540" spans="1:14" x14ac:dyDescent="0.25">
      <c r="A540" s="142">
        <v>44673</v>
      </c>
      <c r="B540" s="81" t="s">
        <v>60</v>
      </c>
      <c r="C540" s="129" t="str">
        <f t="shared" si="17"/>
        <v>22.04.2022_VORohBo</v>
      </c>
      <c r="D540" s="143">
        <f t="shared" si="18"/>
        <v>0</v>
      </c>
      <c r="E540" s="144">
        <v>0</v>
      </c>
      <c r="F540" s="145">
        <v>1.6526766215341687E-2</v>
      </c>
      <c r="G540" s="146">
        <v>0.22322754106026071</v>
      </c>
      <c r="H540" s="146">
        <v>2.2973441358693298E-2</v>
      </c>
      <c r="I540" s="147">
        <v>2.1880000000000002</v>
      </c>
      <c r="J540" s="148">
        <v>0.67453177757953597</v>
      </c>
      <c r="K540" s="149">
        <v>40</v>
      </c>
      <c r="L540" s="149">
        <v>244</v>
      </c>
      <c r="M540" s="148">
        <v>17.5</v>
      </c>
      <c r="N540" s="135"/>
    </row>
    <row r="541" spans="1:14" x14ac:dyDescent="0.25">
      <c r="A541" s="142">
        <v>44673</v>
      </c>
      <c r="B541" s="81" t="s">
        <v>62</v>
      </c>
      <c r="C541" s="129" t="str">
        <f t="shared" si="17"/>
        <v>22.04.2022_VORuhSc</v>
      </c>
      <c r="D541" s="143">
        <f t="shared" si="18"/>
        <v>0</v>
      </c>
      <c r="E541" s="144">
        <v>0</v>
      </c>
      <c r="F541" s="145">
        <v>1.578837056491272E-2</v>
      </c>
      <c r="G541" s="146">
        <v>0.11499600600074035</v>
      </c>
      <c r="H541" s="146">
        <v>1.8378753086954636E-2</v>
      </c>
      <c r="I541" s="147">
        <v>1.925</v>
      </c>
      <c r="J541" s="148">
        <v>0.5296884100768382</v>
      </c>
      <c r="K541" s="149">
        <v>33</v>
      </c>
      <c r="L541" s="149">
        <v>234</v>
      </c>
      <c r="M541" s="148">
        <v>15.99</v>
      </c>
      <c r="N541" s="135"/>
    </row>
    <row r="542" spans="1:14" x14ac:dyDescent="0.25">
      <c r="A542" s="142">
        <v>44673</v>
      </c>
      <c r="B542" s="81" t="s">
        <v>64</v>
      </c>
      <c r="C542" s="129" t="str">
        <f t="shared" si="17"/>
        <v>22.04.2022_WITob</v>
      </c>
      <c r="D542" s="143">
        <f t="shared" si="18"/>
        <v>0</v>
      </c>
      <c r="E542" s="144">
        <v>0</v>
      </c>
      <c r="F542" s="145">
        <v>2.2636193506303238E-2</v>
      </c>
      <c r="G542" s="146">
        <v>5.2424649794455165E-2</v>
      </c>
      <c r="H542" s="146">
        <v>9.1893765434773195E-3</v>
      </c>
      <c r="I542" s="147">
        <v>0.67900000000000005</v>
      </c>
      <c r="J542" s="148">
        <v>0.19687065200755816</v>
      </c>
      <c r="K542" s="149">
        <v>71</v>
      </c>
      <c r="L542" s="149">
        <v>302</v>
      </c>
      <c r="M542" s="148">
        <v>17.16</v>
      </c>
      <c r="N542" s="135"/>
    </row>
    <row r="543" spans="1:14" x14ac:dyDescent="0.25">
      <c r="A543" s="142">
        <v>44683</v>
      </c>
      <c r="B543" s="81" t="s">
        <v>22</v>
      </c>
      <c r="C543" s="129" t="str">
        <f t="shared" si="17"/>
        <v>02.05.2022_BOYkl</v>
      </c>
      <c r="D543" s="143">
        <f t="shared" si="18"/>
        <v>0</v>
      </c>
      <c r="E543" s="144">
        <v>5.1352340164529796E-2</v>
      </c>
      <c r="F543" s="145">
        <v>2.7134020856051613E-2</v>
      </c>
      <c r="G543" s="146">
        <v>0.11889471327345048</v>
      </c>
      <c r="H543" s="146">
        <v>0.13440392215718644</v>
      </c>
      <c r="I543" s="147">
        <v>25.571000000000002</v>
      </c>
      <c r="J543" s="148">
        <v>5.9089616000104561</v>
      </c>
      <c r="K543" s="149">
        <v>27</v>
      </c>
      <c r="L543" s="149">
        <v>49</v>
      </c>
      <c r="M543" s="150"/>
      <c r="N543" s="135"/>
    </row>
    <row r="544" spans="1:14" x14ac:dyDescent="0.25">
      <c r="A544" s="142">
        <v>44683</v>
      </c>
      <c r="B544" s="81" t="s">
        <v>25</v>
      </c>
      <c r="C544" s="129" t="str">
        <f t="shared" si="17"/>
        <v>02.05.2022_BOYohB224</v>
      </c>
      <c r="D544" s="143">
        <f t="shared" si="18"/>
        <v>0</v>
      </c>
      <c r="E544" s="144">
        <v>2.4725200819958784E-2</v>
      </c>
      <c r="F544" s="145">
        <v>1.2727279401817417E-2</v>
      </c>
      <c r="G544" s="146">
        <v>0.10288965571740909</v>
      </c>
      <c r="H544" s="146">
        <v>6.0128070438741306E-2</v>
      </c>
      <c r="I544" s="147">
        <v>3.2080000000000002</v>
      </c>
      <c r="J544" s="148">
        <v>0.82278973981308579</v>
      </c>
      <c r="K544" s="149">
        <v>34</v>
      </c>
      <c r="L544" s="149">
        <v>174</v>
      </c>
      <c r="M544" s="150"/>
      <c r="N544" s="135"/>
    </row>
    <row r="545" spans="1:14" x14ac:dyDescent="0.25">
      <c r="A545" s="142">
        <v>44683</v>
      </c>
      <c r="B545" s="81" t="s">
        <v>28</v>
      </c>
      <c r="C545" s="129" t="str">
        <f t="shared" si="17"/>
        <v>02.05.2022_BOYohBr</v>
      </c>
      <c r="D545" s="143">
        <f t="shared" si="18"/>
        <v>0</v>
      </c>
      <c r="E545" s="144">
        <v>2.092132377073436E-2</v>
      </c>
      <c r="F545" s="145">
        <v>1.6965472140990444E-2</v>
      </c>
      <c r="G545" s="146">
        <v>0.12804046044833128</v>
      </c>
      <c r="H545" s="146">
        <v>9.7265996297963869E-2</v>
      </c>
      <c r="I545" s="147">
        <v>7.306</v>
      </c>
      <c r="J545" s="148">
        <v>1.7792409897064396</v>
      </c>
      <c r="K545" s="149">
        <v>20.922000000000001</v>
      </c>
      <c r="L545" s="149">
        <v>76</v>
      </c>
      <c r="M545" s="150"/>
      <c r="N545" s="135"/>
    </row>
    <row r="546" spans="1:14" x14ac:dyDescent="0.25">
      <c r="A546" s="142">
        <v>44683</v>
      </c>
      <c r="B546" s="81" t="s">
        <v>30</v>
      </c>
      <c r="C546" s="129" t="str">
        <f t="shared" si="17"/>
        <v>02.05.2022_BOYohKi</v>
      </c>
      <c r="D546" s="143">
        <f t="shared" si="18"/>
        <v>0</v>
      </c>
      <c r="E546" s="144">
        <v>9.5096926230610723E-2</v>
      </c>
      <c r="F546" s="145">
        <v>1.1096916893045561E-2</v>
      </c>
      <c r="G546" s="146">
        <v>0.16005057556041413</v>
      </c>
      <c r="H546" s="146">
        <v>0.10257141427785281</v>
      </c>
      <c r="I546" s="147">
        <v>4.5119999999999996</v>
      </c>
      <c r="J546" s="148">
        <v>1.1746309784937981</v>
      </c>
      <c r="K546" s="149">
        <v>29</v>
      </c>
      <c r="L546" s="149">
        <v>134</v>
      </c>
      <c r="M546" s="150"/>
      <c r="N546" s="135"/>
    </row>
    <row r="547" spans="1:14" x14ac:dyDescent="0.25">
      <c r="A547" s="142">
        <v>44683</v>
      </c>
      <c r="B547" s="81" t="s">
        <v>32</v>
      </c>
      <c r="C547" s="129" t="str">
        <f t="shared" si="17"/>
        <v>02.05.2022_BOYohSp</v>
      </c>
      <c r="D547" s="143">
        <f t="shared" si="18"/>
        <v>0</v>
      </c>
      <c r="E547" s="144">
        <v>7.7979479509100794E-2</v>
      </c>
      <c r="F547" s="145">
        <v>1.6531324848281282E-2</v>
      </c>
      <c r="G547" s="146">
        <v>0.16919632273529495</v>
      </c>
      <c r="H547" s="146">
        <v>8.6655160338186002E-2</v>
      </c>
      <c r="I547" s="147">
        <v>6.0430000000000001</v>
      </c>
      <c r="J547" s="148">
        <v>1.5226938262056899</v>
      </c>
      <c r="K547" s="149">
        <v>26</v>
      </c>
      <c r="L547" s="149">
        <v>90</v>
      </c>
      <c r="M547" s="150"/>
      <c r="N547" s="135"/>
    </row>
    <row r="548" spans="1:14" x14ac:dyDescent="0.25">
      <c r="A548" s="142">
        <v>44683</v>
      </c>
      <c r="B548" s="81" t="s">
        <v>36</v>
      </c>
      <c r="C548" s="129" t="str">
        <f t="shared" si="17"/>
        <v>02.05.2022_BOYuhSp</v>
      </c>
      <c r="D548" s="143">
        <f t="shared" si="18"/>
        <v>0</v>
      </c>
      <c r="E548" s="144">
        <v>0</v>
      </c>
      <c r="F548" s="145">
        <v>8.3953511702313591E-3</v>
      </c>
      <c r="G548" s="146">
        <v>0.18291494349761617</v>
      </c>
      <c r="H548" s="146">
        <v>2.8295562559407673E-2</v>
      </c>
      <c r="I548" s="147">
        <v>1.25</v>
      </c>
      <c r="J548" s="148">
        <v>0.43298370849767565</v>
      </c>
      <c r="K548" s="149">
        <v>26</v>
      </c>
      <c r="L548" s="149">
        <v>190</v>
      </c>
      <c r="M548" s="150"/>
      <c r="N548" s="135"/>
    </row>
    <row r="549" spans="1:14" x14ac:dyDescent="0.25">
      <c r="A549" s="142">
        <v>44683</v>
      </c>
      <c r="B549" s="81" t="s">
        <v>38</v>
      </c>
      <c r="C549" s="129" t="str">
        <f t="shared" si="17"/>
        <v>02.05.2022_BRAob</v>
      </c>
      <c r="D549" s="143">
        <f t="shared" si="18"/>
        <v>0</v>
      </c>
      <c r="E549" s="144">
        <v>4.5646524590693148E-2</v>
      </c>
      <c r="F549" s="145">
        <v>1.0878191340440926E-2</v>
      </c>
      <c r="G549" s="146">
        <v>0.10060321892368888</v>
      </c>
      <c r="H549" s="146">
        <v>3.713792585922257E-2</v>
      </c>
      <c r="I549" s="147">
        <v>2.14</v>
      </c>
      <c r="J549" s="148">
        <v>0.57278583498989555</v>
      </c>
      <c r="K549" s="149">
        <v>42</v>
      </c>
      <c r="L549" s="149">
        <v>124</v>
      </c>
      <c r="M549" s="150"/>
      <c r="N549" s="135"/>
    </row>
    <row r="550" spans="1:14" x14ac:dyDescent="0.25">
      <c r="A550" s="142">
        <v>44683</v>
      </c>
      <c r="B550" s="81" t="s">
        <v>41</v>
      </c>
      <c r="C550" s="129" t="str">
        <f t="shared" si="17"/>
        <v>02.05.2022_BRAohBo</v>
      </c>
      <c r="D550" s="143">
        <f t="shared" si="18"/>
        <v>0</v>
      </c>
      <c r="E550" s="144">
        <v>1.7117446721509926E-2</v>
      </c>
      <c r="F550" s="145">
        <v>1.5068704485743746E-2</v>
      </c>
      <c r="G550" s="146">
        <v>0.2400758633406212</v>
      </c>
      <c r="H550" s="146">
        <v>0.10080294161788983</v>
      </c>
      <c r="I550" s="147">
        <v>4.1379999999999999</v>
      </c>
      <c r="J550" s="148">
        <v>1.1517560227009254</v>
      </c>
      <c r="K550" s="149">
        <v>30</v>
      </c>
      <c r="L550" s="149">
        <v>97</v>
      </c>
      <c r="M550" s="150"/>
      <c r="N550" s="135"/>
    </row>
    <row r="551" spans="1:14" x14ac:dyDescent="0.25">
      <c r="A551" s="142">
        <v>44683</v>
      </c>
      <c r="B551" s="81" t="s">
        <v>43</v>
      </c>
      <c r="C551" s="129" t="str">
        <f t="shared" si="17"/>
        <v>02.05.2022_HAAob</v>
      </c>
      <c r="D551" s="143">
        <f t="shared" si="18"/>
        <v>0</v>
      </c>
      <c r="E551" s="144">
        <v>3.0431016393795429E-2</v>
      </c>
      <c r="F551" s="145">
        <v>1.7960142256358478E-2</v>
      </c>
      <c r="G551" s="146">
        <v>6.6306667017885859E-2</v>
      </c>
      <c r="H551" s="146">
        <v>2.2990144579518736E-2</v>
      </c>
      <c r="I551" s="147">
        <v>1.595</v>
      </c>
      <c r="J551" s="148">
        <v>0.41874846338995264</v>
      </c>
      <c r="K551" s="149">
        <v>24</v>
      </c>
      <c r="L551" s="149">
        <v>141</v>
      </c>
      <c r="M551" s="150"/>
      <c r="N551" s="135"/>
    </row>
    <row r="552" spans="1:14" x14ac:dyDescent="0.25">
      <c r="A552" s="142">
        <v>44683</v>
      </c>
      <c r="B552" s="81" t="s">
        <v>45</v>
      </c>
      <c r="C552" s="129" t="str">
        <f t="shared" si="17"/>
        <v>02.05.2022_HAAun</v>
      </c>
      <c r="D552" s="143">
        <f t="shared" si="18"/>
        <v>0</v>
      </c>
      <c r="E552" s="144">
        <v>7.7979479509100794E-2</v>
      </c>
      <c r="F552" s="145">
        <v>1.4583733648559433E-2</v>
      </c>
      <c r="G552" s="146">
        <v>6.4020230224165656E-2</v>
      </c>
      <c r="H552" s="146">
        <v>1.7684726599629792E-2</v>
      </c>
      <c r="I552" s="147">
        <v>1.778</v>
      </c>
      <c r="J552" s="148">
        <v>0.45669204358001969</v>
      </c>
      <c r="K552" s="149">
        <v>28</v>
      </c>
      <c r="L552" s="149">
        <v>221</v>
      </c>
      <c r="M552" s="150"/>
      <c r="N552" s="135"/>
    </row>
    <row r="553" spans="1:14" x14ac:dyDescent="0.25">
      <c r="A553" s="142">
        <v>44683</v>
      </c>
      <c r="B553" s="81" t="s">
        <v>47</v>
      </c>
      <c r="C553" s="129" t="str">
        <f t="shared" si="17"/>
        <v>02.05.2022_KIRob</v>
      </c>
      <c r="D553" s="143">
        <f t="shared" si="18"/>
        <v>0</v>
      </c>
      <c r="E553" s="144">
        <v>1.9019385246122143E-2</v>
      </c>
      <c r="F553" s="145">
        <v>7.2297354016317454E-3</v>
      </c>
      <c r="G553" s="146">
        <v>0.555604140874009</v>
      </c>
      <c r="H553" s="146">
        <v>0.21398519185552053</v>
      </c>
      <c r="I553" s="147">
        <v>6.468</v>
      </c>
      <c r="J553" s="148">
        <v>1.9574960110076725</v>
      </c>
      <c r="K553" s="149">
        <v>80</v>
      </c>
      <c r="L553" s="149">
        <v>165</v>
      </c>
      <c r="M553" s="150"/>
      <c r="N553" s="135"/>
    </row>
    <row r="554" spans="1:14" x14ac:dyDescent="0.25">
      <c r="A554" s="142">
        <v>44683</v>
      </c>
      <c r="B554" s="81" t="s">
        <v>49</v>
      </c>
      <c r="C554" s="129" t="str">
        <f t="shared" si="17"/>
        <v>02.05.2022_KIRun</v>
      </c>
      <c r="D554" s="143">
        <f t="shared" si="18"/>
        <v>0</v>
      </c>
      <c r="E554" s="144">
        <v>3.613683196763208E-2</v>
      </c>
      <c r="F554" s="145">
        <v>7.9018010780064363E-3</v>
      </c>
      <c r="G554" s="146">
        <v>0.1371862076232121</v>
      </c>
      <c r="H554" s="146">
        <v>7.7812797038371101E-2</v>
      </c>
      <c r="I554" s="147">
        <v>4.4470000000000001</v>
      </c>
      <c r="J554" s="148">
        <v>1.13465771441568</v>
      </c>
      <c r="K554" s="149">
        <v>61</v>
      </c>
      <c r="L554" s="149">
        <v>149</v>
      </c>
      <c r="M554" s="150"/>
      <c r="N554" s="135"/>
    </row>
    <row r="555" spans="1:14" x14ac:dyDescent="0.25">
      <c r="A555" s="142">
        <v>44683</v>
      </c>
      <c r="B555" s="81" t="s">
        <v>50</v>
      </c>
      <c r="C555" s="129" t="str">
        <f t="shared" si="17"/>
        <v>02.05.2022_LIEohBo</v>
      </c>
      <c r="D555" s="143">
        <f t="shared" si="18"/>
        <v>0</v>
      </c>
      <c r="E555" s="144">
        <v>0</v>
      </c>
      <c r="F555" s="145">
        <v>8.8240568894109236E-3</v>
      </c>
      <c r="G555" s="146">
        <v>3.2010115112082835E-2</v>
      </c>
      <c r="H555" s="146">
        <v>1.5916253939666818E-2</v>
      </c>
      <c r="I555" s="147">
        <v>7.9509999999999996</v>
      </c>
      <c r="J555" s="148">
        <v>1.8255936077953125</v>
      </c>
      <c r="K555" s="149">
        <v>27.457999999999998</v>
      </c>
      <c r="L555" s="149">
        <v>96</v>
      </c>
      <c r="M555" s="150"/>
      <c r="N555" s="135"/>
    </row>
    <row r="556" spans="1:14" x14ac:dyDescent="0.25">
      <c r="A556" s="142">
        <v>44683</v>
      </c>
      <c r="B556" s="81" t="s">
        <v>53</v>
      </c>
      <c r="C556" s="129" t="str">
        <f t="shared" si="17"/>
        <v>02.05.2022_NATohBo</v>
      </c>
      <c r="D556" s="143">
        <f t="shared" si="18"/>
        <v>0</v>
      </c>
      <c r="E556" s="144">
        <v>0.14835120491975273</v>
      </c>
      <c r="F556" s="145">
        <v>1.8773807957287284E-2</v>
      </c>
      <c r="G556" s="146">
        <v>0.2789452888338646</v>
      </c>
      <c r="H556" s="146">
        <v>3.3600980539296617E-2</v>
      </c>
      <c r="I556" s="147">
        <v>2.246</v>
      </c>
      <c r="J556" s="148">
        <v>0.73413206585179636</v>
      </c>
      <c r="K556" s="149">
        <v>86</v>
      </c>
      <c r="L556" s="149">
        <v>417</v>
      </c>
      <c r="M556" s="150"/>
      <c r="N556" s="135"/>
    </row>
    <row r="557" spans="1:14" x14ac:dyDescent="0.25">
      <c r="A557" s="142">
        <v>44683</v>
      </c>
      <c r="B557" s="81" t="s">
        <v>55</v>
      </c>
      <c r="C557" s="129" t="str">
        <f t="shared" si="17"/>
        <v>02.05.2022_QUAohBo</v>
      </c>
      <c r="D557" s="143">
        <f t="shared" si="18"/>
        <v>0</v>
      </c>
      <c r="E557" s="144">
        <v>1.9019385246122143E-2</v>
      </c>
      <c r="F557" s="145">
        <v>9.3210236378266642E-3</v>
      </c>
      <c r="G557" s="146">
        <v>0.10517609251112929</v>
      </c>
      <c r="H557" s="146">
        <v>2.1221671919555755E-2</v>
      </c>
      <c r="I557" s="147">
        <v>1.7749999999999999</v>
      </c>
      <c r="J557" s="148">
        <v>0.4890483720898755</v>
      </c>
      <c r="K557" s="149">
        <v>26</v>
      </c>
      <c r="L557" s="149">
        <v>107</v>
      </c>
      <c r="M557" s="151">
        <v>11.53</v>
      </c>
      <c r="N557" s="135"/>
    </row>
    <row r="558" spans="1:14" x14ac:dyDescent="0.25">
      <c r="A558" s="142">
        <v>44683</v>
      </c>
      <c r="B558" s="81" t="s">
        <v>57</v>
      </c>
      <c r="C558" s="129" t="str">
        <f t="shared" si="17"/>
        <v>02.05.2022_SCHohVo</v>
      </c>
      <c r="D558" s="143">
        <f t="shared" si="18"/>
        <v>0</v>
      </c>
      <c r="E558" s="144">
        <v>9.8900803279835151E-2</v>
      </c>
      <c r="F558" s="145">
        <v>1.7303812005743331E-2</v>
      </c>
      <c r="G558" s="146">
        <v>8.4598161367647459E-2</v>
      </c>
      <c r="H558" s="146">
        <v>3.713792585922257E-2</v>
      </c>
      <c r="I558" s="147">
        <v>2.65</v>
      </c>
      <c r="J558" s="148">
        <v>0.67555176784820481</v>
      </c>
      <c r="K558" s="149">
        <v>26</v>
      </c>
      <c r="L558" s="149">
        <v>110</v>
      </c>
      <c r="M558" s="151">
        <v>11.98</v>
      </c>
      <c r="N558" s="135"/>
    </row>
    <row r="559" spans="1:14" x14ac:dyDescent="0.25">
      <c r="A559" s="142">
        <v>44683</v>
      </c>
      <c r="B559" s="81" t="s">
        <v>60</v>
      </c>
      <c r="C559" s="129" t="str">
        <f t="shared" si="17"/>
        <v>02.05.2022_VORohBo</v>
      </c>
      <c r="D559" s="143">
        <f t="shared" si="18"/>
        <v>0</v>
      </c>
      <c r="E559" s="144">
        <v>8.5587233607549648E-2</v>
      </c>
      <c r="F559" s="145">
        <v>8.1403495056117416E-3</v>
      </c>
      <c r="G559" s="146">
        <v>0.32238758791454847</v>
      </c>
      <c r="H559" s="146">
        <v>3.0064035219370653E-2</v>
      </c>
      <c r="I559" s="147">
        <v>1.419</v>
      </c>
      <c r="J559" s="148">
        <v>0.57999326366230508</v>
      </c>
      <c r="K559" s="149">
        <v>29</v>
      </c>
      <c r="L559" s="149">
        <v>201</v>
      </c>
      <c r="M559" s="151">
        <v>10.56</v>
      </c>
      <c r="N559" s="135"/>
    </row>
    <row r="560" spans="1:14" x14ac:dyDescent="0.25">
      <c r="A560" s="142">
        <v>44683</v>
      </c>
      <c r="B560" s="81" t="s">
        <v>62</v>
      </c>
      <c r="C560" s="129" t="str">
        <f t="shared" si="17"/>
        <v>02.05.2022_VORuhSc</v>
      </c>
      <c r="D560" s="143">
        <f t="shared" si="18"/>
        <v>0</v>
      </c>
      <c r="E560" s="144">
        <v>6.4665909836815291E-2</v>
      </c>
      <c r="F560" s="145">
        <v>1.6971292994702691E-2</v>
      </c>
      <c r="G560" s="146">
        <v>0.25379448410294242</v>
      </c>
      <c r="H560" s="146">
        <v>0.10433988693781579</v>
      </c>
      <c r="I560" s="147">
        <v>5.87</v>
      </c>
      <c r="J560" s="148">
        <v>1.5546920575393117</v>
      </c>
      <c r="K560" s="149">
        <v>28</v>
      </c>
      <c r="L560" s="149">
        <v>102</v>
      </c>
      <c r="M560" s="151">
        <v>8.375</v>
      </c>
      <c r="N560" s="135"/>
    </row>
    <row r="561" spans="1:14" x14ac:dyDescent="0.25">
      <c r="A561" s="142">
        <v>44683</v>
      </c>
      <c r="B561" s="81" t="s">
        <v>64</v>
      </c>
      <c r="C561" s="129" t="str">
        <f t="shared" si="17"/>
        <v>02.05.2022_WITob</v>
      </c>
      <c r="D561" s="143">
        <f t="shared" si="18"/>
        <v>0</v>
      </c>
      <c r="E561" s="144">
        <v>1.9019385246122143E-2</v>
      </c>
      <c r="F561" s="145">
        <v>7.9434153235012003E-3</v>
      </c>
      <c r="G561" s="146">
        <v>3.8869425493243445E-2</v>
      </c>
      <c r="H561" s="146">
        <v>5.3054179798889371E-3</v>
      </c>
      <c r="I561" s="147">
        <v>0.36099999999999999</v>
      </c>
      <c r="J561" s="148">
        <v>0.11333602470522577</v>
      </c>
      <c r="K561" s="149">
        <v>61</v>
      </c>
      <c r="L561" s="149">
        <v>248</v>
      </c>
      <c r="M561" s="150"/>
      <c r="N561" s="135"/>
    </row>
    <row r="562" spans="1:14" x14ac:dyDescent="0.25">
      <c r="A562" s="142">
        <v>44697</v>
      </c>
      <c r="B562" s="81" t="s">
        <v>22</v>
      </c>
      <c r="C562" s="129" t="str">
        <f t="shared" si="17"/>
        <v>16.05.2022_BOYkl</v>
      </c>
      <c r="D562" s="143">
        <f t="shared" si="18"/>
        <v>0</v>
      </c>
      <c r="E562" s="144">
        <v>0</v>
      </c>
      <c r="F562" s="145">
        <v>7.0814655950858021E-2</v>
      </c>
      <c r="G562" s="146">
        <v>0.10919668150546336</v>
      </c>
      <c r="H562" s="146">
        <v>0.31728983688833123</v>
      </c>
      <c r="I562" s="147">
        <v>39.509</v>
      </c>
      <c r="J562" s="148">
        <v>9.1052868520628305</v>
      </c>
      <c r="K562" s="149">
        <v>31</v>
      </c>
      <c r="L562" s="149">
        <v>52</v>
      </c>
      <c r="M562" s="150"/>
      <c r="N562" s="135"/>
    </row>
    <row r="563" spans="1:14" x14ac:dyDescent="0.25">
      <c r="A563" s="142">
        <v>44697</v>
      </c>
      <c r="B563" s="81" t="s">
        <v>25</v>
      </c>
      <c r="C563" s="129" t="str">
        <f t="shared" si="17"/>
        <v>16.05.2022_BOYohB224</v>
      </c>
      <c r="D563" s="143">
        <f t="shared" si="18"/>
        <v>0</v>
      </c>
      <c r="E563" s="144">
        <v>0</v>
      </c>
      <c r="F563" s="145">
        <v>1.9433364245878146E-2</v>
      </c>
      <c r="G563" s="146">
        <v>2.0315661675435047E-2</v>
      </c>
      <c r="H563" s="146">
        <v>0.10042659974905897</v>
      </c>
      <c r="I563" s="147">
        <v>4.4409999999999998</v>
      </c>
      <c r="J563" s="148">
        <v>1.0494384564279595</v>
      </c>
      <c r="K563" s="149">
        <v>39</v>
      </c>
      <c r="L563" s="149">
        <v>206</v>
      </c>
      <c r="M563" s="150"/>
      <c r="N563" s="135"/>
    </row>
    <row r="564" spans="1:14" x14ac:dyDescent="0.25">
      <c r="A564" s="142">
        <v>44697</v>
      </c>
      <c r="B564" s="81" t="s">
        <v>28</v>
      </c>
      <c r="C564" s="129" t="str">
        <f t="shared" si="17"/>
        <v>16.05.2022_BOYohBr</v>
      </c>
      <c r="D564" s="143">
        <f t="shared" si="18"/>
        <v>0</v>
      </c>
      <c r="E564" s="144">
        <v>6.0119388431907183E-3</v>
      </c>
      <c r="F564" s="145">
        <v>2.0937843411557019E-2</v>
      </c>
      <c r="G564" s="146">
        <v>1.2697288547146914E-2</v>
      </c>
      <c r="H564" s="146">
        <v>8.1505646173149315E-2</v>
      </c>
      <c r="I564" s="147">
        <v>7.1379999999999999</v>
      </c>
      <c r="J564" s="148">
        <v>1.6469337715613892</v>
      </c>
      <c r="K564" s="149">
        <v>21</v>
      </c>
      <c r="L564" s="149">
        <v>81</v>
      </c>
      <c r="M564" s="150"/>
      <c r="N564" s="135"/>
    </row>
    <row r="565" spans="1:14" x14ac:dyDescent="0.25">
      <c r="A565" s="142">
        <v>44697</v>
      </c>
      <c r="B565" s="81" t="s">
        <v>30</v>
      </c>
      <c r="C565" s="129" t="str">
        <f t="shared" si="17"/>
        <v>16.05.2022_BOYohKi</v>
      </c>
      <c r="D565" s="143">
        <f t="shared" si="18"/>
        <v>0</v>
      </c>
      <c r="E565" s="144">
        <v>2.0039796143969013E-3</v>
      </c>
      <c r="F565" s="145">
        <v>2.9450524123082477E-2</v>
      </c>
      <c r="G565" s="146">
        <v>5.0789154188587661E-3</v>
      </c>
      <c r="H565" s="146">
        <v>0.1382685069008783</v>
      </c>
      <c r="I565" s="147">
        <v>4.782</v>
      </c>
      <c r="J565" s="148">
        <v>1.1261499139595619</v>
      </c>
      <c r="K565" s="149">
        <v>32</v>
      </c>
      <c r="L565" s="149">
        <v>139</v>
      </c>
      <c r="M565" s="150"/>
      <c r="N565" s="135"/>
    </row>
    <row r="566" spans="1:14" x14ac:dyDescent="0.25">
      <c r="A566" s="142">
        <v>44697</v>
      </c>
      <c r="B566" s="81" t="s">
        <v>32</v>
      </c>
      <c r="C566" s="129" t="str">
        <f t="shared" si="17"/>
        <v>16.05.2022_BOYohSp</v>
      </c>
      <c r="D566" s="143">
        <f t="shared" si="18"/>
        <v>0</v>
      </c>
      <c r="E566" s="144">
        <v>6.0119388431907183E-3</v>
      </c>
      <c r="F566" s="145">
        <v>5.4192323216340918E-2</v>
      </c>
      <c r="G566" s="146">
        <v>1.523674625657628E-2</v>
      </c>
      <c r="H566" s="146">
        <v>0.18338770388958595</v>
      </c>
      <c r="I566" s="147">
        <v>5.8140000000000001</v>
      </c>
      <c r="J566" s="148">
        <v>1.3808717475499535</v>
      </c>
      <c r="K566" s="149">
        <v>25</v>
      </c>
      <c r="L566" s="149">
        <v>87</v>
      </c>
      <c r="M566" s="150"/>
      <c r="N566" s="135"/>
    </row>
    <row r="567" spans="1:14" x14ac:dyDescent="0.25">
      <c r="A567" s="142">
        <v>44697</v>
      </c>
      <c r="B567" s="81" t="s">
        <v>36</v>
      </c>
      <c r="C567" s="129" t="str">
        <f t="shared" si="17"/>
        <v>16.05.2022_BOYuhSp</v>
      </c>
      <c r="D567" s="143">
        <f t="shared" si="18"/>
        <v>0</v>
      </c>
      <c r="E567" s="144">
        <v>0</v>
      </c>
      <c r="F567" s="145">
        <v>3.2914458757349031E-2</v>
      </c>
      <c r="G567" s="146">
        <v>1.2697288547146914E-2</v>
      </c>
      <c r="H567" s="146">
        <v>0.18629861982434129</v>
      </c>
      <c r="I567" s="147">
        <v>5.7030000000000003</v>
      </c>
      <c r="J567" s="148">
        <v>1.3547145423894948</v>
      </c>
      <c r="K567" s="149">
        <v>28</v>
      </c>
      <c r="L567" s="149">
        <v>97</v>
      </c>
      <c r="M567" s="150"/>
      <c r="N567" s="135"/>
    </row>
    <row r="568" spans="1:14" x14ac:dyDescent="0.25">
      <c r="A568" s="142">
        <v>44697</v>
      </c>
      <c r="B568" s="81" t="s">
        <v>38</v>
      </c>
      <c r="C568" s="129" t="str">
        <f t="shared" si="17"/>
        <v>16.05.2022_BRAob</v>
      </c>
      <c r="D568" s="143">
        <f t="shared" si="18"/>
        <v>0</v>
      </c>
      <c r="E568" s="144">
        <v>2.0039796143969013E-3</v>
      </c>
      <c r="F568" s="145">
        <v>2.1967195004239583E-2</v>
      </c>
      <c r="G568" s="146">
        <v>7.6183731282881487E-3</v>
      </c>
      <c r="H568" s="146">
        <v>6.6951066499372658E-2</v>
      </c>
      <c r="I568" s="147">
        <v>4.1559999999999997</v>
      </c>
      <c r="J568" s="148">
        <v>0.96501456274611841</v>
      </c>
      <c r="K568" s="149">
        <v>31</v>
      </c>
      <c r="L568" s="149">
        <v>117</v>
      </c>
      <c r="M568" s="150"/>
      <c r="N568" s="135"/>
    </row>
    <row r="569" spans="1:14" x14ac:dyDescent="0.25">
      <c r="A569" s="142">
        <v>44697</v>
      </c>
      <c r="B569" s="81" t="s">
        <v>41</v>
      </c>
      <c r="C569" s="129" t="str">
        <f t="shared" si="17"/>
        <v>16.05.2022_BRAohBo</v>
      </c>
      <c r="D569" s="143">
        <f t="shared" si="18"/>
        <v>0</v>
      </c>
      <c r="E569" s="144">
        <v>6.0119388431907183E-3</v>
      </c>
      <c r="F569" s="145">
        <v>4.3169903870045843E-2</v>
      </c>
      <c r="G569" s="146">
        <v>2.7934034803723196E-2</v>
      </c>
      <c r="H569" s="146">
        <v>0.14845671267252197</v>
      </c>
      <c r="I569" s="147">
        <v>3.331</v>
      </c>
      <c r="J569" s="148">
        <v>0.81926111485789233</v>
      </c>
      <c r="K569" s="149">
        <v>35</v>
      </c>
      <c r="L569" s="149">
        <v>97</v>
      </c>
      <c r="M569" s="150"/>
      <c r="N569" s="135"/>
    </row>
    <row r="570" spans="1:14" x14ac:dyDescent="0.25">
      <c r="A570" s="142">
        <v>44697</v>
      </c>
      <c r="B570" s="81" t="s">
        <v>43</v>
      </c>
      <c r="C570" s="129" t="str">
        <f t="shared" si="17"/>
        <v>16.05.2022_HAAob</v>
      </c>
      <c r="D570" s="143">
        <f t="shared" si="18"/>
        <v>0</v>
      </c>
      <c r="E570" s="144">
        <v>0</v>
      </c>
      <c r="F570" s="145">
        <v>3.7214574140131906E-2</v>
      </c>
      <c r="G570" s="146">
        <v>1.0157830837717532E-2</v>
      </c>
      <c r="H570" s="146">
        <v>7.2772898368883322E-3</v>
      </c>
      <c r="I570" s="147">
        <v>2.6429999999999998</v>
      </c>
      <c r="J570" s="148">
        <v>0.60707743495801991</v>
      </c>
      <c r="K570" s="149">
        <v>25</v>
      </c>
      <c r="L570" s="149">
        <v>136</v>
      </c>
      <c r="M570" s="150"/>
      <c r="N570" s="135"/>
    </row>
    <row r="571" spans="1:14" x14ac:dyDescent="0.25">
      <c r="A571" s="142">
        <v>44697</v>
      </c>
      <c r="B571" s="81" t="s">
        <v>45</v>
      </c>
      <c r="C571" s="129" t="str">
        <f t="shared" si="17"/>
        <v>16.05.2022_HAAun</v>
      </c>
      <c r="D571" s="143">
        <f t="shared" si="18"/>
        <v>0</v>
      </c>
      <c r="E571" s="144">
        <v>0</v>
      </c>
      <c r="F571" s="145">
        <v>3.9875840071194858E-2</v>
      </c>
      <c r="G571" s="146">
        <v>6.8565358154593289E-2</v>
      </c>
      <c r="H571" s="146">
        <v>0.20958594730238397</v>
      </c>
      <c r="I571" s="147">
        <v>3.1280000000000001</v>
      </c>
      <c r="J571" s="148">
        <v>0.82357011660967094</v>
      </c>
      <c r="K571" s="149">
        <v>31</v>
      </c>
      <c r="L571" s="149">
        <v>228</v>
      </c>
      <c r="M571" s="150"/>
      <c r="N571" s="135"/>
    </row>
    <row r="572" spans="1:14" x14ac:dyDescent="0.25">
      <c r="A572" s="142">
        <v>44697</v>
      </c>
      <c r="B572" s="81" t="s">
        <v>47</v>
      </c>
      <c r="C572" s="129" t="str">
        <f t="shared" si="17"/>
        <v>16.05.2022_KIRob</v>
      </c>
      <c r="D572" s="143">
        <f t="shared" si="18"/>
        <v>0</v>
      </c>
      <c r="E572" s="144">
        <v>0</v>
      </c>
      <c r="F572" s="145">
        <v>1.201492280833808E-2</v>
      </c>
      <c r="G572" s="146">
        <v>0.39107648725212463</v>
      </c>
      <c r="H572" s="146">
        <v>0.2940025094102886</v>
      </c>
      <c r="I572" s="147">
        <v>8.3559999999999999</v>
      </c>
      <c r="J572" s="148">
        <v>2.2805457655763646</v>
      </c>
      <c r="K572" s="149">
        <v>81</v>
      </c>
      <c r="L572" s="149">
        <v>165</v>
      </c>
      <c r="M572" s="150"/>
      <c r="N572" s="135"/>
    </row>
    <row r="573" spans="1:14" x14ac:dyDescent="0.25">
      <c r="A573" s="142">
        <v>44697</v>
      </c>
      <c r="B573" s="81" t="s">
        <v>49</v>
      </c>
      <c r="C573" s="129" t="str">
        <f t="shared" si="17"/>
        <v>16.05.2022_KIRun</v>
      </c>
      <c r="D573" s="143">
        <f t="shared" si="18"/>
        <v>0</v>
      </c>
      <c r="E573" s="144">
        <v>0</v>
      </c>
      <c r="F573" s="145">
        <v>1.5500619236643033E-2</v>
      </c>
      <c r="G573" s="146">
        <v>0.01</v>
      </c>
      <c r="H573" s="146">
        <v>9.6060225846925973E-2</v>
      </c>
      <c r="I573" s="147">
        <v>7.0640000000000001</v>
      </c>
      <c r="J573" s="148">
        <v>1.6325561157590964</v>
      </c>
      <c r="K573" s="149">
        <v>62</v>
      </c>
      <c r="L573" s="149">
        <v>150</v>
      </c>
      <c r="M573" s="150"/>
      <c r="N573" s="135"/>
    </row>
    <row r="574" spans="1:14" x14ac:dyDescent="0.25">
      <c r="A574" s="142">
        <v>44697</v>
      </c>
      <c r="B574" s="81" t="s">
        <v>50</v>
      </c>
      <c r="C574" s="129" t="str">
        <f t="shared" si="17"/>
        <v>16.05.2022_LIEohBo</v>
      </c>
      <c r="D574" s="143">
        <f t="shared" si="18"/>
        <v>0</v>
      </c>
      <c r="E574" s="144">
        <v>0</v>
      </c>
      <c r="F574" s="145">
        <v>2.2226548522436509E-2</v>
      </c>
      <c r="G574" s="146">
        <v>1.523674625657628E-2</v>
      </c>
      <c r="H574" s="146">
        <v>2.9109159347553318E-2</v>
      </c>
      <c r="I574" s="147">
        <v>4.4109999999999996</v>
      </c>
      <c r="J574" s="148">
        <v>1.0170060346641314</v>
      </c>
      <c r="K574" s="149">
        <v>21</v>
      </c>
      <c r="L574" s="149">
        <v>98</v>
      </c>
      <c r="M574" s="150"/>
      <c r="N574" s="135"/>
    </row>
    <row r="575" spans="1:14" x14ac:dyDescent="0.25">
      <c r="A575" s="142">
        <v>44697</v>
      </c>
      <c r="B575" s="81" t="s">
        <v>53</v>
      </c>
      <c r="C575" s="129" t="str">
        <f t="shared" si="17"/>
        <v>16.05.2022_NATohBo</v>
      </c>
      <c r="D575" s="143">
        <f t="shared" si="18"/>
        <v>0</v>
      </c>
      <c r="E575" s="144">
        <v>0</v>
      </c>
      <c r="F575" s="145">
        <v>1.734336759411224E-2</v>
      </c>
      <c r="G575" s="146">
        <v>0.18538041278834477</v>
      </c>
      <c r="H575" s="146">
        <v>7.7139272271016301E-2</v>
      </c>
      <c r="I575" s="147">
        <v>2.6419999999999999</v>
      </c>
      <c r="J575" s="148">
        <v>0.7641796281689327</v>
      </c>
      <c r="K575" s="149">
        <v>111</v>
      </c>
      <c r="L575" s="149">
        <v>419</v>
      </c>
      <c r="M575" s="150"/>
      <c r="N575" s="135"/>
    </row>
    <row r="576" spans="1:14" x14ac:dyDescent="0.25">
      <c r="A576" s="142">
        <v>44697</v>
      </c>
      <c r="B576" s="81" t="s">
        <v>55</v>
      </c>
      <c r="C576" s="129" t="str">
        <f t="shared" si="17"/>
        <v>16.05.2022_QUAohBo</v>
      </c>
      <c r="D576" s="143">
        <f t="shared" si="18"/>
        <v>0</v>
      </c>
      <c r="E576" s="144">
        <v>0</v>
      </c>
      <c r="F576" s="145">
        <v>8.3038568892700323E-2</v>
      </c>
      <c r="G576" s="146">
        <v>3.0473492513152577E-2</v>
      </c>
      <c r="H576" s="146">
        <v>6.6951066499372658E-2</v>
      </c>
      <c r="I576" s="147">
        <v>3.3769999999999998</v>
      </c>
      <c r="J576" s="148">
        <v>0.80680860439727176</v>
      </c>
      <c r="K576" s="149">
        <v>32</v>
      </c>
      <c r="L576" s="149">
        <v>108</v>
      </c>
      <c r="M576" s="150"/>
      <c r="N576" s="135"/>
    </row>
    <row r="577" spans="1:14" x14ac:dyDescent="0.25">
      <c r="A577" s="142">
        <v>44697</v>
      </c>
      <c r="B577" s="81" t="s">
        <v>57</v>
      </c>
      <c r="C577" s="129" t="str">
        <f t="shared" si="17"/>
        <v>16.05.2022_SCHohVo</v>
      </c>
      <c r="D577" s="143">
        <f t="shared" si="18"/>
        <v>0</v>
      </c>
      <c r="E577" s="144">
        <v>1.0019898071984529E-2</v>
      </c>
      <c r="F577" s="145">
        <v>3.4157490723694825E-2</v>
      </c>
      <c r="G577" s="146">
        <v>1.0157830837717532E-2</v>
      </c>
      <c r="H577" s="146">
        <v>0.39879548306148055</v>
      </c>
      <c r="I577" s="147">
        <v>4.83</v>
      </c>
      <c r="J577" s="148">
        <v>1.2202528388852472</v>
      </c>
      <c r="K577" s="149">
        <v>29</v>
      </c>
      <c r="L577" s="149">
        <v>98</v>
      </c>
      <c r="M577" s="150"/>
      <c r="N577" s="135"/>
    </row>
    <row r="578" spans="1:14" x14ac:dyDescent="0.25">
      <c r="A578" s="142">
        <v>44697</v>
      </c>
      <c r="B578" s="81" t="s">
        <v>60</v>
      </c>
      <c r="C578" s="129" t="str">
        <f t="shared" si="17"/>
        <v>16.05.2022_VORohBo</v>
      </c>
      <c r="D578" s="143">
        <f t="shared" si="18"/>
        <v>0</v>
      </c>
      <c r="E578" s="144">
        <v>0</v>
      </c>
      <c r="F578" s="145">
        <v>1.2949112156224732E-2</v>
      </c>
      <c r="G578" s="146">
        <v>0.51043099959530558</v>
      </c>
      <c r="H578" s="146">
        <v>7.8594730238393973E-2</v>
      </c>
      <c r="I578" s="147">
        <v>3.8159999999999998</v>
      </c>
      <c r="J578" s="148">
        <v>1.2821926524968379</v>
      </c>
      <c r="K578" s="149">
        <v>33</v>
      </c>
      <c r="L578" s="149">
        <v>224</v>
      </c>
      <c r="M578" s="150"/>
      <c r="N578" s="135"/>
    </row>
    <row r="579" spans="1:14" x14ac:dyDescent="0.25">
      <c r="A579" s="142">
        <v>44697</v>
      </c>
      <c r="B579" s="81" t="s">
        <v>62</v>
      </c>
      <c r="C579" s="129" t="str">
        <f t="shared" si="17"/>
        <v>16.05.2022_VORuhSc</v>
      </c>
      <c r="D579" s="143">
        <f t="shared" si="18"/>
        <v>0</v>
      </c>
      <c r="E579" s="144">
        <v>6.0119388431907183E-3</v>
      </c>
      <c r="F579" s="145">
        <v>1.2249904826339459E-2</v>
      </c>
      <c r="G579" s="146">
        <v>0.40123431808984217</v>
      </c>
      <c r="H579" s="146">
        <v>5.0941028858218322E-2</v>
      </c>
      <c r="I579" s="147">
        <v>4.4240000000000004</v>
      </c>
      <c r="J579" s="148">
        <v>1.3263123118894662</v>
      </c>
      <c r="K579" s="149">
        <v>28</v>
      </c>
      <c r="L579" s="149">
        <v>220</v>
      </c>
      <c r="M579" s="150"/>
      <c r="N579" s="135"/>
    </row>
    <row r="580" spans="1:14" x14ac:dyDescent="0.25">
      <c r="A580" s="142">
        <v>44697</v>
      </c>
      <c r="B580" s="81" t="s">
        <v>64</v>
      </c>
      <c r="C580" s="129" t="str">
        <f t="shared" si="17"/>
        <v>16.05.2022_WITob</v>
      </c>
      <c r="D580" s="143">
        <f t="shared" si="18"/>
        <v>0</v>
      </c>
      <c r="E580" s="144">
        <v>0</v>
      </c>
      <c r="F580" s="145">
        <v>1.7865591488929456E-2</v>
      </c>
      <c r="G580" s="146">
        <v>3.0473492513152577E-2</v>
      </c>
      <c r="H580" s="146">
        <v>1.4554579673776664E-2</v>
      </c>
      <c r="I580" s="147">
        <v>2.5230000000000001</v>
      </c>
      <c r="J580" s="148">
        <v>0.59796351398321923</v>
      </c>
      <c r="K580" s="149">
        <v>65</v>
      </c>
      <c r="L580" s="149">
        <v>253</v>
      </c>
      <c r="M580" s="150"/>
      <c r="N580" s="135"/>
    </row>
    <row r="581" spans="1:14" x14ac:dyDescent="0.25">
      <c r="A581" s="142">
        <v>44711</v>
      </c>
      <c r="B581" s="81" t="s">
        <v>22</v>
      </c>
      <c r="C581" s="129" t="str">
        <f t="shared" ref="C581:C644" si="19">CONCATENATE(TEXT(A581,"TT.MM.JJJJ"),"_",B581)</f>
        <v>30.05.2022_BOYkl</v>
      </c>
      <c r="D581" s="143">
        <f t="shared" ref="D581:D644" si="20">COUNTBLANK(E581:L581)</f>
        <v>0</v>
      </c>
      <c r="E581" s="144">
        <v>7.0456304077660806E-2</v>
      </c>
      <c r="F581" s="145">
        <v>7.5945734725999497E-2</v>
      </c>
      <c r="G581" s="146">
        <v>0.32862199475950415</v>
      </c>
      <c r="H581" s="146">
        <v>0.2377280119555184</v>
      </c>
      <c r="I581" s="147">
        <v>33.792999999999999</v>
      </c>
      <c r="J581" s="148">
        <v>7.9603728959506643</v>
      </c>
      <c r="K581" s="149">
        <v>26</v>
      </c>
      <c r="L581" s="149">
        <v>47</v>
      </c>
      <c r="M581" s="151">
        <v>11.13</v>
      </c>
      <c r="N581" s="135"/>
    </row>
    <row r="582" spans="1:14" x14ac:dyDescent="0.25">
      <c r="A582" s="142">
        <v>44711</v>
      </c>
      <c r="B582" s="81" t="s">
        <v>25</v>
      </c>
      <c r="C582" s="129" t="str">
        <f t="shared" si="19"/>
        <v>30.05.2022_BOYohB224</v>
      </c>
      <c r="D582" s="143">
        <f t="shared" si="20"/>
        <v>0</v>
      </c>
      <c r="E582" s="144">
        <v>1.865019813820433E-2</v>
      </c>
      <c r="F582" s="145">
        <v>2.2506523653037167E-2</v>
      </c>
      <c r="G582" s="146">
        <v>0.20303397128453443</v>
      </c>
      <c r="H582" s="146">
        <v>8.7011559931431587E-2</v>
      </c>
      <c r="I582" s="147">
        <v>3.0529999999999999</v>
      </c>
      <c r="J582" s="148">
        <v>0.87372562778385243</v>
      </c>
      <c r="K582" s="149">
        <v>36</v>
      </c>
      <c r="L582" s="149">
        <v>186</v>
      </c>
      <c r="M582" s="151">
        <v>12.21</v>
      </c>
      <c r="N582" s="135"/>
    </row>
    <row r="583" spans="1:14" x14ac:dyDescent="0.25">
      <c r="A583" s="142">
        <v>44711</v>
      </c>
      <c r="B583" s="81" t="s">
        <v>28</v>
      </c>
      <c r="C583" s="129" t="str">
        <f t="shared" si="19"/>
        <v>30.05.2022_BOYohBr</v>
      </c>
      <c r="D583" s="143">
        <f t="shared" si="20"/>
        <v>0</v>
      </c>
      <c r="E583" s="144">
        <v>4.9733861701878213E-2</v>
      </c>
      <c r="F583" s="145">
        <v>3.7752781417012715E-2</v>
      </c>
      <c r="G583" s="146">
        <v>0.14442622699621521</v>
      </c>
      <c r="H583" s="146">
        <v>7.9242670651839472E-2</v>
      </c>
      <c r="I583" s="147">
        <v>6.0259999999999998</v>
      </c>
      <c r="J583" s="148">
        <v>1.4973635720802436</v>
      </c>
      <c r="K583" s="149">
        <v>21.948</v>
      </c>
      <c r="L583" s="149">
        <v>67</v>
      </c>
      <c r="M583" s="151">
        <v>11.36</v>
      </c>
      <c r="N583" s="135"/>
    </row>
    <row r="584" spans="1:14" x14ac:dyDescent="0.25">
      <c r="A584" s="142">
        <v>44711</v>
      </c>
      <c r="B584" s="81" t="s">
        <v>30</v>
      </c>
      <c r="C584" s="129" t="str">
        <f t="shared" si="19"/>
        <v>30.05.2022_BOYohKi</v>
      </c>
      <c r="D584" s="143">
        <f t="shared" si="20"/>
        <v>0</v>
      </c>
      <c r="E584" s="144">
        <v>2.6939175088517366E-2</v>
      </c>
      <c r="F584" s="145">
        <v>1.899842645818434E-2</v>
      </c>
      <c r="G584" s="146">
        <v>0.20931337245828294</v>
      </c>
      <c r="H584" s="146">
        <v>9.0119115643268438E-2</v>
      </c>
      <c r="I584" s="147">
        <v>4.01</v>
      </c>
      <c r="J584" s="148">
        <v>1.095705205337725</v>
      </c>
      <c r="K584" s="149">
        <v>29</v>
      </c>
      <c r="L584" s="149">
        <v>131</v>
      </c>
      <c r="M584" s="151">
        <v>7.2759999999999998</v>
      </c>
      <c r="N584" s="135"/>
    </row>
    <row r="585" spans="1:14" x14ac:dyDescent="0.25">
      <c r="A585" s="142">
        <v>44711</v>
      </c>
      <c r="B585" s="81" t="s">
        <v>32</v>
      </c>
      <c r="C585" s="129" t="str">
        <f t="shared" si="19"/>
        <v>30.05.2022_BOYohSp</v>
      </c>
      <c r="D585" s="143">
        <f t="shared" si="20"/>
        <v>0</v>
      </c>
      <c r="E585" s="144">
        <v>5.8022838652191253E-2</v>
      </c>
      <c r="F585" s="145">
        <v>3.9962094750045113E-2</v>
      </c>
      <c r="G585" s="146">
        <v>0.2009408375599516</v>
      </c>
      <c r="H585" s="146">
        <v>0.10876444991428948</v>
      </c>
      <c r="I585" s="147">
        <v>5.12</v>
      </c>
      <c r="J585" s="148">
        <v>1.3455962877333321</v>
      </c>
      <c r="K585" s="149">
        <v>27.032</v>
      </c>
      <c r="L585" s="149">
        <v>80</v>
      </c>
      <c r="M585" s="151">
        <v>11.02</v>
      </c>
      <c r="N585" s="135"/>
    </row>
    <row r="586" spans="1:14" x14ac:dyDescent="0.25">
      <c r="A586" s="142">
        <v>44711</v>
      </c>
      <c r="B586" s="81" t="s">
        <v>36</v>
      </c>
      <c r="C586" s="129" t="str">
        <f t="shared" si="19"/>
        <v>30.05.2022_BOYuhSp</v>
      </c>
      <c r="D586" s="143">
        <f t="shared" si="20"/>
        <v>0</v>
      </c>
      <c r="E586" s="144">
        <v>4.1444884751565172E-2</v>
      </c>
      <c r="F586" s="145">
        <v>3.5470536579767703E-2</v>
      </c>
      <c r="G586" s="146">
        <v>0.2072202387337001</v>
      </c>
      <c r="H586" s="146">
        <v>0.11808711704979999</v>
      </c>
      <c r="I586" s="147">
        <v>5.2729999999999997</v>
      </c>
      <c r="J586" s="148">
        <v>1.3878685759601423</v>
      </c>
      <c r="K586" s="149">
        <v>24</v>
      </c>
      <c r="L586" s="149">
        <v>85</v>
      </c>
      <c r="M586" s="151">
        <v>7.5970000000000004</v>
      </c>
      <c r="N586" s="135"/>
    </row>
    <row r="587" spans="1:14" x14ac:dyDescent="0.25">
      <c r="A587" s="142">
        <v>44711</v>
      </c>
      <c r="B587" s="81" t="s">
        <v>38</v>
      </c>
      <c r="C587" s="129" t="str">
        <f t="shared" si="19"/>
        <v>30.05.2022_BRAob</v>
      </c>
      <c r="D587" s="143">
        <f t="shared" si="20"/>
        <v>0</v>
      </c>
      <c r="E587" s="144">
        <v>3.1083663563673879E-2</v>
      </c>
      <c r="F587" s="145">
        <v>2.4030552925147466E-2</v>
      </c>
      <c r="G587" s="146">
        <v>0.1423330932716324</v>
      </c>
      <c r="H587" s="146">
        <v>7.3027559228165784E-2</v>
      </c>
      <c r="I587" s="147">
        <v>1.7150000000000001</v>
      </c>
      <c r="J587" s="148">
        <v>0.52012051400150494</v>
      </c>
      <c r="K587" s="149">
        <v>31</v>
      </c>
      <c r="L587" s="149">
        <v>117</v>
      </c>
      <c r="M587" s="151">
        <v>11.3</v>
      </c>
      <c r="N587" s="135"/>
    </row>
    <row r="588" spans="1:14" x14ac:dyDescent="0.25">
      <c r="A588" s="142">
        <v>44711</v>
      </c>
      <c r="B588" s="81" t="s">
        <v>41</v>
      </c>
      <c r="C588" s="129" t="str">
        <f t="shared" si="19"/>
        <v>30.05.2022_BRAohBo</v>
      </c>
      <c r="D588" s="143">
        <f t="shared" si="20"/>
        <v>0</v>
      </c>
      <c r="E588" s="144">
        <v>5.5950594414612989E-2</v>
      </c>
      <c r="F588" s="145">
        <v>5.7812239484341048E-2</v>
      </c>
      <c r="G588" s="146">
        <v>0.54630790211611835</v>
      </c>
      <c r="H588" s="146">
        <v>0.20354489912531312</v>
      </c>
      <c r="I588" s="147">
        <v>3.18</v>
      </c>
      <c r="J588" s="148">
        <v>1.2044384674528463</v>
      </c>
      <c r="K588" s="149">
        <v>29</v>
      </c>
      <c r="L588" s="149">
        <v>99</v>
      </c>
      <c r="M588" s="151">
        <v>13.71</v>
      </c>
      <c r="N588" s="135"/>
    </row>
    <row r="589" spans="1:14" x14ac:dyDescent="0.25">
      <c r="A589" s="142">
        <v>44711</v>
      </c>
      <c r="B589" s="81" t="s">
        <v>43</v>
      </c>
      <c r="C589" s="129" t="str">
        <f t="shared" si="19"/>
        <v>30.05.2022_HAAob</v>
      </c>
      <c r="D589" s="143">
        <f t="shared" si="20"/>
        <v>0</v>
      </c>
      <c r="E589" s="144">
        <v>3.3155907801252139E-2</v>
      </c>
      <c r="F589" s="145">
        <v>3.4586146095688976E-2</v>
      </c>
      <c r="G589" s="146">
        <v>5.8607744288319219E-2</v>
      </c>
      <c r="H589" s="146">
        <v>1.709155641510263E-2</v>
      </c>
      <c r="I589" s="147">
        <v>0.79700000000000004</v>
      </c>
      <c r="J589" s="148">
        <v>0.23073024171301498</v>
      </c>
      <c r="K589" s="149">
        <v>25</v>
      </c>
      <c r="L589" s="149">
        <v>141</v>
      </c>
      <c r="M589" s="151">
        <v>9.968</v>
      </c>
      <c r="N589" s="135"/>
    </row>
    <row r="590" spans="1:14" x14ac:dyDescent="0.25">
      <c r="A590" s="142">
        <v>44711</v>
      </c>
      <c r="B590" s="81" t="s">
        <v>45</v>
      </c>
      <c r="C590" s="129" t="str">
        <f t="shared" si="19"/>
        <v>30.05.2022_HAAun</v>
      </c>
      <c r="D590" s="143">
        <f t="shared" si="20"/>
        <v>0</v>
      </c>
      <c r="E590" s="144">
        <v>4.1444884751565172E-2</v>
      </c>
      <c r="F590" s="145">
        <v>3.4795377105539496E-2</v>
      </c>
      <c r="G590" s="146">
        <v>0.12977429092413539</v>
      </c>
      <c r="H590" s="146">
        <v>1.5537778559184208E-2</v>
      </c>
      <c r="I590" s="147">
        <v>1.107</v>
      </c>
      <c r="J590" s="148">
        <v>0.35553700584202552</v>
      </c>
      <c r="K590" s="149">
        <v>30</v>
      </c>
      <c r="L590" s="149">
        <v>232</v>
      </c>
      <c r="M590" s="151">
        <v>8.82</v>
      </c>
      <c r="N590" s="135"/>
    </row>
    <row r="591" spans="1:14" x14ac:dyDescent="0.25">
      <c r="A591" s="142">
        <v>44711</v>
      </c>
      <c r="B591" s="81" t="s">
        <v>47</v>
      </c>
      <c r="C591" s="129" t="str">
        <f t="shared" si="19"/>
        <v>30.05.2022_KIRob</v>
      </c>
      <c r="D591" s="143">
        <f t="shared" si="20"/>
        <v>0</v>
      </c>
      <c r="E591" s="144">
        <v>2.2794686613360843E-2</v>
      </c>
      <c r="F591" s="145">
        <v>1.5781607039966113E-2</v>
      </c>
      <c r="G591" s="146">
        <v>0.49397955900154772</v>
      </c>
      <c r="H591" s="146">
        <v>0.21131378840490522</v>
      </c>
      <c r="I591" s="147">
        <v>5.992</v>
      </c>
      <c r="J591" s="148">
        <v>1.801317710648985</v>
      </c>
      <c r="K591" s="149">
        <v>79</v>
      </c>
      <c r="L591" s="149">
        <v>168</v>
      </c>
      <c r="M591" s="151">
        <v>10.93</v>
      </c>
      <c r="N591" s="135"/>
    </row>
    <row r="592" spans="1:14" x14ac:dyDescent="0.25">
      <c r="A592" s="142">
        <v>44711</v>
      </c>
      <c r="B592" s="81" t="s">
        <v>49</v>
      </c>
      <c r="C592" s="129" t="str">
        <f t="shared" si="19"/>
        <v>30.05.2022_KIRun</v>
      </c>
      <c r="D592" s="143">
        <f t="shared" si="20"/>
        <v>0</v>
      </c>
      <c r="E592" s="144">
        <v>7.6673036790395568E-2</v>
      </c>
      <c r="F592" s="145">
        <v>1.2002835445673406E-2</v>
      </c>
      <c r="G592" s="146">
        <v>0.16326443051746067</v>
      </c>
      <c r="H592" s="146">
        <v>8.2350226363676324E-2</v>
      </c>
      <c r="I592" s="147">
        <v>4.3899999999999997</v>
      </c>
      <c r="J592" s="148">
        <v>1.1434140240689241</v>
      </c>
      <c r="K592" s="149">
        <v>63</v>
      </c>
      <c r="L592" s="149">
        <v>151</v>
      </c>
      <c r="M592" s="151">
        <v>10.51</v>
      </c>
      <c r="N592" s="135"/>
    </row>
    <row r="593" spans="1:14" x14ac:dyDescent="0.25">
      <c r="A593" s="142">
        <v>44711</v>
      </c>
      <c r="B593" s="81" t="s">
        <v>50</v>
      </c>
      <c r="C593" s="129" t="str">
        <f t="shared" si="19"/>
        <v>30.05.2022_LIEohBo</v>
      </c>
      <c r="D593" s="143">
        <f t="shared" si="20"/>
        <v>0</v>
      </c>
      <c r="E593" s="144">
        <v>2.072244237578259E-2</v>
      </c>
      <c r="F593" s="145">
        <v>1.858697015094796E-2</v>
      </c>
      <c r="G593" s="146">
        <v>8.3725348983313186E-2</v>
      </c>
      <c r="H593" s="146">
        <v>3.8844446397960523E-2</v>
      </c>
      <c r="I593" s="147">
        <v>1.976</v>
      </c>
      <c r="J593" s="148">
        <v>0.52315720793791187</v>
      </c>
      <c r="K593" s="149">
        <v>20</v>
      </c>
      <c r="L593" s="149">
        <v>88</v>
      </c>
      <c r="M593" s="151">
        <v>10.130000000000001</v>
      </c>
      <c r="N593" s="135"/>
    </row>
    <row r="594" spans="1:14" x14ac:dyDescent="0.25">
      <c r="A594" s="142">
        <v>44711</v>
      </c>
      <c r="B594" s="81" t="s">
        <v>53</v>
      </c>
      <c r="C594" s="129" t="str">
        <f t="shared" si="19"/>
        <v>30.05.2022_NATohBo</v>
      </c>
      <c r="D594" s="143">
        <f t="shared" si="20"/>
        <v>0</v>
      </c>
      <c r="E594" s="144">
        <v>2.2794686613360843E-2</v>
      </c>
      <c r="F594" s="145">
        <v>2.3043897846366512E-2</v>
      </c>
      <c r="G594" s="146">
        <v>0.2281515759795284</v>
      </c>
      <c r="H594" s="146">
        <v>3.8844446397960523E-2</v>
      </c>
      <c r="I594" s="147">
        <v>0.90100000000000002</v>
      </c>
      <c r="J594" s="148">
        <v>0.39249247893820305</v>
      </c>
      <c r="K594" s="149">
        <v>107</v>
      </c>
      <c r="L594" s="149">
        <v>392</v>
      </c>
      <c r="M594" s="151">
        <v>9.6790000000000003</v>
      </c>
      <c r="N594" s="135"/>
    </row>
    <row r="595" spans="1:14" x14ac:dyDescent="0.25">
      <c r="A595" s="142">
        <v>44711</v>
      </c>
      <c r="B595" s="81" t="s">
        <v>55</v>
      </c>
      <c r="C595" s="129" t="str">
        <f t="shared" si="19"/>
        <v>30.05.2022_QUAohBo</v>
      </c>
      <c r="D595" s="143">
        <f t="shared" si="20"/>
        <v>0</v>
      </c>
      <c r="E595" s="144">
        <v>2.9011419326095626E-2</v>
      </c>
      <c r="F595" s="145">
        <v>2.4545693776860784E-2</v>
      </c>
      <c r="G595" s="146">
        <v>0.15070562816996372</v>
      </c>
      <c r="H595" s="146">
        <v>4.0398224253878942E-2</v>
      </c>
      <c r="I595" s="147">
        <v>1.194</v>
      </c>
      <c r="J595" s="148">
        <v>0.39900943259178856</v>
      </c>
      <c r="K595" s="149">
        <v>29</v>
      </c>
      <c r="L595" s="149">
        <v>98</v>
      </c>
      <c r="M595" s="151">
        <v>9.14</v>
      </c>
      <c r="N595" s="135"/>
    </row>
    <row r="596" spans="1:14" x14ac:dyDescent="0.25">
      <c r="A596" s="142">
        <v>44711</v>
      </c>
      <c r="B596" s="81" t="s">
        <v>57</v>
      </c>
      <c r="C596" s="129" t="str">
        <f t="shared" si="19"/>
        <v>30.05.2022_SCHohVo</v>
      </c>
      <c r="D596" s="143">
        <f t="shared" si="20"/>
        <v>0</v>
      </c>
      <c r="E596" s="144">
        <v>5.1806105939456469E-2</v>
      </c>
      <c r="F596" s="145">
        <v>4.3684500920830226E-2</v>
      </c>
      <c r="G596" s="146">
        <v>0.11302922112747278</v>
      </c>
      <c r="H596" s="146">
        <v>3.2629334974286842E-2</v>
      </c>
      <c r="I596" s="147">
        <v>1.0940000000000001</v>
      </c>
      <c r="J596" s="148">
        <v>0.34480184094619298</v>
      </c>
      <c r="K596" s="149">
        <v>27</v>
      </c>
      <c r="L596" s="149">
        <v>83</v>
      </c>
      <c r="M596" s="151">
        <v>16.2</v>
      </c>
      <c r="N596" s="135"/>
    </row>
    <row r="597" spans="1:14" x14ac:dyDescent="0.25">
      <c r="A597" s="142">
        <v>44711</v>
      </c>
      <c r="B597" s="81" t="s">
        <v>60</v>
      </c>
      <c r="C597" s="129" t="str">
        <f t="shared" si="19"/>
        <v>30.05.2022_VORohBo</v>
      </c>
      <c r="D597" s="143">
        <f t="shared" si="20"/>
        <v>0</v>
      </c>
      <c r="E597" s="144">
        <v>1.657795390062607E-2</v>
      </c>
      <c r="F597" s="145">
        <v>1.2971172231996434E-2</v>
      </c>
      <c r="G597" s="146">
        <v>0.48560702410321638</v>
      </c>
      <c r="H597" s="146">
        <v>3.8844446397960523E-2</v>
      </c>
      <c r="I597" s="147">
        <v>0.98699999999999999</v>
      </c>
      <c r="J597" s="148">
        <v>0.61182887985176559</v>
      </c>
      <c r="K597" s="149">
        <v>27</v>
      </c>
      <c r="L597" s="149">
        <v>200</v>
      </c>
      <c r="M597" s="151">
        <v>11.99</v>
      </c>
      <c r="N597" s="135"/>
    </row>
    <row r="598" spans="1:14" x14ac:dyDescent="0.25">
      <c r="A598" s="142">
        <v>44711</v>
      </c>
      <c r="B598" s="81" t="s">
        <v>62</v>
      </c>
      <c r="C598" s="129" t="str">
        <f t="shared" si="19"/>
        <v>30.05.2022_VORuhSc</v>
      </c>
      <c r="D598" s="143">
        <f t="shared" si="20"/>
        <v>0</v>
      </c>
      <c r="E598" s="144">
        <v>2.4866930850939106E-2</v>
      </c>
      <c r="F598" s="145">
        <v>1.0923206569391688E-2</v>
      </c>
      <c r="G598" s="146">
        <v>0.39350914022157191</v>
      </c>
      <c r="H598" s="146">
        <v>2.641422355061316E-2</v>
      </c>
      <c r="I598" s="147">
        <v>0.56399999999999995</v>
      </c>
      <c r="J598" s="148">
        <v>0.44098840265063255</v>
      </c>
      <c r="K598" s="149">
        <v>30</v>
      </c>
      <c r="L598" s="149">
        <v>212</v>
      </c>
      <c r="M598" s="151">
        <v>11.72</v>
      </c>
      <c r="N598" s="135"/>
    </row>
    <row r="599" spans="1:14" x14ac:dyDescent="0.25">
      <c r="A599" s="142">
        <v>44711</v>
      </c>
      <c r="B599" s="81" t="s">
        <v>64</v>
      </c>
      <c r="C599" s="129" t="str">
        <f t="shared" si="19"/>
        <v>30.05.2022_WITob</v>
      </c>
      <c r="D599" s="143">
        <f t="shared" si="20"/>
        <v>0</v>
      </c>
      <c r="E599" s="144">
        <v>3.3155907801252139E-2</v>
      </c>
      <c r="F599" s="145">
        <v>1.3334146501339812E-2</v>
      </c>
      <c r="G599" s="146">
        <v>3.7676407042490923E-2</v>
      </c>
      <c r="H599" s="146">
        <v>6.2151114236736844E-3</v>
      </c>
      <c r="I599" s="147">
        <v>0.46600000000000003</v>
      </c>
      <c r="J599" s="148">
        <v>0.13640296397736124</v>
      </c>
      <c r="K599" s="149">
        <v>59</v>
      </c>
      <c r="L599" s="149">
        <v>226</v>
      </c>
      <c r="M599" s="151">
        <v>10.58</v>
      </c>
      <c r="N599" s="135"/>
    </row>
    <row r="600" spans="1:14" x14ac:dyDescent="0.25">
      <c r="A600" s="142">
        <v>44732</v>
      </c>
      <c r="B600" s="81" t="s">
        <v>22</v>
      </c>
      <c r="C600" s="129" t="str">
        <f t="shared" si="19"/>
        <v>20.06.2022_BOYkl</v>
      </c>
      <c r="D600" s="143">
        <f t="shared" si="20"/>
        <v>0</v>
      </c>
      <c r="E600" s="144">
        <v>0.13002358091305105</v>
      </c>
      <c r="F600" s="145">
        <v>0.20131176815320559</v>
      </c>
      <c r="G600" s="146">
        <v>1.0138487324533836</v>
      </c>
      <c r="H600" s="146">
        <v>1.1785428520625889</v>
      </c>
      <c r="I600" s="147">
        <v>36</v>
      </c>
      <c r="J600" s="148">
        <v>9.2773707735731819</v>
      </c>
      <c r="K600" s="149">
        <v>30</v>
      </c>
      <c r="L600" s="149">
        <v>49</v>
      </c>
      <c r="M600" s="151">
        <v>9.9849999999999994</v>
      </c>
      <c r="N600" s="135"/>
    </row>
    <row r="601" spans="1:14" x14ac:dyDescent="0.25">
      <c r="A601" s="142">
        <v>44732</v>
      </c>
      <c r="B601" s="81" t="s">
        <v>25</v>
      </c>
      <c r="C601" s="129" t="str">
        <f t="shared" si="19"/>
        <v>20.06.2022_BOYohB224</v>
      </c>
      <c r="D601" s="143">
        <f t="shared" si="20"/>
        <v>0</v>
      </c>
      <c r="E601" s="144">
        <v>2.6830262728089901E-2</v>
      </c>
      <c r="F601" s="145">
        <v>2.882291476028323E-2</v>
      </c>
      <c r="G601" s="146">
        <v>5.6830085899853361E-2</v>
      </c>
      <c r="H601" s="146">
        <v>3.4570590327169276E-2</v>
      </c>
      <c r="I601" s="147">
        <v>1.2170000000000001</v>
      </c>
      <c r="J601" s="148">
        <v>0.32953679962548388</v>
      </c>
      <c r="K601" s="149">
        <v>41</v>
      </c>
      <c r="L601" s="149">
        <v>213</v>
      </c>
      <c r="M601" s="151">
        <v>9.6039999999999992</v>
      </c>
      <c r="N601" s="135"/>
    </row>
    <row r="602" spans="1:14" x14ac:dyDescent="0.25">
      <c r="A602" s="142">
        <v>44732</v>
      </c>
      <c r="B602" s="81" t="s">
        <v>28</v>
      </c>
      <c r="C602" s="129" t="str">
        <f t="shared" si="19"/>
        <v>20.06.2022_BOYohBr</v>
      </c>
      <c r="D602" s="143">
        <f t="shared" si="20"/>
        <v>0</v>
      </c>
      <c r="E602" s="144">
        <v>5.366052545617981E-2</v>
      </c>
      <c r="F602" s="145">
        <v>3.6807317419886382E-2</v>
      </c>
      <c r="G602" s="146">
        <v>0.13639220615964801</v>
      </c>
      <c r="H602" s="146">
        <v>8.6426475817923176E-2</v>
      </c>
      <c r="I602" s="147">
        <v>4.0970000000000004</v>
      </c>
      <c r="J602" s="148">
        <v>1.0576091147236719</v>
      </c>
      <c r="K602" s="149">
        <v>23.05</v>
      </c>
      <c r="L602" s="149">
        <v>72</v>
      </c>
      <c r="M602" s="151">
        <v>8.61</v>
      </c>
      <c r="N602" s="135"/>
    </row>
    <row r="603" spans="1:14" x14ac:dyDescent="0.25">
      <c r="A603" s="142">
        <v>44732</v>
      </c>
      <c r="B603" s="81" t="s">
        <v>30</v>
      </c>
      <c r="C603" s="129" t="str">
        <f t="shared" si="19"/>
        <v>20.06.2022_BOYohKi</v>
      </c>
      <c r="D603" s="143">
        <f t="shared" si="20"/>
        <v>0</v>
      </c>
      <c r="E603" s="144">
        <v>2.476639636439068E-2</v>
      </c>
      <c r="F603" s="145">
        <v>2.4203858892242976E-2</v>
      </c>
      <c r="G603" s="146">
        <v>8.1835323695788817E-2</v>
      </c>
      <c r="H603" s="146">
        <v>5.8141447368421056E-2</v>
      </c>
      <c r="I603" s="147">
        <v>1.994</v>
      </c>
      <c r="J603" s="148">
        <v>0.53163025414785881</v>
      </c>
      <c r="K603" s="149">
        <v>31</v>
      </c>
      <c r="L603" s="149">
        <v>141</v>
      </c>
      <c r="M603" s="151">
        <v>8.6289999999999996</v>
      </c>
      <c r="N603" s="135"/>
    </row>
    <row r="604" spans="1:14" x14ac:dyDescent="0.25">
      <c r="A604" s="142">
        <v>44732</v>
      </c>
      <c r="B604" s="81" t="s">
        <v>32</v>
      </c>
      <c r="C604" s="129" t="str">
        <f t="shared" si="19"/>
        <v>20.06.2022_BOYohSp</v>
      </c>
      <c r="D604" s="143">
        <f t="shared" si="20"/>
        <v>0</v>
      </c>
      <c r="E604" s="144">
        <v>3.9213460910285249E-2</v>
      </c>
      <c r="F604" s="145">
        <v>5.1081824875895049E-2</v>
      </c>
      <c r="G604" s="146">
        <v>4.7737272155876816E-2</v>
      </c>
      <c r="H604" s="146">
        <v>9.114064722617353E-2</v>
      </c>
      <c r="I604" s="147">
        <v>4.4109999999999996</v>
      </c>
      <c r="J604" s="148">
        <v>1.0611278545043252</v>
      </c>
      <c r="K604" s="149">
        <v>27.5</v>
      </c>
      <c r="L604" s="149">
        <v>83</v>
      </c>
      <c r="M604" s="151">
        <v>6.0629999999999997</v>
      </c>
      <c r="N604" s="135"/>
    </row>
    <row r="605" spans="1:14" x14ac:dyDescent="0.25">
      <c r="A605" s="142">
        <v>44732</v>
      </c>
      <c r="B605" s="81" t="s">
        <v>36</v>
      </c>
      <c r="C605" s="129" t="str">
        <f t="shared" si="19"/>
        <v>20.06.2022_BOYuhSp</v>
      </c>
      <c r="D605" s="143">
        <f t="shared" si="20"/>
        <v>0</v>
      </c>
      <c r="E605" s="144">
        <v>4.9532792728781354E-2</v>
      </c>
      <c r="F605" s="145">
        <v>4.2496093861254983E-2</v>
      </c>
      <c r="G605" s="146">
        <v>0.12275298554368323</v>
      </c>
      <c r="H605" s="146">
        <v>9.114064722617353E-2</v>
      </c>
      <c r="I605" s="147">
        <v>4.2770000000000001</v>
      </c>
      <c r="J605" s="148">
        <v>1.0891102257928231</v>
      </c>
      <c r="K605" s="149">
        <v>28.888999999999999</v>
      </c>
      <c r="L605" s="149">
        <v>85</v>
      </c>
      <c r="M605" s="151">
        <v>10.34</v>
      </c>
      <c r="N605" s="135"/>
    </row>
    <row r="606" spans="1:14" x14ac:dyDescent="0.25">
      <c r="A606" s="142">
        <v>44732</v>
      </c>
      <c r="B606" s="81" t="s">
        <v>38</v>
      </c>
      <c r="C606" s="129" t="str">
        <f t="shared" si="19"/>
        <v>20.06.2022_BRAob</v>
      </c>
      <c r="D606" s="143">
        <f t="shared" si="20"/>
        <v>0</v>
      </c>
      <c r="E606" s="144">
        <v>4.7468926365082133E-2</v>
      </c>
      <c r="F606" s="145">
        <v>4.8004414433903075E-2</v>
      </c>
      <c r="G606" s="146">
        <v>8.1835323695788817E-2</v>
      </c>
      <c r="H606" s="146">
        <v>2.9856418918918916E-2</v>
      </c>
      <c r="I606" s="147">
        <v>1.349</v>
      </c>
      <c r="J606" s="148">
        <v>0.37733272723640793</v>
      </c>
      <c r="K606" s="149">
        <v>26</v>
      </c>
      <c r="L606" s="149">
        <v>116</v>
      </c>
      <c r="M606" s="151">
        <v>10.52</v>
      </c>
      <c r="N606" s="135"/>
    </row>
    <row r="607" spans="1:14" x14ac:dyDescent="0.25">
      <c r="A607" s="142">
        <v>44732</v>
      </c>
      <c r="B607" s="81" t="s">
        <v>41</v>
      </c>
      <c r="C607" s="129" t="str">
        <f t="shared" si="19"/>
        <v>20.06.2022_BRAohBo</v>
      </c>
      <c r="D607" s="143">
        <f t="shared" si="20"/>
        <v>0</v>
      </c>
      <c r="E607" s="144">
        <v>0.11970424909455495</v>
      </c>
      <c r="F607" s="145">
        <v>0.16116343116074433</v>
      </c>
      <c r="G607" s="146">
        <v>0.27051120888330193</v>
      </c>
      <c r="H607" s="146">
        <v>0.2577080369843528</v>
      </c>
      <c r="I607" s="147">
        <v>3.0129999999999999</v>
      </c>
      <c r="J607" s="148">
        <v>0.96905477044568133</v>
      </c>
      <c r="K607" s="149">
        <v>24</v>
      </c>
      <c r="L607" s="149">
        <v>99</v>
      </c>
      <c r="M607" s="151">
        <v>12.51</v>
      </c>
      <c r="N607" s="135"/>
    </row>
    <row r="608" spans="1:14" x14ac:dyDescent="0.25">
      <c r="A608" s="142">
        <v>44732</v>
      </c>
      <c r="B608" s="81" t="s">
        <v>43</v>
      </c>
      <c r="C608" s="129" t="str">
        <f t="shared" si="19"/>
        <v>20.06.2022_HAAob</v>
      </c>
      <c r="D608" s="143">
        <f t="shared" si="20"/>
        <v>0</v>
      </c>
      <c r="E608" s="144">
        <v>2.8894129091789126E-2</v>
      </c>
      <c r="F608" s="145">
        <v>4.9381427184305368E-2</v>
      </c>
      <c r="G608" s="146">
        <v>5.6830085899853361E-2</v>
      </c>
      <c r="H608" s="146">
        <v>1.4142514224751069E-2</v>
      </c>
      <c r="I608" s="147">
        <v>0.88700000000000001</v>
      </c>
      <c r="J608" s="148">
        <v>0.24878037185610258</v>
      </c>
      <c r="K608" s="149">
        <v>30</v>
      </c>
      <c r="L608" s="149">
        <v>162</v>
      </c>
      <c r="M608" s="151">
        <v>8.9239999999999995</v>
      </c>
      <c r="N608" s="135"/>
    </row>
    <row r="609" spans="1:14" x14ac:dyDescent="0.25">
      <c r="A609" s="142">
        <v>44732</v>
      </c>
      <c r="B609" s="81" t="s">
        <v>45</v>
      </c>
      <c r="C609" s="129" t="str">
        <f t="shared" si="19"/>
        <v>20.06.2022_HAAun</v>
      </c>
      <c r="D609" s="143">
        <f t="shared" si="20"/>
        <v>0</v>
      </c>
      <c r="E609" s="144">
        <v>3.095799545548835E-2</v>
      </c>
      <c r="F609" s="145">
        <v>3.9179736904193262E-2</v>
      </c>
      <c r="G609" s="146">
        <v>0.12047978210768909</v>
      </c>
      <c r="H609" s="146">
        <v>2.5142247510668559E-2</v>
      </c>
      <c r="I609" s="147">
        <v>1.1060000000000001</v>
      </c>
      <c r="J609" s="148">
        <v>0.35101812326342252</v>
      </c>
      <c r="K609" s="149">
        <v>35</v>
      </c>
      <c r="L609" s="149">
        <v>278</v>
      </c>
      <c r="M609" s="151">
        <v>8.4239999999999995</v>
      </c>
      <c r="N609" s="135"/>
    </row>
    <row r="610" spans="1:14" x14ac:dyDescent="0.25">
      <c r="A610" s="142">
        <v>44732</v>
      </c>
      <c r="B610" s="81" t="s">
        <v>47</v>
      </c>
      <c r="C610" s="129" t="str">
        <f t="shared" si="19"/>
        <v>20.06.2022_KIRob</v>
      </c>
      <c r="D610" s="143">
        <f t="shared" si="20"/>
        <v>0</v>
      </c>
      <c r="E610" s="144">
        <v>1.8574797273293007E-2</v>
      </c>
      <c r="F610" s="145">
        <v>1.6161551746572876E-2</v>
      </c>
      <c r="G610" s="146">
        <v>0.24550597108736641</v>
      </c>
      <c r="H610" s="146">
        <v>0.2985641891891892</v>
      </c>
      <c r="I610" s="147">
        <v>6.4059999999999997</v>
      </c>
      <c r="J610" s="148">
        <v>1.7284540188882778</v>
      </c>
      <c r="K610" s="149">
        <v>66</v>
      </c>
      <c r="L610" s="149">
        <v>140</v>
      </c>
      <c r="M610" s="151">
        <v>11.83</v>
      </c>
      <c r="N610" s="135"/>
    </row>
    <row r="611" spans="1:14" x14ac:dyDescent="0.25">
      <c r="A611" s="142">
        <v>44732</v>
      </c>
      <c r="B611" s="81" t="s">
        <v>49</v>
      </c>
      <c r="C611" s="129" t="str">
        <f t="shared" si="19"/>
        <v>20.06.2022_KIRun</v>
      </c>
      <c r="D611" s="143">
        <f t="shared" si="20"/>
        <v>0</v>
      </c>
      <c r="E611" s="144">
        <v>3.3021861819187572E-2</v>
      </c>
      <c r="F611" s="145">
        <v>1.6525999252989358E-2</v>
      </c>
      <c r="G611" s="146">
        <v>0.10229415461973601</v>
      </c>
      <c r="H611" s="146">
        <v>8.6426475817923176E-2</v>
      </c>
      <c r="I611" s="147">
        <v>4.0609999999999999</v>
      </c>
      <c r="J611" s="148">
        <v>1.0230009986834454</v>
      </c>
      <c r="K611" s="149">
        <v>64</v>
      </c>
      <c r="L611" s="149">
        <v>147</v>
      </c>
      <c r="M611" s="151">
        <v>7.6379999999999999</v>
      </c>
      <c r="N611" s="135"/>
    </row>
    <row r="612" spans="1:14" x14ac:dyDescent="0.25">
      <c r="A612" s="142">
        <v>44732</v>
      </c>
      <c r="B612" s="81" t="s">
        <v>50</v>
      </c>
      <c r="C612" s="129" t="str">
        <f t="shared" si="19"/>
        <v>20.06.2022_LIEohBo</v>
      </c>
      <c r="D612" s="143">
        <f t="shared" si="20"/>
        <v>0</v>
      </c>
      <c r="E612" s="144">
        <v>3.3021861819187572E-2</v>
      </c>
      <c r="F612" s="145">
        <v>5.9553292250054506E-2</v>
      </c>
      <c r="G612" s="146">
        <v>0.10229415461973601</v>
      </c>
      <c r="H612" s="146">
        <v>0</v>
      </c>
      <c r="I612" s="147">
        <v>0.1</v>
      </c>
      <c r="J612" s="148">
        <v>0.10201738812067881</v>
      </c>
      <c r="K612" s="149">
        <v>31.803000000000001</v>
      </c>
      <c r="L612" s="149">
        <v>63</v>
      </c>
      <c r="M612" s="151">
        <v>12</v>
      </c>
      <c r="N612" s="135"/>
    </row>
    <row r="613" spans="1:14" x14ac:dyDescent="0.25">
      <c r="A613" s="142">
        <v>44732</v>
      </c>
      <c r="B613" s="81" t="s">
        <v>53</v>
      </c>
      <c r="C613" s="129" t="str">
        <f t="shared" si="19"/>
        <v>20.06.2022_NATohBo</v>
      </c>
      <c r="D613" s="143">
        <f t="shared" si="20"/>
        <v>0</v>
      </c>
      <c r="E613" s="144">
        <v>3.50857281828868E-2</v>
      </c>
      <c r="F613" s="145">
        <v>3.1945318489397224E-2</v>
      </c>
      <c r="G613" s="146">
        <v>0.33870731196312592</v>
      </c>
      <c r="H613" s="146">
        <v>1.7285295163584635E-2</v>
      </c>
      <c r="I613" s="147">
        <v>1.2410000000000001</v>
      </c>
      <c r="J613" s="148">
        <v>0.54857001877880096</v>
      </c>
      <c r="K613" s="149">
        <v>106</v>
      </c>
      <c r="L613" s="149">
        <v>501</v>
      </c>
      <c r="M613" s="151">
        <v>12.79</v>
      </c>
      <c r="N613" s="135"/>
    </row>
    <row r="614" spans="1:14" x14ac:dyDescent="0.25">
      <c r="A614" s="142">
        <v>44732</v>
      </c>
      <c r="B614" s="81" t="s">
        <v>55</v>
      </c>
      <c r="C614" s="129" t="str">
        <f t="shared" si="19"/>
        <v>20.06.2022_QUAohBo</v>
      </c>
      <c r="D614" s="143">
        <f t="shared" si="20"/>
        <v>8</v>
      </c>
      <c r="E614" s="144"/>
      <c r="F614" s="145"/>
      <c r="G614" s="146"/>
      <c r="H614" s="146"/>
      <c r="I614" s="147"/>
      <c r="J614" s="148"/>
      <c r="K614" s="149"/>
      <c r="L614" s="149"/>
      <c r="M614" s="152"/>
      <c r="N614" s="135" t="s">
        <v>341</v>
      </c>
    </row>
    <row r="615" spans="1:14" x14ac:dyDescent="0.25">
      <c r="A615" s="142">
        <v>44732</v>
      </c>
      <c r="B615" s="81" t="s">
        <v>57</v>
      </c>
      <c r="C615" s="129" t="str">
        <f t="shared" si="19"/>
        <v>20.06.2022_SCHohVo</v>
      </c>
      <c r="D615" s="143">
        <f t="shared" si="20"/>
        <v>8</v>
      </c>
      <c r="E615" s="144"/>
      <c r="F615" s="145"/>
      <c r="G615" s="146"/>
      <c r="H615" s="146"/>
      <c r="I615" s="147"/>
      <c r="J615" s="148"/>
      <c r="K615" s="149"/>
      <c r="L615" s="149"/>
      <c r="M615" s="152"/>
      <c r="N615" s="135" t="s">
        <v>341</v>
      </c>
    </row>
    <row r="616" spans="1:14" x14ac:dyDescent="0.25">
      <c r="A616" s="142">
        <v>44732</v>
      </c>
      <c r="B616" s="81" t="s">
        <v>60</v>
      </c>
      <c r="C616" s="129" t="str">
        <f t="shared" si="19"/>
        <v>20.06.2022_VORohBo</v>
      </c>
      <c r="D616" s="143">
        <f t="shared" si="20"/>
        <v>0</v>
      </c>
      <c r="E616" s="144">
        <v>1.8574797273293007E-2</v>
      </c>
      <c r="F616" s="145">
        <v>1.4874114944762314E-2</v>
      </c>
      <c r="G616" s="146">
        <v>0.44782107689084433</v>
      </c>
      <c r="H616" s="146">
        <v>6.1284228307254607E-2</v>
      </c>
      <c r="I616" s="147">
        <v>1.3169999999999999</v>
      </c>
      <c r="J616" s="148">
        <v>0.66385736130311535</v>
      </c>
      <c r="K616" s="149">
        <v>32</v>
      </c>
      <c r="L616" s="149">
        <v>224</v>
      </c>
      <c r="M616" s="151">
        <v>10.29</v>
      </c>
      <c r="N616" s="135"/>
    </row>
    <row r="617" spans="1:14" x14ac:dyDescent="0.25">
      <c r="A617" s="142">
        <v>44732</v>
      </c>
      <c r="B617" s="81" t="s">
        <v>62</v>
      </c>
      <c r="C617" s="129" t="str">
        <f t="shared" si="19"/>
        <v>20.06.2022_VORuhSc</v>
      </c>
      <c r="D617" s="143">
        <f t="shared" si="20"/>
        <v>0</v>
      </c>
      <c r="E617" s="144">
        <v>2.6830262728089901E-2</v>
      </c>
      <c r="F617" s="145">
        <v>1.3200113273156917E-2</v>
      </c>
      <c r="G617" s="146">
        <v>0.2250471401634192</v>
      </c>
      <c r="H617" s="146">
        <v>3.1427809388335705E-2</v>
      </c>
      <c r="I617" s="147">
        <v>0.626</v>
      </c>
      <c r="J617" s="148">
        <v>0.32570967043377219</v>
      </c>
      <c r="K617" s="149">
        <v>32</v>
      </c>
      <c r="L617" s="149">
        <v>240</v>
      </c>
      <c r="M617" s="151">
        <v>8.4</v>
      </c>
      <c r="N617" s="135"/>
    </row>
    <row r="618" spans="1:14" x14ac:dyDescent="0.25">
      <c r="A618" s="142">
        <v>44732</v>
      </c>
      <c r="B618" s="81" t="s">
        <v>64</v>
      </c>
      <c r="C618" s="129" t="str">
        <f t="shared" si="19"/>
        <v>20.06.2022_WITob</v>
      </c>
      <c r="D618" s="143">
        <f t="shared" si="20"/>
        <v>0</v>
      </c>
      <c r="E618" s="144">
        <v>3.095799545548835E-2</v>
      </c>
      <c r="F618" s="145">
        <v>1.7693931451795406E-2</v>
      </c>
      <c r="G618" s="146">
        <v>4.0917661847894408E-2</v>
      </c>
      <c r="H618" s="146">
        <v>0</v>
      </c>
      <c r="I618" s="147">
        <v>0.60899999999999999</v>
      </c>
      <c r="J618" s="148">
        <v>0.16884857541985759</v>
      </c>
      <c r="K618" s="149">
        <v>65</v>
      </c>
      <c r="L618" s="149">
        <v>238</v>
      </c>
      <c r="M618" s="151">
        <v>11.6</v>
      </c>
      <c r="N618" s="135"/>
    </row>
    <row r="619" spans="1:14" x14ac:dyDescent="0.25">
      <c r="A619" s="142">
        <v>44739</v>
      </c>
      <c r="B619" s="81" t="s">
        <v>22</v>
      </c>
      <c r="C619" s="129" t="str">
        <f t="shared" si="19"/>
        <v>27.06.2022_BOYkl</v>
      </c>
      <c r="D619" s="143">
        <f t="shared" si="20"/>
        <v>8</v>
      </c>
      <c r="E619" s="144"/>
      <c r="F619" s="145"/>
      <c r="G619" s="146"/>
      <c r="H619" s="146"/>
      <c r="I619" s="147"/>
      <c r="J619" s="148"/>
      <c r="K619" s="149"/>
      <c r="L619" s="149"/>
      <c r="M619" s="152"/>
      <c r="N619" s="135" t="s">
        <v>341</v>
      </c>
    </row>
    <row r="620" spans="1:14" x14ac:dyDescent="0.25">
      <c r="A620" s="142">
        <v>44739</v>
      </c>
      <c r="B620" s="81" t="s">
        <v>25</v>
      </c>
      <c r="C620" s="129" t="str">
        <f t="shared" si="19"/>
        <v>27.06.2022_BOYohB224</v>
      </c>
      <c r="D620" s="143">
        <f t="shared" si="20"/>
        <v>0</v>
      </c>
      <c r="E620" s="144">
        <v>6.8145175423223861E-2</v>
      </c>
      <c r="F620" s="145">
        <v>1.3731745635247554E-2</v>
      </c>
      <c r="G620" s="146">
        <v>9.2219836649770917E-2</v>
      </c>
      <c r="H620" s="146">
        <v>5.291683177035178E-2</v>
      </c>
      <c r="I620" s="147">
        <v>1.732</v>
      </c>
      <c r="J620" s="148">
        <v>0.4789251503926642</v>
      </c>
      <c r="K620" s="149">
        <v>41</v>
      </c>
      <c r="L620" s="149">
        <v>215</v>
      </c>
      <c r="M620" s="151">
        <v>8.9629999999999992</v>
      </c>
      <c r="N620" s="135"/>
    </row>
    <row r="621" spans="1:14" x14ac:dyDescent="0.25">
      <c r="A621" s="142">
        <v>44739</v>
      </c>
      <c r="B621" s="81" t="s">
        <v>28</v>
      </c>
      <c r="C621" s="129" t="str">
        <f t="shared" si="19"/>
        <v>27.06.2022_BOYohBr</v>
      </c>
      <c r="D621" s="143">
        <f t="shared" si="20"/>
        <v>0</v>
      </c>
      <c r="E621" s="144">
        <v>3.0975079737829026E-2</v>
      </c>
      <c r="F621" s="145">
        <v>9.2236054538952332E-3</v>
      </c>
      <c r="G621" s="146">
        <v>0.10182606963412204</v>
      </c>
      <c r="H621" s="146">
        <v>5.7585963985382814E-2</v>
      </c>
      <c r="I621" s="147">
        <v>3.952</v>
      </c>
      <c r="J621" s="148">
        <v>0.98923721154554911</v>
      </c>
      <c r="K621" s="149">
        <v>22.361999999999998</v>
      </c>
      <c r="L621" s="149">
        <v>74</v>
      </c>
      <c r="M621" s="151">
        <v>7.4859999999999998</v>
      </c>
      <c r="N621" s="135"/>
    </row>
    <row r="622" spans="1:14" x14ac:dyDescent="0.25">
      <c r="A622" s="142">
        <v>44739</v>
      </c>
      <c r="B622" s="81" t="s">
        <v>30</v>
      </c>
      <c r="C622" s="129" t="str">
        <f t="shared" si="19"/>
        <v>27.06.2022_BOYohKi</v>
      </c>
      <c r="D622" s="143">
        <f t="shared" si="20"/>
        <v>0</v>
      </c>
      <c r="E622" s="144">
        <v>3.7170095685394831E-2</v>
      </c>
      <c r="F622" s="145">
        <v>1.6028476274373746E-2</v>
      </c>
      <c r="G622" s="146">
        <v>7.8771110471679312E-2</v>
      </c>
      <c r="H622" s="146">
        <v>4.3578567340289698E-2</v>
      </c>
      <c r="I622" s="147">
        <v>1.968</v>
      </c>
      <c r="J622" s="148">
        <v>0.51894463439690552</v>
      </c>
      <c r="K622" s="149">
        <v>29</v>
      </c>
      <c r="L622" s="149">
        <v>132</v>
      </c>
      <c r="M622" s="151">
        <v>9.18</v>
      </c>
      <c r="N622" s="135"/>
    </row>
    <row r="623" spans="1:14" x14ac:dyDescent="0.25">
      <c r="A623" s="142">
        <v>44739</v>
      </c>
      <c r="B623" s="81" t="s">
        <v>32</v>
      </c>
      <c r="C623" s="129" t="str">
        <f t="shared" si="19"/>
        <v>27.06.2022_BOYohSp</v>
      </c>
      <c r="D623" s="143">
        <f t="shared" si="20"/>
        <v>0</v>
      </c>
      <c r="E623" s="144">
        <v>4.7495122264671175E-2</v>
      </c>
      <c r="F623" s="145">
        <v>1.5206705843634011E-2</v>
      </c>
      <c r="G623" s="146">
        <v>7.6849863874809091E-2</v>
      </c>
      <c r="H623" s="146">
        <v>6.8480605820455245E-2</v>
      </c>
      <c r="I623" s="147">
        <v>4.1859999999999999</v>
      </c>
      <c r="J623" s="148">
        <v>1.0260138912421881</v>
      </c>
      <c r="K623" s="149">
        <v>26.524000000000001</v>
      </c>
      <c r="L623" s="149">
        <v>86</v>
      </c>
      <c r="M623" s="151">
        <v>7.91</v>
      </c>
      <c r="N623" s="135"/>
    </row>
    <row r="624" spans="1:14" x14ac:dyDescent="0.25">
      <c r="A624" s="142">
        <v>44739</v>
      </c>
      <c r="B624" s="81" t="s">
        <v>36</v>
      </c>
      <c r="C624" s="129" t="str">
        <f t="shared" si="19"/>
        <v>27.06.2022_BOYuhSp</v>
      </c>
      <c r="D624" s="143">
        <f t="shared" si="20"/>
        <v>0</v>
      </c>
      <c r="E624" s="144">
        <v>5.7820148843947511E-2</v>
      </c>
      <c r="F624" s="145">
        <v>1.4586786664162455E-2</v>
      </c>
      <c r="G624" s="146">
        <v>0.10182606963412204</v>
      </c>
      <c r="H624" s="146">
        <v>7.3149738035486286E-2</v>
      </c>
      <c r="I624" s="147">
        <v>3.7610000000000001</v>
      </c>
      <c r="J624" s="148">
        <v>0.95083443255510314</v>
      </c>
      <c r="K624" s="149">
        <v>27.096</v>
      </c>
      <c r="L624" s="149">
        <v>84</v>
      </c>
      <c r="M624" s="151">
        <v>6.7949999999999999</v>
      </c>
      <c r="N624" s="135"/>
    </row>
    <row r="625" spans="1:14" x14ac:dyDescent="0.25">
      <c r="A625" s="142">
        <v>44739</v>
      </c>
      <c r="B625" s="81" t="s">
        <v>38</v>
      </c>
      <c r="C625" s="129" t="str">
        <f t="shared" si="19"/>
        <v>27.06.2022_BRAob</v>
      </c>
      <c r="D625" s="143">
        <f t="shared" si="20"/>
        <v>0</v>
      </c>
      <c r="E625" s="144">
        <v>4.9560127580526449E-2</v>
      </c>
      <c r="F625" s="145">
        <v>2.0761773737867868E-2</v>
      </c>
      <c r="G625" s="146">
        <v>7.8771110471679312E-2</v>
      </c>
      <c r="H625" s="146">
        <v>4.9804076960331088E-2</v>
      </c>
      <c r="I625" s="147">
        <v>1.56</v>
      </c>
      <c r="J625" s="148">
        <v>0.42868503080072706</v>
      </c>
      <c r="K625" s="149">
        <v>29</v>
      </c>
      <c r="L625" s="149">
        <v>116</v>
      </c>
      <c r="M625" s="151">
        <v>10.39</v>
      </c>
      <c r="N625" s="135"/>
    </row>
    <row r="626" spans="1:14" x14ac:dyDescent="0.25">
      <c r="A626" s="142">
        <v>44739</v>
      </c>
      <c r="B626" s="81" t="s">
        <v>41</v>
      </c>
      <c r="C626" s="129" t="str">
        <f t="shared" si="19"/>
        <v>27.06.2022_BRAohBo</v>
      </c>
      <c r="D626" s="143">
        <f t="shared" si="20"/>
        <v>0</v>
      </c>
      <c r="E626" s="144">
        <v>0.13835535616230299</v>
      </c>
      <c r="F626" s="145">
        <v>5.6696348191492135E-2</v>
      </c>
      <c r="G626" s="146">
        <v>9.6062329843511374E-2</v>
      </c>
      <c r="H626" s="146">
        <v>0.17431426936115879</v>
      </c>
      <c r="I626" s="147">
        <v>3.0259999999999998</v>
      </c>
      <c r="J626" s="148">
        <v>0.8111440378071928</v>
      </c>
      <c r="K626" s="149">
        <v>28</v>
      </c>
      <c r="L626" s="149">
        <v>115</v>
      </c>
      <c r="M626" s="151">
        <v>10.29</v>
      </c>
      <c r="N626" s="135"/>
    </row>
    <row r="627" spans="1:14" x14ac:dyDescent="0.25">
      <c r="A627" s="142">
        <v>44739</v>
      </c>
      <c r="B627" s="81" t="s">
        <v>43</v>
      </c>
      <c r="C627" s="129" t="str">
        <f t="shared" si="19"/>
        <v>27.06.2022_HAAob</v>
      </c>
      <c r="D627" s="143">
        <f t="shared" si="20"/>
        <v>0</v>
      </c>
      <c r="E627" s="144">
        <v>3.7170095685394831E-2</v>
      </c>
      <c r="F627" s="145">
        <v>2.2200519457056211E-2</v>
      </c>
      <c r="G627" s="146">
        <v>3.2661192146793867E-2</v>
      </c>
      <c r="H627" s="146">
        <v>1.0894641835072424E-2</v>
      </c>
      <c r="I627" s="147">
        <v>0.86599999999999999</v>
      </c>
      <c r="J627" s="148">
        <v>0.22428138279675175</v>
      </c>
      <c r="K627" s="149">
        <v>29</v>
      </c>
      <c r="L627" s="149">
        <v>166</v>
      </c>
      <c r="M627" s="151">
        <v>9.4450000000000003</v>
      </c>
      <c r="N627" s="135"/>
    </row>
    <row r="628" spans="1:14" x14ac:dyDescent="0.25">
      <c r="A628" s="142">
        <v>44739</v>
      </c>
      <c r="B628" s="81" t="s">
        <v>45</v>
      </c>
      <c r="C628" s="129" t="str">
        <f t="shared" si="19"/>
        <v>27.06.2022_HAAun</v>
      </c>
      <c r="D628" s="143">
        <f t="shared" si="20"/>
        <v>0</v>
      </c>
      <c r="E628" s="144">
        <v>3.3040085053684297E-2</v>
      </c>
      <c r="F628" s="145">
        <v>2.0717081605048628E-2</v>
      </c>
      <c r="G628" s="146">
        <v>9.9904823037251816E-2</v>
      </c>
      <c r="H628" s="146">
        <v>4.669132215031039E-2</v>
      </c>
      <c r="I628" s="147">
        <v>1.0649999999999999</v>
      </c>
      <c r="J628" s="148">
        <v>0.33234181906885762</v>
      </c>
      <c r="K628" s="149">
        <v>35</v>
      </c>
      <c r="L628" s="149">
        <v>272</v>
      </c>
      <c r="M628" s="151">
        <v>9.2910000000000004</v>
      </c>
      <c r="N628" s="135"/>
    </row>
    <row r="629" spans="1:14" x14ac:dyDescent="0.25">
      <c r="A629" s="142">
        <v>44739</v>
      </c>
      <c r="B629" s="81" t="s">
        <v>47</v>
      </c>
      <c r="C629" s="129" t="str">
        <f t="shared" si="19"/>
        <v>27.06.2022_KIRob</v>
      </c>
      <c r="D629" s="143">
        <f t="shared" si="20"/>
        <v>0</v>
      </c>
      <c r="E629" s="144">
        <v>1.8585047842697419E-2</v>
      </c>
      <c r="F629" s="145">
        <v>9.9833853283395318E-3</v>
      </c>
      <c r="G629" s="146">
        <v>0.44765045707076295</v>
      </c>
      <c r="H629" s="146">
        <v>0.3237265002421521</v>
      </c>
      <c r="I629" s="147">
        <v>5.6440000000000001</v>
      </c>
      <c r="J629" s="148">
        <v>1.7209649164095999</v>
      </c>
      <c r="K629" s="149">
        <v>86</v>
      </c>
      <c r="L629" s="149">
        <v>174</v>
      </c>
      <c r="M629" s="151">
        <v>8.7759999999999998</v>
      </c>
      <c r="N629" s="135"/>
    </row>
    <row r="630" spans="1:14" x14ac:dyDescent="0.25">
      <c r="A630" s="142">
        <v>44739</v>
      </c>
      <c r="B630" s="81" t="s">
        <v>49</v>
      </c>
      <c r="C630" s="129" t="str">
        <f t="shared" si="19"/>
        <v>27.06.2022_KIRun</v>
      </c>
      <c r="D630" s="143">
        <f t="shared" si="20"/>
        <v>0</v>
      </c>
      <c r="E630" s="144">
        <v>1.8585047842697419E-2</v>
      </c>
      <c r="F630" s="145">
        <v>9.9307738291051825E-3</v>
      </c>
      <c r="G630" s="146">
        <v>0.11335354921534341</v>
      </c>
      <c r="H630" s="146">
        <v>9.4939021705631135E-2</v>
      </c>
      <c r="I630" s="147">
        <v>3.669</v>
      </c>
      <c r="J630" s="148">
        <v>0.94563911258850142</v>
      </c>
      <c r="K630" s="149">
        <v>63</v>
      </c>
      <c r="L630" s="149">
        <v>152</v>
      </c>
      <c r="M630" s="151">
        <v>8.5830000000000002</v>
      </c>
      <c r="N630" s="135"/>
    </row>
    <row r="631" spans="1:14" x14ac:dyDescent="0.25">
      <c r="A631" s="142">
        <v>44739</v>
      </c>
      <c r="B631" s="81" t="s">
        <v>50</v>
      </c>
      <c r="C631" s="129" t="str">
        <f t="shared" si="19"/>
        <v>27.06.2022_LIEohBo</v>
      </c>
      <c r="D631" s="143">
        <f t="shared" si="20"/>
        <v>0</v>
      </c>
      <c r="E631" s="144">
        <v>4.336511163296064E-2</v>
      </c>
      <c r="F631" s="145">
        <v>2.9829805035918561E-2</v>
      </c>
      <c r="G631" s="146">
        <v>0.25168330418999979</v>
      </c>
      <c r="H631" s="146">
        <v>1.5563774050103462E-2</v>
      </c>
      <c r="I631" s="147">
        <v>6.2E-2</v>
      </c>
      <c r="J631" s="148">
        <v>0.21417189988004695</v>
      </c>
      <c r="K631" s="149">
        <v>28.443999999999999</v>
      </c>
      <c r="L631" s="149">
        <v>54</v>
      </c>
      <c r="M631" s="151">
        <v>12.99</v>
      </c>
      <c r="N631" s="135"/>
    </row>
    <row r="632" spans="1:14" x14ac:dyDescent="0.25">
      <c r="A632" s="142">
        <v>44739</v>
      </c>
      <c r="B632" s="81" t="s">
        <v>53</v>
      </c>
      <c r="C632" s="129" t="str">
        <f t="shared" si="19"/>
        <v>27.06.2022_NATohBo</v>
      </c>
      <c r="D632" s="143">
        <f t="shared" si="20"/>
        <v>0</v>
      </c>
      <c r="E632" s="144">
        <v>2.6845069106118492E-2</v>
      </c>
      <c r="F632" s="145">
        <v>1.2865549955426091E-2</v>
      </c>
      <c r="G632" s="146">
        <v>0.25168330418999979</v>
      </c>
      <c r="H632" s="146">
        <v>3.5796680315237965E-2</v>
      </c>
      <c r="I632" s="147">
        <v>1.395</v>
      </c>
      <c r="J632" s="148">
        <v>0.52141651819246715</v>
      </c>
      <c r="K632" s="149">
        <v>104</v>
      </c>
      <c r="L632" s="149">
        <v>467</v>
      </c>
      <c r="M632" s="151">
        <v>11.95</v>
      </c>
      <c r="N632" s="135"/>
    </row>
    <row r="633" spans="1:14" x14ac:dyDescent="0.25">
      <c r="A633" s="142">
        <v>44739</v>
      </c>
      <c r="B633" s="81" t="s">
        <v>55</v>
      </c>
      <c r="C633" s="129" t="str">
        <f t="shared" si="19"/>
        <v>27.06.2022_QUAohBo</v>
      </c>
      <c r="D633" s="143">
        <f t="shared" si="20"/>
        <v>8</v>
      </c>
      <c r="E633" s="144"/>
      <c r="F633" s="145"/>
      <c r="G633" s="146"/>
      <c r="H633" s="146"/>
      <c r="I633" s="147"/>
      <c r="J633" s="148"/>
      <c r="K633" s="149"/>
      <c r="L633" s="149"/>
      <c r="M633" s="152"/>
      <c r="N633" s="135" t="s">
        <v>341</v>
      </c>
    </row>
    <row r="634" spans="1:14" x14ac:dyDescent="0.25">
      <c r="A634" s="142">
        <v>44739</v>
      </c>
      <c r="B634" s="81" t="s">
        <v>57</v>
      </c>
      <c r="C634" s="129" t="str">
        <f t="shared" si="19"/>
        <v>27.06.2022_SCHohVo</v>
      </c>
      <c r="D634" s="143">
        <f t="shared" si="20"/>
        <v>8</v>
      </c>
      <c r="E634" s="144"/>
      <c r="F634" s="145"/>
      <c r="G634" s="146"/>
      <c r="H634" s="146"/>
      <c r="I634" s="147"/>
      <c r="J634" s="148"/>
      <c r="K634" s="149"/>
      <c r="L634" s="149"/>
      <c r="M634" s="152"/>
      <c r="N634" s="135" t="s">
        <v>341</v>
      </c>
    </row>
    <row r="635" spans="1:14" x14ac:dyDescent="0.25">
      <c r="A635" s="142">
        <v>44739</v>
      </c>
      <c r="B635" s="81" t="s">
        <v>60</v>
      </c>
      <c r="C635" s="129" t="str">
        <f t="shared" si="19"/>
        <v>27.06.2022_VORohBo</v>
      </c>
      <c r="D635" s="143">
        <f t="shared" si="20"/>
        <v>0</v>
      </c>
      <c r="E635" s="144">
        <v>1.4455037210986878E-2</v>
      </c>
      <c r="F635" s="145">
        <v>1.0095160594894459E-2</v>
      </c>
      <c r="G635" s="146">
        <v>0.39385555235839664</v>
      </c>
      <c r="H635" s="146">
        <v>7.7818870250517327E-2</v>
      </c>
      <c r="I635" s="147">
        <v>1.56</v>
      </c>
      <c r="J635" s="148">
        <v>0.68187405289854142</v>
      </c>
      <c r="K635" s="149">
        <v>34</v>
      </c>
      <c r="L635" s="149">
        <v>216</v>
      </c>
      <c r="M635" s="151">
        <v>10.24</v>
      </c>
      <c r="N635" s="135"/>
    </row>
    <row r="636" spans="1:14" x14ac:dyDescent="0.25">
      <c r="A636" s="142">
        <v>44739</v>
      </c>
      <c r="B636" s="81" t="s">
        <v>62</v>
      </c>
      <c r="C636" s="129" t="str">
        <f t="shared" si="19"/>
        <v>27.06.2022_VORuhSc</v>
      </c>
      <c r="D636" s="143">
        <f t="shared" si="20"/>
        <v>0</v>
      </c>
      <c r="E636" s="144">
        <v>1.2390031895131612E-2</v>
      </c>
      <c r="F636" s="145">
        <v>9.874474977007679E-3</v>
      </c>
      <c r="G636" s="146">
        <v>0.34390314083977069</v>
      </c>
      <c r="H636" s="146">
        <v>3.2683925505217273E-2</v>
      </c>
      <c r="I636" s="147">
        <v>1.351</v>
      </c>
      <c r="J636" s="148">
        <v>0.58213834095073702</v>
      </c>
      <c r="K636" s="149">
        <v>32</v>
      </c>
      <c r="L636" s="149">
        <v>158</v>
      </c>
      <c r="M636" s="151">
        <v>9.5990000000000002</v>
      </c>
      <c r="N636" s="135"/>
    </row>
    <row r="637" spans="1:14" x14ac:dyDescent="0.25">
      <c r="A637" s="142">
        <v>44739</v>
      </c>
      <c r="B637" s="81" t="s">
        <v>64</v>
      </c>
      <c r="C637" s="129" t="str">
        <f t="shared" si="19"/>
        <v>27.06.2022_WITob</v>
      </c>
      <c r="D637" s="143">
        <f t="shared" si="20"/>
        <v>0</v>
      </c>
      <c r="E637" s="144">
        <v>1.8585047842697419E-2</v>
      </c>
      <c r="F637" s="145">
        <v>9.2017209874193668E-3</v>
      </c>
      <c r="G637" s="146">
        <v>0.01</v>
      </c>
      <c r="H637" s="146">
        <v>1.400739664509312E-2</v>
      </c>
      <c r="I637" s="147">
        <v>0.64800000000000002</v>
      </c>
      <c r="J637" s="148">
        <v>0.15839321190859859</v>
      </c>
      <c r="K637" s="149">
        <v>67</v>
      </c>
      <c r="L637" s="149">
        <v>226</v>
      </c>
      <c r="M637" s="151">
        <v>8.06</v>
      </c>
      <c r="N637" s="135"/>
    </row>
    <row r="638" spans="1:14" x14ac:dyDescent="0.25">
      <c r="A638" s="142">
        <v>44753</v>
      </c>
      <c r="B638" s="81" t="s">
        <v>22</v>
      </c>
      <c r="C638" s="129" t="str">
        <f t="shared" si="19"/>
        <v>11.07.2022_BOYkl</v>
      </c>
      <c r="D638" s="143">
        <f t="shared" si="20"/>
        <v>8</v>
      </c>
      <c r="E638" s="144"/>
      <c r="F638" s="145"/>
      <c r="G638" s="146"/>
      <c r="H638" s="146"/>
      <c r="I638" s="147"/>
      <c r="J638" s="148"/>
      <c r="K638" s="149"/>
      <c r="L638" s="149"/>
      <c r="M638" s="152"/>
      <c r="N638" s="135" t="s">
        <v>341</v>
      </c>
    </row>
    <row r="639" spans="1:14" x14ac:dyDescent="0.25">
      <c r="A639" s="142">
        <v>44753</v>
      </c>
      <c r="B639" s="81" t="s">
        <v>25</v>
      </c>
      <c r="C639" s="129" t="str">
        <f t="shared" si="19"/>
        <v>11.07.2022_BOYohB224</v>
      </c>
      <c r="D639" s="143">
        <f t="shared" si="20"/>
        <v>0</v>
      </c>
      <c r="E639" s="144">
        <v>1.0932088075210291E-2</v>
      </c>
      <c r="F639" s="145">
        <v>1.9189087785394007E-2</v>
      </c>
      <c r="G639" s="146">
        <v>0.19735370408647479</v>
      </c>
      <c r="H639" s="146">
        <v>6.9703389830508469E-3</v>
      </c>
      <c r="I639" s="147">
        <v>1.272</v>
      </c>
      <c r="J639" s="148">
        <v>0.44267193738949662</v>
      </c>
      <c r="K639" s="149">
        <v>43</v>
      </c>
      <c r="L639" s="149">
        <v>216</v>
      </c>
      <c r="M639" s="151">
        <v>9.6620000000000008</v>
      </c>
      <c r="N639" s="135"/>
    </row>
    <row r="640" spans="1:14" x14ac:dyDescent="0.25">
      <c r="A640" s="142">
        <v>44753</v>
      </c>
      <c r="B640" s="81" t="s">
        <v>28</v>
      </c>
      <c r="C640" s="129" t="str">
        <f t="shared" si="19"/>
        <v>11.07.2022_BOYohBr</v>
      </c>
      <c r="D640" s="143">
        <f t="shared" si="20"/>
        <v>0</v>
      </c>
      <c r="E640" s="144">
        <v>2.6237011380504698E-2</v>
      </c>
      <c r="F640" s="145">
        <v>2.293934895810593E-2</v>
      </c>
      <c r="G640" s="146">
        <v>0.23778468059586783</v>
      </c>
      <c r="H640" s="146">
        <v>6.0990466101694903E-2</v>
      </c>
      <c r="I640" s="147">
        <v>4.3890000000000002</v>
      </c>
      <c r="J640" s="148">
        <v>1.1945494040405464</v>
      </c>
      <c r="K640" s="149">
        <v>21.765999999999998</v>
      </c>
      <c r="L640" s="149">
        <v>78</v>
      </c>
      <c r="M640" s="151">
        <v>7.335</v>
      </c>
      <c r="N640" s="135"/>
    </row>
    <row r="641" spans="1:14" x14ac:dyDescent="0.25">
      <c r="A641" s="142">
        <v>44753</v>
      </c>
      <c r="B641" s="81" t="s">
        <v>30</v>
      </c>
      <c r="C641" s="129" t="str">
        <f t="shared" si="19"/>
        <v>11.07.2022_BOYohKi</v>
      </c>
      <c r="D641" s="143">
        <f t="shared" si="20"/>
        <v>0</v>
      </c>
      <c r="E641" s="144">
        <v>1.3118505690252347E-2</v>
      </c>
      <c r="F641" s="145">
        <v>1.9026795239953157E-2</v>
      </c>
      <c r="G641" s="146">
        <v>0.21251532027749714</v>
      </c>
      <c r="H641" s="146">
        <v>4.5307203389830512E-2</v>
      </c>
      <c r="I641" s="147">
        <v>1.9019999999999999</v>
      </c>
      <c r="J641" s="148">
        <v>0.60841453911430765</v>
      </c>
      <c r="K641" s="149">
        <v>32</v>
      </c>
      <c r="L641" s="149">
        <v>151</v>
      </c>
      <c r="M641" s="151">
        <v>9.3439999999999994</v>
      </c>
      <c r="N641" s="135"/>
    </row>
    <row r="642" spans="1:14" x14ac:dyDescent="0.25">
      <c r="A642" s="142">
        <v>44753</v>
      </c>
      <c r="B642" s="81" t="s">
        <v>32</v>
      </c>
      <c r="C642" s="129" t="str">
        <f t="shared" si="19"/>
        <v>11.07.2022_BOYohSp</v>
      </c>
      <c r="D642" s="143">
        <f t="shared" si="20"/>
        <v>0</v>
      </c>
      <c r="E642" s="144">
        <v>2.405059376546264E-2</v>
      </c>
      <c r="F642" s="145">
        <v>2.2896898104021089E-2</v>
      </c>
      <c r="G642" s="146">
        <v>0.19735370408647479</v>
      </c>
      <c r="H642" s="146">
        <v>5.9247881355932203E-2</v>
      </c>
      <c r="I642" s="147">
        <v>4.2649999999999997</v>
      </c>
      <c r="J642" s="148">
        <v>1.1346167451649203</v>
      </c>
      <c r="K642" s="149">
        <v>25.413</v>
      </c>
      <c r="L642" s="149">
        <v>83</v>
      </c>
      <c r="M642" s="151">
        <v>8.58</v>
      </c>
      <c r="N642" s="135"/>
    </row>
    <row r="643" spans="1:14" x14ac:dyDescent="0.25">
      <c r="A643" s="142">
        <v>44753</v>
      </c>
      <c r="B643" s="81" t="s">
        <v>36</v>
      </c>
      <c r="C643" s="129" t="str">
        <f t="shared" si="19"/>
        <v>11.07.2022_BOYuhSp</v>
      </c>
      <c r="D643" s="143">
        <f t="shared" si="20"/>
        <v>0</v>
      </c>
      <c r="E643" s="144">
        <v>3.0609846610588819E-2</v>
      </c>
      <c r="F643" s="145">
        <v>2.7815685211691931E-2</v>
      </c>
      <c r="G643" s="146">
        <v>0.18724595995912652</v>
      </c>
      <c r="H643" s="146">
        <v>6.4475635593220337E-2</v>
      </c>
      <c r="I643" s="147">
        <v>4.008</v>
      </c>
      <c r="J643" s="148">
        <v>1.070311182705018</v>
      </c>
      <c r="K643" s="149">
        <v>28.021000000000001</v>
      </c>
      <c r="L643" s="149">
        <v>88</v>
      </c>
      <c r="M643" s="151">
        <v>8.9760000000000009</v>
      </c>
      <c r="N643" s="135"/>
    </row>
    <row r="644" spans="1:14" x14ac:dyDescent="0.25">
      <c r="A644" s="142">
        <v>44753</v>
      </c>
      <c r="B644" s="81" t="s">
        <v>38</v>
      </c>
      <c r="C644" s="129" t="str">
        <f t="shared" si="19"/>
        <v>11.07.2022_BRAob</v>
      </c>
      <c r="D644" s="143">
        <f t="shared" si="20"/>
        <v>0</v>
      </c>
      <c r="E644" s="144">
        <v>3.7169099455714991E-2</v>
      </c>
      <c r="F644" s="145">
        <v>4.0969586705677498E-2</v>
      </c>
      <c r="G644" s="146">
        <v>0.19229983202280065</v>
      </c>
      <c r="H644" s="146">
        <v>2.2653601694915249E-2</v>
      </c>
      <c r="I644" s="147">
        <v>1.63</v>
      </c>
      <c r="J644" s="148">
        <v>0.52438388560340132</v>
      </c>
      <c r="K644" s="149">
        <v>30</v>
      </c>
      <c r="L644" s="149">
        <v>121</v>
      </c>
      <c r="M644" s="151">
        <v>8.4710000000000001</v>
      </c>
      <c r="N644" s="135"/>
    </row>
    <row r="645" spans="1:14" x14ac:dyDescent="0.25">
      <c r="A645" s="142">
        <v>44753</v>
      </c>
      <c r="B645" s="81" t="s">
        <v>41</v>
      </c>
      <c r="C645" s="129" t="str">
        <f t="shared" ref="C645:C708" si="21">CONCATENATE(TEXT(A645,"TT.MM.JJJJ"),"_",B645)</f>
        <v>11.07.2022_BRAohBo</v>
      </c>
      <c r="D645" s="143">
        <f t="shared" ref="D645:D708" si="22">COUNTBLANK(E645:L645)</f>
        <v>8</v>
      </c>
      <c r="E645" s="144"/>
      <c r="F645" s="145"/>
      <c r="G645" s="146"/>
      <c r="H645" s="146"/>
      <c r="I645" s="147"/>
      <c r="J645" s="148"/>
      <c r="K645" s="149"/>
      <c r="L645" s="149"/>
      <c r="M645" s="152"/>
      <c r="N645" s="135" t="s">
        <v>341</v>
      </c>
    </row>
    <row r="646" spans="1:14" x14ac:dyDescent="0.25">
      <c r="A646" s="142">
        <v>44753</v>
      </c>
      <c r="B646" s="81" t="s">
        <v>43</v>
      </c>
      <c r="C646" s="129" t="str">
        <f t="shared" si="21"/>
        <v>11.07.2022_HAAob</v>
      </c>
      <c r="D646" s="143">
        <f t="shared" si="22"/>
        <v>0</v>
      </c>
      <c r="E646" s="144">
        <v>5.2474022761009396E-2</v>
      </c>
      <c r="F646" s="145">
        <v>3.0781289132998751E-2</v>
      </c>
      <c r="G646" s="146">
        <v>0.14681498344973348</v>
      </c>
      <c r="H646" s="146">
        <v>3.4851694915254204E-3</v>
      </c>
      <c r="I646" s="147">
        <v>0.73499999999999999</v>
      </c>
      <c r="J646" s="148">
        <v>0.28107587635057846</v>
      </c>
      <c r="K646" s="149">
        <v>31</v>
      </c>
      <c r="L646" s="149">
        <v>159</v>
      </c>
      <c r="M646" s="151">
        <v>8.8810000000000002</v>
      </c>
      <c r="N646" s="135"/>
    </row>
    <row r="647" spans="1:14" x14ac:dyDescent="0.25">
      <c r="A647" s="142">
        <v>44753</v>
      </c>
      <c r="B647" s="81" t="s">
        <v>45</v>
      </c>
      <c r="C647" s="129" t="str">
        <f t="shared" si="21"/>
        <v>11.07.2022_HAAun</v>
      </c>
      <c r="D647" s="143">
        <f t="shared" si="22"/>
        <v>0</v>
      </c>
      <c r="E647" s="144">
        <v>1.7491340920336468E-2</v>
      </c>
      <c r="F647" s="145">
        <v>3.1798636323871719E-2</v>
      </c>
      <c r="G647" s="146">
        <v>0.22262306440484542</v>
      </c>
      <c r="H647" s="146">
        <v>0</v>
      </c>
      <c r="I647" s="147">
        <v>1.008</v>
      </c>
      <c r="J647" s="148">
        <v>0.3994804834280235</v>
      </c>
      <c r="K647" s="149">
        <v>36</v>
      </c>
      <c r="L647" s="149">
        <v>261</v>
      </c>
      <c r="M647" s="151">
        <v>9.6159999999999997</v>
      </c>
      <c r="N647" s="135"/>
    </row>
    <row r="648" spans="1:14" x14ac:dyDescent="0.25">
      <c r="A648" s="142">
        <v>44753</v>
      </c>
      <c r="B648" s="81" t="s">
        <v>47</v>
      </c>
      <c r="C648" s="129" t="str">
        <f t="shared" si="21"/>
        <v>11.07.2022_KIRob</v>
      </c>
      <c r="D648" s="143">
        <f t="shared" si="22"/>
        <v>0</v>
      </c>
      <c r="E648" s="144">
        <v>1.0932088075210291E-2</v>
      </c>
      <c r="F648" s="145">
        <v>1.2965582337530554E-2</v>
      </c>
      <c r="G648" s="146">
        <v>0.41972407488813657</v>
      </c>
      <c r="H648" s="146">
        <v>0.1638029661016949</v>
      </c>
      <c r="I648" s="147">
        <v>5.6749999999999998</v>
      </c>
      <c r="J648" s="148">
        <v>1.6575936099395503</v>
      </c>
      <c r="K648" s="149">
        <v>88</v>
      </c>
      <c r="L648" s="149">
        <v>172</v>
      </c>
      <c r="M648" s="151">
        <v>9.5500000000000007</v>
      </c>
      <c r="N648" s="135"/>
    </row>
    <row r="649" spans="1:14" x14ac:dyDescent="0.25">
      <c r="A649" s="142">
        <v>44753</v>
      </c>
      <c r="B649" s="81" t="s">
        <v>49</v>
      </c>
      <c r="C649" s="129" t="str">
        <f t="shared" si="21"/>
        <v>11.07.2022_KIRun</v>
      </c>
      <c r="D649" s="143">
        <f t="shared" si="22"/>
        <v>0</v>
      </c>
      <c r="E649" s="144">
        <v>3.0609846610588819E-2</v>
      </c>
      <c r="F649" s="145">
        <v>1.3824239913419065E-2</v>
      </c>
      <c r="G649" s="146">
        <v>0.18219208789545238</v>
      </c>
      <c r="H649" s="146">
        <v>0</v>
      </c>
      <c r="I649" s="147">
        <v>3.7349999999999999</v>
      </c>
      <c r="J649" s="148">
        <v>0.9850947843299398</v>
      </c>
      <c r="K649" s="149">
        <v>64</v>
      </c>
      <c r="L649" s="149">
        <v>151</v>
      </c>
      <c r="M649" s="151">
        <v>10.45</v>
      </c>
      <c r="N649" s="135"/>
    </row>
    <row r="650" spans="1:14" x14ac:dyDescent="0.25">
      <c r="A650" s="142">
        <v>44753</v>
      </c>
      <c r="B650" s="81" t="s">
        <v>50</v>
      </c>
      <c r="C650" s="129" t="str">
        <f t="shared" si="21"/>
        <v>11.07.2022_LIEohBo</v>
      </c>
      <c r="D650" s="143">
        <f t="shared" si="22"/>
        <v>0</v>
      </c>
      <c r="E650" s="144">
        <v>1.7491340920336468E-2</v>
      </c>
      <c r="F650" s="145">
        <v>3.6475417070992819E-2</v>
      </c>
      <c r="G650" s="146">
        <v>0.27063484900974966</v>
      </c>
      <c r="H650" s="146">
        <v>0</v>
      </c>
      <c r="I650" s="147">
        <v>8.8999999999999996E-2</v>
      </c>
      <c r="J650" s="148">
        <v>0.22918662405588561</v>
      </c>
      <c r="K650" s="149">
        <v>22.536999999999999</v>
      </c>
      <c r="L650" s="149">
        <v>63</v>
      </c>
      <c r="M650" s="151">
        <v>14.16</v>
      </c>
      <c r="N650" s="135"/>
    </row>
    <row r="651" spans="1:14" x14ac:dyDescent="0.25">
      <c r="A651" s="142">
        <v>44753</v>
      </c>
      <c r="B651" s="81" t="s">
        <v>53</v>
      </c>
      <c r="C651" s="129" t="str">
        <f t="shared" si="21"/>
        <v>11.07.2022_NATohBo</v>
      </c>
      <c r="D651" s="143">
        <f t="shared" si="22"/>
        <v>0</v>
      </c>
      <c r="E651" s="144">
        <v>1.7491340920336468E-2</v>
      </c>
      <c r="F651" s="145">
        <v>1.9684963216295481E-2</v>
      </c>
      <c r="G651" s="146">
        <v>0.49805909187508557</v>
      </c>
      <c r="H651" s="146">
        <v>5.2277542372881338E-3</v>
      </c>
      <c r="I651" s="147">
        <v>1.252</v>
      </c>
      <c r="J651" s="148">
        <v>0.67111873402762756</v>
      </c>
      <c r="K651" s="149">
        <v>120</v>
      </c>
      <c r="L651" s="149">
        <v>537</v>
      </c>
      <c r="M651" s="151">
        <v>9.4770000000000003</v>
      </c>
      <c r="N651" s="135"/>
    </row>
    <row r="652" spans="1:14" x14ac:dyDescent="0.25">
      <c r="A652" s="142">
        <v>44753</v>
      </c>
      <c r="B652" s="81" t="s">
        <v>55</v>
      </c>
      <c r="C652" s="129" t="str">
        <f t="shared" si="21"/>
        <v>11.07.2022_QUAohBo</v>
      </c>
      <c r="D652" s="143">
        <f t="shared" si="22"/>
        <v>8</v>
      </c>
      <c r="E652" s="144"/>
      <c r="F652" s="145"/>
      <c r="G652" s="146"/>
      <c r="H652" s="146"/>
      <c r="I652" s="147"/>
      <c r="J652" s="148"/>
      <c r="K652" s="149"/>
      <c r="L652" s="149"/>
      <c r="M652" s="152"/>
      <c r="N652" s="135" t="s">
        <v>341</v>
      </c>
    </row>
    <row r="653" spans="1:14" x14ac:dyDescent="0.25">
      <c r="A653" s="142">
        <v>44753</v>
      </c>
      <c r="B653" s="81" t="s">
        <v>57</v>
      </c>
      <c r="C653" s="129" t="str">
        <f t="shared" si="21"/>
        <v>11.07.2022_SCHohVo</v>
      </c>
      <c r="D653" s="143">
        <f t="shared" si="22"/>
        <v>8</v>
      </c>
      <c r="E653" s="144"/>
      <c r="F653" s="145"/>
      <c r="G653" s="146"/>
      <c r="H653" s="146"/>
      <c r="I653" s="147"/>
      <c r="J653" s="148"/>
      <c r="K653" s="149"/>
      <c r="L653" s="149"/>
      <c r="M653" s="152"/>
      <c r="N653" s="135" t="s">
        <v>341</v>
      </c>
    </row>
    <row r="654" spans="1:14" x14ac:dyDescent="0.25">
      <c r="A654" s="142">
        <v>44753</v>
      </c>
      <c r="B654" s="81" t="s">
        <v>60</v>
      </c>
      <c r="C654" s="129" t="str">
        <f t="shared" si="21"/>
        <v>11.07.2022_VORohBo</v>
      </c>
      <c r="D654" s="143">
        <f t="shared" si="22"/>
        <v>0</v>
      </c>
      <c r="E654" s="144">
        <v>0</v>
      </c>
      <c r="F654" s="145">
        <v>1.1471670660477405E-2</v>
      </c>
      <c r="G654" s="146">
        <v>0.5662863647346863</v>
      </c>
      <c r="H654" s="146">
        <v>4.3564618644067798E-2</v>
      </c>
      <c r="I654" s="147">
        <v>1.387</v>
      </c>
      <c r="J654" s="148">
        <v>0.76626063749902307</v>
      </c>
      <c r="K654" s="149">
        <v>36</v>
      </c>
      <c r="L654" s="149">
        <v>222</v>
      </c>
      <c r="M654" s="151">
        <v>11.26</v>
      </c>
      <c r="N654" s="135"/>
    </row>
    <row r="655" spans="1:14" x14ac:dyDescent="0.25">
      <c r="A655" s="142">
        <v>44753</v>
      </c>
      <c r="B655" s="81" t="s">
        <v>62</v>
      </c>
      <c r="C655" s="129" t="str">
        <f t="shared" si="21"/>
        <v>11.07.2022_VORuhSc</v>
      </c>
      <c r="D655" s="143">
        <f t="shared" si="22"/>
        <v>0</v>
      </c>
      <c r="E655" s="144">
        <v>0</v>
      </c>
      <c r="F655" s="145">
        <v>9.3665162487252401E-3</v>
      </c>
      <c r="G655" s="146">
        <v>0.50058602790692264</v>
      </c>
      <c r="H655" s="146">
        <v>8.7129237288135607E-3</v>
      </c>
      <c r="I655" s="147">
        <v>0.60299999999999998</v>
      </c>
      <c r="J655" s="148">
        <v>0.52755230443868362</v>
      </c>
      <c r="K655" s="149">
        <v>33</v>
      </c>
      <c r="L655" s="149">
        <v>240</v>
      </c>
      <c r="M655" s="151">
        <v>9.3529999999999998</v>
      </c>
      <c r="N655" s="135"/>
    </row>
    <row r="656" spans="1:14" x14ac:dyDescent="0.25">
      <c r="A656" s="142">
        <v>44753</v>
      </c>
      <c r="B656" s="81" t="s">
        <v>64</v>
      </c>
      <c r="C656" s="129" t="str">
        <f t="shared" si="21"/>
        <v>11.07.2022_WITob</v>
      </c>
      <c r="D656" s="143">
        <f t="shared" si="22"/>
        <v>0</v>
      </c>
      <c r="E656" s="144">
        <v>0</v>
      </c>
      <c r="F656" s="145">
        <v>1.4982060542539677E-2</v>
      </c>
      <c r="G656" s="146">
        <v>0.11396481503585164</v>
      </c>
      <c r="H656" s="146">
        <v>0.01</v>
      </c>
      <c r="I656" s="147">
        <v>0.65600000000000003</v>
      </c>
      <c r="J656" s="148">
        <v>0.23970775922718845</v>
      </c>
      <c r="K656" s="149">
        <v>69</v>
      </c>
      <c r="L656" s="149">
        <v>242</v>
      </c>
      <c r="M656" s="151">
        <v>10.17</v>
      </c>
      <c r="N656" s="135"/>
    </row>
    <row r="657" spans="1:17" x14ac:dyDescent="0.25">
      <c r="A657" s="142">
        <v>44767</v>
      </c>
      <c r="B657" s="81" t="s">
        <v>22</v>
      </c>
      <c r="C657" s="129" t="str">
        <f t="shared" si="21"/>
        <v>25.07.2022_BOYkl</v>
      </c>
      <c r="D657" s="143">
        <f t="shared" si="22"/>
        <v>8</v>
      </c>
      <c r="E657" s="144"/>
      <c r="F657" s="145"/>
      <c r="G657" s="146"/>
      <c r="H657" s="146"/>
      <c r="I657" s="147"/>
      <c r="J657" s="148"/>
      <c r="K657" s="149"/>
      <c r="L657" s="149"/>
      <c r="M657" s="152"/>
      <c r="N657" s="135" t="s">
        <v>341</v>
      </c>
    </row>
    <row r="658" spans="1:17" x14ac:dyDescent="0.25">
      <c r="A658" s="142">
        <v>44767</v>
      </c>
      <c r="B658" s="81" t="s">
        <v>25</v>
      </c>
      <c r="C658" s="129" t="str">
        <f t="shared" si="21"/>
        <v>25.07.2022_BOYohB224</v>
      </c>
      <c r="D658" s="143">
        <f t="shared" si="22"/>
        <v>0</v>
      </c>
      <c r="E658" s="144">
        <v>3.9242452355077263E-2</v>
      </c>
      <c r="F658" s="145">
        <v>2.5786847468125412E-2</v>
      </c>
      <c r="G658" s="146">
        <v>9.6579585241044999E-2</v>
      </c>
      <c r="H658" s="146">
        <v>2.2793846720707441E-2</v>
      </c>
      <c r="I658" s="147">
        <v>0.86599999999999999</v>
      </c>
      <c r="J658" s="148">
        <v>0.27753608877793845</v>
      </c>
      <c r="K658" s="149">
        <v>44</v>
      </c>
      <c r="L658" s="149">
        <v>221</v>
      </c>
      <c r="M658" s="150"/>
      <c r="N658" s="135"/>
    </row>
    <row r="659" spans="1:17" x14ac:dyDescent="0.25">
      <c r="A659" s="142">
        <v>44767</v>
      </c>
      <c r="B659" s="81" t="s">
        <v>28</v>
      </c>
      <c r="C659" s="129" t="str">
        <f t="shared" si="21"/>
        <v>25.07.2022_BOYohBr</v>
      </c>
      <c r="D659" s="143">
        <f t="shared" si="22"/>
        <v>0</v>
      </c>
      <c r="E659" s="144">
        <v>4.1858615845415753E-2</v>
      </c>
      <c r="F659" s="145">
        <v>2.7242356872783504E-2</v>
      </c>
      <c r="G659" s="146">
        <v>0.11121285573211243</v>
      </c>
      <c r="H659" s="146">
        <v>3.0934506263817236E-2</v>
      </c>
      <c r="I659" s="147">
        <v>4.6210000000000004</v>
      </c>
      <c r="J659" s="148">
        <v>1.1395189507794472</v>
      </c>
      <c r="K659" s="149">
        <v>29.102</v>
      </c>
      <c r="L659" s="149">
        <v>87</v>
      </c>
      <c r="M659" s="150"/>
      <c r="N659" s="135"/>
    </row>
    <row r="660" spans="1:17" x14ac:dyDescent="0.25">
      <c r="A660" s="142">
        <v>44767</v>
      </c>
      <c r="B660" s="81" t="s">
        <v>30</v>
      </c>
      <c r="C660" s="129" t="str">
        <f t="shared" si="21"/>
        <v>25.07.2022_BOYohKi</v>
      </c>
      <c r="D660" s="143">
        <f t="shared" si="22"/>
        <v>0</v>
      </c>
      <c r="E660" s="144">
        <v>3.1393961884061815E-2</v>
      </c>
      <c r="F660" s="145">
        <v>2.8497620182849424E-2</v>
      </c>
      <c r="G660" s="146">
        <v>0.01</v>
      </c>
      <c r="H660" s="146">
        <v>3.25626381724392E-2</v>
      </c>
      <c r="I660" s="147">
        <v>1.4670000000000001</v>
      </c>
      <c r="J660" s="148">
        <v>0.34902988519159917</v>
      </c>
      <c r="K660" s="149">
        <v>32</v>
      </c>
      <c r="L660" s="149">
        <v>148</v>
      </c>
      <c r="M660" s="150"/>
      <c r="N660" s="135"/>
    </row>
    <row r="661" spans="1:17" x14ac:dyDescent="0.25">
      <c r="A661" s="142">
        <v>44767</v>
      </c>
      <c r="B661" s="81" t="s">
        <v>32</v>
      </c>
      <c r="C661" s="129" t="str">
        <f t="shared" si="21"/>
        <v>25.07.2022_BOYohSp</v>
      </c>
      <c r="D661" s="143">
        <f t="shared" si="22"/>
        <v>0</v>
      </c>
      <c r="E661" s="144">
        <v>4.4474779335754236E-2</v>
      </c>
      <c r="F661" s="145">
        <v>4.5881563834589925E-2</v>
      </c>
      <c r="G661" s="146">
        <v>0.10243289343747197</v>
      </c>
      <c r="H661" s="146">
        <v>4.5587693441414882E-2</v>
      </c>
      <c r="I661" s="147">
        <v>2.7240000000000002</v>
      </c>
      <c r="J661" s="148">
        <v>0.7086871706935014</v>
      </c>
      <c r="K661" s="149">
        <v>23.231999999999999</v>
      </c>
      <c r="L661" s="149">
        <v>78</v>
      </c>
      <c r="M661" s="150"/>
      <c r="N661" s="135"/>
    </row>
    <row r="662" spans="1:17" x14ac:dyDescent="0.25">
      <c r="A662" s="142">
        <v>44767</v>
      </c>
      <c r="B662" s="81" t="s">
        <v>36</v>
      </c>
      <c r="C662" s="129" t="str">
        <f t="shared" si="21"/>
        <v>25.07.2022_BOYuhSp</v>
      </c>
      <c r="D662" s="143">
        <f t="shared" si="22"/>
        <v>0</v>
      </c>
      <c r="E662" s="144">
        <v>3.9242452355077263E-2</v>
      </c>
      <c r="F662" s="145">
        <v>3.9819938885153387E-2</v>
      </c>
      <c r="G662" s="146">
        <v>9.3652931142831505E-2</v>
      </c>
      <c r="H662" s="146">
        <v>4.0703297715549008E-2</v>
      </c>
      <c r="I662" s="147">
        <v>2.8969999999999998</v>
      </c>
      <c r="J662" s="148">
        <v>0.73945807349259607</v>
      </c>
      <c r="K662" s="149">
        <v>26.111000000000001</v>
      </c>
      <c r="L662" s="149">
        <v>82</v>
      </c>
      <c r="M662" s="150"/>
      <c r="N662" s="135"/>
    </row>
    <row r="663" spans="1:17" x14ac:dyDescent="0.25">
      <c r="A663" s="142">
        <v>44767</v>
      </c>
      <c r="B663" s="81" t="s">
        <v>38</v>
      </c>
      <c r="C663" s="129" t="str">
        <f t="shared" si="21"/>
        <v>25.07.2022_BRAob</v>
      </c>
      <c r="D663" s="143">
        <f t="shared" si="22"/>
        <v>0</v>
      </c>
      <c r="E663" s="144">
        <v>7.0636414239139092E-2</v>
      </c>
      <c r="F663" s="145">
        <v>6.9370399153557777E-2</v>
      </c>
      <c r="G663" s="146">
        <v>0.14047939671424725</v>
      </c>
      <c r="H663" s="146">
        <v>3.581890198968312E-2</v>
      </c>
      <c r="I663" s="147">
        <v>1.399</v>
      </c>
      <c r="J663" s="148">
        <v>0.43597804146540486</v>
      </c>
      <c r="K663" s="149">
        <v>28</v>
      </c>
      <c r="L663" s="149">
        <v>112</v>
      </c>
      <c r="M663" s="150"/>
      <c r="N663" s="135"/>
      <c r="P663" s="63"/>
      <c r="Q663" s="63"/>
    </row>
    <row r="664" spans="1:17" x14ac:dyDescent="0.25">
      <c r="A664" s="142">
        <v>44767</v>
      </c>
      <c r="B664" s="81" t="s">
        <v>41</v>
      </c>
      <c r="C664" s="129" t="str">
        <f t="shared" si="21"/>
        <v>25.07.2022_BRAohBo</v>
      </c>
      <c r="D664" s="143">
        <f t="shared" si="22"/>
        <v>8</v>
      </c>
      <c r="E664" s="144"/>
      <c r="F664" s="145"/>
      <c r="G664" s="146"/>
      <c r="H664" s="146"/>
      <c r="I664" s="147"/>
      <c r="J664" s="148"/>
      <c r="K664" s="149"/>
      <c r="L664" s="149"/>
      <c r="M664" s="152"/>
      <c r="N664" s="135" t="s">
        <v>341</v>
      </c>
    </row>
    <row r="665" spans="1:17" x14ac:dyDescent="0.25">
      <c r="A665" s="142">
        <v>44767</v>
      </c>
      <c r="B665" s="81" t="s">
        <v>43</v>
      </c>
      <c r="C665" s="129" t="str">
        <f t="shared" si="21"/>
        <v>25.07.2022_HAAob</v>
      </c>
      <c r="D665" s="143">
        <f t="shared" si="22"/>
        <v>0</v>
      </c>
      <c r="E665" s="144">
        <v>5.7555596787446664E-2</v>
      </c>
      <c r="F665" s="145">
        <v>5.543418170826004E-2</v>
      </c>
      <c r="G665" s="146">
        <v>0.01</v>
      </c>
      <c r="H665" s="146">
        <v>8.1406595431097965E-3</v>
      </c>
      <c r="I665" s="147">
        <v>0.82</v>
      </c>
      <c r="J665" s="148">
        <v>0.19545672379789975</v>
      </c>
      <c r="K665" s="149">
        <v>32</v>
      </c>
      <c r="L665" s="149">
        <v>157</v>
      </c>
      <c r="M665" s="150"/>
      <c r="N665" s="135"/>
    </row>
    <row r="666" spans="1:17" x14ac:dyDescent="0.25">
      <c r="A666" s="142">
        <v>44767</v>
      </c>
      <c r="B666" s="81" t="s">
        <v>45</v>
      </c>
      <c r="C666" s="129" t="str">
        <f t="shared" si="21"/>
        <v>25.07.2022_HAAun</v>
      </c>
      <c r="D666" s="143">
        <f t="shared" si="22"/>
        <v>0</v>
      </c>
      <c r="E666" s="144">
        <v>3.9242452355077263E-2</v>
      </c>
      <c r="F666" s="145">
        <v>5.4026243423293263E-2</v>
      </c>
      <c r="G666" s="146">
        <v>0.14047939671424725</v>
      </c>
      <c r="H666" s="146">
        <v>1.4653187177597638E-2</v>
      </c>
      <c r="I666" s="147">
        <v>1.06</v>
      </c>
      <c r="J666" s="148">
        <v>0.3529642095908655</v>
      </c>
      <c r="K666" s="149">
        <v>36</v>
      </c>
      <c r="L666" s="149">
        <v>274</v>
      </c>
      <c r="M666" s="150"/>
      <c r="N666" s="135"/>
    </row>
    <row r="667" spans="1:17" x14ac:dyDescent="0.25">
      <c r="A667" s="142">
        <v>44767</v>
      </c>
      <c r="B667" s="81" t="s">
        <v>47</v>
      </c>
      <c r="C667" s="129" t="str">
        <f t="shared" si="21"/>
        <v>25.07.2022_KIRob</v>
      </c>
      <c r="D667" s="143">
        <f t="shared" si="22"/>
        <v>0</v>
      </c>
      <c r="E667" s="144">
        <v>2.3545471413046363E-2</v>
      </c>
      <c r="F667" s="145">
        <v>1.487086762909306E-2</v>
      </c>
      <c r="G667" s="146">
        <v>0.28973875572313496</v>
      </c>
      <c r="H667" s="146">
        <v>0.24259165438467209</v>
      </c>
      <c r="I667" s="147">
        <v>5.3719999999999999</v>
      </c>
      <c r="J667" s="148">
        <v>1.5122099156088704</v>
      </c>
      <c r="K667" s="149">
        <v>91</v>
      </c>
      <c r="L667" s="149">
        <v>177</v>
      </c>
      <c r="M667" s="150"/>
      <c r="N667" s="135"/>
    </row>
    <row r="668" spans="1:17" x14ac:dyDescent="0.25">
      <c r="A668" s="142">
        <v>44767</v>
      </c>
      <c r="B668" s="81" t="s">
        <v>49</v>
      </c>
      <c r="C668" s="129" t="str">
        <f t="shared" si="21"/>
        <v>25.07.2022_KIRun</v>
      </c>
      <c r="D668" s="143">
        <f t="shared" si="22"/>
        <v>0</v>
      </c>
      <c r="E668" s="144">
        <v>2.8777798393723325E-2</v>
      </c>
      <c r="F668" s="145">
        <v>1.7327192023903062E-2</v>
      </c>
      <c r="G668" s="146">
        <v>0.10828620163389895</v>
      </c>
      <c r="H668" s="146">
        <v>3.419077008106116E-2</v>
      </c>
      <c r="I668" s="147">
        <v>3.4369999999999998</v>
      </c>
      <c r="J668" s="148">
        <v>0.8708077226578852</v>
      </c>
      <c r="K668" s="149">
        <v>66</v>
      </c>
      <c r="L668" s="149">
        <v>155</v>
      </c>
      <c r="M668" s="150"/>
      <c r="N668" s="135"/>
    </row>
    <row r="669" spans="1:17" x14ac:dyDescent="0.25">
      <c r="A669" s="142">
        <v>44767</v>
      </c>
      <c r="B669" s="81" t="s">
        <v>50</v>
      </c>
      <c r="C669" s="129" t="str">
        <f t="shared" si="21"/>
        <v>25.07.2022_LIEohBo</v>
      </c>
      <c r="D669" s="143">
        <f t="shared" si="22"/>
        <v>0</v>
      </c>
      <c r="E669" s="144">
        <v>6.8020250748800595E-2</v>
      </c>
      <c r="F669" s="145">
        <v>4.4832080850131129E-2</v>
      </c>
      <c r="G669" s="146">
        <v>0.16096597540174162</v>
      </c>
      <c r="H669" s="146">
        <v>0.01</v>
      </c>
      <c r="I669" s="147">
        <v>5.3999999999999999E-2</v>
      </c>
      <c r="J669" s="148">
        <v>0.14022995023969834</v>
      </c>
      <c r="K669" s="149">
        <v>26</v>
      </c>
      <c r="L669" s="149">
        <v>54</v>
      </c>
      <c r="M669" s="150"/>
      <c r="N669" s="135"/>
    </row>
    <row r="670" spans="1:17" x14ac:dyDescent="0.25">
      <c r="A670" s="142">
        <v>44767</v>
      </c>
      <c r="B670" s="81" t="s">
        <v>53</v>
      </c>
      <c r="C670" s="129" t="str">
        <f t="shared" si="21"/>
        <v>25.07.2022_NATohBo</v>
      </c>
      <c r="D670" s="143">
        <f t="shared" si="22"/>
        <v>0</v>
      </c>
      <c r="E670" s="144">
        <v>8.6333395181169989E-2</v>
      </c>
      <c r="F670" s="145">
        <v>2.8832373020073531E-2</v>
      </c>
      <c r="G670" s="146">
        <v>0.57069754915162951</v>
      </c>
      <c r="H670" s="146">
        <v>8.1406595431097965E-3</v>
      </c>
      <c r="I670" s="147">
        <v>0.99299999999999999</v>
      </c>
      <c r="J670" s="148">
        <v>0.66990827373864859</v>
      </c>
      <c r="K670" s="149">
        <v>116</v>
      </c>
      <c r="L670" s="149">
        <v>568</v>
      </c>
      <c r="M670" s="150"/>
      <c r="N670" s="135"/>
    </row>
    <row r="671" spans="1:17" x14ac:dyDescent="0.25">
      <c r="A671" s="142">
        <v>44767</v>
      </c>
      <c r="B671" s="81" t="s">
        <v>55</v>
      </c>
      <c r="C671" s="129" t="str">
        <f t="shared" si="21"/>
        <v>25.07.2022_QUAohBo</v>
      </c>
      <c r="D671" s="143">
        <f t="shared" si="22"/>
        <v>8</v>
      </c>
      <c r="E671" s="144"/>
      <c r="F671" s="145"/>
      <c r="G671" s="146"/>
      <c r="H671" s="146"/>
      <c r="I671" s="147"/>
      <c r="J671" s="148"/>
      <c r="K671" s="149"/>
      <c r="L671" s="149"/>
      <c r="M671" s="152"/>
      <c r="N671" s="135" t="s">
        <v>341</v>
      </c>
    </row>
    <row r="672" spans="1:17" x14ac:dyDescent="0.25">
      <c r="A672" s="142">
        <v>44767</v>
      </c>
      <c r="B672" s="81" t="s">
        <v>57</v>
      </c>
      <c r="C672" s="129" t="str">
        <f t="shared" si="21"/>
        <v>25.07.2022_SCHohVo</v>
      </c>
      <c r="D672" s="143">
        <f t="shared" si="22"/>
        <v>8</v>
      </c>
      <c r="E672" s="144"/>
      <c r="F672" s="145"/>
      <c r="G672" s="146"/>
      <c r="H672" s="146"/>
      <c r="I672" s="147"/>
      <c r="J672" s="148"/>
      <c r="K672" s="149"/>
      <c r="L672" s="149"/>
      <c r="M672" s="152"/>
      <c r="N672" s="135" t="s">
        <v>341</v>
      </c>
    </row>
    <row r="673" spans="1:17" x14ac:dyDescent="0.25">
      <c r="A673" s="142">
        <v>44767</v>
      </c>
      <c r="B673" s="81" t="s">
        <v>60</v>
      </c>
      <c r="C673" s="129" t="str">
        <f t="shared" si="21"/>
        <v>25.07.2022_VORohBo</v>
      </c>
      <c r="D673" s="143">
        <f t="shared" si="22"/>
        <v>0</v>
      </c>
      <c r="E673" s="144">
        <v>2.0929307922707877E-2</v>
      </c>
      <c r="F673" s="145">
        <v>1.6921687450111786E-2</v>
      </c>
      <c r="G673" s="146">
        <v>0.47704461800879799</v>
      </c>
      <c r="H673" s="146">
        <v>5.6984616801768598E-2</v>
      </c>
      <c r="I673" s="147">
        <v>1.4259999999999999</v>
      </c>
      <c r="J673" s="148">
        <v>0.70985996202294999</v>
      </c>
      <c r="K673" s="149">
        <v>34</v>
      </c>
      <c r="L673" s="149">
        <v>216</v>
      </c>
      <c r="M673" s="150"/>
      <c r="N673" s="135"/>
    </row>
    <row r="674" spans="1:17" x14ac:dyDescent="0.25">
      <c r="A674" s="142">
        <v>44767</v>
      </c>
      <c r="B674" s="81" t="s">
        <v>62</v>
      </c>
      <c r="C674" s="129" t="str">
        <f t="shared" si="21"/>
        <v>25.07.2022_VORuhSc</v>
      </c>
      <c r="D674" s="143">
        <f t="shared" si="22"/>
        <v>0</v>
      </c>
      <c r="E674" s="144">
        <v>1.3080817451692421E-2</v>
      </c>
      <c r="F674" s="145">
        <v>1.4154003562151704E-2</v>
      </c>
      <c r="G674" s="146">
        <v>0.33949187539276415</v>
      </c>
      <c r="H674" s="146">
        <v>2.1165714812085477E-2</v>
      </c>
      <c r="I674" s="147">
        <v>0.71799999999999997</v>
      </c>
      <c r="J674" s="148">
        <v>0.43223060819826686</v>
      </c>
      <c r="K674" s="149">
        <v>34</v>
      </c>
      <c r="L674" s="149">
        <v>235</v>
      </c>
      <c r="M674" s="150"/>
      <c r="N674" s="135"/>
    </row>
    <row r="675" spans="1:17" x14ac:dyDescent="0.25">
      <c r="A675" s="142">
        <v>44767</v>
      </c>
      <c r="B675" s="81" t="s">
        <v>64</v>
      </c>
      <c r="C675" s="129" t="str">
        <f t="shared" si="21"/>
        <v>25.07.2022_WITob</v>
      </c>
      <c r="D675" s="143">
        <f t="shared" si="22"/>
        <v>0</v>
      </c>
      <c r="E675" s="144">
        <v>0.28777798393723325</v>
      </c>
      <c r="F675" s="145">
        <v>1.6592156400830317E-2</v>
      </c>
      <c r="G675" s="146">
        <v>6.4386390160696652E-2</v>
      </c>
      <c r="H675" s="146">
        <v>3.2562638172439176E-3</v>
      </c>
      <c r="I675" s="147">
        <v>0.80200000000000005</v>
      </c>
      <c r="J675" s="148">
        <v>0.23213449761503924</v>
      </c>
      <c r="K675" s="149">
        <v>66</v>
      </c>
      <c r="L675" s="149">
        <v>225</v>
      </c>
      <c r="M675" s="150"/>
      <c r="N675" s="135"/>
      <c r="O675" s="34"/>
    </row>
    <row r="676" spans="1:17" s="33" customFormat="1" x14ac:dyDescent="0.25">
      <c r="A676" s="142">
        <v>44782</v>
      </c>
      <c r="B676" s="81" t="s">
        <v>22</v>
      </c>
      <c r="C676" s="129" t="str">
        <f t="shared" si="21"/>
        <v>09.08.2022_BOYkl</v>
      </c>
      <c r="D676" s="143">
        <f t="shared" si="22"/>
        <v>8</v>
      </c>
      <c r="E676" s="144"/>
      <c r="F676" s="145"/>
      <c r="G676" s="146"/>
      <c r="H676" s="146"/>
      <c r="I676" s="147"/>
      <c r="J676" s="148"/>
      <c r="K676" s="149"/>
      <c r="L676" s="149"/>
      <c r="M676" s="153"/>
      <c r="N676" s="135" t="s">
        <v>341</v>
      </c>
      <c r="O676" s="23"/>
      <c r="P676" s="37"/>
      <c r="Q676" s="37"/>
    </row>
    <row r="677" spans="1:17" x14ac:dyDescent="0.25">
      <c r="A677" s="142">
        <v>44782</v>
      </c>
      <c r="B677" s="81" t="s">
        <v>25</v>
      </c>
      <c r="C677" s="129" t="str">
        <f t="shared" si="21"/>
        <v>09.08.2022_BOYohB224</v>
      </c>
      <c r="D677" s="143">
        <f t="shared" si="22"/>
        <v>0</v>
      </c>
      <c r="E677" s="144">
        <v>0</v>
      </c>
      <c r="F677" s="145">
        <v>1.7699911462627557E-2</v>
      </c>
      <c r="G677" s="146">
        <v>8.1946314749977558E-2</v>
      </c>
      <c r="H677" s="146">
        <v>0</v>
      </c>
      <c r="I677" s="147">
        <v>0.68500000000000005</v>
      </c>
      <c r="J677" s="148">
        <v>0.21765505601211665</v>
      </c>
      <c r="K677" s="149">
        <v>44</v>
      </c>
      <c r="L677" s="149">
        <v>213</v>
      </c>
      <c r="M677" s="151">
        <v>8.1059999999999999</v>
      </c>
      <c r="N677" s="135"/>
    </row>
    <row r="678" spans="1:17" x14ac:dyDescent="0.25">
      <c r="A678" s="142">
        <v>44782</v>
      </c>
      <c r="B678" s="81" t="s">
        <v>28</v>
      </c>
      <c r="C678" s="129" t="str">
        <f t="shared" si="21"/>
        <v>09.08.2022_BOYohBr</v>
      </c>
      <c r="D678" s="143">
        <f t="shared" si="22"/>
        <v>0</v>
      </c>
      <c r="E678" s="144">
        <v>4.8945345457954426E-2</v>
      </c>
      <c r="F678" s="145">
        <v>2.9484146699365762E-2</v>
      </c>
      <c r="G678" s="146">
        <v>0.18437920818744952</v>
      </c>
      <c r="H678" s="146">
        <v>1.6011547041070728E-2</v>
      </c>
      <c r="I678" s="147">
        <v>4.3440000000000003</v>
      </c>
      <c r="J678" s="148">
        <v>1.1292226068621267</v>
      </c>
      <c r="K678" s="149">
        <v>22</v>
      </c>
      <c r="L678" s="149">
        <v>81</v>
      </c>
      <c r="M678" s="151">
        <v>7.2489999999999997</v>
      </c>
      <c r="N678" s="135"/>
    </row>
    <row r="679" spans="1:17" x14ac:dyDescent="0.25">
      <c r="A679" s="142">
        <v>44782</v>
      </c>
      <c r="B679" s="81" t="s">
        <v>30</v>
      </c>
      <c r="C679" s="129" t="str">
        <f t="shared" si="21"/>
        <v>09.08.2022_BOYohKi</v>
      </c>
      <c r="D679" s="143">
        <f t="shared" si="22"/>
        <v>0</v>
      </c>
      <c r="E679" s="144">
        <v>4.468922846161056E-2</v>
      </c>
      <c r="F679" s="145">
        <v>1.9919729997769302E-2</v>
      </c>
      <c r="G679" s="146">
        <v>0.10535954753568545</v>
      </c>
      <c r="H679" s="146">
        <v>0</v>
      </c>
      <c r="I679" s="147">
        <v>1.4119999999999999</v>
      </c>
      <c r="J679" s="148">
        <v>0.40073907506598438</v>
      </c>
      <c r="K679" s="149">
        <v>32</v>
      </c>
      <c r="L679" s="149">
        <v>140</v>
      </c>
      <c r="M679" s="151">
        <v>10.65</v>
      </c>
      <c r="N679" s="135"/>
    </row>
    <row r="680" spans="1:17" x14ac:dyDescent="0.25">
      <c r="A680" s="142">
        <v>44782</v>
      </c>
      <c r="B680" s="81" t="s">
        <v>32</v>
      </c>
      <c r="C680" s="129" t="str">
        <f t="shared" si="21"/>
        <v>09.08.2022_BOYohSp</v>
      </c>
      <c r="D680" s="143">
        <f t="shared" si="22"/>
        <v>0</v>
      </c>
      <c r="E680" s="144">
        <v>3.1920877472578976E-2</v>
      </c>
      <c r="F680" s="145">
        <v>2.8471553186064272E-2</v>
      </c>
      <c r="G680" s="146">
        <v>0.11121285573211243</v>
      </c>
      <c r="H680" s="146">
        <v>3.888518567117176E-2</v>
      </c>
      <c r="I680" s="147">
        <v>2.1669999999999998</v>
      </c>
      <c r="J680" s="148">
        <v>0.58765455512501608</v>
      </c>
      <c r="K680" s="149">
        <v>22.177</v>
      </c>
      <c r="L680" s="149">
        <v>76</v>
      </c>
      <c r="M680" s="151">
        <v>6.601</v>
      </c>
      <c r="N680" s="135"/>
    </row>
    <row r="681" spans="1:17" x14ac:dyDescent="0.25">
      <c r="A681" s="142">
        <v>44782</v>
      </c>
      <c r="B681" s="81" t="s">
        <v>36</v>
      </c>
      <c r="C681" s="129" t="str">
        <f t="shared" si="21"/>
        <v>09.08.2022_BOYuhSp</v>
      </c>
      <c r="D681" s="143">
        <f t="shared" si="22"/>
        <v>0</v>
      </c>
      <c r="E681" s="144">
        <v>1.0640292490859659E-2</v>
      </c>
      <c r="F681" s="145">
        <v>2.785531776977461E-2</v>
      </c>
      <c r="G681" s="146">
        <v>9.3652931142831505E-2</v>
      </c>
      <c r="H681" s="146">
        <v>2.973573021913135E-2</v>
      </c>
      <c r="I681" s="147">
        <v>2.5649999999999999</v>
      </c>
      <c r="J681" s="148">
        <v>0.66113015756831173</v>
      </c>
      <c r="K681" s="149">
        <v>25.433</v>
      </c>
      <c r="L681" s="149">
        <v>80</v>
      </c>
      <c r="M681" s="151">
        <v>7.3879999999999999</v>
      </c>
      <c r="N681" s="135"/>
    </row>
    <row r="682" spans="1:17" x14ac:dyDescent="0.25">
      <c r="A682" s="142">
        <v>44782</v>
      </c>
      <c r="B682" s="81" t="s">
        <v>38</v>
      </c>
      <c r="C682" s="129" t="str">
        <f t="shared" si="21"/>
        <v>09.08.2022_BRAob</v>
      </c>
      <c r="D682" s="143">
        <f t="shared" si="22"/>
        <v>0</v>
      </c>
      <c r="E682" s="144">
        <v>8.2994281428705338E-2</v>
      </c>
      <c r="F682" s="145">
        <v>7.8926015456104309E-2</v>
      </c>
      <c r="G682" s="146">
        <v>0.12584612622317981</v>
      </c>
      <c r="H682" s="146">
        <v>5.7184096575252585E-2</v>
      </c>
      <c r="I682" s="147">
        <v>1.571</v>
      </c>
      <c r="J682" s="148">
        <v>0.46996972675337245</v>
      </c>
      <c r="K682" s="149">
        <v>25</v>
      </c>
      <c r="L682" s="149">
        <v>110</v>
      </c>
      <c r="M682" s="151">
        <v>8.1069999999999993</v>
      </c>
      <c r="N682" s="135"/>
    </row>
    <row r="683" spans="1:17" x14ac:dyDescent="0.25">
      <c r="A683" s="142">
        <v>44782</v>
      </c>
      <c r="B683" s="81" t="s">
        <v>41</v>
      </c>
      <c r="C683" s="129" t="str">
        <f t="shared" si="21"/>
        <v>09.08.2022_BRAohBo</v>
      </c>
      <c r="D683" s="143">
        <f t="shared" si="22"/>
        <v>8</v>
      </c>
      <c r="E683" s="144"/>
      <c r="F683" s="145"/>
      <c r="G683" s="146"/>
      <c r="H683" s="146"/>
      <c r="I683" s="147"/>
      <c r="J683" s="148"/>
      <c r="K683" s="149"/>
      <c r="L683" s="149"/>
      <c r="M683" s="154"/>
      <c r="N683" s="135" t="s">
        <v>341</v>
      </c>
    </row>
    <row r="684" spans="1:17" x14ac:dyDescent="0.25">
      <c r="A684" s="142">
        <v>44782</v>
      </c>
      <c r="B684" s="81" t="s">
        <v>43</v>
      </c>
      <c r="C684" s="129" t="str">
        <f t="shared" si="21"/>
        <v>09.08.2022_HAAob</v>
      </c>
      <c r="D684" s="143">
        <f t="shared" si="22"/>
        <v>0</v>
      </c>
      <c r="E684" s="144">
        <v>5.3201462454298284E-2</v>
      </c>
      <c r="F684" s="145">
        <v>4.3461995070748376E-2</v>
      </c>
      <c r="G684" s="146">
        <v>5.8533081964269679E-2</v>
      </c>
      <c r="H684" s="146">
        <v>0</v>
      </c>
      <c r="I684" s="147">
        <v>0.34599999999999997</v>
      </c>
      <c r="J684" s="148">
        <v>0.11454832974922122</v>
      </c>
      <c r="K684" s="149">
        <v>33</v>
      </c>
      <c r="L684" s="149">
        <v>150</v>
      </c>
      <c r="M684" s="151">
        <v>11.18</v>
      </c>
      <c r="N684" s="135"/>
    </row>
    <row r="685" spans="1:17" x14ac:dyDescent="0.25">
      <c r="A685" s="142">
        <v>44782</v>
      </c>
      <c r="B685" s="81" t="s">
        <v>45</v>
      </c>
      <c r="C685" s="129" t="str">
        <f t="shared" si="21"/>
        <v>09.08.2022_HAAun</v>
      </c>
      <c r="D685" s="143">
        <f t="shared" si="22"/>
        <v>0</v>
      </c>
      <c r="E685" s="144">
        <v>6.3841754945157952E-2</v>
      </c>
      <c r="F685" s="145">
        <v>4.0751436901593302E-2</v>
      </c>
      <c r="G685" s="146">
        <v>0.10243289343747197</v>
      </c>
      <c r="H685" s="146">
        <v>9.1494554520404128E-3</v>
      </c>
      <c r="I685" s="147">
        <v>0.83799999999999997</v>
      </c>
      <c r="J685" s="148">
        <v>0.27160272913763628</v>
      </c>
      <c r="K685" s="149">
        <v>36</v>
      </c>
      <c r="L685" s="149">
        <v>270</v>
      </c>
      <c r="M685" s="151">
        <v>7.4930000000000003</v>
      </c>
      <c r="N685" s="135"/>
    </row>
    <row r="686" spans="1:17" x14ac:dyDescent="0.25">
      <c r="A686" s="142">
        <v>44782</v>
      </c>
      <c r="B686" s="81" t="s">
        <v>47</v>
      </c>
      <c r="C686" s="129" t="str">
        <f t="shared" si="21"/>
        <v>09.08.2022_KIRob</v>
      </c>
      <c r="D686" s="143">
        <f t="shared" si="22"/>
        <v>0</v>
      </c>
      <c r="E686" s="144">
        <v>8.5122339926877247E-3</v>
      </c>
      <c r="F686" s="145">
        <v>1.3656978756414889E-2</v>
      </c>
      <c r="G686" s="146">
        <v>0.26632552293742706</v>
      </c>
      <c r="H686" s="146">
        <v>0.18985120062983854</v>
      </c>
      <c r="I686" s="147">
        <v>5.14</v>
      </c>
      <c r="J686" s="148">
        <v>1.425571103337437</v>
      </c>
      <c r="K686" s="149">
        <v>89</v>
      </c>
      <c r="L686" s="149">
        <v>171</v>
      </c>
      <c r="M686" s="151">
        <v>9.1080000000000005</v>
      </c>
      <c r="N686" s="135"/>
    </row>
    <row r="687" spans="1:17" x14ac:dyDescent="0.25">
      <c r="A687" s="142">
        <v>44782</v>
      </c>
      <c r="B687" s="81" t="s">
        <v>49</v>
      </c>
      <c r="C687" s="129" t="str">
        <f t="shared" si="21"/>
        <v>09.08.2022_KIRun</v>
      </c>
      <c r="D687" s="143">
        <f t="shared" si="22"/>
        <v>0</v>
      </c>
      <c r="E687" s="144">
        <v>2.7664760476235107E-2</v>
      </c>
      <c r="F687" s="145">
        <v>1.4057157106992606E-2</v>
      </c>
      <c r="G687" s="146">
        <v>9.0726277044618026E-2</v>
      </c>
      <c r="H687" s="146">
        <v>2.2873638630101054E-3</v>
      </c>
      <c r="I687" s="147">
        <v>3.2160000000000002</v>
      </c>
      <c r="J687" s="148">
        <v>0.79754235479046898</v>
      </c>
      <c r="K687" s="149">
        <v>68</v>
      </c>
      <c r="L687" s="149">
        <v>156</v>
      </c>
      <c r="M687" s="151">
        <v>8.7089999999999996</v>
      </c>
      <c r="N687" s="135"/>
    </row>
    <row r="688" spans="1:17" x14ac:dyDescent="0.25">
      <c r="A688" s="142">
        <v>44782</v>
      </c>
      <c r="B688" s="81" t="s">
        <v>50</v>
      </c>
      <c r="C688" s="129" t="str">
        <f t="shared" si="21"/>
        <v>09.08.2022_LIEohBo</v>
      </c>
      <c r="D688" s="143">
        <f t="shared" si="22"/>
        <v>8</v>
      </c>
      <c r="E688" s="144"/>
      <c r="F688" s="145"/>
      <c r="G688" s="146"/>
      <c r="H688" s="146"/>
      <c r="I688" s="147"/>
      <c r="J688" s="148"/>
      <c r="K688" s="149"/>
      <c r="L688" s="149"/>
      <c r="M688" s="150"/>
      <c r="N688" s="135" t="s">
        <v>341</v>
      </c>
    </row>
    <row r="689" spans="1:14" x14ac:dyDescent="0.25">
      <c r="A689" s="142">
        <v>44782</v>
      </c>
      <c r="B689" s="81" t="s">
        <v>53</v>
      </c>
      <c r="C689" s="129" t="str">
        <f t="shared" si="21"/>
        <v>09.08.2022_NATohBo</v>
      </c>
      <c r="D689" s="143">
        <f t="shared" si="22"/>
        <v>0</v>
      </c>
      <c r="E689" s="144">
        <v>5.7457579450642157E-2</v>
      </c>
      <c r="F689" s="145">
        <v>1.1960983070112452E-2</v>
      </c>
      <c r="G689" s="146">
        <v>0.90726277044618031</v>
      </c>
      <c r="H689" s="146">
        <v>0</v>
      </c>
      <c r="I689" s="147">
        <v>0.46800000000000003</v>
      </c>
      <c r="J689" s="148">
        <v>0.80740207691138088</v>
      </c>
      <c r="K689" s="149">
        <v>162</v>
      </c>
      <c r="L689" s="149">
        <v>763</v>
      </c>
      <c r="M689" s="151">
        <v>8.2780000000000005</v>
      </c>
      <c r="N689" s="135"/>
    </row>
    <row r="690" spans="1:14" x14ac:dyDescent="0.25">
      <c r="A690" s="142">
        <v>44782</v>
      </c>
      <c r="B690" s="81" t="s">
        <v>55</v>
      </c>
      <c r="C690" s="129" t="str">
        <f t="shared" si="21"/>
        <v>09.08.2022_QUAohBo</v>
      </c>
      <c r="D690" s="143">
        <f t="shared" si="22"/>
        <v>8</v>
      </c>
      <c r="E690" s="144"/>
      <c r="F690" s="145"/>
      <c r="G690" s="146"/>
      <c r="H690" s="146"/>
      <c r="I690" s="147"/>
      <c r="J690" s="148"/>
      <c r="K690" s="149"/>
      <c r="L690" s="149"/>
      <c r="M690" s="150"/>
      <c r="N690" s="135" t="s">
        <v>341</v>
      </c>
    </row>
    <row r="691" spans="1:14" x14ac:dyDescent="0.25">
      <c r="A691" s="142">
        <v>44782</v>
      </c>
      <c r="B691" s="81" t="s">
        <v>57</v>
      </c>
      <c r="C691" s="129" t="str">
        <f t="shared" si="21"/>
        <v>09.08.2022_SCHohVo</v>
      </c>
      <c r="D691" s="143">
        <f t="shared" si="22"/>
        <v>8</v>
      </c>
      <c r="E691" s="144"/>
      <c r="F691" s="145"/>
      <c r="G691" s="146"/>
      <c r="H691" s="146"/>
      <c r="I691" s="147"/>
      <c r="J691" s="148"/>
      <c r="K691" s="149"/>
      <c r="L691" s="149"/>
      <c r="M691" s="150"/>
      <c r="N691" s="135" t="s">
        <v>341</v>
      </c>
    </row>
    <row r="692" spans="1:14" x14ac:dyDescent="0.25">
      <c r="A692" s="142">
        <v>44782</v>
      </c>
      <c r="B692" s="81" t="s">
        <v>60</v>
      </c>
      <c r="C692" s="129" t="str">
        <f t="shared" si="21"/>
        <v>09.08.2022_VORohBo</v>
      </c>
      <c r="D692" s="143">
        <f t="shared" si="22"/>
        <v>0</v>
      </c>
      <c r="E692" s="144">
        <v>4.468922846161056E-2</v>
      </c>
      <c r="F692" s="145">
        <v>1.0454877523142295E-2</v>
      </c>
      <c r="G692" s="146">
        <v>0.35119849178561813</v>
      </c>
      <c r="H692" s="146">
        <v>3.2023094082141441E-2</v>
      </c>
      <c r="I692" s="147">
        <v>1.3979999999999999</v>
      </c>
      <c r="J692" s="148">
        <v>0.59821780787992251</v>
      </c>
      <c r="K692" s="149">
        <v>35</v>
      </c>
      <c r="L692" s="149">
        <v>209</v>
      </c>
      <c r="M692" s="151">
        <v>8.8209999999999997</v>
      </c>
      <c r="N692" s="135"/>
    </row>
    <row r="693" spans="1:14" x14ac:dyDescent="0.25">
      <c r="A693" s="142">
        <v>44782</v>
      </c>
      <c r="B693" s="81" t="s">
        <v>62</v>
      </c>
      <c r="C693" s="129" t="str">
        <f t="shared" si="21"/>
        <v>09.08.2022_VORuhSc</v>
      </c>
      <c r="D693" s="143">
        <f t="shared" si="22"/>
        <v>0</v>
      </c>
      <c r="E693" s="144">
        <v>2.5536701978063181E-2</v>
      </c>
      <c r="F693" s="145">
        <v>8.1389619579878246E-3</v>
      </c>
      <c r="G693" s="146">
        <v>0.26047221474100013</v>
      </c>
      <c r="H693" s="146">
        <v>1.1436819315050518E-2</v>
      </c>
      <c r="I693" s="147">
        <v>0.63400000000000001</v>
      </c>
      <c r="J693" s="148">
        <v>0.34893758966470634</v>
      </c>
      <c r="K693" s="149">
        <v>35</v>
      </c>
      <c r="L693" s="149">
        <v>216</v>
      </c>
      <c r="M693" s="151">
        <v>6.1310000000000002</v>
      </c>
      <c r="N693" s="135"/>
    </row>
    <row r="694" spans="1:14" x14ac:dyDescent="0.25">
      <c r="A694" s="142">
        <v>44782</v>
      </c>
      <c r="B694" s="81" t="s">
        <v>64</v>
      </c>
      <c r="C694" s="129" t="str">
        <f t="shared" si="21"/>
        <v>09.08.2022_WITob</v>
      </c>
      <c r="D694" s="143">
        <f t="shared" si="22"/>
        <v>0</v>
      </c>
      <c r="E694" s="144">
        <v>2.1280584981719315E-2</v>
      </c>
      <c r="F694" s="145">
        <v>1.2739599631603201E-2</v>
      </c>
      <c r="G694" s="146">
        <v>4.9753119669629239E-2</v>
      </c>
      <c r="H694" s="146">
        <v>0</v>
      </c>
      <c r="I694" s="147">
        <v>0.90100000000000002</v>
      </c>
      <c r="J694" s="148">
        <v>0.23796334232370986</v>
      </c>
      <c r="K694" s="149">
        <v>69</v>
      </c>
      <c r="L694" s="149">
        <v>218</v>
      </c>
      <c r="M694" s="151">
        <v>9.3659999999999997</v>
      </c>
      <c r="N694" s="135"/>
    </row>
    <row r="695" spans="1:14" x14ac:dyDescent="0.25">
      <c r="A695" s="142">
        <v>44795</v>
      </c>
      <c r="B695" s="81" t="s">
        <v>22</v>
      </c>
      <c r="C695" s="129" t="str">
        <f t="shared" si="21"/>
        <v>22.08.2022_BOYkl</v>
      </c>
      <c r="D695" s="143">
        <f t="shared" si="22"/>
        <v>8</v>
      </c>
      <c r="E695" s="147"/>
      <c r="F695" s="147"/>
      <c r="G695" s="147"/>
      <c r="H695" s="147"/>
      <c r="I695" s="147"/>
      <c r="J695" s="148"/>
      <c r="K695" s="149"/>
      <c r="L695" s="149"/>
      <c r="M695" s="150"/>
      <c r="N695" s="135" t="s">
        <v>341</v>
      </c>
    </row>
    <row r="696" spans="1:14" x14ac:dyDescent="0.25">
      <c r="A696" s="142">
        <v>44795</v>
      </c>
      <c r="B696" s="81" t="s">
        <v>25</v>
      </c>
      <c r="C696" s="129" t="str">
        <f t="shared" si="21"/>
        <v>22.08.2022_BOYohB224</v>
      </c>
      <c r="D696" s="143">
        <f t="shared" si="22"/>
        <v>2</v>
      </c>
      <c r="E696" s="144">
        <v>0</v>
      </c>
      <c r="F696" s="145"/>
      <c r="G696" s="146">
        <v>0.101974525</v>
      </c>
      <c r="H696" s="146">
        <v>2.1032037E-2</v>
      </c>
      <c r="I696" s="147">
        <v>0.71199999999999997</v>
      </c>
      <c r="J696" s="148"/>
      <c r="K696" s="149">
        <v>43</v>
      </c>
      <c r="L696" s="149">
        <v>216</v>
      </c>
      <c r="M696" s="151">
        <v>8.6750000000000007</v>
      </c>
      <c r="N696" s="135"/>
    </row>
    <row r="697" spans="1:14" x14ac:dyDescent="0.25">
      <c r="A697" s="142">
        <v>44795</v>
      </c>
      <c r="B697" s="81" t="s">
        <v>28</v>
      </c>
      <c r="C697" s="129" t="str">
        <f t="shared" si="21"/>
        <v>22.08.2022_BOYohBr</v>
      </c>
      <c r="D697" s="143">
        <f t="shared" si="22"/>
        <v>2</v>
      </c>
      <c r="E697" s="144">
        <v>1.0280797E-2</v>
      </c>
      <c r="F697" s="145"/>
      <c r="G697" s="146">
        <v>8.9451338000000005E-2</v>
      </c>
      <c r="H697" s="146">
        <v>3.073913E-2</v>
      </c>
      <c r="I697" s="147">
        <v>1.6619999999999999</v>
      </c>
      <c r="J697" s="148"/>
      <c r="K697" s="149">
        <v>21.148</v>
      </c>
      <c r="L697" s="149">
        <v>75</v>
      </c>
      <c r="M697" s="151">
        <v>8.3810000000000002</v>
      </c>
      <c r="N697" s="135"/>
    </row>
    <row r="698" spans="1:14" x14ac:dyDescent="0.25">
      <c r="A698" s="142">
        <v>44795</v>
      </c>
      <c r="B698" s="81" t="s">
        <v>30</v>
      </c>
      <c r="C698" s="129" t="str">
        <f t="shared" si="21"/>
        <v>22.08.2022_BOYohKi</v>
      </c>
      <c r="D698" s="143">
        <f t="shared" si="22"/>
        <v>2</v>
      </c>
      <c r="E698" s="144">
        <v>1.3218168000000001E-2</v>
      </c>
      <c r="F698" s="145"/>
      <c r="G698" s="146">
        <v>5.1881775999999998E-2</v>
      </c>
      <c r="H698" s="146">
        <v>2.2649886000000001E-2</v>
      </c>
      <c r="I698" s="147">
        <v>0.877</v>
      </c>
      <c r="J698" s="148"/>
      <c r="K698" s="149">
        <v>30</v>
      </c>
      <c r="L698" s="149">
        <v>175</v>
      </c>
      <c r="M698" s="151">
        <v>9.3439999999999994</v>
      </c>
      <c r="N698" s="135"/>
    </row>
    <row r="699" spans="1:14" x14ac:dyDescent="0.25">
      <c r="A699" s="142">
        <v>44795</v>
      </c>
      <c r="B699" s="81" t="s">
        <v>32</v>
      </c>
      <c r="C699" s="129" t="str">
        <f t="shared" si="21"/>
        <v>22.08.2022_BOYohSp</v>
      </c>
      <c r="D699" s="143">
        <f t="shared" si="22"/>
        <v>2</v>
      </c>
      <c r="E699" s="144">
        <v>1.9092909000000002E-2</v>
      </c>
      <c r="F699" s="145"/>
      <c r="G699" s="146">
        <v>8.4084256999999996E-2</v>
      </c>
      <c r="H699" s="146">
        <v>2.7503432000000001E-2</v>
      </c>
      <c r="I699" s="147">
        <v>1.82</v>
      </c>
      <c r="J699" s="148"/>
      <c r="K699" s="149">
        <v>22.76</v>
      </c>
      <c r="L699" s="149">
        <v>77</v>
      </c>
      <c r="M699" s="151">
        <v>8.58</v>
      </c>
      <c r="N699" s="135"/>
    </row>
    <row r="700" spans="1:14" x14ac:dyDescent="0.25">
      <c r="A700" s="142">
        <v>44795</v>
      </c>
      <c r="B700" s="81" t="s">
        <v>36</v>
      </c>
      <c r="C700" s="129" t="str">
        <f t="shared" si="21"/>
        <v>22.08.2022_BOYuhSp</v>
      </c>
      <c r="D700" s="143">
        <f t="shared" si="22"/>
        <v>2</v>
      </c>
      <c r="E700" s="144">
        <v>8.8121120000000004E-3</v>
      </c>
      <c r="F700" s="145"/>
      <c r="G700" s="146">
        <v>9.1240364000000004E-2</v>
      </c>
      <c r="H700" s="146">
        <v>2.2649886000000001E-2</v>
      </c>
      <c r="I700" s="147">
        <v>2.036</v>
      </c>
      <c r="J700" s="148"/>
      <c r="K700" s="149">
        <v>24.244</v>
      </c>
      <c r="L700" s="149">
        <v>79</v>
      </c>
      <c r="M700" s="151">
        <v>9.65</v>
      </c>
      <c r="N700" s="135"/>
    </row>
    <row r="701" spans="1:14" x14ac:dyDescent="0.25">
      <c r="A701" s="142">
        <v>44795</v>
      </c>
      <c r="B701" s="81" t="s">
        <v>38</v>
      </c>
      <c r="C701" s="129" t="str">
        <f t="shared" si="21"/>
        <v>22.08.2022_BRAob</v>
      </c>
      <c r="D701" s="143">
        <f t="shared" si="22"/>
        <v>8</v>
      </c>
      <c r="E701" s="148"/>
      <c r="F701" s="148"/>
      <c r="G701" s="148"/>
      <c r="H701" s="148"/>
      <c r="I701" s="148"/>
      <c r="J701" s="148"/>
      <c r="K701" s="149"/>
      <c r="L701" s="149"/>
      <c r="M701" s="150"/>
      <c r="N701" s="135" t="s">
        <v>341</v>
      </c>
    </row>
    <row r="702" spans="1:14" x14ac:dyDescent="0.25">
      <c r="A702" s="142">
        <v>44795</v>
      </c>
      <c r="B702" s="81" t="s">
        <v>41</v>
      </c>
      <c r="C702" s="129" t="str">
        <f t="shared" si="21"/>
        <v>22.08.2022_BRAohBo</v>
      </c>
      <c r="D702" s="143">
        <f t="shared" si="22"/>
        <v>8</v>
      </c>
      <c r="E702" s="148"/>
      <c r="F702" s="148"/>
      <c r="G702" s="148"/>
      <c r="H702" s="148"/>
      <c r="I702" s="148"/>
      <c r="J702" s="148"/>
      <c r="K702" s="149"/>
      <c r="L702" s="149"/>
      <c r="M702" s="150"/>
      <c r="N702" s="135" t="s">
        <v>341</v>
      </c>
    </row>
    <row r="703" spans="1:14" x14ac:dyDescent="0.25">
      <c r="A703" s="142">
        <v>44795</v>
      </c>
      <c r="B703" s="81" t="s">
        <v>43</v>
      </c>
      <c r="C703" s="129" t="str">
        <f t="shared" si="21"/>
        <v>22.08.2022_HAAob</v>
      </c>
      <c r="D703" s="143">
        <f t="shared" si="22"/>
        <v>2</v>
      </c>
      <c r="E703" s="144">
        <v>2.3498965E-2</v>
      </c>
      <c r="F703" s="145"/>
      <c r="G703" s="146">
        <v>3.9358588999999999E-2</v>
      </c>
      <c r="H703" s="146">
        <v>4.8535469999999997E-3</v>
      </c>
      <c r="I703" s="147">
        <v>0.64100000000000001</v>
      </c>
      <c r="J703" s="148"/>
      <c r="K703" s="149">
        <v>30</v>
      </c>
      <c r="L703" s="149">
        <v>160</v>
      </c>
      <c r="M703" s="151">
        <v>7.29</v>
      </c>
      <c r="N703" s="135"/>
    </row>
    <row r="704" spans="1:14" x14ac:dyDescent="0.25">
      <c r="A704" s="142">
        <v>44795</v>
      </c>
      <c r="B704" s="81" t="s">
        <v>45</v>
      </c>
      <c r="C704" s="129" t="str">
        <f t="shared" si="21"/>
        <v>22.08.2022_HAAun</v>
      </c>
      <c r="D704" s="143">
        <f t="shared" si="22"/>
        <v>2</v>
      </c>
      <c r="E704" s="144">
        <v>2.3498965E-2</v>
      </c>
      <c r="F704" s="145"/>
      <c r="G704" s="146">
        <v>7.1561070000000004E-2</v>
      </c>
      <c r="H704" s="146">
        <v>4.8535469999999997E-3</v>
      </c>
      <c r="I704" s="147">
        <v>0.79</v>
      </c>
      <c r="J704" s="148"/>
      <c r="K704" s="149">
        <v>34</v>
      </c>
      <c r="L704" s="149">
        <v>307</v>
      </c>
      <c r="M704" s="151">
        <v>10.62</v>
      </c>
      <c r="N704" s="135"/>
    </row>
    <row r="705" spans="1:14" x14ac:dyDescent="0.25">
      <c r="A705" s="142">
        <v>44795</v>
      </c>
      <c r="B705" s="81" t="s">
        <v>47</v>
      </c>
      <c r="C705" s="129" t="str">
        <f t="shared" si="21"/>
        <v>22.08.2022_KIRob</v>
      </c>
      <c r="D705" s="143">
        <f t="shared" si="22"/>
        <v>2</v>
      </c>
      <c r="E705" s="144">
        <v>1.0280797E-2</v>
      </c>
      <c r="F705" s="145"/>
      <c r="G705" s="146">
        <v>0.21110515699999999</v>
      </c>
      <c r="H705" s="146">
        <v>0.15045995400000001</v>
      </c>
      <c r="I705" s="147">
        <v>4.6779999999999999</v>
      </c>
      <c r="J705" s="148"/>
      <c r="K705" s="149">
        <v>86</v>
      </c>
      <c r="L705" s="149">
        <v>171</v>
      </c>
      <c r="M705" s="151">
        <v>9.0500000000000007</v>
      </c>
      <c r="N705" s="135"/>
    </row>
    <row r="706" spans="1:14" x14ac:dyDescent="0.25">
      <c r="A706" s="142">
        <v>44795</v>
      </c>
      <c r="B706" s="81" t="s">
        <v>49</v>
      </c>
      <c r="C706" s="129" t="str">
        <f t="shared" si="21"/>
        <v>22.08.2022_KIRun</v>
      </c>
      <c r="D706" s="143">
        <f t="shared" si="22"/>
        <v>2</v>
      </c>
      <c r="E706" s="144">
        <v>1.0280797E-2</v>
      </c>
      <c r="F706" s="145"/>
      <c r="G706" s="146">
        <v>7.3350097000000003E-2</v>
      </c>
      <c r="H706" s="146">
        <v>1.9414187999999999E-2</v>
      </c>
      <c r="I706" s="147">
        <v>3.1080000000000001</v>
      </c>
      <c r="J706" s="148"/>
      <c r="K706" s="149">
        <v>66</v>
      </c>
      <c r="L706" s="149">
        <v>151</v>
      </c>
      <c r="M706" s="151">
        <v>8.3620000000000001</v>
      </c>
      <c r="N706" s="135"/>
    </row>
    <row r="707" spans="1:14" x14ac:dyDescent="0.25">
      <c r="A707" s="142">
        <v>44795</v>
      </c>
      <c r="B707" s="81" t="s">
        <v>50</v>
      </c>
      <c r="C707" s="129" t="str">
        <f t="shared" si="21"/>
        <v>22.08.2022_LIEohBo</v>
      </c>
      <c r="D707" s="143">
        <f t="shared" si="22"/>
        <v>8</v>
      </c>
      <c r="E707" s="149"/>
      <c r="F707" s="149"/>
      <c r="G707" s="149"/>
      <c r="H707" s="149"/>
      <c r="I707" s="149"/>
      <c r="J707" s="149"/>
      <c r="K707" s="149"/>
      <c r="L707" s="149"/>
      <c r="M707" s="150"/>
      <c r="N707" s="135" t="s">
        <v>341</v>
      </c>
    </row>
    <row r="708" spans="1:14" x14ac:dyDescent="0.25">
      <c r="A708" s="142">
        <v>44795</v>
      </c>
      <c r="B708" s="81" t="s">
        <v>53</v>
      </c>
      <c r="C708" s="129" t="str">
        <f t="shared" si="21"/>
        <v>22.08.2022_NATohBo</v>
      </c>
      <c r="D708" s="143">
        <f t="shared" si="22"/>
        <v>2</v>
      </c>
      <c r="E708" s="144">
        <v>8.8121120000000004E-3</v>
      </c>
      <c r="F708" s="145"/>
      <c r="G708" s="146">
        <v>0.76033636999999998</v>
      </c>
      <c r="H708" s="146">
        <v>9.7070939999999994E-3</v>
      </c>
      <c r="I708" s="147">
        <v>0.23499999999999999</v>
      </c>
      <c r="J708" s="148"/>
      <c r="K708" s="149">
        <v>185</v>
      </c>
      <c r="L708" s="149">
        <v>711</v>
      </c>
      <c r="M708" s="151">
        <v>8.7539999999999996</v>
      </c>
      <c r="N708" s="135"/>
    </row>
    <row r="709" spans="1:14" x14ac:dyDescent="0.25">
      <c r="A709" s="142">
        <v>44795</v>
      </c>
      <c r="B709" s="81" t="s">
        <v>55</v>
      </c>
      <c r="C709" s="129" t="str">
        <f t="shared" ref="C709:C772" si="23">CONCATENATE(TEXT(A709,"TT.MM.JJJJ"),"_",B709)</f>
        <v>22.08.2022_QUAohBo</v>
      </c>
      <c r="D709" s="143">
        <f t="shared" ref="D709:D772" si="24">COUNTBLANK(E709:L709)</f>
        <v>8</v>
      </c>
      <c r="E709" s="149"/>
      <c r="F709" s="149"/>
      <c r="G709" s="149"/>
      <c r="H709" s="149"/>
      <c r="I709" s="149"/>
      <c r="J709" s="149"/>
      <c r="K709" s="149"/>
      <c r="L709" s="149"/>
      <c r="M709" s="150"/>
      <c r="N709" s="135" t="s">
        <v>341</v>
      </c>
    </row>
    <row r="710" spans="1:14" x14ac:dyDescent="0.25">
      <c r="A710" s="142">
        <v>44795</v>
      </c>
      <c r="B710" s="81" t="s">
        <v>57</v>
      </c>
      <c r="C710" s="129" t="str">
        <f t="shared" si="23"/>
        <v>22.08.2022_SCHohVo</v>
      </c>
      <c r="D710" s="143">
        <f t="shared" si="24"/>
        <v>8</v>
      </c>
      <c r="E710" s="149"/>
      <c r="F710" s="149"/>
      <c r="G710" s="149"/>
      <c r="H710" s="149"/>
      <c r="I710" s="149"/>
      <c r="J710" s="149"/>
      <c r="K710" s="149"/>
      <c r="L710" s="149"/>
      <c r="M710" s="150"/>
      <c r="N710" s="135" t="s">
        <v>341</v>
      </c>
    </row>
    <row r="711" spans="1:14" x14ac:dyDescent="0.25">
      <c r="A711" s="142">
        <v>44795</v>
      </c>
      <c r="B711" s="81" t="s">
        <v>60</v>
      </c>
      <c r="C711" s="129" t="str">
        <f t="shared" si="23"/>
        <v>22.08.2022_VORohBo</v>
      </c>
      <c r="D711" s="143">
        <f t="shared" si="24"/>
        <v>2</v>
      </c>
      <c r="E711" s="144">
        <v>0</v>
      </c>
      <c r="F711" s="145"/>
      <c r="G711" s="146">
        <v>0.429366421</v>
      </c>
      <c r="H711" s="146">
        <v>4.5299771000000003E-2</v>
      </c>
      <c r="I711" s="147">
        <v>1.2929999999999999</v>
      </c>
      <c r="J711" s="148"/>
      <c r="K711" s="149">
        <v>35</v>
      </c>
      <c r="L711" s="149">
        <v>21</v>
      </c>
      <c r="M711" s="151">
        <v>9.44</v>
      </c>
      <c r="N711" s="135"/>
    </row>
    <row r="712" spans="1:14" x14ac:dyDescent="0.25">
      <c r="A712" s="142">
        <v>44795</v>
      </c>
      <c r="B712" s="81" t="s">
        <v>62</v>
      </c>
      <c r="C712" s="129" t="str">
        <f t="shared" si="23"/>
        <v>22.08.2022_VORuhSc</v>
      </c>
      <c r="D712" s="143">
        <f t="shared" si="24"/>
        <v>2</v>
      </c>
      <c r="E712" s="144">
        <v>1.1749482E-2</v>
      </c>
      <c r="F712" s="145"/>
      <c r="G712" s="146">
        <v>0.28445525399999999</v>
      </c>
      <c r="H712" s="146">
        <v>9.7070939999999994E-3</v>
      </c>
      <c r="I712" s="147">
        <v>0.54800000000000004</v>
      </c>
      <c r="J712" s="148"/>
      <c r="K712" s="149">
        <v>34</v>
      </c>
      <c r="L712" s="149">
        <v>222</v>
      </c>
      <c r="M712" s="151">
        <v>10.55</v>
      </c>
      <c r="N712" s="135"/>
    </row>
    <row r="713" spans="1:14" x14ac:dyDescent="0.25">
      <c r="A713" s="142">
        <v>44795</v>
      </c>
      <c r="B713" s="81" t="s">
        <v>64</v>
      </c>
      <c r="C713" s="129" t="str">
        <f t="shared" si="23"/>
        <v>22.08.2022_WITob</v>
      </c>
      <c r="D713" s="143">
        <f t="shared" si="24"/>
        <v>2</v>
      </c>
      <c r="E713" s="144">
        <v>5.8747410000000002E-3</v>
      </c>
      <c r="F713" s="145"/>
      <c r="G713" s="146">
        <v>0.10734160500000001</v>
      </c>
      <c r="H713" s="146">
        <v>4.8535469999999997E-3</v>
      </c>
      <c r="I713" s="147">
        <v>1.1830000000000001</v>
      </c>
      <c r="J713" s="148"/>
      <c r="K713" s="149">
        <v>67</v>
      </c>
      <c r="L713" s="149">
        <v>215</v>
      </c>
      <c r="M713" s="151">
        <v>9.734</v>
      </c>
      <c r="N713" s="135"/>
    </row>
    <row r="714" spans="1:14" x14ac:dyDescent="0.25">
      <c r="A714" s="155">
        <v>44809</v>
      </c>
      <c r="B714" s="156" t="s">
        <v>22</v>
      </c>
      <c r="C714" s="129" t="str">
        <f t="shared" si="23"/>
        <v>05.09.2022_BOYkl</v>
      </c>
      <c r="D714" s="143">
        <f t="shared" si="24"/>
        <v>8</v>
      </c>
      <c r="E714" s="144"/>
      <c r="F714" s="145"/>
      <c r="G714" s="146"/>
      <c r="H714" s="146"/>
      <c r="I714" s="147"/>
      <c r="J714" s="148"/>
      <c r="K714" s="149"/>
      <c r="L714" s="149"/>
      <c r="M714" s="150"/>
      <c r="N714" s="135" t="s">
        <v>341</v>
      </c>
    </row>
    <row r="715" spans="1:14" x14ac:dyDescent="0.25">
      <c r="A715" s="142">
        <v>44809</v>
      </c>
      <c r="B715" s="81" t="s">
        <v>25</v>
      </c>
      <c r="C715" s="129" t="str">
        <f t="shared" si="23"/>
        <v>05.09.2022_BOYohB224</v>
      </c>
      <c r="D715" s="143">
        <f t="shared" si="24"/>
        <v>0</v>
      </c>
      <c r="E715" s="144">
        <v>4.5587709896391564E-3</v>
      </c>
      <c r="F715" s="145">
        <v>2.5907776038988421E-2</v>
      </c>
      <c r="G715" s="146">
        <v>9.9825507614213216E-2</v>
      </c>
      <c r="H715" s="146">
        <v>1.0757760194765677E-2</v>
      </c>
      <c r="I715" s="147">
        <v>0.6</v>
      </c>
      <c r="J715" s="148">
        <v>0.2163107084986568</v>
      </c>
      <c r="K715" s="149">
        <v>48</v>
      </c>
      <c r="L715" s="149">
        <v>226</v>
      </c>
      <c r="M715" s="151">
        <v>10.31</v>
      </c>
      <c r="N715" s="135"/>
    </row>
    <row r="716" spans="1:14" x14ac:dyDescent="0.25">
      <c r="A716" s="142">
        <v>44809</v>
      </c>
      <c r="B716" s="81" t="s">
        <v>28</v>
      </c>
      <c r="C716" s="129" t="str">
        <f t="shared" si="23"/>
        <v>05.09.2022_BOYohBr</v>
      </c>
      <c r="D716" s="143">
        <f t="shared" si="24"/>
        <v>0</v>
      </c>
      <c r="E716" s="144">
        <v>1.8235083958556626E-2</v>
      </c>
      <c r="F716" s="145">
        <v>1.9186306945435761E-2</v>
      </c>
      <c r="G716" s="146">
        <v>0.10671002538071069</v>
      </c>
      <c r="H716" s="146">
        <v>4.4824000811523643E-2</v>
      </c>
      <c r="I716" s="147">
        <v>1.9610000000000001</v>
      </c>
      <c r="J716" s="148">
        <v>0.53943700465493638</v>
      </c>
      <c r="K716" s="149">
        <v>21.14</v>
      </c>
      <c r="L716" s="149">
        <v>71</v>
      </c>
      <c r="M716" s="151">
        <v>9.0470000000000006</v>
      </c>
      <c r="N716" s="135"/>
    </row>
    <row r="717" spans="1:14" x14ac:dyDescent="0.25">
      <c r="A717" s="142">
        <v>44809</v>
      </c>
      <c r="B717" s="81" t="s">
        <v>30</v>
      </c>
      <c r="C717" s="129" t="str">
        <f t="shared" si="23"/>
        <v>05.09.2022_BOYohKi</v>
      </c>
      <c r="D717" s="143">
        <f t="shared" si="24"/>
        <v>0</v>
      </c>
      <c r="E717" s="144">
        <v>2.7352625937834937E-2</v>
      </c>
      <c r="F717" s="145">
        <v>2.1265724372480671E-2</v>
      </c>
      <c r="G717" s="146">
        <v>6.0239530456852791E-2</v>
      </c>
      <c r="H717" s="146">
        <v>7.1718401298437829E-3</v>
      </c>
      <c r="I717" s="147">
        <v>0.85</v>
      </c>
      <c r="J717" s="148">
        <v>0.24094835973197254</v>
      </c>
      <c r="K717" s="149">
        <v>32</v>
      </c>
      <c r="L717" s="149">
        <v>138</v>
      </c>
      <c r="M717" s="151">
        <v>10.75</v>
      </c>
      <c r="N717" s="135"/>
    </row>
    <row r="718" spans="1:14" x14ac:dyDescent="0.25">
      <c r="A718" s="142">
        <v>44809</v>
      </c>
      <c r="B718" s="81" t="s">
        <v>32</v>
      </c>
      <c r="C718" s="129" t="str">
        <f t="shared" si="23"/>
        <v>05.09.2022_BOYohSp</v>
      </c>
      <c r="D718" s="143">
        <f t="shared" si="24"/>
        <v>0</v>
      </c>
      <c r="E718" s="144">
        <v>1.3676312968917468E-2</v>
      </c>
      <c r="F718" s="145">
        <v>2.7322326765013831E-2</v>
      </c>
      <c r="G718" s="146">
        <v>6.1960659898477155E-2</v>
      </c>
      <c r="H718" s="146">
        <v>1.6136640292148514E-2</v>
      </c>
      <c r="I718" s="147">
        <v>2.3719999999999999</v>
      </c>
      <c r="J718" s="148">
        <v>0.58878827294151315</v>
      </c>
      <c r="K718" s="149">
        <v>23.027999999999999</v>
      </c>
      <c r="L718" s="149">
        <v>74</v>
      </c>
      <c r="M718" s="151">
        <v>8.5500000000000007</v>
      </c>
      <c r="N718" s="135"/>
    </row>
    <row r="719" spans="1:14" x14ac:dyDescent="0.25">
      <c r="A719" s="142">
        <v>44809</v>
      </c>
      <c r="B719" s="81" t="s">
        <v>36</v>
      </c>
      <c r="C719" s="129" t="str">
        <f t="shared" si="23"/>
        <v>05.09.2022_BOYuhSp</v>
      </c>
      <c r="D719" s="143">
        <f t="shared" si="24"/>
        <v>0</v>
      </c>
      <c r="E719" s="144">
        <v>0</v>
      </c>
      <c r="F719" s="145">
        <v>2.8857310532067415E-2</v>
      </c>
      <c r="G719" s="146">
        <v>9.1219860406091369E-2</v>
      </c>
      <c r="H719" s="146">
        <v>2.3308480421992295E-2</v>
      </c>
      <c r="I719" s="147">
        <v>2.37</v>
      </c>
      <c r="J719" s="148">
        <v>0.61323947627120134</v>
      </c>
      <c r="K719" s="149">
        <v>24.149000000000001</v>
      </c>
      <c r="L719" s="149">
        <v>73</v>
      </c>
      <c r="M719" s="151">
        <v>6.5289999999999999</v>
      </c>
      <c r="N719" s="135"/>
    </row>
    <row r="720" spans="1:14" x14ac:dyDescent="0.25">
      <c r="A720" s="155">
        <v>44809</v>
      </c>
      <c r="B720" s="156" t="s">
        <v>38</v>
      </c>
      <c r="C720" s="129" t="str">
        <f t="shared" si="23"/>
        <v>05.09.2022_BRAob</v>
      </c>
      <c r="D720" s="143">
        <f t="shared" si="24"/>
        <v>8</v>
      </c>
      <c r="E720" s="144"/>
      <c r="F720" s="145"/>
      <c r="G720" s="146"/>
      <c r="H720" s="146"/>
      <c r="I720" s="147"/>
      <c r="J720" s="148"/>
      <c r="K720" s="149"/>
      <c r="L720" s="149"/>
      <c r="M720" s="150"/>
      <c r="N720" s="135" t="s">
        <v>341</v>
      </c>
    </row>
    <row r="721" spans="1:14" x14ac:dyDescent="0.25">
      <c r="A721" s="155">
        <v>44809</v>
      </c>
      <c r="B721" s="156" t="s">
        <v>41</v>
      </c>
      <c r="C721" s="129" t="str">
        <f t="shared" si="23"/>
        <v>05.09.2022_BRAohBo</v>
      </c>
      <c r="D721" s="143">
        <f t="shared" si="24"/>
        <v>8</v>
      </c>
      <c r="E721" s="144"/>
      <c r="F721" s="145"/>
      <c r="G721" s="146"/>
      <c r="H721" s="146"/>
      <c r="I721" s="147"/>
      <c r="J721" s="148"/>
      <c r="K721" s="149"/>
      <c r="L721" s="149"/>
      <c r="M721" s="150"/>
      <c r="N721" s="135" t="s">
        <v>341</v>
      </c>
    </row>
    <row r="722" spans="1:14" x14ac:dyDescent="0.25">
      <c r="A722" s="142">
        <v>44809</v>
      </c>
      <c r="B722" s="81" t="s">
        <v>43</v>
      </c>
      <c r="C722" s="129" t="str">
        <f t="shared" si="23"/>
        <v>05.09.2022_HAAob</v>
      </c>
      <c r="D722" s="143">
        <f t="shared" si="24"/>
        <v>0</v>
      </c>
      <c r="E722" s="144">
        <v>5.4705251875669873E-2</v>
      </c>
      <c r="F722" s="145">
        <v>4.4974702323673343E-2</v>
      </c>
      <c r="G722" s="146">
        <v>3.0980329949238584E-2</v>
      </c>
      <c r="H722" s="146">
        <v>1.0757760194765677E-2</v>
      </c>
      <c r="I722" s="147">
        <v>0.46800000000000003</v>
      </c>
      <c r="J722" s="148">
        <v>0.13303827649358066</v>
      </c>
      <c r="K722" s="149">
        <v>35</v>
      </c>
      <c r="L722" s="149">
        <v>216</v>
      </c>
      <c r="M722" s="151">
        <v>9.7279999999999998</v>
      </c>
      <c r="N722" s="135"/>
    </row>
    <row r="723" spans="1:14" x14ac:dyDescent="0.25">
      <c r="A723" s="142">
        <v>44809</v>
      </c>
      <c r="B723" s="81" t="s">
        <v>45</v>
      </c>
      <c r="C723" s="129" t="str">
        <f t="shared" si="23"/>
        <v>05.09.2022_HAAun</v>
      </c>
      <c r="D723" s="143">
        <f t="shared" si="24"/>
        <v>0</v>
      </c>
      <c r="E723" s="144">
        <v>4.7867095391211138E-2</v>
      </c>
      <c r="F723" s="145">
        <v>4.3788864384888597E-2</v>
      </c>
      <c r="G723" s="146">
        <v>8.2614213197969563E-2</v>
      </c>
      <c r="H723" s="146">
        <v>3.5859200649218945E-3</v>
      </c>
      <c r="I723" s="147">
        <v>0.65700000000000003</v>
      </c>
      <c r="J723" s="148">
        <v>0.21363743376985686</v>
      </c>
      <c r="K723" s="149">
        <v>42</v>
      </c>
      <c r="L723" s="149">
        <v>353</v>
      </c>
      <c r="M723" s="151">
        <v>9.2710000000000008</v>
      </c>
      <c r="N723" s="135"/>
    </row>
    <row r="724" spans="1:14" x14ac:dyDescent="0.25">
      <c r="A724" s="142">
        <v>44809</v>
      </c>
      <c r="B724" s="81" t="s">
        <v>47</v>
      </c>
      <c r="C724" s="129" t="str">
        <f t="shared" si="23"/>
        <v>05.09.2022_KIRob</v>
      </c>
      <c r="D724" s="143">
        <f t="shared" si="24"/>
        <v>0</v>
      </c>
      <c r="E724" s="144">
        <v>0</v>
      </c>
      <c r="F724" s="145">
        <v>1.4534218060583968E-2</v>
      </c>
      <c r="G724" s="146">
        <v>0.12908470812182743</v>
      </c>
      <c r="H724" s="146">
        <v>0.12371424223980526</v>
      </c>
      <c r="I724" s="147">
        <v>5.0529999999999999</v>
      </c>
      <c r="J724" s="148">
        <v>1.2792188960594266</v>
      </c>
      <c r="K724" s="149">
        <v>90</v>
      </c>
      <c r="L724" s="149">
        <v>171</v>
      </c>
      <c r="M724" s="151">
        <v>10.19</v>
      </c>
      <c r="N724" s="135"/>
    </row>
    <row r="725" spans="1:14" x14ac:dyDescent="0.25">
      <c r="A725" s="142">
        <v>44809</v>
      </c>
      <c r="B725" s="81" t="s">
        <v>49</v>
      </c>
      <c r="C725" s="129" t="str">
        <f t="shared" si="23"/>
        <v>05.09.2022_KIRun</v>
      </c>
      <c r="D725" s="143">
        <f t="shared" si="24"/>
        <v>0</v>
      </c>
      <c r="E725" s="144">
        <v>9.1175419792783128E-3</v>
      </c>
      <c r="F725" s="145">
        <v>1.3960704757187315E-2</v>
      </c>
      <c r="G725" s="146">
        <v>4.8191624365482244E-2</v>
      </c>
      <c r="H725" s="146">
        <v>1.7929600324609473E-3</v>
      </c>
      <c r="I725" s="147">
        <v>3.1139999999999999</v>
      </c>
      <c r="J725" s="148">
        <v>0.74132536108543601</v>
      </c>
      <c r="K725" s="149">
        <v>68</v>
      </c>
      <c r="L725" s="149">
        <v>156</v>
      </c>
      <c r="M725" s="151">
        <v>7.6689999999999996</v>
      </c>
      <c r="N725" s="135"/>
    </row>
    <row r="726" spans="1:14" x14ac:dyDescent="0.25">
      <c r="A726" s="155">
        <v>44809</v>
      </c>
      <c r="B726" s="156" t="s">
        <v>50</v>
      </c>
      <c r="C726" s="129" t="str">
        <f t="shared" si="23"/>
        <v>05.09.2022_LIEohBo</v>
      </c>
      <c r="D726" s="143">
        <f t="shared" si="24"/>
        <v>8</v>
      </c>
      <c r="E726" s="144"/>
      <c r="F726" s="145"/>
      <c r="G726" s="146"/>
      <c r="H726" s="146"/>
      <c r="I726" s="147"/>
      <c r="J726" s="148"/>
      <c r="K726" s="149"/>
      <c r="L726" s="149"/>
      <c r="M726" s="150"/>
      <c r="N726" s="135" t="s">
        <v>341</v>
      </c>
    </row>
    <row r="727" spans="1:14" x14ac:dyDescent="0.25">
      <c r="A727" s="142">
        <v>44809</v>
      </c>
      <c r="B727" s="81" t="s">
        <v>53</v>
      </c>
      <c r="C727" s="129" t="str">
        <f t="shared" si="23"/>
        <v>05.09.2022_NATohBo</v>
      </c>
      <c r="D727" s="143">
        <f t="shared" si="24"/>
        <v>0</v>
      </c>
      <c r="E727" s="144">
        <v>2.2793854948195782E-3</v>
      </c>
      <c r="F727" s="145">
        <v>1.7700619839029295E-2</v>
      </c>
      <c r="G727" s="146">
        <v>0.23407360406091368</v>
      </c>
      <c r="H727" s="146">
        <v>1.2550720227226619E-2</v>
      </c>
      <c r="I727" s="147">
        <v>0</v>
      </c>
      <c r="J727" s="148">
        <v>0.185576879590438</v>
      </c>
      <c r="K727" s="149">
        <v>152</v>
      </c>
      <c r="L727" s="149">
        <v>663</v>
      </c>
      <c r="M727" s="151">
        <v>11.35</v>
      </c>
      <c r="N727" s="135"/>
    </row>
    <row r="728" spans="1:14" x14ac:dyDescent="0.25">
      <c r="A728" s="155">
        <v>44809</v>
      </c>
      <c r="B728" s="156" t="s">
        <v>55</v>
      </c>
      <c r="C728" s="129" t="str">
        <f t="shared" si="23"/>
        <v>05.09.2022_QUAohBo</v>
      </c>
      <c r="D728" s="143">
        <f t="shared" si="24"/>
        <v>8</v>
      </c>
      <c r="E728" s="144"/>
      <c r="F728" s="145"/>
      <c r="G728" s="146"/>
      <c r="H728" s="146"/>
      <c r="I728" s="147"/>
      <c r="J728" s="148"/>
      <c r="K728" s="149"/>
      <c r="L728" s="149"/>
      <c r="M728" s="151"/>
      <c r="N728" s="135" t="s">
        <v>341</v>
      </c>
    </row>
    <row r="729" spans="1:14" x14ac:dyDescent="0.25">
      <c r="A729" s="155">
        <v>44809</v>
      </c>
      <c r="B729" s="156" t="s">
        <v>57</v>
      </c>
      <c r="C729" s="129" t="str">
        <f t="shared" si="23"/>
        <v>05.09.2022_SCHohVo</v>
      </c>
      <c r="D729" s="143">
        <f t="shared" si="24"/>
        <v>8</v>
      </c>
      <c r="E729" s="144"/>
      <c r="F729" s="145"/>
      <c r="G729" s="146"/>
      <c r="H729" s="146"/>
      <c r="I729" s="147"/>
      <c r="J729" s="148"/>
      <c r="K729" s="149"/>
      <c r="L729" s="149"/>
      <c r="M729" s="151"/>
      <c r="N729" s="135" t="s">
        <v>341</v>
      </c>
    </row>
    <row r="730" spans="1:14" x14ac:dyDescent="0.25">
      <c r="A730" s="142">
        <v>44809</v>
      </c>
      <c r="B730" s="81" t="s">
        <v>60</v>
      </c>
      <c r="C730" s="129" t="str">
        <f t="shared" si="23"/>
        <v>05.09.2022_VORohBo</v>
      </c>
      <c r="D730" s="143">
        <f t="shared" si="24"/>
        <v>0</v>
      </c>
      <c r="E730" s="144">
        <v>2.2793854948195781E-2</v>
      </c>
      <c r="F730" s="145">
        <v>1.2683327839741578E-2</v>
      </c>
      <c r="G730" s="146">
        <v>0.32873572335025386</v>
      </c>
      <c r="H730" s="146">
        <v>3.2273280584297029E-2</v>
      </c>
      <c r="I730" s="147">
        <v>1.2729999999999999</v>
      </c>
      <c r="J730" s="148">
        <v>0.55261811209812783</v>
      </c>
      <c r="K730" s="149">
        <v>35</v>
      </c>
      <c r="L730" s="149">
        <v>211</v>
      </c>
      <c r="M730" s="151">
        <v>11.22</v>
      </c>
      <c r="N730" s="135"/>
    </row>
    <row r="731" spans="1:14" x14ac:dyDescent="0.25">
      <c r="A731" s="142">
        <v>44809</v>
      </c>
      <c r="B731" s="81" t="s">
        <v>62</v>
      </c>
      <c r="C731" s="129" t="str">
        <f t="shared" si="23"/>
        <v>05.09.2022_VORuhSc</v>
      </c>
      <c r="D731" s="143">
        <f t="shared" si="24"/>
        <v>0</v>
      </c>
      <c r="E731" s="144">
        <v>0</v>
      </c>
      <c r="F731" s="145">
        <v>1.2233929776752073E-2</v>
      </c>
      <c r="G731" s="146">
        <v>0.23063134517766501</v>
      </c>
      <c r="H731" s="146">
        <v>5.3788800973828361E-3</v>
      </c>
      <c r="I731" s="147">
        <v>0.54100000000000004</v>
      </c>
      <c r="J731" s="148">
        <v>0.30291620326265334</v>
      </c>
      <c r="K731" s="149">
        <v>36</v>
      </c>
      <c r="L731" s="149">
        <v>221</v>
      </c>
      <c r="M731" s="151">
        <v>6.61</v>
      </c>
      <c r="N731" s="135"/>
    </row>
    <row r="732" spans="1:14" x14ac:dyDescent="0.25">
      <c r="A732" s="155">
        <v>44809</v>
      </c>
      <c r="B732" s="156" t="s">
        <v>64</v>
      </c>
      <c r="C732" s="129" t="str">
        <f t="shared" si="23"/>
        <v>05.09.2022_WITob</v>
      </c>
      <c r="D732" s="143">
        <f t="shared" si="24"/>
        <v>8</v>
      </c>
      <c r="E732" s="144"/>
      <c r="F732" s="145"/>
      <c r="G732" s="146"/>
      <c r="H732" s="146"/>
      <c r="I732" s="147"/>
      <c r="J732" s="148"/>
      <c r="K732" s="149"/>
      <c r="L732" s="149"/>
      <c r="M732" s="151"/>
      <c r="N732" s="135" t="s">
        <v>341</v>
      </c>
    </row>
    <row r="733" spans="1:14" x14ac:dyDescent="0.25">
      <c r="A733" s="142">
        <v>44823</v>
      </c>
      <c r="B733" s="81" t="s">
        <v>22</v>
      </c>
      <c r="C733" s="129" t="str">
        <f t="shared" si="23"/>
        <v>19.09.2022_BOYkl</v>
      </c>
      <c r="D733" s="143">
        <f t="shared" si="24"/>
        <v>8</v>
      </c>
      <c r="E733" s="144"/>
      <c r="F733" s="145"/>
      <c r="G733" s="146"/>
      <c r="H733" s="146"/>
      <c r="I733" s="147"/>
      <c r="J733" s="148"/>
      <c r="K733" s="149"/>
      <c r="L733" s="149"/>
      <c r="M733" s="150"/>
      <c r="N733" s="135" t="s">
        <v>341</v>
      </c>
    </row>
    <row r="734" spans="1:14" x14ac:dyDescent="0.25">
      <c r="A734" s="142">
        <v>44823</v>
      </c>
      <c r="B734" s="81" t="s">
        <v>25</v>
      </c>
      <c r="C734" s="129" t="str">
        <f t="shared" si="23"/>
        <v>19.09.2022_BOYohB224</v>
      </c>
      <c r="D734" s="143">
        <f t="shared" si="24"/>
        <v>0</v>
      </c>
      <c r="E734" s="144">
        <v>0.11279248351251239</v>
      </c>
      <c r="F734" s="145">
        <v>0.11083781485586475</v>
      </c>
      <c r="G734" s="146">
        <v>1.4538879645036051</v>
      </c>
      <c r="H734" s="146">
        <v>4.4999999999999998E-2</v>
      </c>
      <c r="I734" s="147">
        <v>1.1339999999999999</v>
      </c>
      <c r="J734" s="148">
        <v>1.3987662955574045</v>
      </c>
      <c r="K734" s="149">
        <v>31.869</v>
      </c>
      <c r="L734" s="149">
        <v>109</v>
      </c>
      <c r="M734" s="151">
        <v>13.15</v>
      </c>
      <c r="N734" s="135"/>
    </row>
    <row r="735" spans="1:14" x14ac:dyDescent="0.25">
      <c r="A735" s="142">
        <v>44823</v>
      </c>
      <c r="B735" s="81" t="s">
        <v>28</v>
      </c>
      <c r="C735" s="129" t="str">
        <f t="shared" si="23"/>
        <v>19.09.2022_BOYohBr</v>
      </c>
      <c r="D735" s="143">
        <f t="shared" si="24"/>
        <v>0</v>
      </c>
      <c r="E735" s="144">
        <v>4.5116993405004954E-2</v>
      </c>
      <c r="F735" s="145">
        <v>4.1457343982553317E-2</v>
      </c>
      <c r="G735" s="146">
        <v>7.2212978369384367E-2</v>
      </c>
      <c r="H735" s="146">
        <v>2.1000000000000001E-2</v>
      </c>
      <c r="I735" s="147">
        <v>4.0170000000000003</v>
      </c>
      <c r="J735" s="148">
        <v>0.96978589557404338</v>
      </c>
      <c r="K735" s="149">
        <v>13.923999999999999</v>
      </c>
      <c r="L735" s="149">
        <v>78</v>
      </c>
      <c r="M735" s="151">
        <v>10.26</v>
      </c>
      <c r="N735" s="135"/>
    </row>
    <row r="736" spans="1:14" x14ac:dyDescent="0.25">
      <c r="A736" s="142">
        <v>44823</v>
      </c>
      <c r="B736" s="81" t="s">
        <v>30</v>
      </c>
      <c r="C736" s="129" t="str">
        <f t="shared" si="23"/>
        <v>19.09.2022_BOYohKi</v>
      </c>
      <c r="D736" s="143">
        <f t="shared" si="24"/>
        <v>0</v>
      </c>
      <c r="E736" s="144">
        <v>4.5116993405004954E-2</v>
      </c>
      <c r="F736" s="145">
        <v>3.3258057679182808E-2</v>
      </c>
      <c r="G736" s="146">
        <v>7.3817711222037355E-2</v>
      </c>
      <c r="H736" s="146">
        <v>4.7E-2</v>
      </c>
      <c r="I736" s="147">
        <v>2.7069999999999999</v>
      </c>
      <c r="J736" s="148">
        <v>0.68305795458679974</v>
      </c>
      <c r="K736" s="149">
        <v>24.417999999999999</v>
      </c>
      <c r="L736" s="149">
        <v>118</v>
      </c>
      <c r="M736" s="151">
        <v>11.07</v>
      </c>
      <c r="N736" s="135"/>
    </row>
    <row r="737" spans="1:14" x14ac:dyDescent="0.25">
      <c r="A737" s="142">
        <v>44823</v>
      </c>
      <c r="B737" s="81" t="s">
        <v>32</v>
      </c>
      <c r="C737" s="129" t="str">
        <f t="shared" si="23"/>
        <v>19.09.2022_BOYohSp</v>
      </c>
      <c r="D737" s="143">
        <f t="shared" si="24"/>
        <v>0</v>
      </c>
      <c r="E737" s="144">
        <v>5.5370855542506092E-2</v>
      </c>
      <c r="F737" s="145">
        <v>4.7808558976900548E-2</v>
      </c>
      <c r="G737" s="146">
        <v>5.4560916990201526E-2</v>
      </c>
      <c r="H737" s="146">
        <v>4.3999999999999997E-2</v>
      </c>
      <c r="I737" s="147">
        <v>3.4340000000000002</v>
      </c>
      <c r="J737" s="148">
        <v>0.83139938643372158</v>
      </c>
      <c r="K737" s="149">
        <v>15.978999999999999</v>
      </c>
      <c r="L737" s="149">
        <v>81</v>
      </c>
      <c r="M737" s="151">
        <v>9.2929999999999993</v>
      </c>
      <c r="N737" s="135"/>
    </row>
    <row r="738" spans="1:14" x14ac:dyDescent="0.25">
      <c r="A738" s="142">
        <v>44823</v>
      </c>
      <c r="B738" s="81" t="s">
        <v>36</v>
      </c>
      <c r="C738" s="129" t="str">
        <f t="shared" si="23"/>
        <v>19.09.2022_BOYuhSp</v>
      </c>
      <c r="D738" s="143">
        <f t="shared" si="24"/>
        <v>0</v>
      </c>
      <c r="E738" s="144">
        <v>6.9726262535007674E-2</v>
      </c>
      <c r="F738" s="145">
        <v>5.6116371319073155E-2</v>
      </c>
      <c r="G738" s="146">
        <v>8.1841375485302278E-2</v>
      </c>
      <c r="H738" s="146">
        <v>5.0999999999999997E-2</v>
      </c>
      <c r="I738" s="147">
        <v>4.2789999999999999</v>
      </c>
      <c r="J738" s="148">
        <v>1.0455736896505823</v>
      </c>
      <c r="K738" s="149">
        <v>20.395</v>
      </c>
      <c r="L738" s="149">
        <v>85</v>
      </c>
      <c r="M738" s="151">
        <v>11.52</v>
      </c>
      <c r="N738" s="135"/>
    </row>
    <row r="739" spans="1:14" x14ac:dyDescent="0.25">
      <c r="A739" s="142">
        <v>44823</v>
      </c>
      <c r="B739" s="81" t="s">
        <v>38</v>
      </c>
      <c r="C739" s="129" t="str">
        <f t="shared" si="23"/>
        <v>19.09.2022_BRAob</v>
      </c>
      <c r="D739" s="143">
        <f t="shared" si="24"/>
        <v>0</v>
      </c>
      <c r="E739" s="144">
        <v>4.101544855000451E-3</v>
      </c>
      <c r="F739" s="145">
        <v>1.6476355207388122E-2</v>
      </c>
      <c r="G739" s="146">
        <v>0.11875023109632095</v>
      </c>
      <c r="H739" s="146">
        <v>3.2000000000000001E-2</v>
      </c>
      <c r="I739" s="147">
        <v>1.929</v>
      </c>
      <c r="J739" s="148">
        <v>0.53765399694398219</v>
      </c>
      <c r="K739" s="149">
        <v>29</v>
      </c>
      <c r="L739" s="149">
        <v>204</v>
      </c>
      <c r="M739" s="151">
        <v>10.87</v>
      </c>
      <c r="N739" s="135"/>
    </row>
    <row r="740" spans="1:14" x14ac:dyDescent="0.25">
      <c r="A740" s="142">
        <v>44823</v>
      </c>
      <c r="B740" s="81" t="s">
        <v>41</v>
      </c>
      <c r="C740" s="129" t="str">
        <f t="shared" si="23"/>
        <v>19.09.2022_BRAohBo</v>
      </c>
      <c r="D740" s="143">
        <f t="shared" si="24"/>
        <v>0</v>
      </c>
      <c r="E740" s="144">
        <v>0.15790947691751736</v>
      </c>
      <c r="F740" s="145">
        <v>0.14147124370045799</v>
      </c>
      <c r="G740" s="146">
        <v>6.4189314106119444E-2</v>
      </c>
      <c r="H740" s="146">
        <v>4.2999999999999997E-2</v>
      </c>
      <c r="I740" s="147">
        <v>2.3090000000000002</v>
      </c>
      <c r="J740" s="148">
        <v>0.58446754051026062</v>
      </c>
      <c r="K740" s="149">
        <v>18.423999999999999</v>
      </c>
      <c r="L740" s="149">
        <v>133</v>
      </c>
      <c r="M740" s="151">
        <v>11.84</v>
      </c>
      <c r="N740" s="135"/>
    </row>
    <row r="741" spans="1:14" x14ac:dyDescent="0.25">
      <c r="A741" s="142">
        <v>44823</v>
      </c>
      <c r="B741" s="81" t="s">
        <v>43</v>
      </c>
      <c r="C741" s="129" t="str">
        <f t="shared" si="23"/>
        <v>19.09.2022_HAAob</v>
      </c>
      <c r="D741" s="143">
        <f t="shared" si="24"/>
        <v>0</v>
      </c>
      <c r="E741" s="144">
        <v>2.6660041557502928E-2</v>
      </c>
      <c r="F741" s="145">
        <v>1.6901827208197565E-2</v>
      </c>
      <c r="G741" s="146">
        <v>3.0489924200406734E-2</v>
      </c>
      <c r="H741" s="146">
        <v>2.1000000000000001E-2</v>
      </c>
      <c r="I741" s="147">
        <v>0.23499999999999999</v>
      </c>
      <c r="J741" s="148">
        <v>8.3148021242373818E-2</v>
      </c>
      <c r="K741" s="149">
        <v>30</v>
      </c>
      <c r="L741" s="149">
        <v>256</v>
      </c>
      <c r="M741" s="151">
        <v>9.8230000000000004</v>
      </c>
      <c r="N741" s="135"/>
    </row>
    <row r="742" spans="1:14" x14ac:dyDescent="0.25">
      <c r="A742" s="142">
        <v>44823</v>
      </c>
      <c r="B742" s="81" t="s">
        <v>45</v>
      </c>
      <c r="C742" s="129" t="str">
        <f t="shared" si="23"/>
        <v>19.09.2022_HAAun</v>
      </c>
      <c r="D742" s="143">
        <f t="shared" si="24"/>
        <v>0</v>
      </c>
      <c r="E742" s="144">
        <v>2.0507724275002255E-3</v>
      </c>
      <c r="F742" s="145">
        <v>2.0159371277031834E-2</v>
      </c>
      <c r="G742" s="146">
        <v>9.3074505453873177E-2</v>
      </c>
      <c r="H742" s="146">
        <v>2.1999999999999999E-2</v>
      </c>
      <c r="I742" s="147">
        <v>0.67800000000000005</v>
      </c>
      <c r="J742" s="148">
        <v>0.23210918273987796</v>
      </c>
      <c r="K742" s="149">
        <v>41</v>
      </c>
      <c r="L742" s="149">
        <v>355</v>
      </c>
      <c r="M742" s="151">
        <v>10.94</v>
      </c>
      <c r="N742" s="135"/>
    </row>
    <row r="743" spans="1:14" x14ac:dyDescent="0.25">
      <c r="A743" s="142">
        <v>44823</v>
      </c>
      <c r="B743" s="81" t="s">
        <v>47</v>
      </c>
      <c r="C743" s="129" t="str">
        <f t="shared" si="23"/>
        <v>19.09.2022_KIRob</v>
      </c>
      <c r="D743" s="143">
        <f t="shared" si="24"/>
        <v>0</v>
      </c>
      <c r="E743" s="144">
        <v>8.203089710000902E-3</v>
      </c>
      <c r="F743" s="145">
        <v>1.1916616199913561E-2</v>
      </c>
      <c r="G743" s="146">
        <v>0.54881863560732114</v>
      </c>
      <c r="H743" s="146">
        <v>0.14799999999999999</v>
      </c>
      <c r="I743" s="147">
        <v>4.6689999999999996</v>
      </c>
      <c r="J743" s="148">
        <v>1.5257978123627285</v>
      </c>
      <c r="K743" s="149">
        <v>74</v>
      </c>
      <c r="L743" s="149">
        <v>154</v>
      </c>
      <c r="M743" s="151">
        <v>9.4629999999999992</v>
      </c>
      <c r="N743" s="135"/>
    </row>
    <row r="744" spans="1:14" x14ac:dyDescent="0.25">
      <c r="A744" s="142">
        <v>44823</v>
      </c>
      <c r="B744" s="81" t="s">
        <v>49</v>
      </c>
      <c r="C744" s="129" t="str">
        <f t="shared" si="23"/>
        <v>19.09.2022_KIRun</v>
      </c>
      <c r="D744" s="143">
        <f t="shared" si="24"/>
        <v>0</v>
      </c>
      <c r="E744" s="144">
        <v>0</v>
      </c>
      <c r="F744" s="145">
        <v>1.5719290950675705E-2</v>
      </c>
      <c r="G744" s="146">
        <v>0.16368275097060456</v>
      </c>
      <c r="H744" s="146">
        <v>6.8000000000000005E-2</v>
      </c>
      <c r="I744" s="147">
        <v>3.5009999999999999</v>
      </c>
      <c r="J744" s="148">
        <v>0.93857148930116463</v>
      </c>
      <c r="K744" s="149">
        <v>55</v>
      </c>
      <c r="L744" s="149">
        <v>132</v>
      </c>
      <c r="M744" s="151">
        <v>9.5500000000000007</v>
      </c>
      <c r="N744" s="135"/>
    </row>
    <row r="745" spans="1:14" x14ac:dyDescent="0.25">
      <c r="A745" s="142">
        <v>44823</v>
      </c>
      <c r="B745" s="81" t="s">
        <v>50</v>
      </c>
      <c r="C745" s="129" t="str">
        <f t="shared" si="23"/>
        <v>19.09.2022_LIEohBo</v>
      </c>
      <c r="D745" s="143">
        <f t="shared" si="24"/>
        <v>0</v>
      </c>
      <c r="E745" s="144">
        <v>2.0507724275002255E-2</v>
      </c>
      <c r="F745" s="145">
        <v>2.5392884382905934E-2</v>
      </c>
      <c r="G745" s="146">
        <v>1.12331299685709E-2</v>
      </c>
      <c r="H745" s="146">
        <v>2.5999999999999999E-2</v>
      </c>
      <c r="I745" s="147">
        <v>2.5659999999999998</v>
      </c>
      <c r="J745" s="148">
        <v>0.59622053308929557</v>
      </c>
      <c r="K745" s="149">
        <v>15.311</v>
      </c>
      <c r="L745" s="149">
        <v>60</v>
      </c>
      <c r="M745" s="151">
        <v>10.41</v>
      </c>
      <c r="N745" s="135"/>
    </row>
    <row r="746" spans="1:14" x14ac:dyDescent="0.25">
      <c r="A746" s="142">
        <v>44823</v>
      </c>
      <c r="B746" s="81" t="s">
        <v>53</v>
      </c>
      <c r="C746" s="129" t="str">
        <f t="shared" si="23"/>
        <v>19.09.2022_NATohBo</v>
      </c>
      <c r="D746" s="143">
        <f t="shared" si="24"/>
        <v>0</v>
      </c>
      <c r="E746" s="144">
        <v>2.0507724275002255E-2</v>
      </c>
      <c r="F746" s="145">
        <v>1.5532204201534228E-2</v>
      </c>
      <c r="G746" s="146">
        <v>8.0236642632649291E-2</v>
      </c>
      <c r="H746" s="146">
        <v>3.1E-2</v>
      </c>
      <c r="I746" s="147">
        <v>1.968</v>
      </c>
      <c r="J746" s="148">
        <v>0.51625306063782583</v>
      </c>
      <c r="K746" s="149">
        <v>53</v>
      </c>
      <c r="L746" s="149">
        <v>205</v>
      </c>
      <c r="M746" s="151">
        <v>9.9390000000000001</v>
      </c>
      <c r="N746" s="135"/>
    </row>
    <row r="747" spans="1:14" x14ac:dyDescent="0.25">
      <c r="A747" s="142">
        <v>44823</v>
      </c>
      <c r="B747" s="81" t="s">
        <v>55</v>
      </c>
      <c r="C747" s="129" t="str">
        <f t="shared" si="23"/>
        <v>19.09.2022_QUAohBo</v>
      </c>
      <c r="D747" s="143">
        <f t="shared" si="24"/>
        <v>8</v>
      </c>
      <c r="E747" s="144"/>
      <c r="F747" s="145"/>
      <c r="G747" s="146"/>
      <c r="H747" s="146"/>
      <c r="I747" s="147"/>
      <c r="J747" s="148"/>
      <c r="K747" s="149"/>
      <c r="L747" s="149"/>
      <c r="M747" s="151"/>
      <c r="N747" s="135" t="s">
        <v>341</v>
      </c>
    </row>
    <row r="748" spans="1:14" x14ac:dyDescent="0.25">
      <c r="A748" s="142">
        <v>44823</v>
      </c>
      <c r="B748" s="81" t="s">
        <v>57</v>
      </c>
      <c r="C748" s="129" t="str">
        <f t="shared" si="23"/>
        <v>19.09.2022_SCHohVo</v>
      </c>
      <c r="D748" s="143">
        <f t="shared" si="24"/>
        <v>0</v>
      </c>
      <c r="E748" s="144">
        <v>3.0761586412503383E-2</v>
      </c>
      <c r="F748" s="145">
        <v>2.920321054564232E-2</v>
      </c>
      <c r="G748" s="146">
        <v>0.20219633943427623</v>
      </c>
      <c r="H748" s="146">
        <v>2.7E-2</v>
      </c>
      <c r="I748" s="147">
        <v>4.2549999999999999</v>
      </c>
      <c r="J748" s="148">
        <v>1.126300435607321</v>
      </c>
      <c r="K748" s="149">
        <v>7.6929999999999996</v>
      </c>
      <c r="L748" s="149">
        <v>181</v>
      </c>
      <c r="M748" s="151">
        <v>10.55</v>
      </c>
      <c r="N748" s="135"/>
    </row>
    <row r="749" spans="1:14" x14ac:dyDescent="0.25">
      <c r="A749" s="142">
        <v>44823</v>
      </c>
      <c r="B749" s="81" t="s">
        <v>60</v>
      </c>
      <c r="C749" s="129" t="str">
        <f t="shared" si="23"/>
        <v>19.09.2022_VORohBo</v>
      </c>
      <c r="D749" s="143">
        <f t="shared" si="24"/>
        <v>0</v>
      </c>
      <c r="E749" s="144">
        <v>1.8456951847502026E-2</v>
      </c>
      <c r="F749" s="145">
        <v>1.3072761570371707E-2</v>
      </c>
      <c r="G749" s="146">
        <v>0.26638565354039567</v>
      </c>
      <c r="H749" s="146">
        <v>4.4999999999999998E-2</v>
      </c>
      <c r="I749" s="147">
        <v>1.6819999999999999</v>
      </c>
      <c r="J749" s="148">
        <v>0.60045938611758187</v>
      </c>
      <c r="K749" s="149">
        <v>30</v>
      </c>
      <c r="L749" s="149">
        <v>204</v>
      </c>
      <c r="M749" s="151">
        <v>11.62</v>
      </c>
      <c r="N749" s="135"/>
    </row>
    <row r="750" spans="1:14" x14ac:dyDescent="0.25">
      <c r="A750" s="142">
        <v>44823</v>
      </c>
      <c r="B750" s="81" t="s">
        <v>62</v>
      </c>
      <c r="C750" s="129" t="str">
        <f t="shared" si="23"/>
        <v>19.09.2022_VORuhSc</v>
      </c>
      <c r="D750" s="143">
        <f t="shared" si="24"/>
        <v>0</v>
      </c>
      <c r="E750" s="144">
        <v>0</v>
      </c>
      <c r="F750" s="145">
        <v>1.2492826690332163E-2</v>
      </c>
      <c r="G750" s="146">
        <v>0.21342946940284713</v>
      </c>
      <c r="H750" s="146">
        <v>3.6999999999999998E-2</v>
      </c>
      <c r="I750" s="147">
        <v>1.21</v>
      </c>
      <c r="J750" s="148">
        <v>0.45029319869661671</v>
      </c>
      <c r="K750" s="149">
        <v>33.119</v>
      </c>
      <c r="L750" s="149">
        <v>218</v>
      </c>
      <c r="M750" s="151">
        <v>10.93</v>
      </c>
      <c r="N750" s="135"/>
    </row>
    <row r="751" spans="1:14" x14ac:dyDescent="0.25">
      <c r="A751" s="142">
        <v>44823</v>
      </c>
      <c r="B751" s="81" t="s">
        <v>64</v>
      </c>
      <c r="C751" s="129" t="str">
        <f t="shared" si="23"/>
        <v>19.09.2022_WITob</v>
      </c>
      <c r="D751" s="143">
        <f t="shared" si="24"/>
        <v>0</v>
      </c>
      <c r="E751" s="144">
        <v>1.8456951847502026E-2</v>
      </c>
      <c r="F751" s="145">
        <v>1.203235596398798E-2</v>
      </c>
      <c r="G751" s="146">
        <v>2.4070992789794788E-2</v>
      </c>
      <c r="H751" s="146">
        <v>1.9E-2</v>
      </c>
      <c r="I751" s="147">
        <v>0</v>
      </c>
      <c r="J751" s="148">
        <v>2.4475435191347754E-2</v>
      </c>
      <c r="K751" s="149">
        <v>50</v>
      </c>
      <c r="L751" s="149">
        <v>194</v>
      </c>
      <c r="M751" s="151">
        <v>10.62</v>
      </c>
      <c r="N751" s="135"/>
    </row>
    <row r="752" spans="1:14" x14ac:dyDescent="0.25">
      <c r="A752" s="142">
        <v>44841</v>
      </c>
      <c r="B752" s="81" t="s">
        <v>22</v>
      </c>
      <c r="C752" s="129" t="str">
        <f t="shared" si="23"/>
        <v>07.10.2022_BOYkl</v>
      </c>
      <c r="D752" s="143">
        <f t="shared" si="24"/>
        <v>8</v>
      </c>
      <c r="E752" s="144"/>
      <c r="F752" s="145"/>
      <c r="G752" s="146"/>
      <c r="H752" s="146"/>
      <c r="I752" s="147"/>
      <c r="J752" s="148"/>
      <c r="K752" s="149"/>
      <c r="L752" s="149"/>
      <c r="M752" s="150"/>
      <c r="N752" s="135" t="s">
        <v>341</v>
      </c>
    </row>
    <row r="753" spans="1:14" x14ac:dyDescent="0.25">
      <c r="A753" s="142">
        <v>44841</v>
      </c>
      <c r="B753" s="81" t="s">
        <v>25</v>
      </c>
      <c r="C753" s="129" t="str">
        <f t="shared" si="23"/>
        <v>07.10.2022_BOYohB224</v>
      </c>
      <c r="D753" s="143">
        <f t="shared" si="24"/>
        <v>0</v>
      </c>
      <c r="E753" s="144">
        <v>2.3299430810861246E-2</v>
      </c>
      <c r="F753" s="145">
        <v>1.7313544499133811E-2</v>
      </c>
      <c r="G753" s="146">
        <v>7.1197941911189E-2</v>
      </c>
      <c r="H753" s="146">
        <v>2.8462157809983891E-2</v>
      </c>
      <c r="I753" s="147">
        <v>1.8169999999999999</v>
      </c>
      <c r="J753" s="148">
        <v>0.47435558385986876</v>
      </c>
      <c r="K753" s="149">
        <v>41</v>
      </c>
      <c r="L753" s="149">
        <v>218</v>
      </c>
      <c r="M753" s="150"/>
      <c r="N753" s="135"/>
    </row>
    <row r="754" spans="1:14" x14ac:dyDescent="0.25">
      <c r="A754" s="142">
        <v>44841</v>
      </c>
      <c r="B754" s="81" t="s">
        <v>28</v>
      </c>
      <c r="C754" s="129" t="str">
        <f t="shared" si="23"/>
        <v>07.10.2022_BOYohBr</v>
      </c>
      <c r="D754" s="143">
        <f t="shared" si="24"/>
        <v>0</v>
      </c>
      <c r="E754" s="144">
        <v>1.270878044228795E-2</v>
      </c>
      <c r="F754" s="145">
        <v>2.8237479153791149E-2</v>
      </c>
      <c r="G754" s="146">
        <v>0.11165131799709187</v>
      </c>
      <c r="H754" s="146">
        <v>6.0272804774083547E-2</v>
      </c>
      <c r="I754" s="147">
        <v>5.9</v>
      </c>
      <c r="J754" s="148">
        <v>1.4376791873250314</v>
      </c>
      <c r="K754" s="149">
        <v>23.097999999999999</v>
      </c>
      <c r="L754" s="149">
        <v>78</v>
      </c>
      <c r="M754" s="150"/>
      <c r="N754" s="135"/>
    </row>
    <row r="755" spans="1:14" x14ac:dyDescent="0.25">
      <c r="A755" s="142">
        <v>44841</v>
      </c>
      <c r="B755" s="81" t="s">
        <v>30</v>
      </c>
      <c r="C755" s="129" t="str">
        <f t="shared" si="23"/>
        <v>07.10.2022_BOYohKi</v>
      </c>
      <c r="D755" s="143">
        <f t="shared" si="24"/>
        <v>0</v>
      </c>
      <c r="E755" s="144">
        <v>1.4826910516002611E-2</v>
      </c>
      <c r="F755" s="145">
        <v>1.7866695384608847E-2</v>
      </c>
      <c r="G755" s="146">
        <v>6.1489131650572335E-2</v>
      </c>
      <c r="H755" s="146">
        <v>2.1765179501752392E-2</v>
      </c>
      <c r="I755" s="147">
        <v>2</v>
      </c>
      <c r="J755" s="148">
        <v>0.50611210473466139</v>
      </c>
      <c r="K755" s="149">
        <v>29</v>
      </c>
      <c r="L755" s="149">
        <v>148</v>
      </c>
      <c r="M755" s="150"/>
      <c r="N755" s="135"/>
    </row>
    <row r="756" spans="1:14" x14ac:dyDescent="0.25">
      <c r="A756" s="142">
        <v>44841</v>
      </c>
      <c r="B756" s="81" t="s">
        <v>32</v>
      </c>
      <c r="C756" s="129" t="str">
        <f t="shared" si="23"/>
        <v>07.10.2022_BOYohSp</v>
      </c>
      <c r="D756" s="143">
        <f t="shared" si="24"/>
        <v>0</v>
      </c>
      <c r="E756" s="144">
        <v>0</v>
      </c>
      <c r="F756" s="145">
        <v>2.5319677229355728E-2</v>
      </c>
      <c r="G756" s="146">
        <v>5.3398456433391757E-2</v>
      </c>
      <c r="H756" s="146">
        <v>4.5204603580562656E-2</v>
      </c>
      <c r="I756" s="147">
        <v>3.9</v>
      </c>
      <c r="J756" s="148">
        <v>0.93611890899606653</v>
      </c>
      <c r="K756" s="149">
        <v>25.109000000000002</v>
      </c>
      <c r="L756" s="149">
        <v>91</v>
      </c>
      <c r="M756" s="150"/>
      <c r="N756" s="135"/>
    </row>
    <row r="757" spans="1:14" x14ac:dyDescent="0.25">
      <c r="A757" s="142">
        <v>44841</v>
      </c>
      <c r="B757" s="81" t="s">
        <v>36</v>
      </c>
      <c r="C757" s="129" t="str">
        <f t="shared" si="23"/>
        <v>07.10.2022_BOYuhSp</v>
      </c>
      <c r="D757" s="143">
        <f t="shared" si="24"/>
        <v>0</v>
      </c>
      <c r="E757" s="144">
        <v>1.270878044228795E-2</v>
      </c>
      <c r="F757" s="145">
        <v>2.3256341063427763E-2</v>
      </c>
      <c r="G757" s="146">
        <v>7.2816076954625122E-2</v>
      </c>
      <c r="H757" s="146">
        <v>5.5250071042909916E-2</v>
      </c>
      <c r="I757" s="147">
        <v>4</v>
      </c>
      <c r="J757" s="148">
        <v>0.9768418397235108</v>
      </c>
      <c r="K757" s="149">
        <v>26.645</v>
      </c>
      <c r="L757" s="149">
        <v>91</v>
      </c>
      <c r="M757" s="150"/>
      <c r="N757" s="135"/>
    </row>
    <row r="758" spans="1:14" x14ac:dyDescent="0.25">
      <c r="A758" s="142">
        <v>44841</v>
      </c>
      <c r="B758" s="81" t="s">
        <v>38</v>
      </c>
      <c r="C758" s="129" t="str">
        <f t="shared" si="23"/>
        <v>07.10.2022_BRAob</v>
      </c>
      <c r="D758" s="143">
        <f t="shared" si="24"/>
        <v>0</v>
      </c>
      <c r="E758" s="144">
        <v>8.472520294858633E-3</v>
      </c>
      <c r="F758" s="145">
        <v>1.4300278241824794E-2</v>
      </c>
      <c r="G758" s="146">
        <v>4.854405130308341E-2</v>
      </c>
      <c r="H758" s="146">
        <v>1.6742445770578775E-3</v>
      </c>
      <c r="I758" s="147">
        <v>0.36499999999999999</v>
      </c>
      <c r="J758" s="148">
        <v>0.1206462441578165</v>
      </c>
      <c r="K758" s="149">
        <v>31</v>
      </c>
      <c r="L758" s="149">
        <v>205</v>
      </c>
      <c r="M758" s="150"/>
      <c r="N758" s="135"/>
    </row>
    <row r="759" spans="1:14" x14ac:dyDescent="0.25">
      <c r="A759" s="142">
        <v>44841</v>
      </c>
      <c r="B759" s="81" t="s">
        <v>41</v>
      </c>
      <c r="C759" s="129" t="str">
        <f t="shared" si="23"/>
        <v>07.10.2022_BRAohBo</v>
      </c>
      <c r="D759" s="143">
        <f t="shared" si="24"/>
        <v>0</v>
      </c>
      <c r="E759" s="144">
        <v>3.3890081179434539E-2</v>
      </c>
      <c r="F759" s="145">
        <v>3.218013259607367E-2</v>
      </c>
      <c r="G759" s="146">
        <v>3.7217105999030629E-2</v>
      </c>
      <c r="H759" s="146">
        <v>1.5068201193520887E-2</v>
      </c>
      <c r="I759" s="147">
        <v>0.39300000000000002</v>
      </c>
      <c r="J759" s="148">
        <v>0.12225313449055474</v>
      </c>
      <c r="K759" s="149">
        <v>31</v>
      </c>
      <c r="L759" s="149">
        <v>236</v>
      </c>
      <c r="M759" s="150"/>
      <c r="N759" s="135"/>
    </row>
    <row r="760" spans="1:14" x14ac:dyDescent="0.25">
      <c r="A760" s="142">
        <v>44841</v>
      </c>
      <c r="B760" s="81" t="s">
        <v>43</v>
      </c>
      <c r="C760" s="129" t="str">
        <f t="shared" si="23"/>
        <v>07.10.2022_HAAob</v>
      </c>
      <c r="D760" s="143">
        <f t="shared" si="24"/>
        <v>0</v>
      </c>
      <c r="E760" s="144">
        <v>2.7535690958290567E-2</v>
      </c>
      <c r="F760" s="145">
        <v>2.1415260583671204E-2</v>
      </c>
      <c r="G760" s="146">
        <v>2.5890160694977821E-2</v>
      </c>
      <c r="H760" s="146">
        <v>0</v>
      </c>
      <c r="I760" s="147">
        <v>4.8000000000000001E-2</v>
      </c>
      <c r="J760" s="148">
        <v>3.0945210878043326E-2</v>
      </c>
      <c r="K760" s="149">
        <v>36</v>
      </c>
      <c r="L760" s="149">
        <v>275</v>
      </c>
      <c r="M760" s="150"/>
      <c r="N760" s="135"/>
    </row>
    <row r="761" spans="1:14" x14ac:dyDescent="0.25">
      <c r="A761" s="142">
        <v>44841</v>
      </c>
      <c r="B761" s="81" t="s">
        <v>45</v>
      </c>
      <c r="C761" s="129" t="str">
        <f t="shared" si="23"/>
        <v>07.10.2022_HAAun</v>
      </c>
      <c r="D761" s="143">
        <f t="shared" si="24"/>
        <v>0</v>
      </c>
      <c r="E761" s="144">
        <v>2.118130073714659E-2</v>
      </c>
      <c r="F761" s="145">
        <v>2.2632418669845597E-2</v>
      </c>
      <c r="G761" s="146">
        <v>9.0615562432422386E-2</v>
      </c>
      <c r="H761" s="146">
        <v>0</v>
      </c>
      <c r="I761" s="147">
        <v>0.39300000000000002</v>
      </c>
      <c r="J761" s="148">
        <v>0.1586192643116664</v>
      </c>
      <c r="K761" s="149">
        <v>37</v>
      </c>
      <c r="L761" s="149">
        <v>330</v>
      </c>
      <c r="M761" s="150"/>
      <c r="N761" s="135"/>
    </row>
    <row r="762" spans="1:14" x14ac:dyDescent="0.25">
      <c r="A762" s="142">
        <v>44841</v>
      </c>
      <c r="B762" s="81" t="s">
        <v>47</v>
      </c>
      <c r="C762" s="129" t="str">
        <f t="shared" si="23"/>
        <v>07.10.2022_KIRob</v>
      </c>
      <c r="D762" s="143">
        <f t="shared" si="24"/>
        <v>0</v>
      </c>
      <c r="E762" s="144">
        <v>1.4826910516002611E-2</v>
      </c>
      <c r="F762" s="145">
        <v>1.1259101351959297E-2</v>
      </c>
      <c r="G762" s="146">
        <v>0.39320681555497566</v>
      </c>
      <c r="H762" s="146">
        <v>1.876828170881879</v>
      </c>
      <c r="I762" s="147">
        <v>4.9640000000000004</v>
      </c>
      <c r="J762" s="148">
        <v>1.9979401768352711</v>
      </c>
      <c r="K762" s="149">
        <v>85</v>
      </c>
      <c r="L762" s="149">
        <v>172</v>
      </c>
      <c r="M762" s="150"/>
      <c r="N762" s="135"/>
    </row>
    <row r="763" spans="1:14" x14ac:dyDescent="0.25">
      <c r="A763" s="142">
        <v>44841</v>
      </c>
      <c r="B763" s="81" t="s">
        <v>49</v>
      </c>
      <c r="C763" s="129" t="str">
        <f t="shared" si="23"/>
        <v>07.10.2022_KIRun</v>
      </c>
      <c r="D763" s="143">
        <f t="shared" si="24"/>
        <v>0</v>
      </c>
      <c r="E763" s="144">
        <v>2.118130073714659E-2</v>
      </c>
      <c r="F763" s="145">
        <v>1.3379948739988179E-2</v>
      </c>
      <c r="G763" s="146">
        <v>7.9288617128369585E-2</v>
      </c>
      <c r="H763" s="146">
        <v>5.0227337311736286E-2</v>
      </c>
      <c r="I763" s="147">
        <v>3.5510000000000002</v>
      </c>
      <c r="J763" s="148">
        <v>0.87892290115856575</v>
      </c>
      <c r="K763" s="149">
        <v>61</v>
      </c>
      <c r="L763" s="149">
        <v>145</v>
      </c>
      <c r="M763" s="150"/>
      <c r="N763" s="135"/>
    </row>
    <row r="764" spans="1:14" x14ac:dyDescent="0.25">
      <c r="A764" s="142">
        <v>44841</v>
      </c>
      <c r="B764" s="81" t="s">
        <v>50</v>
      </c>
      <c r="C764" s="129" t="str">
        <f t="shared" si="23"/>
        <v>07.10.2022_LIEohBo</v>
      </c>
      <c r="D764" s="143">
        <f t="shared" si="24"/>
        <v>2</v>
      </c>
      <c r="E764" s="144">
        <v>4.2362601474293157E-3</v>
      </c>
      <c r="F764" s="145">
        <v>1.8052505547536398E-2</v>
      </c>
      <c r="G764" s="146">
        <v>0</v>
      </c>
      <c r="H764" s="146">
        <v>8.3712228852893828E-3</v>
      </c>
      <c r="I764" s="147"/>
      <c r="J764" s="148"/>
      <c r="K764" s="149">
        <v>16.143000000000001</v>
      </c>
      <c r="L764" s="149">
        <v>113</v>
      </c>
      <c r="M764" s="150"/>
      <c r="N764" s="135" t="s">
        <v>347</v>
      </c>
    </row>
    <row r="765" spans="1:14" x14ac:dyDescent="0.25">
      <c r="A765" s="142">
        <v>44841</v>
      </c>
      <c r="B765" s="81" t="s">
        <v>53</v>
      </c>
      <c r="C765" s="129" t="str">
        <f t="shared" si="23"/>
        <v>07.10.2022_NATohBo</v>
      </c>
      <c r="D765" s="143">
        <f t="shared" si="24"/>
        <v>0</v>
      </c>
      <c r="E765" s="144">
        <v>1.270878044228795E-2</v>
      </c>
      <c r="F765" s="145">
        <v>1.624609958094279E-2</v>
      </c>
      <c r="G765" s="146">
        <v>0.29611871294880882</v>
      </c>
      <c r="H765" s="146">
        <v>1.0045467462347253E-2</v>
      </c>
      <c r="I765" s="147">
        <v>0.996</v>
      </c>
      <c r="J765" s="148">
        <v>0.45795808198653221</v>
      </c>
      <c r="K765" s="149">
        <v>117</v>
      </c>
      <c r="L765" s="149">
        <v>498</v>
      </c>
      <c r="M765" s="150"/>
      <c r="N765" s="135"/>
    </row>
    <row r="766" spans="1:14" x14ac:dyDescent="0.25">
      <c r="A766" s="142">
        <v>44841</v>
      </c>
      <c r="B766" s="81" t="s">
        <v>55</v>
      </c>
      <c r="C766" s="129" t="str">
        <f t="shared" si="23"/>
        <v>07.10.2022_QUAohBo</v>
      </c>
      <c r="D766" s="143">
        <f t="shared" si="24"/>
        <v>8</v>
      </c>
      <c r="E766" s="144"/>
      <c r="F766" s="145"/>
      <c r="G766" s="146"/>
      <c r="H766" s="146"/>
      <c r="I766" s="147"/>
      <c r="J766" s="148"/>
      <c r="K766" s="149"/>
      <c r="L766" s="149"/>
      <c r="M766" s="150"/>
      <c r="N766" s="135" t="s">
        <v>341</v>
      </c>
    </row>
    <row r="767" spans="1:14" x14ac:dyDescent="0.25">
      <c r="A767" s="142">
        <v>44841</v>
      </c>
      <c r="B767" s="81" t="s">
        <v>57</v>
      </c>
      <c r="C767" s="129" t="str">
        <f t="shared" si="23"/>
        <v>07.10.2022_SCHohVo</v>
      </c>
      <c r="D767" s="143">
        <f t="shared" si="24"/>
        <v>8</v>
      </c>
      <c r="E767" s="144"/>
      <c r="F767" s="145"/>
      <c r="G767" s="146"/>
      <c r="H767" s="146"/>
      <c r="I767" s="147"/>
      <c r="J767" s="148"/>
      <c r="K767" s="149"/>
      <c r="L767" s="149"/>
      <c r="M767" s="150"/>
      <c r="N767" s="135" t="s">
        <v>341</v>
      </c>
    </row>
    <row r="768" spans="1:14" x14ac:dyDescent="0.25">
      <c r="A768" s="142">
        <v>44841</v>
      </c>
      <c r="B768" s="81" t="s">
        <v>60</v>
      </c>
      <c r="C768" s="129" t="str">
        <f t="shared" si="23"/>
        <v>07.10.2022_VORohBo</v>
      </c>
      <c r="D768" s="143">
        <f t="shared" si="24"/>
        <v>0</v>
      </c>
      <c r="E768" s="144">
        <v>1.4826910516002611E-2</v>
      </c>
      <c r="F768" s="145">
        <v>1.1595678373078542E-2</v>
      </c>
      <c r="G768" s="146">
        <v>0.35275343946907284</v>
      </c>
      <c r="H768" s="146">
        <v>2.6787913232926012E-2</v>
      </c>
      <c r="I768" s="147">
        <v>0.90900000000000003</v>
      </c>
      <c r="J768" s="148">
        <v>0.48738092839710467</v>
      </c>
      <c r="K768" s="149">
        <v>31</v>
      </c>
      <c r="L768" s="149">
        <v>205</v>
      </c>
      <c r="M768" s="150"/>
      <c r="N768" s="135"/>
    </row>
    <row r="769" spans="1:14" x14ac:dyDescent="0.25">
      <c r="A769" s="142">
        <v>44841</v>
      </c>
      <c r="B769" s="81" t="s">
        <v>62</v>
      </c>
      <c r="C769" s="129" t="str">
        <f t="shared" si="23"/>
        <v>07.10.2022_VORuhSc</v>
      </c>
      <c r="D769" s="143">
        <f t="shared" si="24"/>
        <v>0</v>
      </c>
      <c r="E769" s="144">
        <v>1.694504058971727E-2</v>
      </c>
      <c r="F769" s="145">
        <v>1.116714256535568E-2</v>
      </c>
      <c r="G769" s="146">
        <v>0.25890160694977826</v>
      </c>
      <c r="H769" s="146">
        <v>6.6969783082315047E-3</v>
      </c>
      <c r="I769" s="147">
        <v>0.214</v>
      </c>
      <c r="J769" s="148">
        <v>0.25140958382637441</v>
      </c>
      <c r="K769" s="149">
        <v>33</v>
      </c>
      <c r="L769" s="149">
        <v>243</v>
      </c>
      <c r="M769" s="150"/>
      <c r="N769" s="135"/>
    </row>
    <row r="770" spans="1:14" x14ac:dyDescent="0.25">
      <c r="A770" s="142">
        <v>44841</v>
      </c>
      <c r="B770" s="81" t="s">
        <v>64</v>
      </c>
      <c r="C770" s="129" t="str">
        <f t="shared" si="23"/>
        <v>07.10.2022_WITob</v>
      </c>
      <c r="D770" s="143">
        <f t="shared" si="24"/>
        <v>0</v>
      </c>
      <c r="E770" s="144">
        <v>1.4826910516002611E-2</v>
      </c>
      <c r="F770" s="145">
        <v>1.29495122372357E-2</v>
      </c>
      <c r="G770" s="146">
        <v>2.1035755564669488E-2</v>
      </c>
      <c r="H770" s="146">
        <v>5.0227337311736266E-3</v>
      </c>
      <c r="I770" s="147">
        <v>0.20200000000000001</v>
      </c>
      <c r="J770" s="148">
        <v>6.3488965122866017E-2</v>
      </c>
      <c r="K770" s="149">
        <v>66</v>
      </c>
      <c r="L770" s="149">
        <v>237</v>
      </c>
      <c r="M770" s="150"/>
      <c r="N770" s="135"/>
    </row>
    <row r="771" spans="1:14" x14ac:dyDescent="0.25">
      <c r="A771" s="142">
        <v>44855</v>
      </c>
      <c r="B771" s="81" t="s">
        <v>22</v>
      </c>
      <c r="C771" s="129" t="str">
        <f t="shared" si="23"/>
        <v>21.10.2022_BOYkl</v>
      </c>
      <c r="D771" s="143">
        <f t="shared" si="24"/>
        <v>8</v>
      </c>
      <c r="E771" s="144"/>
      <c r="F771" s="145"/>
      <c r="G771" s="146"/>
      <c r="H771" s="146"/>
      <c r="I771" s="147"/>
      <c r="J771" s="148"/>
      <c r="K771" s="149"/>
      <c r="L771" s="149"/>
      <c r="M771" s="150"/>
      <c r="N771" s="135" t="s">
        <v>341</v>
      </c>
    </row>
    <row r="772" spans="1:14" x14ac:dyDescent="0.25">
      <c r="A772" s="142">
        <v>44855</v>
      </c>
      <c r="B772" s="81" t="s">
        <v>25</v>
      </c>
      <c r="C772" s="129" t="str">
        <f t="shared" si="23"/>
        <v>21.10.2022_BOYohB224</v>
      </c>
      <c r="D772" s="143">
        <f t="shared" si="24"/>
        <v>0</v>
      </c>
      <c r="E772" s="144">
        <v>0</v>
      </c>
      <c r="F772" s="145">
        <v>2.0823273108710363E-2</v>
      </c>
      <c r="G772" s="146">
        <v>7.0129822435226516E-2</v>
      </c>
      <c r="H772" s="146">
        <v>2.282538511207453E-2</v>
      </c>
      <c r="I772" s="147">
        <v>1.532</v>
      </c>
      <c r="J772" s="148">
        <v>0.40743713432010015</v>
      </c>
      <c r="K772" s="149">
        <v>35</v>
      </c>
      <c r="L772" s="149">
        <v>186</v>
      </c>
      <c r="M772" s="151">
        <v>6.593</v>
      </c>
      <c r="N772" s="135"/>
    </row>
    <row r="773" spans="1:14" x14ac:dyDescent="0.25">
      <c r="A773" s="142">
        <v>44855</v>
      </c>
      <c r="B773" s="81" t="s">
        <v>28</v>
      </c>
      <c r="C773" s="129" t="str">
        <f t="shared" ref="C773:C836" si="25">CONCATENATE(TEXT(A773,"TT.MM.JJJJ"),"_",B773)</f>
        <v>21.10.2022_BOYohBr</v>
      </c>
      <c r="D773" s="143">
        <f t="shared" ref="D773:D836" si="26">COUNTBLANK(E773:L773)</f>
        <v>0</v>
      </c>
      <c r="E773" s="144">
        <v>3.0603990652525614E-2</v>
      </c>
      <c r="F773" s="145">
        <v>2.9943691339537677E-2</v>
      </c>
      <c r="G773" s="146">
        <v>0.10041315485043797</v>
      </c>
      <c r="H773" s="146">
        <v>6.1954616732773735E-2</v>
      </c>
      <c r="I773" s="147">
        <v>4.8550000000000004</v>
      </c>
      <c r="J773" s="148">
        <v>1.1934307436741096</v>
      </c>
      <c r="K773" s="149">
        <v>22.67</v>
      </c>
      <c r="L773" s="149">
        <v>70</v>
      </c>
      <c r="M773" s="151">
        <v>8.8940000000000001</v>
      </c>
      <c r="N773" s="135"/>
    </row>
    <row r="774" spans="1:14" x14ac:dyDescent="0.25">
      <c r="A774" s="142">
        <v>44855</v>
      </c>
      <c r="B774" s="81" t="s">
        <v>30</v>
      </c>
      <c r="C774" s="129" t="str">
        <f t="shared" si="25"/>
        <v>21.10.2022_BOYohKi</v>
      </c>
      <c r="D774" s="143">
        <f t="shared" si="26"/>
        <v>0</v>
      </c>
      <c r="E774" s="144">
        <v>2.2442926478518782E-2</v>
      </c>
      <c r="F774" s="145">
        <v>2.132389753730075E-2</v>
      </c>
      <c r="G774" s="146">
        <v>6.2160524431223489E-2</v>
      </c>
      <c r="H774" s="146">
        <v>2.282538511207453E-2</v>
      </c>
      <c r="I774" s="147">
        <v>2.052</v>
      </c>
      <c r="J774" s="148">
        <v>0.51870145411297175</v>
      </c>
      <c r="K774" s="149">
        <v>29</v>
      </c>
      <c r="L774" s="149">
        <v>142</v>
      </c>
      <c r="M774" s="151">
        <v>6.875</v>
      </c>
      <c r="N774" s="135"/>
    </row>
    <row r="775" spans="1:14" x14ac:dyDescent="0.25">
      <c r="A775" s="142">
        <v>44855</v>
      </c>
      <c r="B775" s="81" t="s">
        <v>32</v>
      </c>
      <c r="C775" s="129" t="str">
        <f t="shared" si="25"/>
        <v>21.10.2022_BOYohSp</v>
      </c>
      <c r="D775" s="143">
        <f t="shared" si="26"/>
        <v>0</v>
      </c>
      <c r="E775" s="144">
        <v>2.8563724609023903E-2</v>
      </c>
      <c r="F775" s="145">
        <v>3.1511626948715718E-2</v>
      </c>
      <c r="G775" s="146">
        <v>5.5785086028021097E-2</v>
      </c>
      <c r="H775" s="146">
        <v>3.9129231620699194E-2</v>
      </c>
      <c r="I775" s="147">
        <v>3.915</v>
      </c>
      <c r="J775" s="148">
        <v>0.93951050601682007</v>
      </c>
      <c r="K775" s="149">
        <v>28.114999999999998</v>
      </c>
      <c r="L775" s="149">
        <v>89</v>
      </c>
      <c r="M775" s="151">
        <v>8.1649999999999991</v>
      </c>
      <c r="N775" s="135"/>
    </row>
    <row r="776" spans="1:14" x14ac:dyDescent="0.25">
      <c r="A776" s="142">
        <v>44855</v>
      </c>
      <c r="B776" s="81" t="s">
        <v>34</v>
      </c>
      <c r="C776" s="129" t="str">
        <f t="shared" si="25"/>
        <v>21.10.2022_BOYuhHa</v>
      </c>
      <c r="D776" s="143">
        <f t="shared" si="26"/>
        <v>0</v>
      </c>
      <c r="E776" s="144">
        <v>0</v>
      </c>
      <c r="F776" s="145">
        <v>2.0103035324778657E-2</v>
      </c>
      <c r="G776" s="146">
        <v>7.0129822435226516E-2</v>
      </c>
      <c r="H776" s="146">
        <v>2.282538511207453E-2</v>
      </c>
      <c r="I776" s="147">
        <v>2.04</v>
      </c>
      <c r="J776" s="148">
        <v>0.52217909432010012</v>
      </c>
      <c r="K776" s="149">
        <v>37</v>
      </c>
      <c r="L776" s="149">
        <v>187</v>
      </c>
      <c r="M776" s="151">
        <v>10.19</v>
      </c>
      <c r="N776" s="135"/>
    </row>
    <row r="777" spans="1:14" x14ac:dyDescent="0.25">
      <c r="A777" s="142">
        <v>44855</v>
      </c>
      <c r="B777" s="81" t="s">
        <v>36</v>
      </c>
      <c r="C777" s="129" t="str">
        <f t="shared" si="25"/>
        <v>21.10.2022_BOYuhSp</v>
      </c>
      <c r="D777" s="143">
        <f t="shared" si="26"/>
        <v>0</v>
      </c>
      <c r="E777" s="144">
        <v>1.6322128348013661E-2</v>
      </c>
      <c r="F777" s="145">
        <v>3.5740126281241631E-2</v>
      </c>
      <c r="G777" s="146">
        <v>6.0566664830422889E-2</v>
      </c>
      <c r="H777" s="146">
        <v>2.7716539064661934E-2</v>
      </c>
      <c r="I777" s="147">
        <v>4.157</v>
      </c>
      <c r="J777" s="148">
        <v>0.99440929989241145</v>
      </c>
      <c r="K777" s="149">
        <v>27.443999999999999</v>
      </c>
      <c r="L777" s="149">
        <v>89</v>
      </c>
      <c r="M777" s="151">
        <v>7.5339999999999998</v>
      </c>
      <c r="N777" s="135"/>
    </row>
    <row r="778" spans="1:14" x14ac:dyDescent="0.25">
      <c r="A778" s="142">
        <v>44855</v>
      </c>
      <c r="B778" s="81" t="s">
        <v>38</v>
      </c>
      <c r="C778" s="129" t="str">
        <f t="shared" si="25"/>
        <v>21.10.2022_BRAob</v>
      </c>
      <c r="D778" s="143">
        <f t="shared" si="26"/>
        <v>0</v>
      </c>
      <c r="E778" s="144">
        <v>8.1610641740068289E-3</v>
      </c>
      <c r="F778" s="145">
        <v>2.070125578258716E-2</v>
      </c>
      <c r="G778" s="146">
        <v>1.4344736407205426E-2</v>
      </c>
      <c r="H778" s="146">
        <v>8.1519232543123335E-3</v>
      </c>
      <c r="I778" s="147">
        <v>0.39800000000000002</v>
      </c>
      <c r="J778" s="148">
        <v>0.10351665740760634</v>
      </c>
      <c r="K778" s="149">
        <v>29</v>
      </c>
      <c r="L778" s="149">
        <v>182</v>
      </c>
      <c r="M778" s="151">
        <v>9.3620000000000001</v>
      </c>
      <c r="N778" s="135"/>
    </row>
    <row r="779" spans="1:14" x14ac:dyDescent="0.25">
      <c r="A779" s="142">
        <v>44855</v>
      </c>
      <c r="B779" s="81" t="s">
        <v>41</v>
      </c>
      <c r="C779" s="129" t="str">
        <f t="shared" si="25"/>
        <v>21.10.2022_BRAohBo</v>
      </c>
      <c r="D779" s="143">
        <f t="shared" si="26"/>
        <v>0</v>
      </c>
      <c r="E779" s="144">
        <v>1.0201330217508539E-2</v>
      </c>
      <c r="F779" s="145">
        <v>2.8137338057454483E-2</v>
      </c>
      <c r="G779" s="146">
        <v>2.3907894012009039E-2</v>
      </c>
      <c r="H779" s="146">
        <v>1.6303846508624652E-3</v>
      </c>
      <c r="I779" s="147">
        <v>0</v>
      </c>
      <c r="J779" s="148">
        <v>1.9060611228339974E-2</v>
      </c>
      <c r="K779" s="149">
        <v>25</v>
      </c>
      <c r="L779" s="149">
        <v>177</v>
      </c>
      <c r="M779" s="151">
        <v>8.3450000000000006</v>
      </c>
      <c r="N779" s="135"/>
    </row>
    <row r="780" spans="1:14" x14ac:dyDescent="0.25">
      <c r="A780" s="142">
        <v>44855</v>
      </c>
      <c r="B780" s="81" t="s">
        <v>43</v>
      </c>
      <c r="C780" s="129" t="str">
        <f t="shared" si="25"/>
        <v>21.10.2022_HAAob</v>
      </c>
      <c r="D780" s="143">
        <f t="shared" si="26"/>
        <v>0</v>
      </c>
      <c r="E780" s="144">
        <v>2.0402660435017074E-2</v>
      </c>
      <c r="F780" s="145">
        <v>2.8914037425933438E-2</v>
      </c>
      <c r="G780" s="146">
        <v>3.9846490020015057E-2</v>
      </c>
      <c r="H780" s="146">
        <v>1.6303846508624652E-3</v>
      </c>
      <c r="I780" s="147">
        <v>0</v>
      </c>
      <c r="J780" s="148">
        <v>3.1436771642596568E-2</v>
      </c>
      <c r="K780" s="149">
        <v>30</v>
      </c>
      <c r="L780" s="149">
        <v>246</v>
      </c>
      <c r="M780" s="151">
        <v>8.3450000000000006</v>
      </c>
      <c r="N780" s="135"/>
    </row>
    <row r="781" spans="1:14" x14ac:dyDescent="0.25">
      <c r="A781" s="142">
        <v>44855</v>
      </c>
      <c r="B781" s="81" t="s">
        <v>45</v>
      </c>
      <c r="C781" s="129" t="str">
        <f t="shared" si="25"/>
        <v>21.10.2022_HAAun</v>
      </c>
      <c r="D781" s="143">
        <f t="shared" si="26"/>
        <v>0</v>
      </c>
      <c r="E781" s="144">
        <v>2.448319252202049E-2</v>
      </c>
      <c r="F781" s="145">
        <v>6.1977737893537374E-2</v>
      </c>
      <c r="G781" s="146">
        <v>2.0720174810407832E-2</v>
      </c>
      <c r="H781" s="146">
        <v>1.6303846508624652E-3</v>
      </c>
      <c r="I781" s="147">
        <v>0.24299999999999999</v>
      </c>
      <c r="J781" s="148">
        <v>7.1471789145488657E-2</v>
      </c>
      <c r="K781" s="149">
        <v>30</v>
      </c>
      <c r="L781" s="149">
        <v>244</v>
      </c>
      <c r="M781" s="151">
        <v>10.01</v>
      </c>
      <c r="N781" s="135"/>
    </row>
    <row r="782" spans="1:14" x14ac:dyDescent="0.25">
      <c r="A782" s="142">
        <v>44855</v>
      </c>
      <c r="B782" s="81" t="s">
        <v>47</v>
      </c>
      <c r="C782" s="129" t="str">
        <f t="shared" si="25"/>
        <v>21.10.2022_KIRob</v>
      </c>
      <c r="D782" s="143">
        <f t="shared" si="26"/>
        <v>0</v>
      </c>
      <c r="E782" s="144">
        <v>0</v>
      </c>
      <c r="F782" s="145">
        <v>1.6514527161511756E-2</v>
      </c>
      <c r="G782" s="146">
        <v>0.19126315209607234</v>
      </c>
      <c r="H782" s="146">
        <v>0.15488654183193432</v>
      </c>
      <c r="I782" s="147">
        <v>4.4980000000000002</v>
      </c>
      <c r="J782" s="148">
        <v>1.2116323926318116</v>
      </c>
      <c r="K782" s="149">
        <v>74</v>
      </c>
      <c r="L782" s="149">
        <v>147</v>
      </c>
      <c r="M782" s="151">
        <v>9.9139999999999997</v>
      </c>
      <c r="N782" s="135"/>
    </row>
    <row r="783" spans="1:14" x14ac:dyDescent="0.25">
      <c r="A783" s="142">
        <v>44855</v>
      </c>
      <c r="B783" s="81" t="s">
        <v>49</v>
      </c>
      <c r="C783" s="129" t="str">
        <f t="shared" si="25"/>
        <v>21.10.2022_KIRun</v>
      </c>
      <c r="D783" s="143">
        <f t="shared" si="26"/>
        <v>0</v>
      </c>
      <c r="E783" s="144">
        <v>0</v>
      </c>
      <c r="F783" s="145">
        <v>2.2857693583729299E-2</v>
      </c>
      <c r="G783" s="146">
        <v>5.7378945628821704E-2</v>
      </c>
      <c r="H783" s="146">
        <v>1.793423115948713E-2</v>
      </c>
      <c r="I783" s="147">
        <v>3.19</v>
      </c>
      <c r="J783" s="148">
        <v>0.77053955416782949</v>
      </c>
      <c r="K783" s="149">
        <v>60</v>
      </c>
      <c r="L783" s="149">
        <v>134</v>
      </c>
      <c r="M783" s="151">
        <v>10.5</v>
      </c>
      <c r="N783" s="135"/>
    </row>
    <row r="784" spans="1:14" x14ac:dyDescent="0.25">
      <c r="A784" s="142">
        <v>44855</v>
      </c>
      <c r="B784" s="81" t="s">
        <v>50</v>
      </c>
      <c r="C784" s="129" t="str">
        <f t="shared" si="25"/>
        <v>21.10.2022_LIEohBo</v>
      </c>
      <c r="D784" s="143">
        <f t="shared" si="26"/>
        <v>0</v>
      </c>
      <c r="E784" s="144">
        <v>0</v>
      </c>
      <c r="F784" s="145">
        <v>2.9861045553313731E-2</v>
      </c>
      <c r="G784" s="146">
        <v>4.9409647624818684E-2</v>
      </c>
      <c r="H784" s="146">
        <v>0</v>
      </c>
      <c r="I784" s="147">
        <v>0</v>
      </c>
      <c r="J784" s="148">
        <v>3.6876985463330229E-2</v>
      </c>
      <c r="K784" s="149">
        <v>19.905999999999999</v>
      </c>
      <c r="L784" s="149">
        <v>99</v>
      </c>
      <c r="M784" s="151">
        <v>11.32</v>
      </c>
      <c r="N784" s="135"/>
    </row>
    <row r="785" spans="1:14" x14ac:dyDescent="0.25">
      <c r="A785" s="142">
        <v>44855</v>
      </c>
      <c r="B785" s="81" t="s">
        <v>53</v>
      </c>
      <c r="C785" s="129" t="str">
        <f t="shared" si="25"/>
        <v>21.10.2022_NATohBo</v>
      </c>
      <c r="D785" s="143">
        <f t="shared" si="26"/>
        <v>0</v>
      </c>
      <c r="E785" s="144">
        <v>2.0402660435017077E-3</v>
      </c>
      <c r="F785" s="145">
        <v>2.4889082673072001E-2</v>
      </c>
      <c r="G785" s="146">
        <v>0.12910262766484881</v>
      </c>
      <c r="H785" s="146">
        <v>0</v>
      </c>
      <c r="I785" s="147">
        <v>0.64600000000000002</v>
      </c>
      <c r="J785" s="148">
        <v>0.24615891935547846</v>
      </c>
      <c r="K785" s="149">
        <v>101</v>
      </c>
      <c r="L785" s="149">
        <v>397</v>
      </c>
      <c r="M785" s="151">
        <v>7.407</v>
      </c>
      <c r="N785" s="135"/>
    </row>
    <row r="786" spans="1:14" x14ac:dyDescent="0.25">
      <c r="A786" s="142">
        <v>44855</v>
      </c>
      <c r="B786" s="81" t="s">
        <v>55</v>
      </c>
      <c r="C786" s="129" t="str">
        <f t="shared" si="25"/>
        <v>21.10.2022_QUAohBo</v>
      </c>
      <c r="D786" s="143">
        <f t="shared" si="26"/>
        <v>0</v>
      </c>
      <c r="E786" s="144">
        <v>4.0805320870034153E-3</v>
      </c>
      <c r="F786" s="145">
        <v>2.7098958778394442E-2</v>
      </c>
      <c r="G786" s="146">
        <v>0.16735525808406326</v>
      </c>
      <c r="H786" s="146">
        <v>1.6303846508624664E-2</v>
      </c>
      <c r="I786" s="147">
        <v>0.26100000000000001</v>
      </c>
      <c r="J786" s="148">
        <v>0.19386546041924507</v>
      </c>
      <c r="K786" s="149">
        <v>39</v>
      </c>
      <c r="L786" s="149">
        <v>354</v>
      </c>
      <c r="M786" s="151">
        <v>16.34</v>
      </c>
      <c r="N786" s="135"/>
    </row>
    <row r="787" spans="1:14" x14ac:dyDescent="0.25">
      <c r="A787" s="142">
        <v>44855</v>
      </c>
      <c r="B787" s="81" t="s">
        <v>57</v>
      </c>
      <c r="C787" s="129" t="str">
        <f t="shared" si="25"/>
        <v>21.10.2022_SCHohVo</v>
      </c>
      <c r="D787" s="143">
        <f t="shared" si="26"/>
        <v>8</v>
      </c>
      <c r="E787" s="144"/>
      <c r="F787" s="145"/>
      <c r="G787" s="146"/>
      <c r="H787" s="146"/>
      <c r="I787" s="147"/>
      <c r="J787" s="148"/>
      <c r="K787" s="149"/>
      <c r="L787" s="149"/>
      <c r="M787" s="151"/>
      <c r="N787" s="135" t="s">
        <v>341</v>
      </c>
    </row>
    <row r="788" spans="1:14" x14ac:dyDescent="0.25">
      <c r="A788" s="142">
        <v>44855</v>
      </c>
      <c r="B788" s="81" t="s">
        <v>60</v>
      </c>
      <c r="C788" s="129" t="str">
        <f t="shared" si="25"/>
        <v>21.10.2022_VORohBo</v>
      </c>
      <c r="D788" s="143">
        <f t="shared" si="26"/>
        <v>0</v>
      </c>
      <c r="E788" s="144">
        <v>0</v>
      </c>
      <c r="F788" s="145">
        <v>2.2665581542825077E-2</v>
      </c>
      <c r="G788" s="146">
        <v>0</v>
      </c>
      <c r="H788" s="146">
        <v>2.4455769762936997E-2</v>
      </c>
      <c r="I788" s="147">
        <v>0.69299999999999995</v>
      </c>
      <c r="J788" s="148">
        <v>0.13278554486039953</v>
      </c>
      <c r="K788" s="149">
        <v>29</v>
      </c>
      <c r="L788" s="149">
        <v>192</v>
      </c>
      <c r="M788" s="151">
        <v>9.8130000000000006</v>
      </c>
      <c r="N788" s="135"/>
    </row>
    <row r="789" spans="1:14" x14ac:dyDescent="0.25">
      <c r="A789" s="142">
        <v>44855</v>
      </c>
      <c r="B789" s="81" t="s">
        <v>62</v>
      </c>
      <c r="C789" s="129" t="str">
        <f t="shared" si="25"/>
        <v>21.10.2022_VORuhSc</v>
      </c>
      <c r="D789" s="143">
        <f t="shared" si="26"/>
        <v>0</v>
      </c>
      <c r="E789" s="144">
        <v>0</v>
      </c>
      <c r="F789" s="145">
        <v>1.5778723131079479E-2</v>
      </c>
      <c r="G789" s="146">
        <v>0.19445087129767355</v>
      </c>
      <c r="H789" s="146">
        <v>4.8911539525873984E-3</v>
      </c>
      <c r="I789" s="147">
        <v>0.16200000000000001</v>
      </c>
      <c r="J789" s="148">
        <v>0.18906920887479578</v>
      </c>
      <c r="K789" s="149">
        <v>26</v>
      </c>
      <c r="L789" s="149">
        <v>206</v>
      </c>
      <c r="M789" s="151">
        <v>10.81</v>
      </c>
      <c r="N789" s="135"/>
    </row>
    <row r="790" spans="1:14" x14ac:dyDescent="0.25">
      <c r="A790" s="142">
        <v>44855</v>
      </c>
      <c r="B790" s="81" t="s">
        <v>64</v>
      </c>
      <c r="C790" s="129" t="str">
        <f t="shared" si="25"/>
        <v>21.10.2022_WITob</v>
      </c>
      <c r="D790" s="143">
        <f t="shared" si="26"/>
        <v>0</v>
      </c>
      <c r="E790" s="144">
        <v>1.6322128348013661E-2</v>
      </c>
      <c r="F790" s="145">
        <v>1.8641311688599047E-2</v>
      </c>
      <c r="G790" s="146">
        <v>4.9409647624818684E-2</v>
      </c>
      <c r="H790" s="146">
        <v>4.8911539525873984E-3</v>
      </c>
      <c r="I790" s="147">
        <v>0</v>
      </c>
      <c r="J790" s="148">
        <v>3.9855209105060692E-2</v>
      </c>
      <c r="K790" s="149">
        <v>61</v>
      </c>
      <c r="L790" s="149">
        <v>207</v>
      </c>
      <c r="M790" s="151">
        <v>10.69</v>
      </c>
      <c r="N790" s="135"/>
    </row>
    <row r="791" spans="1:14" x14ac:dyDescent="0.25">
      <c r="A791" s="142">
        <v>44869</v>
      </c>
      <c r="B791" s="81" t="s">
        <v>22</v>
      </c>
      <c r="C791" s="129" t="str">
        <f t="shared" si="25"/>
        <v>04.11.2022_BOYkl</v>
      </c>
      <c r="D791" s="143">
        <f t="shared" si="26"/>
        <v>8</v>
      </c>
      <c r="E791" s="144"/>
      <c r="F791" s="145"/>
      <c r="G791" s="146"/>
      <c r="H791" s="146"/>
      <c r="I791" s="147"/>
      <c r="J791" s="148"/>
      <c r="K791" s="149"/>
      <c r="L791" s="149"/>
      <c r="M791" s="150"/>
      <c r="N791" s="135" t="s">
        <v>341</v>
      </c>
    </row>
    <row r="792" spans="1:14" x14ac:dyDescent="0.25">
      <c r="A792" s="142">
        <v>44869</v>
      </c>
      <c r="B792" s="81" t="s">
        <v>25</v>
      </c>
      <c r="C792" s="129" t="str">
        <f t="shared" si="25"/>
        <v>04.11.2022_BOYohB224</v>
      </c>
      <c r="D792" s="143">
        <f t="shared" si="26"/>
        <v>0</v>
      </c>
      <c r="E792" s="144">
        <v>1.480480760272058E-2</v>
      </c>
      <c r="F792" s="145">
        <v>1.9048930506285693E-2</v>
      </c>
      <c r="G792" s="146">
        <v>4.1867943404316127E-2</v>
      </c>
      <c r="H792" s="146">
        <v>2.3680558878415237E-2</v>
      </c>
      <c r="I792" s="147">
        <v>0.747</v>
      </c>
      <c r="J792" s="148">
        <v>0.20844447552455092</v>
      </c>
      <c r="K792" s="149">
        <v>38</v>
      </c>
      <c r="L792" s="149">
        <v>184</v>
      </c>
      <c r="M792" s="150"/>
      <c r="N792" s="135"/>
    </row>
    <row r="793" spans="1:14" x14ac:dyDescent="0.25">
      <c r="A793" s="142">
        <v>44869</v>
      </c>
      <c r="B793" s="81" t="s">
        <v>28</v>
      </c>
      <c r="C793" s="129" t="str">
        <f t="shared" si="25"/>
        <v>04.11.2022_BOYohBr</v>
      </c>
      <c r="D793" s="143">
        <f t="shared" si="26"/>
        <v>0</v>
      </c>
      <c r="E793" s="144">
        <v>3.3839560234789894E-2</v>
      </c>
      <c r="F793" s="145">
        <v>2.9430945759613102E-2</v>
      </c>
      <c r="G793" s="146">
        <v>8.0634557667571813E-2</v>
      </c>
      <c r="H793" s="146">
        <v>7.4424613617876445E-2</v>
      </c>
      <c r="I793" s="147">
        <v>3.4140000000000001</v>
      </c>
      <c r="J793" s="148">
        <v>0.85639068129925533</v>
      </c>
      <c r="K793" s="149">
        <v>21.187000000000001</v>
      </c>
      <c r="L793" s="149">
        <v>70</v>
      </c>
      <c r="M793" s="150"/>
      <c r="N793" s="135"/>
    </row>
    <row r="794" spans="1:14" x14ac:dyDescent="0.25">
      <c r="A794" s="142">
        <v>44869</v>
      </c>
      <c r="B794" s="81" t="s">
        <v>30</v>
      </c>
      <c r="C794" s="129" t="str">
        <f t="shared" si="25"/>
        <v>04.11.2022_BOYohKi</v>
      </c>
      <c r="D794" s="143">
        <f t="shared" si="26"/>
        <v>0</v>
      </c>
      <c r="E794" s="144">
        <v>1.480480760272058E-2</v>
      </c>
      <c r="F794" s="145">
        <v>2.0741663947833781E-2</v>
      </c>
      <c r="G794" s="146">
        <v>6.2026582821209097E-2</v>
      </c>
      <c r="H794" s="146">
        <v>3.3829369826307479E-2</v>
      </c>
      <c r="I794" s="147">
        <v>1.181</v>
      </c>
      <c r="J794" s="148">
        <v>0.32521484293846004</v>
      </c>
      <c r="K794" s="149">
        <v>29</v>
      </c>
      <c r="L794" s="149">
        <v>135</v>
      </c>
      <c r="M794" s="150"/>
      <c r="N794" s="135"/>
    </row>
    <row r="795" spans="1:14" x14ac:dyDescent="0.25">
      <c r="A795" s="142">
        <v>44869</v>
      </c>
      <c r="B795" s="81" t="s">
        <v>32</v>
      </c>
      <c r="C795" s="129" t="str">
        <f t="shared" si="25"/>
        <v>04.11.2022_BOYohSp</v>
      </c>
      <c r="D795" s="143">
        <f t="shared" si="26"/>
        <v>0</v>
      </c>
      <c r="E795" s="144">
        <v>1.0574862573371842E-2</v>
      </c>
      <c r="F795" s="145">
        <v>3.6379824293961638E-2</v>
      </c>
      <c r="G795" s="146">
        <v>3.4114620551665004E-2</v>
      </c>
      <c r="H795" s="146">
        <v>4.7361117756830474E-2</v>
      </c>
      <c r="I795" s="147">
        <v>2.4740000000000002</v>
      </c>
      <c r="J795" s="148">
        <v>0.59971113401322951</v>
      </c>
      <c r="K795" s="149">
        <v>25.327000000000002</v>
      </c>
      <c r="L795" s="149">
        <v>90</v>
      </c>
      <c r="M795" s="150"/>
      <c r="N795" s="135"/>
    </row>
    <row r="796" spans="1:14" x14ac:dyDescent="0.25">
      <c r="A796" s="142">
        <v>44869</v>
      </c>
      <c r="B796" s="81" t="s">
        <v>34</v>
      </c>
      <c r="C796" s="129" t="str">
        <f t="shared" si="25"/>
        <v>04.11.2022_BOYuhHa</v>
      </c>
      <c r="D796" s="143">
        <f t="shared" si="26"/>
        <v>0</v>
      </c>
      <c r="E796" s="144">
        <v>2.3264697661418053E-2</v>
      </c>
      <c r="F796" s="145">
        <v>1.7228738215295622E-2</v>
      </c>
      <c r="G796" s="146">
        <v>2.791196226954409E-2</v>
      </c>
      <c r="H796" s="146">
        <v>3.0446432843676732E-2</v>
      </c>
      <c r="I796" s="147">
        <v>1.266</v>
      </c>
      <c r="J796" s="148">
        <v>0.3168941960619357</v>
      </c>
      <c r="K796" s="149">
        <v>42</v>
      </c>
      <c r="L796" s="149">
        <v>200</v>
      </c>
      <c r="M796" s="150"/>
      <c r="N796" s="135"/>
    </row>
    <row r="797" spans="1:14" x14ac:dyDescent="0.25">
      <c r="A797" s="142">
        <v>44869</v>
      </c>
      <c r="B797" s="81" t="s">
        <v>36</v>
      </c>
      <c r="C797" s="129" t="str">
        <f t="shared" si="25"/>
        <v>04.11.2022_BOYuhSp</v>
      </c>
      <c r="D797" s="143">
        <f t="shared" si="26"/>
        <v>0</v>
      </c>
      <c r="E797" s="144">
        <v>8.4598900586974717E-3</v>
      </c>
      <c r="F797" s="145">
        <v>2.9256959340818473E-2</v>
      </c>
      <c r="G797" s="146">
        <v>3.1013291410604549E-2</v>
      </c>
      <c r="H797" s="146">
        <v>3.5520838317622851E-2</v>
      </c>
      <c r="I797" s="147">
        <v>2.2120000000000002</v>
      </c>
      <c r="J797" s="148">
        <v>0.53452026987322065</v>
      </c>
      <c r="K797" s="149">
        <v>26.33</v>
      </c>
      <c r="L797" s="149">
        <v>92</v>
      </c>
      <c r="M797" s="150"/>
      <c r="N797" s="135"/>
    </row>
    <row r="798" spans="1:14" x14ac:dyDescent="0.25">
      <c r="A798" s="142">
        <v>44869</v>
      </c>
      <c r="B798" s="81" t="s">
        <v>38</v>
      </c>
      <c r="C798" s="129" t="str">
        <f t="shared" si="25"/>
        <v>04.11.2022_BRAob</v>
      </c>
      <c r="D798" s="143">
        <f t="shared" si="26"/>
        <v>0</v>
      </c>
      <c r="E798" s="144">
        <v>1.9034752632069319E-2</v>
      </c>
      <c r="F798" s="145">
        <v>2.5900245153513305E-2</v>
      </c>
      <c r="G798" s="146">
        <v>2.9462626840074321E-2</v>
      </c>
      <c r="H798" s="146">
        <v>1.6914684913153743E-2</v>
      </c>
      <c r="I798" s="147">
        <v>0.215</v>
      </c>
      <c r="J798" s="148">
        <v>7.6589160936858969E-2</v>
      </c>
      <c r="K798" s="149">
        <v>29</v>
      </c>
      <c r="L798" s="149">
        <v>167</v>
      </c>
      <c r="M798" s="150"/>
      <c r="N798" s="135"/>
    </row>
    <row r="799" spans="1:14" x14ac:dyDescent="0.25">
      <c r="A799" s="142">
        <v>44869</v>
      </c>
      <c r="B799" s="81" t="s">
        <v>41</v>
      </c>
      <c r="C799" s="129" t="str">
        <f t="shared" si="25"/>
        <v>04.11.2022_BRAohBo</v>
      </c>
      <c r="D799" s="143">
        <f t="shared" si="26"/>
        <v>0</v>
      </c>
      <c r="E799" s="144">
        <v>1.2689835088046209E-2</v>
      </c>
      <c r="F799" s="145">
        <v>3.8495799528673047E-2</v>
      </c>
      <c r="G799" s="146">
        <v>1.7057310275832502E-2</v>
      </c>
      <c r="H799" s="146">
        <v>1.6914684913153743E-2</v>
      </c>
      <c r="I799" s="147">
        <v>0</v>
      </c>
      <c r="J799" s="148">
        <v>1.8394506677890835E-2</v>
      </c>
      <c r="K799" s="149">
        <v>26</v>
      </c>
      <c r="L799" s="149">
        <v>173</v>
      </c>
      <c r="M799" s="150"/>
      <c r="N799" s="135"/>
    </row>
    <row r="800" spans="1:14" x14ac:dyDescent="0.25">
      <c r="A800" s="142">
        <v>44869</v>
      </c>
      <c r="B800" s="81" t="s">
        <v>43</v>
      </c>
      <c r="C800" s="129" t="str">
        <f t="shared" si="25"/>
        <v>04.11.2022_HAAob</v>
      </c>
      <c r="D800" s="143">
        <f t="shared" si="26"/>
        <v>0</v>
      </c>
      <c r="E800" s="144">
        <v>2.1149725146743681E-2</v>
      </c>
      <c r="F800" s="145">
        <v>3.0057435597994255E-2</v>
      </c>
      <c r="G800" s="146">
        <v>1.3955981134772045E-2</v>
      </c>
      <c r="H800" s="146">
        <v>1.1840279439207617E-2</v>
      </c>
      <c r="I800" s="147">
        <v>0</v>
      </c>
      <c r="J800" s="148">
        <v>1.4441452866605904E-2</v>
      </c>
      <c r="K800" s="149">
        <v>31</v>
      </c>
      <c r="L800" s="149">
        <v>223</v>
      </c>
      <c r="M800" s="150"/>
      <c r="N800" s="135"/>
    </row>
    <row r="801" spans="1:14" x14ac:dyDescent="0.25">
      <c r="A801" s="142">
        <v>44869</v>
      </c>
      <c r="B801" s="81" t="s">
        <v>45</v>
      </c>
      <c r="C801" s="129" t="str">
        <f t="shared" si="25"/>
        <v>04.11.2022_HAAun</v>
      </c>
      <c r="D801" s="143">
        <f t="shared" si="26"/>
        <v>0</v>
      </c>
      <c r="E801" s="144">
        <v>1.6919780117394947E-2</v>
      </c>
      <c r="F801" s="145">
        <v>4.1227946504429819E-2</v>
      </c>
      <c r="G801" s="146">
        <v>2.1709303987423177E-2</v>
      </c>
      <c r="H801" s="146">
        <v>1.1840279439207617E-2</v>
      </c>
      <c r="I801" s="147">
        <v>0</v>
      </c>
      <c r="J801" s="148">
        <v>2.0461830528460984E-2</v>
      </c>
      <c r="K801" s="149">
        <v>35</v>
      </c>
      <c r="L801" s="149">
        <v>275</v>
      </c>
      <c r="M801" s="150"/>
      <c r="N801" s="135"/>
    </row>
    <row r="802" spans="1:14" x14ac:dyDescent="0.25">
      <c r="A802" s="142">
        <v>44869</v>
      </c>
      <c r="B802" s="81" t="s">
        <v>47</v>
      </c>
      <c r="C802" s="129" t="str">
        <f t="shared" si="25"/>
        <v>04.11.2022_KIRob</v>
      </c>
      <c r="D802" s="143">
        <f t="shared" si="26"/>
        <v>0</v>
      </c>
      <c r="E802" s="144">
        <v>0</v>
      </c>
      <c r="F802" s="145">
        <v>1.2373547523824677E-2</v>
      </c>
      <c r="G802" s="146">
        <v>0.11319851364870658</v>
      </c>
      <c r="H802" s="146">
        <v>0.15899803818364514</v>
      </c>
      <c r="I802" s="147">
        <v>3.2930000000000001</v>
      </c>
      <c r="J802" s="148">
        <v>0.88009437658809486</v>
      </c>
      <c r="K802" s="149">
        <v>67</v>
      </c>
      <c r="L802" s="149">
        <v>132</v>
      </c>
      <c r="M802" s="150"/>
      <c r="N802" s="135"/>
    </row>
    <row r="803" spans="1:14" x14ac:dyDescent="0.25">
      <c r="A803" s="142">
        <v>44869</v>
      </c>
      <c r="B803" s="81" t="s">
        <v>49</v>
      </c>
      <c r="C803" s="129" t="str">
        <f t="shared" si="25"/>
        <v>04.11.2022_KIRun</v>
      </c>
      <c r="D803" s="143">
        <f t="shared" si="26"/>
        <v>0</v>
      </c>
      <c r="E803" s="144">
        <v>4.2299450293487367E-3</v>
      </c>
      <c r="F803" s="145">
        <v>1.4645082118588547E-2</v>
      </c>
      <c r="G803" s="146">
        <v>2.1709303987423177E-2</v>
      </c>
      <c r="H803" s="146">
        <v>2.3680558878415237E-2</v>
      </c>
      <c r="I803" s="147">
        <v>2.25</v>
      </c>
      <c r="J803" s="148">
        <v>0.53227410360372762</v>
      </c>
      <c r="K803" s="149">
        <v>54</v>
      </c>
      <c r="L803" s="149">
        <v>124</v>
      </c>
      <c r="M803" s="150"/>
      <c r="N803" s="135"/>
    </row>
    <row r="804" spans="1:14" x14ac:dyDescent="0.25">
      <c r="A804" s="142">
        <v>44869</v>
      </c>
      <c r="B804" s="81" t="s">
        <v>50</v>
      </c>
      <c r="C804" s="129" t="str">
        <f t="shared" si="25"/>
        <v>04.11.2022_LIEohBo</v>
      </c>
      <c r="D804" s="143">
        <f t="shared" si="26"/>
        <v>0</v>
      </c>
      <c r="E804" s="144">
        <v>1.2689835088046209E-2</v>
      </c>
      <c r="F804" s="145">
        <v>2.9142683679678726E-2</v>
      </c>
      <c r="G804" s="146">
        <v>2.4810633128483636E-2</v>
      </c>
      <c r="H804" s="146">
        <v>1.353174793052299E-2</v>
      </c>
      <c r="I804" s="147">
        <v>0</v>
      </c>
      <c r="J804" s="148">
        <v>2.3384949175383984E-2</v>
      </c>
      <c r="K804" s="149">
        <v>23.308</v>
      </c>
      <c r="L804" s="149">
        <v>96</v>
      </c>
      <c r="M804" s="150"/>
      <c r="N804" s="135"/>
    </row>
    <row r="805" spans="1:14" x14ac:dyDescent="0.25">
      <c r="A805" s="142">
        <v>44869</v>
      </c>
      <c r="B805" s="81" t="s">
        <v>53</v>
      </c>
      <c r="C805" s="129" t="str">
        <f t="shared" si="25"/>
        <v>04.11.2022_NATohBo</v>
      </c>
      <c r="D805" s="143">
        <f t="shared" si="26"/>
        <v>0</v>
      </c>
      <c r="E805" s="144">
        <v>0.16708282865927512</v>
      </c>
      <c r="F805" s="145">
        <v>2.5730790102273516E-2</v>
      </c>
      <c r="G805" s="146">
        <v>0.28532228097756179</v>
      </c>
      <c r="H805" s="146">
        <v>3.21379013349921E-2</v>
      </c>
      <c r="I805" s="147">
        <v>0.47899999999999998</v>
      </c>
      <c r="J805" s="148">
        <v>0.33952601201770527</v>
      </c>
      <c r="K805" s="149">
        <v>109</v>
      </c>
      <c r="L805" s="149">
        <v>395</v>
      </c>
      <c r="M805" s="150"/>
      <c r="N805" s="135"/>
    </row>
    <row r="806" spans="1:14" x14ac:dyDescent="0.25">
      <c r="A806" s="142">
        <v>44869</v>
      </c>
      <c r="B806" s="81" t="s">
        <v>55</v>
      </c>
      <c r="C806" s="129" t="str">
        <f t="shared" si="25"/>
        <v>04.11.2022_QUAohBo</v>
      </c>
      <c r="D806" s="143">
        <f t="shared" si="26"/>
        <v>8</v>
      </c>
      <c r="E806" s="144"/>
      <c r="F806" s="145"/>
      <c r="G806" s="146"/>
      <c r="H806" s="146"/>
      <c r="I806" s="147"/>
      <c r="J806" s="148"/>
      <c r="K806" s="149"/>
      <c r="L806" s="149"/>
      <c r="M806" s="150"/>
      <c r="N806" s="135" t="s">
        <v>341</v>
      </c>
    </row>
    <row r="807" spans="1:14" x14ac:dyDescent="0.25">
      <c r="A807" s="142">
        <v>44869</v>
      </c>
      <c r="B807" s="81" t="s">
        <v>57</v>
      </c>
      <c r="C807" s="129" t="str">
        <f t="shared" si="25"/>
        <v>04.11.2022_SCHohVo</v>
      </c>
      <c r="D807" s="143">
        <f t="shared" si="26"/>
        <v>8</v>
      </c>
      <c r="E807" s="144"/>
      <c r="F807" s="145"/>
      <c r="G807" s="146"/>
      <c r="H807" s="146"/>
      <c r="I807" s="147"/>
      <c r="J807" s="148"/>
      <c r="K807" s="149"/>
      <c r="L807" s="149"/>
      <c r="M807" s="150"/>
      <c r="N807" s="135" t="s">
        <v>341</v>
      </c>
    </row>
    <row r="808" spans="1:14" x14ac:dyDescent="0.25">
      <c r="A808" s="142">
        <v>44869</v>
      </c>
      <c r="B808" s="81" t="s">
        <v>60</v>
      </c>
      <c r="C808" s="129" t="str">
        <f t="shared" si="25"/>
        <v>04.11.2022_VORohBo</v>
      </c>
      <c r="D808" s="143">
        <f t="shared" si="26"/>
        <v>0</v>
      </c>
      <c r="E808" s="144">
        <v>8.4598900586974717E-3</v>
      </c>
      <c r="F808" s="145">
        <v>1.2372397717581559E-2</v>
      </c>
      <c r="G808" s="146">
        <v>0.40162212376732886</v>
      </c>
      <c r="H808" s="146">
        <v>2.8754964352361356E-2</v>
      </c>
      <c r="I808" s="147">
        <v>0.36699999999999999</v>
      </c>
      <c r="J808" s="148">
        <v>0.40350430178116964</v>
      </c>
      <c r="K808" s="149">
        <v>30</v>
      </c>
      <c r="L808" s="149">
        <v>186</v>
      </c>
      <c r="M808" s="150"/>
      <c r="N808" s="135"/>
    </row>
    <row r="809" spans="1:14" x14ac:dyDescent="0.25">
      <c r="A809" s="142">
        <v>44869</v>
      </c>
      <c r="B809" s="81" t="s">
        <v>62</v>
      </c>
      <c r="C809" s="129" t="str">
        <f t="shared" si="25"/>
        <v>04.11.2022_VORuhSc</v>
      </c>
      <c r="D809" s="143">
        <f t="shared" si="26"/>
        <v>0</v>
      </c>
      <c r="E809" s="144">
        <v>4.2299450293487367E-3</v>
      </c>
      <c r="F809" s="145">
        <v>1.2051718641304335E-2</v>
      </c>
      <c r="G809" s="146">
        <v>0.21709303987423181</v>
      </c>
      <c r="H809" s="146">
        <v>1.6914684913153743E-2</v>
      </c>
      <c r="I809" s="147">
        <v>8.7999999999999995E-2</v>
      </c>
      <c r="J809" s="148">
        <v>0.19359681035375192</v>
      </c>
      <c r="K809" s="149">
        <v>29</v>
      </c>
      <c r="L809" s="149">
        <v>202</v>
      </c>
      <c r="M809" s="150"/>
      <c r="N809" s="135"/>
    </row>
    <row r="810" spans="1:14" x14ac:dyDescent="0.25">
      <c r="A810" s="142">
        <v>44869</v>
      </c>
      <c r="B810" s="81" t="s">
        <v>64</v>
      </c>
      <c r="C810" s="129" t="str">
        <f t="shared" si="25"/>
        <v>04.11.2022_WITob</v>
      </c>
      <c r="D810" s="143">
        <f t="shared" si="26"/>
        <v>0</v>
      </c>
      <c r="E810" s="144">
        <v>3.5954532749464259E-2</v>
      </c>
      <c r="F810" s="145">
        <v>1.6710737308273282E-2</v>
      </c>
      <c r="G810" s="146">
        <v>2.4810633128483636E-2</v>
      </c>
      <c r="H810" s="146">
        <v>1.1840279439207617E-2</v>
      </c>
      <c r="I810" s="147">
        <v>0</v>
      </c>
      <c r="J810" s="148">
        <v>2.2869981593203019E-2</v>
      </c>
      <c r="K810" s="149">
        <v>63</v>
      </c>
      <c r="L810" s="149">
        <v>210</v>
      </c>
      <c r="M810" s="150"/>
      <c r="N810" s="135"/>
    </row>
    <row r="811" spans="1:14" x14ac:dyDescent="0.25">
      <c r="A811" s="142">
        <v>44883</v>
      </c>
      <c r="B811" s="81" t="s">
        <v>22</v>
      </c>
      <c r="C811" s="129" t="str">
        <f t="shared" si="25"/>
        <v>18.11.2022_BOYkl</v>
      </c>
      <c r="D811" s="143">
        <f t="shared" si="26"/>
        <v>8</v>
      </c>
      <c r="E811" s="144"/>
      <c r="F811" s="145"/>
      <c r="G811" s="146"/>
      <c r="H811" s="146"/>
      <c r="I811" s="147"/>
      <c r="J811" s="148"/>
      <c r="K811" s="149"/>
      <c r="L811" s="149"/>
      <c r="M811" s="150"/>
      <c r="N811" s="135" t="s">
        <v>341</v>
      </c>
    </row>
    <row r="812" spans="1:14" x14ac:dyDescent="0.25">
      <c r="A812" s="142">
        <v>44883</v>
      </c>
      <c r="B812" s="81" t="s">
        <v>25</v>
      </c>
      <c r="C812" s="129" t="str">
        <f t="shared" si="25"/>
        <v>18.11.2022_BOYohB224</v>
      </c>
      <c r="D812" s="143">
        <f t="shared" si="26"/>
        <v>0</v>
      </c>
      <c r="E812" s="144">
        <v>9.2840118219086679E-2</v>
      </c>
      <c r="F812" s="145">
        <v>2.1433680397584191E-2</v>
      </c>
      <c r="G812" s="146">
        <v>0.14752944033021731</v>
      </c>
      <c r="H812" s="146">
        <v>2.5406522325038181E-2</v>
      </c>
      <c r="I812" s="147">
        <v>1.071</v>
      </c>
      <c r="J812" s="148">
        <v>0.36419692084386829</v>
      </c>
      <c r="K812" s="149">
        <v>28</v>
      </c>
      <c r="L812" s="149">
        <v>151</v>
      </c>
      <c r="M812" s="150"/>
      <c r="N812" s="135"/>
    </row>
    <row r="813" spans="1:14" x14ac:dyDescent="0.25">
      <c r="A813" s="142">
        <v>44883</v>
      </c>
      <c r="B813" s="81" t="s">
        <v>28</v>
      </c>
      <c r="C813" s="129" t="str">
        <f t="shared" si="25"/>
        <v>18.11.2022_BOYohBr</v>
      </c>
      <c r="D813" s="143">
        <f t="shared" si="26"/>
        <v>0</v>
      </c>
      <c r="E813" s="144">
        <v>0.2063113738201926</v>
      </c>
      <c r="F813" s="145">
        <v>3.782052733512526E-2</v>
      </c>
      <c r="G813" s="146">
        <v>0.24658492169479182</v>
      </c>
      <c r="H813" s="146">
        <v>5.7164675231335907E-2</v>
      </c>
      <c r="I813" s="147">
        <v>3.1890000000000001</v>
      </c>
      <c r="J813" s="148">
        <v>0.92917394122096908</v>
      </c>
      <c r="K813" s="149">
        <v>17.971</v>
      </c>
      <c r="L813" s="149">
        <v>63</v>
      </c>
      <c r="M813" s="150"/>
      <c r="N813" s="135"/>
    </row>
    <row r="814" spans="1:14" x14ac:dyDescent="0.25">
      <c r="A814" s="142">
        <v>44883</v>
      </c>
      <c r="B814" s="81" t="s">
        <v>30</v>
      </c>
      <c r="C814" s="129" t="str">
        <f t="shared" si="25"/>
        <v>18.11.2022_BOYohKi</v>
      </c>
      <c r="D814" s="143">
        <f t="shared" si="26"/>
        <v>0</v>
      </c>
      <c r="E814" s="144">
        <v>0.18568023643817333</v>
      </c>
      <c r="F814" s="145">
        <v>2.9514292817313204E-2</v>
      </c>
      <c r="G814" s="146">
        <v>0.13277649629719562</v>
      </c>
      <c r="H814" s="146">
        <v>1.7466984098463749E-2</v>
      </c>
      <c r="I814" s="147">
        <v>1.833</v>
      </c>
      <c r="J814" s="148">
        <v>0.52243715491858667</v>
      </c>
      <c r="K814" s="149">
        <v>27.443000000000001</v>
      </c>
      <c r="L814" s="149">
        <v>110</v>
      </c>
      <c r="M814" s="150"/>
      <c r="N814" s="135"/>
    </row>
    <row r="815" spans="1:14" x14ac:dyDescent="0.25">
      <c r="A815" s="142">
        <v>44883</v>
      </c>
      <c r="B815" s="81" t="s">
        <v>32</v>
      </c>
      <c r="C815" s="129" t="str">
        <f t="shared" si="25"/>
        <v>18.11.2022_BOYohSp</v>
      </c>
      <c r="D815" s="143">
        <f t="shared" si="26"/>
        <v>0</v>
      </c>
      <c r="E815" s="144">
        <v>0.22694251120221184</v>
      </c>
      <c r="F815" s="145">
        <v>6.6539231843638594E-2</v>
      </c>
      <c r="G815" s="146">
        <v>0.41097486949131967</v>
      </c>
      <c r="H815" s="146">
        <v>7.4631659329799663E-2</v>
      </c>
      <c r="I815" s="147">
        <v>2.605</v>
      </c>
      <c r="J815" s="148">
        <v>0.93023083509427229</v>
      </c>
      <c r="K815" s="149">
        <v>21.579000000000001</v>
      </c>
      <c r="L815" s="149">
        <v>90</v>
      </c>
      <c r="M815" s="150"/>
      <c r="N815" s="135"/>
    </row>
    <row r="816" spans="1:14" x14ac:dyDescent="0.25">
      <c r="A816" s="142">
        <v>44883</v>
      </c>
      <c r="B816" s="81" t="s">
        <v>34</v>
      </c>
      <c r="C816" s="129" t="str">
        <f t="shared" si="25"/>
        <v>18.11.2022_BOYuhHa</v>
      </c>
      <c r="D816" s="143">
        <f t="shared" si="26"/>
        <v>0</v>
      </c>
      <c r="E816" s="144">
        <v>0.11347125560110592</v>
      </c>
      <c r="F816" s="145">
        <v>1.9486739899825401E-2</v>
      </c>
      <c r="G816" s="146">
        <v>0.14542187689692854</v>
      </c>
      <c r="H816" s="146">
        <v>3.3346060551612614E-2</v>
      </c>
      <c r="I816" s="147">
        <v>1.929</v>
      </c>
      <c r="J816" s="148">
        <v>0.55877407132663448</v>
      </c>
      <c r="K816" s="149">
        <v>29</v>
      </c>
      <c r="L816" s="149">
        <v>146</v>
      </c>
      <c r="M816" s="150"/>
      <c r="N816" s="135"/>
    </row>
    <row r="817" spans="1:14" x14ac:dyDescent="0.25">
      <c r="A817" s="142">
        <v>44883</v>
      </c>
      <c r="B817" s="81" t="s">
        <v>36</v>
      </c>
      <c r="C817" s="129" t="str">
        <f t="shared" si="25"/>
        <v>18.11.2022_BOYuhSp</v>
      </c>
      <c r="D817" s="143">
        <f t="shared" si="26"/>
        <v>0</v>
      </c>
      <c r="E817" s="144">
        <v>0.26820478596625036</v>
      </c>
      <c r="F817" s="145">
        <v>5.0050562136666664E-2</v>
      </c>
      <c r="G817" s="146">
        <v>0.17914289182954962</v>
      </c>
      <c r="H817" s="146">
        <v>3.4933968196927498E-2</v>
      </c>
      <c r="I817" s="147">
        <v>2.3679999999999999</v>
      </c>
      <c r="J817" s="148">
        <v>0.68459847069428148</v>
      </c>
      <c r="K817" s="149">
        <v>22.222999999999999</v>
      </c>
      <c r="L817" s="149">
        <v>98</v>
      </c>
      <c r="M817" s="150"/>
      <c r="N817" s="135"/>
    </row>
    <row r="818" spans="1:14" x14ac:dyDescent="0.25">
      <c r="A818" s="142">
        <v>44883</v>
      </c>
      <c r="B818" s="81" t="s">
        <v>38</v>
      </c>
      <c r="C818" s="129" t="str">
        <f t="shared" si="25"/>
        <v>18.11.2022_BRAob</v>
      </c>
      <c r="D818" s="143">
        <f t="shared" si="26"/>
        <v>0</v>
      </c>
      <c r="E818" s="144">
        <v>0.11347125560110592</v>
      </c>
      <c r="F818" s="145">
        <v>2.1252576960356144E-2</v>
      </c>
      <c r="G818" s="146">
        <v>0.11170086196430741</v>
      </c>
      <c r="H818" s="146">
        <v>0</v>
      </c>
      <c r="I818" s="147">
        <v>0.64400000000000002</v>
      </c>
      <c r="J818" s="148">
        <v>0.23122800534143284</v>
      </c>
      <c r="K818" s="149">
        <v>28</v>
      </c>
      <c r="L818" s="149">
        <v>200</v>
      </c>
      <c r="M818" s="150"/>
      <c r="N818" s="135"/>
    </row>
    <row r="819" spans="1:14" x14ac:dyDescent="0.25">
      <c r="A819" s="142">
        <v>44883</v>
      </c>
      <c r="B819" s="81" t="s">
        <v>41</v>
      </c>
      <c r="C819" s="129" t="str">
        <f t="shared" si="25"/>
        <v>18.11.2022_BRAohBo</v>
      </c>
      <c r="D819" s="143">
        <f t="shared" si="26"/>
        <v>0</v>
      </c>
      <c r="E819" s="144">
        <v>0.36104490418533702</v>
      </c>
      <c r="F819" s="145">
        <v>9.2133708309326809E-2</v>
      </c>
      <c r="G819" s="146">
        <v>0.4868471530897171</v>
      </c>
      <c r="H819" s="146">
        <v>0.10638981223609739</v>
      </c>
      <c r="I819" s="147">
        <v>1.212</v>
      </c>
      <c r="J819" s="148">
        <v>0.68417676423791429</v>
      </c>
      <c r="K819" s="149">
        <v>22.718</v>
      </c>
      <c r="L819" s="149">
        <v>136</v>
      </c>
      <c r="M819" s="150"/>
      <c r="N819" s="135"/>
    </row>
    <row r="820" spans="1:14" x14ac:dyDescent="0.25">
      <c r="A820" s="142">
        <v>44883</v>
      </c>
      <c r="B820" s="81" t="s">
        <v>43</v>
      </c>
      <c r="C820" s="129" t="str">
        <f t="shared" si="25"/>
        <v>18.11.2022_HAAob</v>
      </c>
      <c r="D820" s="143">
        <f t="shared" si="26"/>
        <v>0</v>
      </c>
      <c r="E820" s="144">
        <v>5.157784345504815E-2</v>
      </c>
      <c r="F820" s="145">
        <v>2.5384827798850131E-2</v>
      </c>
      <c r="G820" s="146">
        <v>0.10748573509772977</v>
      </c>
      <c r="H820" s="146">
        <v>0</v>
      </c>
      <c r="I820" s="147">
        <v>0</v>
      </c>
      <c r="J820" s="148">
        <v>8.2494721480803959E-2</v>
      </c>
      <c r="K820" s="149">
        <v>27</v>
      </c>
      <c r="L820" s="149">
        <v>191</v>
      </c>
      <c r="M820" s="150"/>
      <c r="N820" s="135"/>
    </row>
    <row r="821" spans="1:14" x14ac:dyDescent="0.25">
      <c r="A821" s="142">
        <v>44883</v>
      </c>
      <c r="B821" s="81" t="s">
        <v>45</v>
      </c>
      <c r="C821" s="129" t="str">
        <f t="shared" si="25"/>
        <v>18.11.2022_HAAun</v>
      </c>
      <c r="D821" s="143">
        <f t="shared" si="26"/>
        <v>0</v>
      </c>
      <c r="E821" s="144">
        <v>9.2840118219086679E-2</v>
      </c>
      <c r="F821" s="145">
        <v>2.9337692773368219E-2</v>
      </c>
      <c r="G821" s="146">
        <v>7.3764720165108669E-2</v>
      </c>
      <c r="H821" s="146">
        <v>0</v>
      </c>
      <c r="I821" s="147">
        <v>0</v>
      </c>
      <c r="J821" s="148">
        <v>5.727756756100523E-2</v>
      </c>
      <c r="K821" s="149">
        <v>32</v>
      </c>
      <c r="L821" s="149">
        <v>263</v>
      </c>
      <c r="M821" s="150"/>
      <c r="N821" s="135"/>
    </row>
    <row r="822" spans="1:14" x14ac:dyDescent="0.25">
      <c r="A822" s="142">
        <v>44883</v>
      </c>
      <c r="B822" s="81" t="s">
        <v>47</v>
      </c>
      <c r="C822" s="129" t="str">
        <f t="shared" si="25"/>
        <v>18.11.2022_KIRob</v>
      </c>
      <c r="D822" s="143">
        <f t="shared" si="26"/>
        <v>0</v>
      </c>
      <c r="E822" s="144">
        <v>1.031556869100963E-2</v>
      </c>
      <c r="F822" s="145">
        <v>1.4073941850186735E-2</v>
      </c>
      <c r="G822" s="146">
        <v>0.78612116061672943</v>
      </c>
      <c r="H822" s="146">
        <v>0.18419728685652684</v>
      </c>
      <c r="I822" s="147">
        <v>1.897</v>
      </c>
      <c r="J822" s="148">
        <v>1.0949694739907538</v>
      </c>
      <c r="K822" s="149">
        <v>70</v>
      </c>
      <c r="L822" s="149">
        <v>138</v>
      </c>
      <c r="M822" s="150"/>
      <c r="N822" s="135"/>
    </row>
    <row r="823" spans="1:14" x14ac:dyDescent="0.25">
      <c r="A823" s="142">
        <v>44883</v>
      </c>
      <c r="B823" s="81" t="s">
        <v>49</v>
      </c>
      <c r="C823" s="129" t="str">
        <f t="shared" si="25"/>
        <v>18.11.2022_KIRun</v>
      </c>
      <c r="D823" s="143">
        <f t="shared" si="26"/>
        <v>0</v>
      </c>
      <c r="E823" s="144">
        <v>2.0631137382019261E-2</v>
      </c>
      <c r="F823" s="145">
        <v>1.5910672794000543E-2</v>
      </c>
      <c r="G823" s="146">
        <v>0.15595969406337259</v>
      </c>
      <c r="H823" s="146">
        <v>3.0170245260982845E-2</v>
      </c>
      <c r="I823" s="147">
        <v>1.61</v>
      </c>
      <c r="J823" s="148">
        <v>0.49393717401297438</v>
      </c>
      <c r="K823" s="149">
        <v>54</v>
      </c>
      <c r="L823" s="149">
        <v>123</v>
      </c>
      <c r="M823" s="150"/>
      <c r="N823" s="135"/>
    </row>
    <row r="824" spans="1:14" x14ac:dyDescent="0.25">
      <c r="A824" s="142">
        <v>44883</v>
      </c>
      <c r="B824" s="81" t="s">
        <v>50</v>
      </c>
      <c r="C824" s="129" t="str">
        <f t="shared" si="25"/>
        <v>18.11.2022_LIEohBo</v>
      </c>
      <c r="D824" s="143">
        <f t="shared" si="26"/>
        <v>0</v>
      </c>
      <c r="E824" s="144">
        <v>5.157784345504815E-2</v>
      </c>
      <c r="F824" s="145">
        <v>2.0887123453533184E-2</v>
      </c>
      <c r="G824" s="146">
        <v>1.2645380599732924E-2</v>
      </c>
      <c r="H824" s="146">
        <v>0</v>
      </c>
      <c r="I824" s="147">
        <v>0</v>
      </c>
      <c r="J824" s="148">
        <v>7.8852576514221485E-3</v>
      </c>
      <c r="K824" s="149">
        <v>21.994</v>
      </c>
      <c r="L824" s="149">
        <v>77</v>
      </c>
      <c r="M824" s="150"/>
      <c r="N824" s="135"/>
    </row>
    <row r="825" spans="1:14" x14ac:dyDescent="0.25">
      <c r="A825" s="142">
        <v>44883</v>
      </c>
      <c r="B825" s="81" t="s">
        <v>53</v>
      </c>
      <c r="C825" s="129" t="str">
        <f t="shared" si="25"/>
        <v>18.11.2022_NATohBo</v>
      </c>
      <c r="D825" s="143">
        <f t="shared" si="26"/>
        <v>0</v>
      </c>
      <c r="E825" s="144">
        <v>0.11347125560110592</v>
      </c>
      <c r="F825" s="145">
        <v>2.5690170431051054E-2</v>
      </c>
      <c r="G825" s="146">
        <v>9.9055481364574482E-2</v>
      </c>
      <c r="H825" s="146">
        <v>7.939538226574434E-3</v>
      </c>
      <c r="I825" s="147">
        <v>0.6</v>
      </c>
      <c r="J825" s="148">
        <v>0.214854783137859</v>
      </c>
      <c r="K825" s="149">
        <v>62</v>
      </c>
      <c r="L825" s="149">
        <v>246</v>
      </c>
      <c r="M825" s="150"/>
      <c r="N825" s="135"/>
    </row>
    <row r="826" spans="1:14" x14ac:dyDescent="0.25">
      <c r="A826" s="142">
        <v>44883</v>
      </c>
      <c r="B826" s="81" t="s">
        <v>55</v>
      </c>
      <c r="C826" s="129" t="str">
        <f t="shared" si="25"/>
        <v>18.11.2022_QUAohBo</v>
      </c>
      <c r="D826" s="143">
        <f t="shared" si="26"/>
        <v>0</v>
      </c>
      <c r="E826" s="144">
        <v>3.0946706073028889E-2</v>
      </c>
      <c r="F826" s="145">
        <v>1.8144611403786731E-2</v>
      </c>
      <c r="G826" s="146">
        <v>7.3764720165108669E-2</v>
      </c>
      <c r="H826" s="146">
        <v>3.1758152906297701E-3</v>
      </c>
      <c r="I826" s="147">
        <v>0</v>
      </c>
      <c r="J826" s="148">
        <v>5.8244444526237463E-2</v>
      </c>
      <c r="K826" s="149">
        <v>27.123000000000001</v>
      </c>
      <c r="L826" s="149">
        <v>116</v>
      </c>
      <c r="M826" s="150"/>
      <c r="N826" s="135"/>
    </row>
    <row r="827" spans="1:14" x14ac:dyDescent="0.25">
      <c r="A827" s="142">
        <v>44883</v>
      </c>
      <c r="B827" s="81" t="s">
        <v>57</v>
      </c>
      <c r="C827" s="129" t="str">
        <f t="shared" si="25"/>
        <v>18.11.2022_SCHohVo</v>
      </c>
      <c r="D827" s="143">
        <f t="shared" si="26"/>
        <v>8</v>
      </c>
      <c r="E827" s="144"/>
      <c r="F827" s="145"/>
      <c r="G827" s="146"/>
      <c r="H827" s="146"/>
      <c r="I827" s="147"/>
      <c r="J827" s="148"/>
      <c r="K827" s="149"/>
      <c r="L827" s="149"/>
      <c r="M827" s="150"/>
      <c r="N827" s="135" t="s">
        <v>341</v>
      </c>
    </row>
    <row r="828" spans="1:14" x14ac:dyDescent="0.25">
      <c r="A828" s="142">
        <v>44883</v>
      </c>
      <c r="B828" s="81" t="s">
        <v>60</v>
      </c>
      <c r="C828" s="129" t="str">
        <f t="shared" si="25"/>
        <v>18.11.2022_VORohBo</v>
      </c>
      <c r="D828" s="143">
        <f t="shared" si="26"/>
        <v>0</v>
      </c>
      <c r="E828" s="144">
        <v>9.2840118219086679E-2</v>
      </c>
      <c r="F828" s="145">
        <v>1.4088813521028483E-2</v>
      </c>
      <c r="G828" s="146">
        <v>0.4636639553235401</v>
      </c>
      <c r="H828" s="146">
        <v>2.6994429970353069E-2</v>
      </c>
      <c r="I828" s="147">
        <v>0.308</v>
      </c>
      <c r="J828" s="148">
        <v>0.43781683887364964</v>
      </c>
      <c r="K828" s="149">
        <v>31.710999999999999</v>
      </c>
      <c r="L828" s="149">
        <v>155</v>
      </c>
      <c r="M828" s="150"/>
      <c r="N828" s="135"/>
    </row>
    <row r="829" spans="1:14" x14ac:dyDescent="0.25">
      <c r="A829" s="142">
        <v>44883</v>
      </c>
      <c r="B829" s="81" t="s">
        <v>62</v>
      </c>
      <c r="C829" s="129" t="str">
        <f t="shared" si="25"/>
        <v>18.11.2022_VORuhSc</v>
      </c>
      <c r="D829" s="143">
        <f t="shared" si="26"/>
        <v>0</v>
      </c>
      <c r="E829" s="144">
        <v>2.0631137382019261E-2</v>
      </c>
      <c r="F829" s="145">
        <v>1.6377639069228352E-2</v>
      </c>
      <c r="G829" s="146">
        <v>0.29505888066043467</v>
      </c>
      <c r="H829" s="146">
        <v>0</v>
      </c>
      <c r="I829" s="147">
        <v>9.7000000000000003E-2</v>
      </c>
      <c r="J829" s="148">
        <v>0.25101966024402089</v>
      </c>
      <c r="K829" s="149">
        <v>28.24</v>
      </c>
      <c r="L829" s="149">
        <v>139</v>
      </c>
      <c r="M829" s="150"/>
      <c r="N829" s="135"/>
    </row>
    <row r="830" spans="1:14" x14ac:dyDescent="0.25">
      <c r="A830" s="142">
        <v>44883</v>
      </c>
      <c r="B830" s="81" t="s">
        <v>64</v>
      </c>
      <c r="C830" s="129" t="str">
        <f t="shared" si="25"/>
        <v>18.11.2022_WITob</v>
      </c>
      <c r="D830" s="143">
        <f t="shared" si="26"/>
        <v>0</v>
      </c>
      <c r="E830" s="144">
        <v>5.157784345504815E-2</v>
      </c>
      <c r="F830" s="145">
        <v>1.5562068261860825E-2</v>
      </c>
      <c r="G830" s="146">
        <v>7.3764720165108669E-2</v>
      </c>
      <c r="H830" s="146">
        <v>0</v>
      </c>
      <c r="I830" s="147">
        <v>0</v>
      </c>
      <c r="J830" s="148">
        <v>5.6310690595772997E-2</v>
      </c>
      <c r="K830" s="149">
        <v>50</v>
      </c>
      <c r="L830" s="149">
        <v>171</v>
      </c>
      <c r="M830" s="150"/>
      <c r="N830" s="135"/>
    </row>
    <row r="831" spans="1:14" x14ac:dyDescent="0.25">
      <c r="A831" s="142">
        <v>44897</v>
      </c>
      <c r="B831" s="81" t="s">
        <v>22</v>
      </c>
      <c r="C831" s="129" t="str">
        <f t="shared" si="25"/>
        <v>02.12.2022_BOYkl</v>
      </c>
      <c r="D831" s="143">
        <f t="shared" si="26"/>
        <v>0</v>
      </c>
      <c r="E831" s="144">
        <v>0.4613698249191801</v>
      </c>
      <c r="F831" s="145">
        <v>0.129211837646829</v>
      </c>
      <c r="G831" s="146">
        <v>7.6792922311307715E-2</v>
      </c>
      <c r="H831" s="146">
        <v>0.23107858462412956</v>
      </c>
      <c r="I831" s="147">
        <v>34.511000000000003</v>
      </c>
      <c r="J831" s="148">
        <v>7.9249803813343229</v>
      </c>
      <c r="K831" s="149">
        <v>27.050999999999998</v>
      </c>
      <c r="L831" s="149">
        <v>54</v>
      </c>
      <c r="M831" s="151">
        <v>19.579999999999998</v>
      </c>
      <c r="N831" s="135"/>
    </row>
    <row r="832" spans="1:14" x14ac:dyDescent="0.25">
      <c r="A832" s="142">
        <v>44897</v>
      </c>
      <c r="B832" s="81" t="s">
        <v>25</v>
      </c>
      <c r="C832" s="129" t="str">
        <f t="shared" si="25"/>
        <v>02.12.2022_BOYohB224</v>
      </c>
      <c r="D832" s="143">
        <f t="shared" si="26"/>
        <v>0</v>
      </c>
      <c r="E832" s="144">
        <v>0</v>
      </c>
      <c r="F832" s="145">
        <v>1.9914918343976101E-2</v>
      </c>
      <c r="G832" s="146">
        <v>0.15678554971891995</v>
      </c>
      <c r="H832" s="146">
        <v>5.6932404907394235E-2</v>
      </c>
      <c r="I832" s="147">
        <v>3.202</v>
      </c>
      <c r="J832" s="148">
        <v>0.86231122217530021</v>
      </c>
      <c r="K832" s="149">
        <v>35</v>
      </c>
      <c r="L832" s="149">
        <v>183</v>
      </c>
      <c r="M832" s="151">
        <v>17.190000000000001</v>
      </c>
      <c r="N832" s="135"/>
    </row>
    <row r="833" spans="1:14" x14ac:dyDescent="0.25">
      <c r="A833" s="142">
        <v>44897</v>
      </c>
      <c r="B833" s="81" t="s">
        <v>28</v>
      </c>
      <c r="C833" s="129" t="str">
        <f t="shared" si="25"/>
        <v>02.12.2022_BOYohBr</v>
      </c>
      <c r="D833" s="143">
        <f t="shared" si="26"/>
        <v>0</v>
      </c>
      <c r="E833" s="144">
        <v>6.0178672815545231E-2</v>
      </c>
      <c r="F833" s="145">
        <v>2.8347821794532362E-2</v>
      </c>
      <c r="G833" s="146">
        <v>0.10079071053359138</v>
      </c>
      <c r="H833" s="146">
        <v>4.5211027426460132E-2</v>
      </c>
      <c r="I833" s="147">
        <v>6.649</v>
      </c>
      <c r="J833" s="148">
        <v>1.5938371061222141</v>
      </c>
      <c r="K833" s="149">
        <v>22.263999999999999</v>
      </c>
      <c r="L833" s="149">
        <v>81</v>
      </c>
      <c r="M833" s="151">
        <v>14.85</v>
      </c>
      <c r="N833" s="135"/>
    </row>
    <row r="834" spans="1:14" x14ac:dyDescent="0.25">
      <c r="A834" s="142">
        <v>44897</v>
      </c>
      <c r="B834" s="81" t="s">
        <v>30</v>
      </c>
      <c r="C834" s="129" t="str">
        <f t="shared" si="25"/>
        <v>02.12.2022_BOYohKi</v>
      </c>
      <c r="D834" s="143">
        <f t="shared" si="26"/>
        <v>0</v>
      </c>
      <c r="E834" s="144">
        <v>0</v>
      </c>
      <c r="F834" s="145">
        <v>2.3390448765707696E-2</v>
      </c>
      <c r="G834" s="146">
        <v>0.11358953091880936</v>
      </c>
      <c r="H834" s="146">
        <v>4.0187579934631235E-2</v>
      </c>
      <c r="I834" s="147">
        <v>3.677</v>
      </c>
      <c r="J834" s="148">
        <v>0.93096023357424473</v>
      </c>
      <c r="K834" s="149">
        <v>34.109000000000002</v>
      </c>
      <c r="L834" s="149">
        <v>140</v>
      </c>
      <c r="M834" s="151">
        <v>16.600000000000001</v>
      </c>
      <c r="N834" s="135"/>
    </row>
    <row r="835" spans="1:14" x14ac:dyDescent="0.25">
      <c r="A835" s="142">
        <v>44897</v>
      </c>
      <c r="B835" s="81" t="s">
        <v>32</v>
      </c>
      <c r="C835" s="129" t="str">
        <f t="shared" si="25"/>
        <v>02.12.2022_BOYohSp</v>
      </c>
      <c r="D835" s="143">
        <f t="shared" si="26"/>
        <v>0</v>
      </c>
      <c r="E835" s="144">
        <v>0.15044668203886308</v>
      </c>
      <c r="F835" s="145">
        <v>4.3720869025393051E-2</v>
      </c>
      <c r="G835" s="146">
        <v>0.10878997327435261</v>
      </c>
      <c r="H835" s="146">
        <v>5.5257922410117948E-2</v>
      </c>
      <c r="I835" s="147">
        <v>5.0359999999999996</v>
      </c>
      <c r="J835" s="148">
        <v>1.2387789208255622</v>
      </c>
      <c r="K835" s="149">
        <v>25.369</v>
      </c>
      <c r="L835" s="149">
        <v>108</v>
      </c>
      <c r="M835" s="151">
        <v>18.52</v>
      </c>
      <c r="N835" s="135"/>
    </row>
    <row r="836" spans="1:14" x14ac:dyDescent="0.25">
      <c r="A836" s="142">
        <v>44897</v>
      </c>
      <c r="B836" s="81" t="s">
        <v>34</v>
      </c>
      <c r="C836" s="129" t="str">
        <f t="shared" si="25"/>
        <v>02.12.2022_BOYuhHa</v>
      </c>
      <c r="D836" s="143">
        <f t="shared" si="26"/>
        <v>0</v>
      </c>
      <c r="E836" s="144">
        <v>2.0059557605181744E-2</v>
      </c>
      <c r="F836" s="145">
        <v>1.882504270983484E-2</v>
      </c>
      <c r="G836" s="146">
        <v>0.14558658188185422</v>
      </c>
      <c r="H836" s="146">
        <v>5.0234474918289036E-2</v>
      </c>
      <c r="I836" s="147">
        <v>3.2679999999999998</v>
      </c>
      <c r="J836" s="148">
        <v>0.86648357085431404</v>
      </c>
      <c r="K836" s="149">
        <v>38</v>
      </c>
      <c r="L836" s="149">
        <v>190</v>
      </c>
      <c r="M836" s="151">
        <v>16.12</v>
      </c>
      <c r="N836" s="135"/>
    </row>
    <row r="837" spans="1:14" x14ac:dyDescent="0.25">
      <c r="A837" s="142">
        <v>44897</v>
      </c>
      <c r="B837" s="81" t="s">
        <v>36</v>
      </c>
      <c r="C837" s="129" t="str">
        <f t="shared" ref="C837:C900" si="27">CONCATENATE(TEXT(A837,"TT.MM.JJJJ"),"_",B837)</f>
        <v>02.12.2022_BOYuhSp</v>
      </c>
      <c r="D837" s="143">
        <f t="shared" ref="D837:D900" si="28">COUNTBLANK(E837:L837)</f>
        <v>0</v>
      </c>
      <c r="E837" s="144">
        <v>0.1103275668284996</v>
      </c>
      <c r="F837" s="145">
        <v>3.7528669747555213E-2</v>
      </c>
      <c r="G837" s="146">
        <v>0.10878997327435261</v>
      </c>
      <c r="H837" s="146">
        <v>6.0281369901946845E-2</v>
      </c>
      <c r="I837" s="147">
        <v>5.1420000000000003</v>
      </c>
      <c r="J837" s="148">
        <v>1.2642505294144497</v>
      </c>
      <c r="K837" s="149">
        <v>26.96</v>
      </c>
      <c r="L837" s="149">
        <v>106</v>
      </c>
      <c r="M837" s="151">
        <v>16.760000000000002</v>
      </c>
      <c r="N837" s="135"/>
    </row>
    <row r="838" spans="1:14" x14ac:dyDescent="0.25">
      <c r="A838" s="142">
        <v>44897</v>
      </c>
      <c r="B838" s="81" t="s">
        <v>38</v>
      </c>
      <c r="C838" s="129" t="str">
        <f t="shared" si="27"/>
        <v>02.12.2022_BRAob</v>
      </c>
      <c r="D838" s="143">
        <f t="shared" si="28"/>
        <v>0</v>
      </c>
      <c r="E838" s="144">
        <v>0</v>
      </c>
      <c r="F838" s="145">
        <v>1.9076646245258878E-2</v>
      </c>
      <c r="G838" s="146">
        <v>7.0393512118698751E-2</v>
      </c>
      <c r="H838" s="146">
        <v>8.372412486381502E-3</v>
      </c>
      <c r="I838" s="147">
        <v>0.99199999999999999</v>
      </c>
      <c r="J838" s="148">
        <v>0.28127187920652724</v>
      </c>
      <c r="K838" s="149">
        <v>29</v>
      </c>
      <c r="L838" s="149">
        <v>195</v>
      </c>
      <c r="M838" s="151">
        <v>17.37</v>
      </c>
      <c r="N838" s="135"/>
    </row>
    <row r="839" spans="1:14" x14ac:dyDescent="0.25">
      <c r="A839" s="142">
        <v>44897</v>
      </c>
      <c r="B839" s="81" t="s">
        <v>41</v>
      </c>
      <c r="C839" s="129" t="str">
        <f t="shared" si="27"/>
        <v>02.12.2022_BRAohBo</v>
      </c>
      <c r="D839" s="143">
        <f t="shared" si="28"/>
        <v>0</v>
      </c>
      <c r="E839" s="144">
        <v>4.0119115210363487E-2</v>
      </c>
      <c r="F839" s="145">
        <v>3.652629818680618E-2</v>
      </c>
      <c r="G839" s="146">
        <v>0.27357478573403377</v>
      </c>
      <c r="H839" s="146">
        <v>5.5257922410117948E-2</v>
      </c>
      <c r="I839" s="147">
        <v>2.379</v>
      </c>
      <c r="J839" s="148">
        <v>0.76659608985238026</v>
      </c>
      <c r="K839" s="149">
        <v>32.676000000000002</v>
      </c>
      <c r="L839" s="149">
        <v>194</v>
      </c>
      <c r="M839" s="151">
        <v>13.71</v>
      </c>
      <c r="N839" s="135"/>
    </row>
    <row r="840" spans="1:14" x14ac:dyDescent="0.25">
      <c r="A840" s="142">
        <v>44897</v>
      </c>
      <c r="B840" s="81" t="s">
        <v>43</v>
      </c>
      <c r="C840" s="129" t="str">
        <f t="shared" si="27"/>
        <v>02.12.2022_HAAob</v>
      </c>
      <c r="D840" s="143">
        <f t="shared" si="28"/>
        <v>0</v>
      </c>
      <c r="E840" s="144">
        <v>1.0029778802590881E-2</v>
      </c>
      <c r="F840" s="145">
        <v>2.2208624313733896E-2</v>
      </c>
      <c r="G840" s="146">
        <v>5.7594691733480786E-2</v>
      </c>
      <c r="H840" s="146">
        <v>0</v>
      </c>
      <c r="I840" s="147">
        <v>0</v>
      </c>
      <c r="J840" s="148">
        <v>4.4211905987834726E-2</v>
      </c>
      <c r="K840" s="149">
        <v>31</v>
      </c>
      <c r="L840" s="149">
        <v>240</v>
      </c>
      <c r="M840" s="151">
        <v>16.84</v>
      </c>
      <c r="N840" s="135"/>
    </row>
    <row r="841" spans="1:14" x14ac:dyDescent="0.25">
      <c r="A841" s="142">
        <v>44897</v>
      </c>
      <c r="B841" s="81" t="s">
        <v>45</v>
      </c>
      <c r="C841" s="129" t="str">
        <f t="shared" si="27"/>
        <v>02.12.2022_HAAun</v>
      </c>
      <c r="D841" s="143">
        <f t="shared" si="28"/>
        <v>0</v>
      </c>
      <c r="E841" s="144">
        <v>7.0208451618136117E-2</v>
      </c>
      <c r="F841" s="145">
        <v>2.5862246135697702E-2</v>
      </c>
      <c r="G841" s="146">
        <v>7.359321721500324E-2</v>
      </c>
      <c r="H841" s="146">
        <v>1.6744824972762971E-3</v>
      </c>
      <c r="I841" s="147">
        <v>0.121</v>
      </c>
      <c r="J841" s="148">
        <v>8.4984463431573634E-2</v>
      </c>
      <c r="K841" s="149">
        <v>33</v>
      </c>
      <c r="L841" s="149">
        <v>278</v>
      </c>
      <c r="M841" s="151">
        <v>17.7</v>
      </c>
      <c r="N841" s="135"/>
    </row>
    <row r="842" spans="1:14" x14ac:dyDescent="0.25">
      <c r="A842" s="142">
        <v>44897</v>
      </c>
      <c r="B842" s="81" t="s">
        <v>47</v>
      </c>
      <c r="C842" s="129" t="str">
        <f t="shared" si="27"/>
        <v>02.12.2022_KIRob</v>
      </c>
      <c r="D842" s="143">
        <f t="shared" si="28"/>
        <v>0</v>
      </c>
      <c r="E842" s="144">
        <v>0</v>
      </c>
      <c r="F842" s="145">
        <v>1.4149603046545268E-2</v>
      </c>
      <c r="G842" s="146">
        <v>0.47355635425306425</v>
      </c>
      <c r="H842" s="146">
        <v>0.13898204727393301</v>
      </c>
      <c r="I842" s="147">
        <v>3.6739999999999999</v>
      </c>
      <c r="J842" s="148">
        <v>1.2398712378065107</v>
      </c>
      <c r="K842" s="149">
        <v>73</v>
      </c>
      <c r="L842" s="149">
        <v>148</v>
      </c>
      <c r="M842" s="151">
        <v>16.71</v>
      </c>
      <c r="N842" s="135"/>
    </row>
    <row r="843" spans="1:14" x14ac:dyDescent="0.25">
      <c r="A843" s="142">
        <v>44897</v>
      </c>
      <c r="B843" s="81" t="s">
        <v>49</v>
      </c>
      <c r="C843" s="129" t="str">
        <f t="shared" si="27"/>
        <v>02.12.2022_KIRun</v>
      </c>
      <c r="D843" s="143">
        <f t="shared" si="28"/>
        <v>0</v>
      </c>
      <c r="E843" s="144">
        <v>0</v>
      </c>
      <c r="F843" s="145">
        <v>1.7400177453479406E-2</v>
      </c>
      <c r="G843" s="146">
        <v>9.5991152889134665E-2</v>
      </c>
      <c r="H843" s="146">
        <v>3.0140684950973429E-2</v>
      </c>
      <c r="I843" s="147">
        <v>1.8049999999999999</v>
      </c>
      <c r="J843" s="148">
        <v>0.49140785184020802</v>
      </c>
      <c r="K843" s="149">
        <v>56</v>
      </c>
      <c r="L843" s="149">
        <v>132</v>
      </c>
      <c r="M843" s="151">
        <v>13.61</v>
      </c>
      <c r="N843" s="135"/>
    </row>
    <row r="844" spans="1:14" x14ac:dyDescent="0.25">
      <c r="A844" s="142">
        <v>44897</v>
      </c>
      <c r="B844" s="81" t="s">
        <v>50</v>
      </c>
      <c r="C844" s="129" t="str">
        <f t="shared" si="27"/>
        <v>02.12.2022_LIEohBo</v>
      </c>
      <c r="D844" s="143">
        <f t="shared" si="28"/>
        <v>0</v>
      </c>
      <c r="E844" s="144">
        <v>0</v>
      </c>
      <c r="F844" s="145">
        <v>1.6781214323842827E-2</v>
      </c>
      <c r="G844" s="146">
        <v>6.3994101926089716E-3</v>
      </c>
      <c r="H844" s="146">
        <v>0</v>
      </c>
      <c r="I844" s="147">
        <v>0.502</v>
      </c>
      <c r="J844" s="148">
        <v>0.11784602182416318</v>
      </c>
      <c r="K844" s="149">
        <v>18.317</v>
      </c>
      <c r="L844" s="149">
        <v>94</v>
      </c>
      <c r="M844" s="151">
        <v>19.850000000000001</v>
      </c>
      <c r="N844" s="135"/>
    </row>
    <row r="845" spans="1:14" x14ac:dyDescent="0.25">
      <c r="A845" s="142">
        <v>44897</v>
      </c>
      <c r="B845" s="81" t="s">
        <v>53</v>
      </c>
      <c r="C845" s="129" t="str">
        <f t="shared" si="27"/>
        <v>02.12.2022_NATohBo</v>
      </c>
      <c r="D845" s="143">
        <f t="shared" si="28"/>
        <v>0</v>
      </c>
      <c r="E845" s="144">
        <v>5.0148894012954366E-2</v>
      </c>
      <c r="F845" s="145">
        <v>3.0392265993373312E-2</v>
      </c>
      <c r="G845" s="146">
        <v>0.26397567044512033</v>
      </c>
      <c r="H845" s="146">
        <v>1.0046894983657805E-2</v>
      </c>
      <c r="I845" s="147">
        <v>0.86199999999999999</v>
      </c>
      <c r="J845" s="148">
        <v>0.40273318552170612</v>
      </c>
      <c r="K845" s="149">
        <v>106</v>
      </c>
      <c r="L845" s="149">
        <v>434</v>
      </c>
      <c r="M845" s="151">
        <v>18.649999999999999</v>
      </c>
      <c r="N845" s="135"/>
    </row>
    <row r="846" spans="1:14" x14ac:dyDescent="0.25">
      <c r="A846" s="142">
        <v>44897</v>
      </c>
      <c r="B846" s="81" t="s">
        <v>55</v>
      </c>
      <c r="C846" s="129" t="str">
        <f t="shared" si="27"/>
        <v>02.12.2022_QUAohBo</v>
      </c>
      <c r="D846" s="143">
        <f t="shared" si="28"/>
        <v>0</v>
      </c>
      <c r="E846" s="144">
        <v>0</v>
      </c>
      <c r="F846" s="145">
        <v>1.5787154141952961E-2</v>
      </c>
      <c r="G846" s="146">
        <v>4.9595428992719556E-2</v>
      </c>
      <c r="H846" s="146">
        <v>6.6979299891052058E-3</v>
      </c>
      <c r="I846" s="147">
        <v>0.44900000000000001</v>
      </c>
      <c r="J846" s="148">
        <v>0.14196516944373988</v>
      </c>
      <c r="K846" s="149">
        <v>33.570999999999998</v>
      </c>
      <c r="L846" s="149">
        <v>141</v>
      </c>
      <c r="M846" s="151">
        <v>11.41</v>
      </c>
      <c r="N846" s="135"/>
    </row>
    <row r="847" spans="1:14" x14ac:dyDescent="0.25">
      <c r="A847" s="142">
        <v>44897</v>
      </c>
      <c r="B847" s="81" t="s">
        <v>57</v>
      </c>
      <c r="C847" s="129" t="str">
        <f t="shared" si="27"/>
        <v>02.12.2022_SCHohVo</v>
      </c>
      <c r="D847" s="143">
        <f t="shared" si="28"/>
        <v>8</v>
      </c>
      <c r="E847" s="144"/>
      <c r="F847" s="145"/>
      <c r="G847" s="146"/>
      <c r="H847" s="146"/>
      <c r="I847" s="147"/>
      <c r="J847" s="148"/>
      <c r="K847" s="149"/>
      <c r="L847" s="149"/>
      <c r="M847" s="151"/>
      <c r="N847" s="135" t="s">
        <v>341</v>
      </c>
    </row>
    <row r="848" spans="1:14" x14ac:dyDescent="0.25">
      <c r="A848" s="142">
        <v>44897</v>
      </c>
      <c r="B848" s="81" t="s">
        <v>60</v>
      </c>
      <c r="C848" s="129" t="str">
        <f t="shared" si="27"/>
        <v>02.12.2022_VORohBo</v>
      </c>
      <c r="D848" s="143">
        <f t="shared" si="28"/>
        <v>0</v>
      </c>
      <c r="E848" s="144">
        <v>0</v>
      </c>
      <c r="F848" s="145">
        <v>1.5791665913642134E-2</v>
      </c>
      <c r="G848" s="146">
        <v>0.43196018800110597</v>
      </c>
      <c r="H848" s="146">
        <v>1.8419307470039312E-2</v>
      </c>
      <c r="I848" s="147">
        <v>0.60299999999999998</v>
      </c>
      <c r="J848" s="148">
        <v>0.47722013454023227</v>
      </c>
      <c r="K848" s="149">
        <v>30</v>
      </c>
      <c r="L848" s="149">
        <v>186</v>
      </c>
      <c r="M848" s="151">
        <v>22.29</v>
      </c>
      <c r="N848" s="135"/>
    </row>
    <row r="849" spans="1:14" x14ac:dyDescent="0.25">
      <c r="A849" s="142">
        <v>44897</v>
      </c>
      <c r="B849" s="81" t="s">
        <v>62</v>
      </c>
      <c r="C849" s="129" t="str">
        <f t="shared" si="27"/>
        <v>02.12.2022_VORuhSc</v>
      </c>
      <c r="D849" s="143">
        <f t="shared" si="28"/>
        <v>0</v>
      </c>
      <c r="E849" s="144">
        <v>4.0119115210363487E-2</v>
      </c>
      <c r="F849" s="145">
        <v>1.4407645387063326E-2</v>
      </c>
      <c r="G849" s="146">
        <v>0.30237213160077414</v>
      </c>
      <c r="H849" s="146">
        <v>1.6744824972762971E-3</v>
      </c>
      <c r="I849" s="147">
        <v>9.6000000000000002E-2</v>
      </c>
      <c r="J849" s="148">
        <v>0.25698225266298086</v>
      </c>
      <c r="K849" s="149">
        <v>32.74</v>
      </c>
      <c r="L849" s="149">
        <v>194</v>
      </c>
      <c r="M849" s="151">
        <v>19.02</v>
      </c>
      <c r="N849" s="135"/>
    </row>
    <row r="850" spans="1:14" x14ac:dyDescent="0.25">
      <c r="A850" s="142">
        <v>44897</v>
      </c>
      <c r="B850" s="81" t="s">
        <v>64</v>
      </c>
      <c r="C850" s="129" t="str">
        <f t="shared" si="27"/>
        <v>02.12.2022_WITob</v>
      </c>
      <c r="D850" s="143">
        <f t="shared" si="28"/>
        <v>0</v>
      </c>
      <c r="E850" s="144">
        <v>6.0178672815545231E-2</v>
      </c>
      <c r="F850" s="145">
        <v>2.2883944792056108E-2</v>
      </c>
      <c r="G850" s="146">
        <v>6.3994101926089772E-2</v>
      </c>
      <c r="H850" s="146">
        <v>6.6979299891052058E-3</v>
      </c>
      <c r="I850" s="147">
        <v>0.13800000000000001</v>
      </c>
      <c r="J850" s="148">
        <v>8.2900024989772531E-2</v>
      </c>
      <c r="K850" s="149">
        <v>58</v>
      </c>
      <c r="L850" s="149">
        <v>203</v>
      </c>
      <c r="M850" s="151">
        <v>15.24</v>
      </c>
      <c r="N850" s="135"/>
    </row>
    <row r="851" spans="1:14" x14ac:dyDescent="0.25">
      <c r="A851" s="142">
        <v>44911</v>
      </c>
      <c r="B851" s="81" t="s">
        <v>22</v>
      </c>
      <c r="C851" s="129" t="str">
        <f t="shared" si="27"/>
        <v>16.12.2022_BOYkl</v>
      </c>
      <c r="D851" s="143">
        <f t="shared" si="28"/>
        <v>0</v>
      </c>
      <c r="E851" s="144">
        <v>0.10476354651496869</v>
      </c>
      <c r="F851" s="145">
        <v>0.14578537837398567</v>
      </c>
      <c r="G851" s="146">
        <v>0.2298323036187114</v>
      </c>
      <c r="H851" s="146">
        <v>0.2587069159720658</v>
      </c>
      <c r="I851" s="147">
        <v>24</v>
      </c>
      <c r="J851" s="148">
        <v>5.6781058060045879</v>
      </c>
      <c r="K851" s="149">
        <v>32.79</v>
      </c>
      <c r="L851" s="149">
        <v>48</v>
      </c>
      <c r="M851" s="151">
        <v>18.34</v>
      </c>
      <c r="N851" s="135"/>
    </row>
    <row r="852" spans="1:14" x14ac:dyDescent="0.25">
      <c r="A852" s="142">
        <v>44911</v>
      </c>
      <c r="B852" s="81" t="s">
        <v>25</v>
      </c>
      <c r="C852" s="129" t="str">
        <f t="shared" si="27"/>
        <v>16.12.2022_BOYohB224</v>
      </c>
      <c r="D852" s="143">
        <f t="shared" si="28"/>
        <v>0</v>
      </c>
      <c r="E852" s="144">
        <v>7.9066827558466942E-3</v>
      </c>
      <c r="F852" s="145">
        <v>2.0605949373641901E-2</v>
      </c>
      <c r="G852" s="146">
        <v>0.27931009120329514</v>
      </c>
      <c r="H852" s="146">
        <v>3.1619734174363597E-2</v>
      </c>
      <c r="I852" s="147">
        <v>3.3210000000000002</v>
      </c>
      <c r="J852" s="148">
        <v>0.97662239078783153</v>
      </c>
      <c r="K852" s="149">
        <v>31</v>
      </c>
      <c r="L852" s="149">
        <v>141</v>
      </c>
      <c r="M852" s="151">
        <v>13.85</v>
      </c>
      <c r="N852" s="135"/>
    </row>
    <row r="853" spans="1:14" x14ac:dyDescent="0.25">
      <c r="A853" s="142">
        <v>44911</v>
      </c>
      <c r="B853" s="81" t="s">
        <v>28</v>
      </c>
      <c r="C853" s="129" t="str">
        <f t="shared" si="27"/>
        <v>16.12.2022_BOYohBr</v>
      </c>
      <c r="D853" s="143">
        <f t="shared" si="28"/>
        <v>0</v>
      </c>
      <c r="E853" s="144">
        <v>2.7673389645463429E-2</v>
      </c>
      <c r="F853" s="145">
        <v>3.109306190779243E-2</v>
      </c>
      <c r="G853" s="146">
        <v>0.1643939393939394</v>
      </c>
      <c r="H853" s="146">
        <v>5.0304122550123911E-2</v>
      </c>
      <c r="I853" s="147">
        <v>8.33</v>
      </c>
      <c r="J853" s="148">
        <v>2.0244624401103848</v>
      </c>
      <c r="K853" s="149">
        <v>22.715</v>
      </c>
      <c r="L853" s="149">
        <v>63</v>
      </c>
      <c r="M853" s="151">
        <v>16.48</v>
      </c>
      <c r="N853" s="135"/>
    </row>
    <row r="854" spans="1:14" x14ac:dyDescent="0.25">
      <c r="A854" s="142">
        <v>44911</v>
      </c>
      <c r="B854" s="81" t="s">
        <v>30</v>
      </c>
      <c r="C854" s="129" t="str">
        <f t="shared" si="27"/>
        <v>16.12.2022_BOYohKi</v>
      </c>
      <c r="D854" s="143">
        <f t="shared" si="28"/>
        <v>0</v>
      </c>
      <c r="E854" s="144">
        <v>7.9066827558466942E-3</v>
      </c>
      <c r="F854" s="145">
        <v>2.4147662194656253E-2</v>
      </c>
      <c r="G854" s="146">
        <v>0.23302441894674908</v>
      </c>
      <c r="H854" s="146">
        <v>3.5931516107231359E-2</v>
      </c>
      <c r="I854" s="147">
        <v>4.4429999999999996</v>
      </c>
      <c r="J854" s="148">
        <v>1.1954208911468076</v>
      </c>
      <c r="K854" s="149">
        <v>28</v>
      </c>
      <c r="L854" s="149">
        <v>109</v>
      </c>
      <c r="M854" s="151">
        <v>17.84</v>
      </c>
      <c r="N854" s="135"/>
    </row>
    <row r="855" spans="1:14" x14ac:dyDescent="0.25">
      <c r="A855" s="142">
        <v>44911</v>
      </c>
      <c r="B855" s="81" t="s">
        <v>32</v>
      </c>
      <c r="C855" s="129" t="str">
        <f t="shared" si="27"/>
        <v>16.12.2022_BOYohSp</v>
      </c>
      <c r="D855" s="143">
        <f t="shared" si="28"/>
        <v>0</v>
      </c>
      <c r="E855" s="144">
        <v>1.186002413377004E-2</v>
      </c>
      <c r="F855" s="145">
        <v>2.4873491501173257E-2</v>
      </c>
      <c r="G855" s="146">
        <v>0.18833480435422187</v>
      </c>
      <c r="H855" s="146">
        <v>5.6053165127280924E-2</v>
      </c>
      <c r="I855" s="147">
        <v>6.4130000000000003</v>
      </c>
      <c r="J855" s="148">
        <v>1.6118097883560103</v>
      </c>
      <c r="K855" s="149">
        <v>29.951000000000001</v>
      </c>
      <c r="L855" s="149">
        <v>90</v>
      </c>
      <c r="M855" s="151">
        <v>14.24</v>
      </c>
      <c r="N855" s="135"/>
    </row>
    <row r="856" spans="1:14" x14ac:dyDescent="0.25">
      <c r="A856" s="142">
        <v>44911</v>
      </c>
      <c r="B856" s="81" t="s">
        <v>34</v>
      </c>
      <c r="C856" s="129" t="str">
        <f t="shared" si="27"/>
        <v>16.12.2022_BOYuhHa</v>
      </c>
      <c r="D856" s="143">
        <f t="shared" si="28"/>
        <v>0</v>
      </c>
      <c r="E856" s="144">
        <v>1.9766706889616736E-2</v>
      </c>
      <c r="F856" s="145">
        <v>1.6818979352134812E-2</v>
      </c>
      <c r="G856" s="146">
        <v>0.26494557222712567</v>
      </c>
      <c r="H856" s="146">
        <v>3.7368776751520616E-2</v>
      </c>
      <c r="I856" s="147">
        <v>3.4969999999999999</v>
      </c>
      <c r="J856" s="148">
        <v>1.0069719014606411</v>
      </c>
      <c r="K856" s="149">
        <v>34</v>
      </c>
      <c r="L856" s="149">
        <v>154</v>
      </c>
      <c r="M856" s="151">
        <v>20.77</v>
      </c>
      <c r="N856" s="135"/>
    </row>
    <row r="857" spans="1:14" x14ac:dyDescent="0.25">
      <c r="A857" s="142">
        <v>44911</v>
      </c>
      <c r="B857" s="81" t="s">
        <v>36</v>
      </c>
      <c r="C857" s="129" t="str">
        <f t="shared" si="27"/>
        <v>16.12.2022_BOYuhSp</v>
      </c>
      <c r="D857" s="143">
        <f t="shared" si="28"/>
        <v>0</v>
      </c>
      <c r="E857" s="144">
        <v>2.3720048267540081E-2</v>
      </c>
      <c r="F857" s="145">
        <v>2.9164712721956063E-2</v>
      </c>
      <c r="G857" s="146">
        <v>0.15641365107384525</v>
      </c>
      <c r="H857" s="146">
        <v>6.1802207704437943E-2</v>
      </c>
      <c r="I857" s="147">
        <v>6.5590000000000002</v>
      </c>
      <c r="J857" s="148">
        <v>1.6217506480579464</v>
      </c>
      <c r="K857" s="149">
        <v>30.385000000000002</v>
      </c>
      <c r="L857" s="149">
        <v>90</v>
      </c>
      <c r="M857" s="151">
        <v>15.07</v>
      </c>
      <c r="N857" s="135"/>
    </row>
    <row r="858" spans="1:14" x14ac:dyDescent="0.25">
      <c r="A858" s="142">
        <v>44911</v>
      </c>
      <c r="B858" s="81" t="s">
        <v>38</v>
      </c>
      <c r="C858" s="129" t="str">
        <f t="shared" si="27"/>
        <v>16.12.2022_BRAob</v>
      </c>
      <c r="D858" s="143">
        <f t="shared" si="28"/>
        <v>0</v>
      </c>
      <c r="E858" s="144">
        <v>2.7673389645463429E-2</v>
      </c>
      <c r="F858" s="145">
        <v>2.096396946572552E-2</v>
      </c>
      <c r="G858" s="146">
        <v>9.0975286849073259E-2</v>
      </c>
      <c r="H858" s="146">
        <v>8.6235638657355292E-3</v>
      </c>
      <c r="I858" s="147">
        <v>1.52</v>
      </c>
      <c r="J858" s="148">
        <v>0.41658924450436002</v>
      </c>
      <c r="K858" s="149">
        <v>30</v>
      </c>
      <c r="L858" s="149">
        <v>138</v>
      </c>
      <c r="M858" s="151">
        <v>16.77</v>
      </c>
      <c r="N858" s="135"/>
    </row>
    <row r="859" spans="1:14" x14ac:dyDescent="0.25">
      <c r="A859" s="142">
        <v>44911</v>
      </c>
      <c r="B859" s="81" t="s">
        <v>41</v>
      </c>
      <c r="C859" s="129" t="str">
        <f t="shared" si="27"/>
        <v>16.12.2022_BRAohBo</v>
      </c>
      <c r="D859" s="143">
        <f t="shared" si="28"/>
        <v>0</v>
      </c>
      <c r="E859" s="144">
        <v>2.5696718956501753E-2</v>
      </c>
      <c r="F859" s="145">
        <v>2.9476648745168355E-2</v>
      </c>
      <c r="G859" s="146">
        <v>0.36230508973227427</v>
      </c>
      <c r="H859" s="146">
        <v>6.8988510925884206E-2</v>
      </c>
      <c r="I859" s="147">
        <v>3.6890000000000001</v>
      </c>
      <c r="J859" s="148">
        <v>1.1355642612775991</v>
      </c>
      <c r="K859" s="149">
        <v>33.203000000000003</v>
      </c>
      <c r="L859" s="149">
        <v>147</v>
      </c>
      <c r="M859" s="151">
        <v>17.29</v>
      </c>
      <c r="N859" s="135"/>
    </row>
    <row r="860" spans="1:14" x14ac:dyDescent="0.25">
      <c r="A860" s="142">
        <v>44911</v>
      </c>
      <c r="B860" s="81" t="s">
        <v>43</v>
      </c>
      <c r="C860" s="129" t="str">
        <f t="shared" si="27"/>
        <v>16.12.2022_HAAob</v>
      </c>
      <c r="D860" s="143">
        <f t="shared" si="28"/>
        <v>0</v>
      </c>
      <c r="E860" s="144">
        <v>1.9766706889616736E-2</v>
      </c>
      <c r="F860" s="145">
        <v>2.6076202846256925E-2</v>
      </c>
      <c r="G860" s="146">
        <v>5.7458075904677844E-2</v>
      </c>
      <c r="H860" s="146">
        <v>7.1863032214462734E-3</v>
      </c>
      <c r="I860" s="147">
        <v>0.309</v>
      </c>
      <c r="J860" s="148">
        <v>0.11659732137499261</v>
      </c>
      <c r="K860" s="149">
        <v>33.584000000000003</v>
      </c>
      <c r="L860" s="149">
        <v>171</v>
      </c>
      <c r="M860" s="151">
        <v>15.4</v>
      </c>
      <c r="N860" s="135"/>
    </row>
    <row r="861" spans="1:14" x14ac:dyDescent="0.25">
      <c r="A861" s="142">
        <v>44911</v>
      </c>
      <c r="B861" s="81" t="s">
        <v>45</v>
      </c>
      <c r="C861" s="129" t="str">
        <f t="shared" si="27"/>
        <v>16.12.2022_HAAun</v>
      </c>
      <c r="D861" s="143">
        <f t="shared" si="28"/>
        <v>0</v>
      </c>
      <c r="E861" s="144">
        <v>2.1743377578578405E-2</v>
      </c>
      <c r="F861" s="145">
        <v>2.5161107891122584E-2</v>
      </c>
      <c r="G861" s="146">
        <v>0.11012797881729922</v>
      </c>
      <c r="H861" s="146">
        <v>2.8745212885785115E-3</v>
      </c>
      <c r="I861" s="147">
        <v>0.45600000000000002</v>
      </c>
      <c r="J861" s="148">
        <v>0.1893851422781524</v>
      </c>
      <c r="K861" s="149">
        <v>30</v>
      </c>
      <c r="L861" s="149">
        <v>220</v>
      </c>
      <c r="M861" s="151">
        <v>14.49</v>
      </c>
      <c r="N861" s="135"/>
    </row>
    <row r="862" spans="1:14" x14ac:dyDescent="0.25">
      <c r="A862" s="142">
        <v>44911</v>
      </c>
      <c r="B862" s="81" t="s">
        <v>47</v>
      </c>
      <c r="C862" s="129" t="str">
        <f t="shared" si="27"/>
        <v>16.12.2022_KIRob</v>
      </c>
      <c r="D862" s="143">
        <f t="shared" si="28"/>
        <v>0</v>
      </c>
      <c r="E862" s="144">
        <v>5.9300120668850202E-3</v>
      </c>
      <c r="F862" s="145">
        <v>1.5881044271916254E-2</v>
      </c>
      <c r="G862" s="146">
        <v>0.84591056192997927</v>
      </c>
      <c r="H862" s="146">
        <v>4.4555079972966885E-2</v>
      </c>
      <c r="I862" s="147">
        <v>3.4129999999999998</v>
      </c>
      <c r="J862" s="148">
        <v>1.4413001963307792</v>
      </c>
      <c r="K862" s="149">
        <v>72</v>
      </c>
      <c r="L862" s="149">
        <v>120</v>
      </c>
      <c r="M862" s="151">
        <v>19.34</v>
      </c>
      <c r="N862" s="135"/>
    </row>
    <row r="863" spans="1:14" x14ac:dyDescent="0.25">
      <c r="A863" s="142">
        <v>44911</v>
      </c>
      <c r="B863" s="81" t="s">
        <v>49</v>
      </c>
      <c r="C863" s="129" t="str">
        <f t="shared" si="27"/>
        <v>16.12.2022_KIRun</v>
      </c>
      <c r="D863" s="143">
        <f t="shared" si="28"/>
        <v>0</v>
      </c>
      <c r="E863" s="144">
        <v>1.9766706889616736E-2</v>
      </c>
      <c r="F863" s="145">
        <v>1.5911696200184275E-2</v>
      </c>
      <c r="G863" s="146">
        <v>0.34155634010002944</v>
      </c>
      <c r="H863" s="146">
        <v>2.1558909664338814E-2</v>
      </c>
      <c r="I863" s="147">
        <v>2.83</v>
      </c>
      <c r="J863" s="148">
        <v>0.91099079257157989</v>
      </c>
      <c r="K863" s="149">
        <v>54</v>
      </c>
      <c r="L863" s="149">
        <v>105</v>
      </c>
      <c r="M863" s="151">
        <v>15.93</v>
      </c>
      <c r="N863" s="135"/>
    </row>
    <row r="864" spans="1:14" x14ac:dyDescent="0.25">
      <c r="A864" s="142">
        <v>44911</v>
      </c>
      <c r="B864" s="81" t="s">
        <v>50</v>
      </c>
      <c r="C864" s="129" t="str">
        <f t="shared" si="27"/>
        <v>16.12.2022_LIEohBo</v>
      </c>
      <c r="D864" s="143">
        <f t="shared" si="28"/>
        <v>0</v>
      </c>
      <c r="E864" s="144">
        <v>3.1626731023386777E-2</v>
      </c>
      <c r="F864" s="145">
        <v>3.6061125048994849E-2</v>
      </c>
      <c r="G864" s="146">
        <v>3.3517210944395408E-2</v>
      </c>
      <c r="H864" s="146">
        <v>7.1863032214462734E-3</v>
      </c>
      <c r="I864" s="147">
        <v>2.8559999999999999</v>
      </c>
      <c r="J864" s="148">
        <v>0.67329836914198293</v>
      </c>
      <c r="K864" s="149">
        <v>21.791</v>
      </c>
      <c r="L864" s="149">
        <v>99</v>
      </c>
      <c r="M864" s="151">
        <v>18.36</v>
      </c>
      <c r="N864" s="135"/>
    </row>
    <row r="865" spans="1:14" x14ac:dyDescent="0.25">
      <c r="A865" s="142">
        <v>44911</v>
      </c>
      <c r="B865" s="81" t="s">
        <v>53</v>
      </c>
      <c r="C865" s="129" t="str">
        <f t="shared" si="27"/>
        <v>16.12.2022_NATohBo</v>
      </c>
      <c r="D865" s="143">
        <f t="shared" si="28"/>
        <v>0</v>
      </c>
      <c r="E865" s="144">
        <v>3.1626731023386777E-2</v>
      </c>
      <c r="F865" s="145">
        <v>2.864634179286148E-2</v>
      </c>
      <c r="G865" s="146">
        <v>0.50754633715798769</v>
      </c>
      <c r="H865" s="146">
        <v>1.293534579860329E-2</v>
      </c>
      <c r="I865" s="147">
        <v>0.75900000000000001</v>
      </c>
      <c r="J865" s="148">
        <v>0.56947815136819058</v>
      </c>
      <c r="K865" s="149">
        <v>101</v>
      </c>
      <c r="L865" s="149">
        <v>378</v>
      </c>
      <c r="M865" s="151">
        <v>12.52</v>
      </c>
      <c r="N865" s="135"/>
    </row>
    <row r="866" spans="1:14" x14ac:dyDescent="0.25">
      <c r="A866" s="142">
        <v>44911</v>
      </c>
      <c r="B866" s="81" t="s">
        <v>55</v>
      </c>
      <c r="C866" s="129" t="str">
        <f t="shared" si="27"/>
        <v>16.12.2022_QUAohBo</v>
      </c>
      <c r="D866" s="143">
        <f t="shared" si="28"/>
        <v>0</v>
      </c>
      <c r="E866" s="144">
        <v>1.9766706889616736E-3</v>
      </c>
      <c r="F866" s="145">
        <v>1.4569061674543554E-2</v>
      </c>
      <c r="G866" s="146">
        <v>8.2994998528979111E-2</v>
      </c>
      <c r="H866" s="146">
        <v>7.1863032214462734E-3</v>
      </c>
      <c r="I866" s="147">
        <v>0.82899999999999996</v>
      </c>
      <c r="J866" s="148">
        <v>0.25387888642353629</v>
      </c>
      <c r="K866" s="149">
        <v>34</v>
      </c>
      <c r="L866" s="149">
        <v>130</v>
      </c>
      <c r="M866" s="151">
        <v>17.12</v>
      </c>
      <c r="N866" s="135"/>
    </row>
    <row r="867" spans="1:14" x14ac:dyDescent="0.25">
      <c r="A867" s="142">
        <v>44911</v>
      </c>
      <c r="B867" s="81" t="s">
        <v>57</v>
      </c>
      <c r="C867" s="129" t="str">
        <f t="shared" si="27"/>
        <v>16.12.2022_SCHohVo</v>
      </c>
      <c r="D867" s="143">
        <f t="shared" si="28"/>
        <v>8</v>
      </c>
      <c r="E867" s="144"/>
      <c r="F867" s="145"/>
      <c r="G867" s="146"/>
      <c r="H867" s="146"/>
      <c r="I867" s="147"/>
      <c r="J867" s="148"/>
      <c r="K867" s="149"/>
      <c r="L867" s="149"/>
      <c r="M867" s="151"/>
      <c r="N867" s="135" t="s">
        <v>341</v>
      </c>
    </row>
    <row r="868" spans="1:14" x14ac:dyDescent="0.25">
      <c r="A868" s="142">
        <v>44911</v>
      </c>
      <c r="B868" s="81" t="s">
        <v>60</v>
      </c>
      <c r="C868" s="129" t="str">
        <f t="shared" si="27"/>
        <v>16.12.2022_VORohBo</v>
      </c>
      <c r="D868" s="143">
        <f t="shared" si="28"/>
        <v>0</v>
      </c>
      <c r="E868" s="144">
        <v>1.9766706889616736E-2</v>
      </c>
      <c r="F868" s="145">
        <v>1.5396761211260112E-2</v>
      </c>
      <c r="G868" s="146">
        <v>0.56340835539864675</v>
      </c>
      <c r="H868" s="146">
        <v>1.0060824510024781E-2</v>
      </c>
      <c r="I868" s="147">
        <v>0.627</v>
      </c>
      <c r="J868" s="148">
        <v>0.58216446190557225</v>
      </c>
      <c r="K868" s="149">
        <v>31</v>
      </c>
      <c r="L868" s="149">
        <v>153</v>
      </c>
      <c r="M868" s="151">
        <v>16.149999999999999</v>
      </c>
      <c r="N868" s="135"/>
    </row>
    <row r="869" spans="1:14" x14ac:dyDescent="0.25">
      <c r="A869" s="142">
        <v>44911</v>
      </c>
      <c r="B869" s="81" t="s">
        <v>62</v>
      </c>
      <c r="C869" s="129" t="str">
        <f t="shared" si="27"/>
        <v>16.12.2022_VORuhSc</v>
      </c>
      <c r="D869" s="143">
        <f t="shared" si="28"/>
        <v>0</v>
      </c>
      <c r="E869" s="144">
        <v>3.9533413779233471E-3</v>
      </c>
      <c r="F869" s="145">
        <v>1.3043211818437659E-2</v>
      </c>
      <c r="G869" s="146">
        <v>0.35911297440423662</v>
      </c>
      <c r="H869" s="146">
        <v>1.4372606442892557E-3</v>
      </c>
      <c r="I869" s="147">
        <v>0.109</v>
      </c>
      <c r="J869" s="148">
        <v>0.30390503749829956</v>
      </c>
      <c r="K869" s="149">
        <v>31.244</v>
      </c>
      <c r="L869" s="149">
        <v>149</v>
      </c>
      <c r="M869" s="151">
        <v>16.190000000000001</v>
      </c>
      <c r="N869" s="135"/>
    </row>
    <row r="870" spans="1:14" x14ac:dyDescent="0.25">
      <c r="A870" s="142">
        <v>44911</v>
      </c>
      <c r="B870" s="81" t="s">
        <v>64</v>
      </c>
      <c r="C870" s="129" t="str">
        <f t="shared" si="27"/>
        <v>16.12.2022_WITob</v>
      </c>
      <c r="D870" s="143">
        <f t="shared" si="28"/>
        <v>0</v>
      </c>
      <c r="E870" s="144">
        <v>3.1626731023386777E-2</v>
      </c>
      <c r="F870" s="145">
        <v>1.9139474791646096E-2</v>
      </c>
      <c r="G870" s="146">
        <v>0.13247278611356283</v>
      </c>
      <c r="H870" s="146">
        <v>1.0060824510024781E-2</v>
      </c>
      <c r="I870" s="147">
        <v>0.35699999999999998</v>
      </c>
      <c r="J870" s="148">
        <v>0.18656240171139743</v>
      </c>
      <c r="K870" s="149">
        <v>59</v>
      </c>
      <c r="L870" s="149">
        <v>170</v>
      </c>
      <c r="M870" s="151">
        <v>14.95</v>
      </c>
      <c r="N870" s="135"/>
    </row>
    <row r="871" spans="1:14" x14ac:dyDescent="0.25">
      <c r="A871" s="142">
        <v>44925</v>
      </c>
      <c r="B871" s="81" t="s">
        <v>22</v>
      </c>
      <c r="C871" s="129" t="str">
        <f t="shared" si="27"/>
        <v>30.12.2022_BOYkl</v>
      </c>
      <c r="D871" s="143">
        <f t="shared" si="28"/>
        <v>0</v>
      </c>
      <c r="E871" s="144">
        <v>5.5535988440350396E-2</v>
      </c>
      <c r="F871" s="145">
        <v>0.1212065213533226</v>
      </c>
      <c r="G871" s="146">
        <v>0.10794416808968745</v>
      </c>
      <c r="H871" s="146">
        <v>9.8892825509300258E-2</v>
      </c>
      <c r="I871" s="147">
        <v>27</v>
      </c>
      <c r="J871" s="148">
        <v>6.2124154878062683</v>
      </c>
      <c r="K871" s="149">
        <v>26.257000000000001</v>
      </c>
      <c r="L871" s="149">
        <v>38</v>
      </c>
      <c r="M871" s="150"/>
      <c r="N871" s="135"/>
    </row>
    <row r="872" spans="1:14" x14ac:dyDescent="0.25">
      <c r="A872" s="142">
        <v>44925</v>
      </c>
      <c r="B872" s="81" t="s">
        <v>25</v>
      </c>
      <c r="C872" s="129" t="str">
        <f t="shared" si="27"/>
        <v>30.12.2022_BOYohB224</v>
      </c>
      <c r="D872" s="143">
        <f t="shared" si="28"/>
        <v>0</v>
      </c>
      <c r="E872" s="144">
        <v>2.5784566061591255E-2</v>
      </c>
      <c r="F872" s="145">
        <v>4.9200445718724214E-2</v>
      </c>
      <c r="G872" s="146">
        <v>0.1031108471304477</v>
      </c>
      <c r="H872" s="146">
        <v>7.3463241806908774E-2</v>
      </c>
      <c r="I872" s="147">
        <v>12.701000000000001</v>
      </c>
      <c r="J872" s="148">
        <v>2.9712052956564348</v>
      </c>
      <c r="K872" s="149">
        <v>28.587</v>
      </c>
      <c r="L872" s="149">
        <v>105</v>
      </c>
      <c r="M872" s="150"/>
      <c r="N872" s="135"/>
    </row>
    <row r="873" spans="1:14" x14ac:dyDescent="0.25">
      <c r="A873" s="142">
        <v>44925</v>
      </c>
      <c r="B873" s="81" t="s">
        <v>28</v>
      </c>
      <c r="C873" s="129" t="str">
        <f t="shared" si="27"/>
        <v>30.12.2022_BOYohBr</v>
      </c>
      <c r="D873" s="143">
        <f t="shared" si="28"/>
        <v>0</v>
      </c>
      <c r="E873" s="144">
        <v>4.1651991330262796E-2</v>
      </c>
      <c r="F873" s="145">
        <v>0.10196060204030782</v>
      </c>
      <c r="G873" s="146">
        <v>6.9277600415769539E-2</v>
      </c>
      <c r="H873" s="146">
        <v>6.4986713906111604E-2</v>
      </c>
      <c r="I873" s="147">
        <v>26.379000000000001</v>
      </c>
      <c r="J873" s="148">
        <v>6.0318032989955572</v>
      </c>
      <c r="K873" s="149">
        <v>25.457999999999998</v>
      </c>
      <c r="L873" s="149">
        <v>61</v>
      </c>
      <c r="M873" s="150"/>
      <c r="N873" s="135"/>
    </row>
    <row r="874" spans="1:14" x14ac:dyDescent="0.25">
      <c r="A874" s="142">
        <v>44925</v>
      </c>
      <c r="B874" s="81" t="s">
        <v>30</v>
      </c>
      <c r="C874" s="129" t="str">
        <f t="shared" si="27"/>
        <v>30.12.2022_BOYohKi</v>
      </c>
      <c r="D874" s="143">
        <f t="shared" si="28"/>
        <v>0</v>
      </c>
      <c r="E874" s="144">
        <v>2.5784566061591255E-2</v>
      </c>
      <c r="F874" s="145">
        <v>6.5381906737232778E-2</v>
      </c>
      <c r="G874" s="146">
        <v>8.8610884252728506E-2</v>
      </c>
      <c r="H874" s="146">
        <v>7.6288751107174479E-2</v>
      </c>
      <c r="I874" s="147">
        <v>15.927</v>
      </c>
      <c r="J874" s="148">
        <v>3.6894630657879803</v>
      </c>
      <c r="K874" s="149">
        <v>27.564</v>
      </c>
      <c r="L874" s="149">
        <v>91</v>
      </c>
      <c r="M874" s="150"/>
      <c r="N874" s="135"/>
    </row>
    <row r="875" spans="1:14" x14ac:dyDescent="0.25">
      <c r="A875" s="142">
        <v>44925</v>
      </c>
      <c r="B875" s="81" t="s">
        <v>32</v>
      </c>
      <c r="C875" s="129" t="str">
        <f t="shared" si="27"/>
        <v>30.12.2022_BOYohSp</v>
      </c>
      <c r="D875" s="143">
        <f t="shared" si="28"/>
        <v>0</v>
      </c>
      <c r="E875" s="144">
        <v>3.3718278695927029E-2</v>
      </c>
      <c r="F875" s="145">
        <v>6.4626598665403615E-2</v>
      </c>
      <c r="G875" s="146">
        <v>8.8610884252728506E-2</v>
      </c>
      <c r="H875" s="146">
        <v>7.6288751107174479E-2</v>
      </c>
      <c r="I875" s="147">
        <v>21.446999999999999</v>
      </c>
      <c r="J875" s="148">
        <v>4.9362654657879803</v>
      </c>
      <c r="K875" s="149">
        <v>30.437000000000001</v>
      </c>
      <c r="L875" s="149">
        <v>87</v>
      </c>
      <c r="M875" s="150"/>
      <c r="N875" s="135"/>
    </row>
    <row r="876" spans="1:14" x14ac:dyDescent="0.25">
      <c r="A876" s="142">
        <v>44925</v>
      </c>
      <c r="B876" s="81" t="s">
        <v>34</v>
      </c>
      <c r="C876" s="129" t="str">
        <f t="shared" si="27"/>
        <v>30.12.2022_BOYuhHa</v>
      </c>
      <c r="D876" s="143">
        <f t="shared" si="28"/>
        <v>0</v>
      </c>
      <c r="E876" s="144">
        <v>9.9171407929197139E-3</v>
      </c>
      <c r="F876" s="145">
        <v>4.9456578174629701E-2</v>
      </c>
      <c r="G876" s="146">
        <v>0.10149974014403446</v>
      </c>
      <c r="H876" s="146">
        <v>8.0527015057573079E-2</v>
      </c>
      <c r="I876" s="147">
        <v>13.651999999999999</v>
      </c>
      <c r="J876" s="148">
        <v>3.1869072229587188</v>
      </c>
      <c r="K876" s="149">
        <v>33.988999999999997</v>
      </c>
      <c r="L876" s="149">
        <v>111</v>
      </c>
      <c r="M876" s="150"/>
      <c r="N876" s="135"/>
    </row>
    <row r="877" spans="1:14" x14ac:dyDescent="0.25">
      <c r="A877" s="142">
        <v>44925</v>
      </c>
      <c r="B877" s="81" t="s">
        <v>36</v>
      </c>
      <c r="C877" s="129" t="str">
        <f t="shared" si="27"/>
        <v>30.12.2022_BOYuhSp</v>
      </c>
      <c r="D877" s="143">
        <f t="shared" si="28"/>
        <v>0</v>
      </c>
      <c r="E877" s="144">
        <v>3.3718278695927029E-2</v>
      </c>
      <c r="F877" s="145">
        <v>6.9185398513601878E-2</v>
      </c>
      <c r="G877" s="146">
        <v>7.249981438859604E-2</v>
      </c>
      <c r="H877" s="146">
        <v>7.3463241806908774E-2</v>
      </c>
      <c r="I877" s="147">
        <v>19.375</v>
      </c>
      <c r="J877" s="148">
        <v>4.4548925148427143</v>
      </c>
      <c r="K877" s="149">
        <v>27</v>
      </c>
      <c r="L877" s="149">
        <v>73</v>
      </c>
      <c r="M877" s="150"/>
      <c r="N877" s="135"/>
    </row>
    <row r="878" spans="1:14" x14ac:dyDescent="0.25">
      <c r="A878" s="142">
        <v>44925</v>
      </c>
      <c r="B878" s="81" t="s">
        <v>38</v>
      </c>
      <c r="C878" s="129" t="str">
        <f t="shared" si="27"/>
        <v>30.12.2022_BRAob</v>
      </c>
      <c r="D878" s="143">
        <f t="shared" si="28"/>
        <v>0</v>
      </c>
      <c r="E878" s="144">
        <v>2.1817709744423371E-2</v>
      </c>
      <c r="F878" s="145">
        <v>4.7548176240238625E-2</v>
      </c>
      <c r="G878" s="146">
        <v>0.10472195411686096</v>
      </c>
      <c r="H878" s="146">
        <v>4.803365810451727E-2</v>
      </c>
      <c r="I878" s="147">
        <v>5.5270000000000001</v>
      </c>
      <c r="J878" s="148">
        <v>1.3443228873621216</v>
      </c>
      <c r="K878" s="149">
        <v>45</v>
      </c>
      <c r="L878" s="149">
        <v>153</v>
      </c>
      <c r="M878" s="150"/>
      <c r="N878" s="135"/>
    </row>
    <row r="879" spans="1:14" x14ac:dyDescent="0.25">
      <c r="A879" s="142">
        <v>44925</v>
      </c>
      <c r="B879" s="81" t="s">
        <v>41</v>
      </c>
      <c r="C879" s="129" t="str">
        <f t="shared" si="27"/>
        <v>30.12.2022_BRAohBo</v>
      </c>
      <c r="D879" s="143">
        <f t="shared" si="28"/>
        <v>0</v>
      </c>
      <c r="E879" s="144">
        <v>1.5867425268671544E-2</v>
      </c>
      <c r="F879" s="145">
        <v>5.2230941467837709E-2</v>
      </c>
      <c r="G879" s="146">
        <v>0.14983294973643183</v>
      </c>
      <c r="H879" s="146">
        <v>7.6288751107174479E-2</v>
      </c>
      <c r="I879" s="147">
        <v>19.02</v>
      </c>
      <c r="J879" s="148">
        <v>4.4356172974154209</v>
      </c>
      <c r="K879" s="149">
        <v>31</v>
      </c>
      <c r="L879" s="149">
        <v>125</v>
      </c>
      <c r="M879" s="150"/>
      <c r="N879" s="135"/>
    </row>
    <row r="880" spans="1:14" x14ac:dyDescent="0.25">
      <c r="A880" s="142">
        <v>44925</v>
      </c>
      <c r="B880" s="81" t="s">
        <v>43</v>
      </c>
      <c r="C880" s="129" t="str">
        <f t="shared" si="27"/>
        <v>30.12.2022_HAAob</v>
      </c>
      <c r="D880" s="143">
        <f t="shared" si="28"/>
        <v>0</v>
      </c>
      <c r="E880" s="144">
        <v>1.3883997110087599E-2</v>
      </c>
      <c r="F880" s="145">
        <v>3.7488067172454405E-2</v>
      </c>
      <c r="G880" s="146">
        <v>6.6055386442943079E-2</v>
      </c>
      <c r="H880" s="146">
        <v>1.836581045172719E-2</v>
      </c>
      <c r="I880" s="147">
        <v>0.83399999999999996</v>
      </c>
      <c r="J880" s="148">
        <v>0.24525839801110919</v>
      </c>
      <c r="K880" s="149">
        <v>31.065000000000001</v>
      </c>
      <c r="L880" s="149">
        <v>138</v>
      </c>
      <c r="M880" s="150"/>
      <c r="N880" s="135"/>
    </row>
    <row r="881" spans="1:14" x14ac:dyDescent="0.25">
      <c r="A881" s="142">
        <v>44925</v>
      </c>
      <c r="B881" s="81" t="s">
        <v>45</v>
      </c>
      <c r="C881" s="129" t="str">
        <f t="shared" si="27"/>
        <v>30.12.2022_HAAun</v>
      </c>
      <c r="D881" s="143">
        <f t="shared" si="28"/>
        <v>0</v>
      </c>
      <c r="E881" s="144">
        <v>1.1900568951503657E-2</v>
      </c>
      <c r="F881" s="145">
        <v>4.8697917711327268E-2</v>
      </c>
      <c r="G881" s="146">
        <v>5.7999851510876839E-2</v>
      </c>
      <c r="H881" s="146">
        <v>1.1302037201062889E-2</v>
      </c>
      <c r="I881" s="147">
        <v>2.2610000000000001</v>
      </c>
      <c r="J881" s="148">
        <v>0.55916927992554444</v>
      </c>
      <c r="K881" s="149">
        <v>32.677</v>
      </c>
      <c r="L881" s="149">
        <v>191</v>
      </c>
      <c r="M881" s="150"/>
      <c r="N881" s="135"/>
    </row>
    <row r="882" spans="1:14" x14ac:dyDescent="0.25">
      <c r="A882" s="142">
        <v>44925</v>
      </c>
      <c r="B882" s="81" t="s">
        <v>47</v>
      </c>
      <c r="C882" s="129" t="str">
        <f t="shared" si="27"/>
        <v>30.12.2022_KIRob</v>
      </c>
      <c r="D882" s="143">
        <f t="shared" si="28"/>
        <v>0</v>
      </c>
      <c r="E882" s="144">
        <v>1.3883997110087599E-2</v>
      </c>
      <c r="F882" s="145">
        <v>2.0094718376958188E-2</v>
      </c>
      <c r="G882" s="146">
        <v>0.63316504566040543</v>
      </c>
      <c r="H882" s="146">
        <v>0.12008414526129318</v>
      </c>
      <c r="I882" s="147">
        <v>3.9369999999999998</v>
      </c>
      <c r="J882" s="148">
        <v>1.4174561343296488</v>
      </c>
      <c r="K882" s="149">
        <v>62</v>
      </c>
      <c r="L882" s="149">
        <v>121</v>
      </c>
      <c r="M882" s="150"/>
      <c r="N882" s="135"/>
    </row>
    <row r="883" spans="1:14" x14ac:dyDescent="0.25">
      <c r="A883" s="142">
        <v>44925</v>
      </c>
      <c r="B883" s="81" t="s">
        <v>49</v>
      </c>
      <c r="C883" s="129" t="str">
        <f t="shared" si="27"/>
        <v>30.12.2022_KIRun</v>
      </c>
      <c r="D883" s="143">
        <f t="shared" si="28"/>
        <v>0</v>
      </c>
      <c r="E883" s="144">
        <v>0</v>
      </c>
      <c r="F883" s="145">
        <v>2.699886592087505E-2</v>
      </c>
      <c r="G883" s="146">
        <v>0.12727745192664641</v>
      </c>
      <c r="H883" s="146">
        <v>4.6620903454384417E-2</v>
      </c>
      <c r="I883" s="147">
        <v>3.28</v>
      </c>
      <c r="J883" s="148">
        <v>0.85387700270320888</v>
      </c>
      <c r="K883" s="149">
        <v>47</v>
      </c>
      <c r="L883" s="149">
        <v>102</v>
      </c>
      <c r="M883" s="150"/>
      <c r="N883" s="135"/>
    </row>
    <row r="884" spans="1:14" x14ac:dyDescent="0.25">
      <c r="A884" s="142">
        <v>44925</v>
      </c>
      <c r="B884" s="81" t="s">
        <v>50</v>
      </c>
      <c r="C884" s="129" t="str">
        <f t="shared" si="27"/>
        <v>30.12.2022_LIEohBo</v>
      </c>
      <c r="D884" s="143">
        <f t="shared" si="28"/>
        <v>0</v>
      </c>
      <c r="E884" s="144">
        <v>5.9502844757518287E-3</v>
      </c>
      <c r="F884" s="145">
        <v>5.5363968874336554E-2</v>
      </c>
      <c r="G884" s="146">
        <v>6.4444279456529873E-3</v>
      </c>
      <c r="H884" s="146">
        <v>7.0637732506643016E-3</v>
      </c>
      <c r="I884" s="147">
        <v>5.8150000000000004</v>
      </c>
      <c r="J884" s="148">
        <v>1.3205886496216848</v>
      </c>
      <c r="K884" s="149">
        <v>15.351000000000001</v>
      </c>
      <c r="L884" s="149">
        <v>61</v>
      </c>
      <c r="M884" s="150"/>
      <c r="N884" s="135"/>
    </row>
    <row r="885" spans="1:14" x14ac:dyDescent="0.25">
      <c r="A885" s="142">
        <v>44925</v>
      </c>
      <c r="B885" s="81" t="s">
        <v>53</v>
      </c>
      <c r="C885" s="129" t="str">
        <f t="shared" si="27"/>
        <v>30.12.2022_NATohBo</v>
      </c>
      <c r="D885" s="143">
        <f t="shared" si="28"/>
        <v>0</v>
      </c>
      <c r="E885" s="144">
        <v>3.7685135013094923E-2</v>
      </c>
      <c r="F885" s="145">
        <v>3.9338869242549888E-2</v>
      </c>
      <c r="G885" s="146">
        <v>0.1063330611032742</v>
      </c>
      <c r="H885" s="146">
        <v>5.9335695305580159E-2</v>
      </c>
      <c r="I885" s="147">
        <v>4.8780000000000001</v>
      </c>
      <c r="J885" s="148">
        <v>1.2024251710518652</v>
      </c>
      <c r="K885" s="149">
        <v>61</v>
      </c>
      <c r="L885" s="149">
        <v>224</v>
      </c>
      <c r="M885" s="150"/>
      <c r="N885" s="135"/>
    </row>
    <row r="886" spans="1:14" x14ac:dyDescent="0.25">
      <c r="A886" s="142">
        <v>44925</v>
      </c>
      <c r="B886" s="81" t="s">
        <v>55</v>
      </c>
      <c r="C886" s="129" t="str">
        <f t="shared" si="27"/>
        <v>30.12.2022_QUAohBo</v>
      </c>
      <c r="D886" s="143">
        <f t="shared" si="28"/>
        <v>0</v>
      </c>
      <c r="E886" s="144">
        <v>1.7850853427255484E-2</v>
      </c>
      <c r="F886" s="145">
        <v>2.6375700557180557E-2</v>
      </c>
      <c r="G886" s="146">
        <v>4.5110995619570868E-2</v>
      </c>
      <c r="H886" s="146">
        <v>2.4016829052258638E-2</v>
      </c>
      <c r="I886" s="147">
        <v>10.157</v>
      </c>
      <c r="J886" s="148">
        <v>2.3365017505936008</v>
      </c>
      <c r="K886" s="149">
        <v>28</v>
      </c>
      <c r="L886" s="149">
        <v>114</v>
      </c>
      <c r="M886" s="150"/>
      <c r="N886" s="135"/>
    </row>
    <row r="887" spans="1:14" x14ac:dyDescent="0.25">
      <c r="A887" s="142">
        <v>44925</v>
      </c>
      <c r="B887" s="81" t="s">
        <v>57</v>
      </c>
      <c r="C887" s="129" t="str">
        <f t="shared" si="27"/>
        <v>30.12.2022_SCHohVo</v>
      </c>
      <c r="D887" s="143">
        <f t="shared" si="28"/>
        <v>0</v>
      </c>
      <c r="E887" s="144">
        <v>1.7850853427255484E-2</v>
      </c>
      <c r="F887" s="145">
        <v>3.4867722421252301E-2</v>
      </c>
      <c r="G887" s="146">
        <v>5.6388744524463595E-2</v>
      </c>
      <c r="H887" s="146">
        <v>0</v>
      </c>
      <c r="I887" s="147">
        <v>3.2839999999999998</v>
      </c>
      <c r="J887" s="148">
        <v>0.7855423762358007</v>
      </c>
      <c r="K887" s="149">
        <v>25.823</v>
      </c>
      <c r="L887" s="149">
        <v>121</v>
      </c>
      <c r="M887" s="150"/>
      <c r="N887" s="135"/>
    </row>
    <row r="888" spans="1:14" x14ac:dyDescent="0.25">
      <c r="A888" s="142">
        <v>44925</v>
      </c>
      <c r="B888" s="81" t="s">
        <v>60</v>
      </c>
      <c r="C888" s="129" t="str">
        <f t="shared" si="27"/>
        <v>30.12.2022_VORohBo</v>
      </c>
      <c r="D888" s="143">
        <f t="shared" si="28"/>
        <v>0</v>
      </c>
      <c r="E888" s="144">
        <v>1.3883997110087599E-2</v>
      </c>
      <c r="F888" s="145">
        <v>2.3098273152435546E-2</v>
      </c>
      <c r="G888" s="146">
        <v>0.33027693221471532</v>
      </c>
      <c r="H888" s="146">
        <v>1.836581045172719E-2</v>
      </c>
      <c r="I888" s="147">
        <v>1.536</v>
      </c>
      <c r="J888" s="148">
        <v>0.60898452608743259</v>
      </c>
      <c r="K888" s="149">
        <v>32.121000000000002</v>
      </c>
      <c r="L888" s="149">
        <v>142</v>
      </c>
      <c r="M888" s="150"/>
      <c r="N888" s="135"/>
    </row>
    <row r="889" spans="1:14" x14ac:dyDescent="0.25">
      <c r="A889" s="142">
        <v>44925</v>
      </c>
      <c r="B889" s="81" t="s">
        <v>62</v>
      </c>
      <c r="C889" s="129" t="str">
        <f t="shared" si="27"/>
        <v>30.12.2022_VORuhSc</v>
      </c>
      <c r="D889" s="143">
        <f t="shared" si="28"/>
        <v>0</v>
      </c>
      <c r="E889" s="144">
        <v>7.9337126343357722E-3</v>
      </c>
      <c r="F889" s="145">
        <v>2.1283832171580204E-2</v>
      </c>
      <c r="G889" s="146">
        <v>0.24811047590763979</v>
      </c>
      <c r="H889" s="146">
        <v>1.2714791851195745E-2</v>
      </c>
      <c r="I889" s="147">
        <v>1.5029999999999999</v>
      </c>
      <c r="J889" s="148">
        <v>0.53600893181661968</v>
      </c>
      <c r="K889" s="149">
        <v>29.212</v>
      </c>
      <c r="L889" s="149">
        <v>144</v>
      </c>
      <c r="M889" s="150"/>
      <c r="N889" s="135"/>
    </row>
    <row r="890" spans="1:14" x14ac:dyDescent="0.25">
      <c r="A890" s="142">
        <v>44925</v>
      </c>
      <c r="B890" s="81" t="s">
        <v>64</v>
      </c>
      <c r="C890" s="129" t="str">
        <f t="shared" si="27"/>
        <v>30.12.2022_WITob</v>
      </c>
      <c r="D890" s="143">
        <f t="shared" si="28"/>
        <v>0</v>
      </c>
      <c r="E890" s="144">
        <v>1.983428158583943E-3</v>
      </c>
      <c r="F890" s="145">
        <v>2.5574572987354383E-2</v>
      </c>
      <c r="G890" s="146">
        <v>6.6055386442943079E-2</v>
      </c>
      <c r="H890" s="146">
        <v>2.8255093002657198E-3</v>
      </c>
      <c r="I890" s="147">
        <v>0.41699999999999998</v>
      </c>
      <c r="J890" s="148">
        <v>0.14633936332554676</v>
      </c>
      <c r="K890" s="149">
        <v>56</v>
      </c>
      <c r="L890" s="149">
        <v>191</v>
      </c>
      <c r="M890" s="150"/>
      <c r="N890" s="135"/>
    </row>
    <row r="891" spans="1:14" x14ac:dyDescent="0.25">
      <c r="A891" s="142">
        <v>44939</v>
      </c>
      <c r="B891" s="81" t="s">
        <v>22</v>
      </c>
      <c r="C891" s="129" t="str">
        <f t="shared" si="27"/>
        <v>13.01.2023_BOYkl</v>
      </c>
      <c r="D891" s="143">
        <f t="shared" si="28"/>
        <v>0</v>
      </c>
      <c r="E891" s="144">
        <v>7.0038755398073291E-2</v>
      </c>
      <c r="F891" s="145">
        <v>8.6439332587750425E-2</v>
      </c>
      <c r="G891" s="146">
        <v>5.6464465766791358E-2</v>
      </c>
      <c r="H891" s="146">
        <v>4.8070914127423842E-2</v>
      </c>
      <c r="I891" s="147">
        <v>47</v>
      </c>
      <c r="J891" s="148">
        <v>10.674369282829351</v>
      </c>
      <c r="K891" s="149">
        <v>27.297000000000001</v>
      </c>
      <c r="L891" s="149">
        <v>49</v>
      </c>
      <c r="M891" s="150"/>
      <c r="N891" s="135"/>
    </row>
    <row r="892" spans="1:14" x14ac:dyDescent="0.25">
      <c r="A892" s="142">
        <v>44939</v>
      </c>
      <c r="B892" s="81" t="s">
        <v>25</v>
      </c>
      <c r="C892" s="129" t="str">
        <f t="shared" si="27"/>
        <v>13.01.2023_BOYohB224</v>
      </c>
      <c r="D892" s="143">
        <f t="shared" si="28"/>
        <v>0</v>
      </c>
      <c r="E892" s="144">
        <v>6.225667146495404E-2</v>
      </c>
      <c r="F892" s="145">
        <v>8.561591024596972E-2</v>
      </c>
      <c r="G892" s="146">
        <v>0.30741764695253071</v>
      </c>
      <c r="H892" s="146">
        <v>0.16259279778393354</v>
      </c>
      <c r="I892" s="147">
        <v>24.548999999999999</v>
      </c>
      <c r="J892" s="148">
        <v>5.8330907359674882</v>
      </c>
      <c r="K892" s="149">
        <v>32.229999999999997</v>
      </c>
      <c r="L892" s="149">
        <v>104</v>
      </c>
      <c r="M892" s="150"/>
      <c r="N892" s="135"/>
    </row>
    <row r="893" spans="1:14" x14ac:dyDescent="0.25">
      <c r="A893" s="142">
        <v>44939</v>
      </c>
      <c r="B893" s="81" t="s">
        <v>28</v>
      </c>
      <c r="C893" s="129" t="str">
        <f t="shared" si="27"/>
        <v>13.01.2023_BOYohBr</v>
      </c>
      <c r="D893" s="143">
        <f t="shared" si="28"/>
        <v>0</v>
      </c>
      <c r="E893" s="144">
        <v>7.7820839331192548E-2</v>
      </c>
      <c r="F893" s="145">
        <v>9.1423233101825319E-2</v>
      </c>
      <c r="G893" s="146">
        <v>4.0779891942682639E-2</v>
      </c>
      <c r="H893" s="146">
        <v>3.5346260387811634E-2</v>
      </c>
      <c r="I893" s="147">
        <v>34</v>
      </c>
      <c r="J893" s="148">
        <v>7.7220063472696427</v>
      </c>
      <c r="K893" s="149">
        <v>22.359000000000002</v>
      </c>
      <c r="L893" s="149">
        <v>76</v>
      </c>
      <c r="M893" s="150"/>
      <c r="N893" s="135"/>
    </row>
    <row r="894" spans="1:14" x14ac:dyDescent="0.25">
      <c r="A894" s="142">
        <v>44939</v>
      </c>
      <c r="B894" s="81" t="s">
        <v>30</v>
      </c>
      <c r="C894" s="129" t="str">
        <f t="shared" si="27"/>
        <v>13.01.2023_BOYohKi</v>
      </c>
      <c r="D894" s="143">
        <f t="shared" si="28"/>
        <v>0</v>
      </c>
      <c r="E894" s="144">
        <v>7.9766360314472359E-2</v>
      </c>
      <c r="F894" s="145">
        <v>0.1068269944255614</v>
      </c>
      <c r="G894" s="146">
        <v>0.16625648253555234</v>
      </c>
      <c r="H894" s="146">
        <v>0.10462493074792244</v>
      </c>
      <c r="I894" s="147">
        <v>28.213999999999999</v>
      </c>
      <c r="J894" s="148">
        <v>6.5336457362902358</v>
      </c>
      <c r="K894" s="149">
        <v>30.337</v>
      </c>
      <c r="L894" s="149">
        <v>96</v>
      </c>
      <c r="M894" s="150"/>
      <c r="N894" s="135"/>
    </row>
    <row r="895" spans="1:14" x14ac:dyDescent="0.25">
      <c r="A895" s="142">
        <v>44939</v>
      </c>
      <c r="B895" s="81" t="s">
        <v>32</v>
      </c>
      <c r="C895" s="129" t="str">
        <f t="shared" si="27"/>
        <v>13.01.2023_BOYohSp</v>
      </c>
      <c r="D895" s="143">
        <f t="shared" si="28"/>
        <v>0</v>
      </c>
      <c r="E895" s="144">
        <v>5.6420108515114593E-2</v>
      </c>
      <c r="F895" s="145">
        <v>7.2676344642701091E-2</v>
      </c>
      <c r="G895" s="146">
        <v>9.0970528179830507E-2</v>
      </c>
      <c r="H895" s="146">
        <v>5.5140166204986164E-2</v>
      </c>
      <c r="I895" s="147">
        <v>30</v>
      </c>
      <c r="J895" s="148">
        <v>6.8635251290274644</v>
      </c>
      <c r="K895" s="149">
        <v>30.893999999999998</v>
      </c>
      <c r="L895" s="149">
        <v>104</v>
      </c>
      <c r="M895" s="150"/>
      <c r="N895" s="135"/>
    </row>
    <row r="896" spans="1:14" x14ac:dyDescent="0.25">
      <c r="A896" s="142">
        <v>44939</v>
      </c>
      <c r="B896" s="81" t="s">
        <v>34</v>
      </c>
      <c r="C896" s="129" t="str">
        <f t="shared" si="27"/>
        <v>13.01.2023_BOYuhHa</v>
      </c>
      <c r="D896" s="143">
        <f t="shared" si="28"/>
        <v>0</v>
      </c>
      <c r="E896" s="144">
        <v>4.8638024581995336E-2</v>
      </c>
      <c r="F896" s="145">
        <v>7.6601802473844099E-2</v>
      </c>
      <c r="G896" s="146">
        <v>0.35917674057208943</v>
      </c>
      <c r="H896" s="146">
        <v>0.1682481994459834</v>
      </c>
      <c r="I896" s="147">
        <v>22.201000000000001</v>
      </c>
      <c r="J896" s="148">
        <v>5.3446601816081509</v>
      </c>
      <c r="K896" s="149">
        <v>32.630000000000003</v>
      </c>
      <c r="L896" s="149">
        <v>104</v>
      </c>
      <c r="M896" s="150"/>
      <c r="N896" s="135"/>
    </row>
    <row r="897" spans="1:14" x14ac:dyDescent="0.25">
      <c r="A897" s="142">
        <v>44939</v>
      </c>
      <c r="B897" s="81" t="s">
        <v>36</v>
      </c>
      <c r="C897" s="129" t="str">
        <f t="shared" si="27"/>
        <v>13.01.2023_BOYuhSp</v>
      </c>
      <c r="D897" s="143">
        <f t="shared" si="28"/>
        <v>0</v>
      </c>
      <c r="E897" s="144">
        <v>5.2529066548554965E-2</v>
      </c>
      <c r="F897" s="145">
        <v>6.7849320691790116E-2</v>
      </c>
      <c r="G897" s="146">
        <v>8.3128241267776168E-2</v>
      </c>
      <c r="H897" s="146">
        <v>5.3726315789473698E-2</v>
      </c>
      <c r="I897" s="147">
        <v>30</v>
      </c>
      <c r="J897" s="148">
        <v>6.8570052249041202</v>
      </c>
      <c r="K897" s="149">
        <v>31.484999999999999</v>
      </c>
      <c r="L897" s="149">
        <v>105</v>
      </c>
      <c r="M897" s="150"/>
      <c r="N897" s="135"/>
    </row>
    <row r="898" spans="1:14" x14ac:dyDescent="0.25">
      <c r="A898" s="142">
        <v>44939</v>
      </c>
      <c r="B898" s="81" t="s">
        <v>38</v>
      </c>
      <c r="C898" s="129" t="str">
        <f t="shared" si="27"/>
        <v>13.01.2023_BRAob</v>
      </c>
      <c r="D898" s="143">
        <f t="shared" si="28"/>
        <v>0</v>
      </c>
      <c r="E898" s="144">
        <v>2.529177278263758E-2</v>
      </c>
      <c r="F898" s="145">
        <v>3.692312604087989E-2</v>
      </c>
      <c r="G898" s="146">
        <v>4.7053721472326129E-2</v>
      </c>
      <c r="H898" s="146">
        <v>3.2518559556786709E-2</v>
      </c>
      <c r="I898" s="147">
        <v>11.487</v>
      </c>
      <c r="J898" s="148">
        <v>2.6410057096431103</v>
      </c>
      <c r="K898" s="149">
        <v>45</v>
      </c>
      <c r="L898" s="149">
        <v>178</v>
      </c>
      <c r="M898" s="150"/>
      <c r="N898" s="135"/>
    </row>
    <row r="899" spans="1:14" x14ac:dyDescent="0.25">
      <c r="A899" s="142">
        <v>44939</v>
      </c>
      <c r="B899" s="81" t="s">
        <v>41</v>
      </c>
      <c r="C899" s="129" t="str">
        <f t="shared" si="27"/>
        <v>13.01.2023_BRAohBo</v>
      </c>
      <c r="D899" s="143">
        <f t="shared" si="28"/>
        <v>0</v>
      </c>
      <c r="E899" s="144">
        <v>4.8638024581995336E-2</v>
      </c>
      <c r="F899" s="145">
        <v>6.6853782034897266E-2</v>
      </c>
      <c r="G899" s="146">
        <v>0.11136047415117185</v>
      </c>
      <c r="H899" s="146">
        <v>6.9278670360110817E-2</v>
      </c>
      <c r="I899" s="147">
        <v>25.318000000000001</v>
      </c>
      <c r="J899" s="148">
        <v>5.8261388457647785</v>
      </c>
      <c r="K899" s="149">
        <v>28</v>
      </c>
      <c r="L899" s="149">
        <v>127</v>
      </c>
      <c r="M899" s="150"/>
      <c r="N899" s="135"/>
    </row>
    <row r="900" spans="1:14" x14ac:dyDescent="0.25">
      <c r="A900" s="142">
        <v>44939</v>
      </c>
      <c r="B900" s="81" t="s">
        <v>43</v>
      </c>
      <c r="C900" s="129" t="str">
        <f t="shared" si="27"/>
        <v>13.01.2023_HAAob</v>
      </c>
      <c r="D900" s="143">
        <f t="shared" si="28"/>
        <v>0</v>
      </c>
      <c r="E900" s="144">
        <v>1.1673125899678881E-2</v>
      </c>
      <c r="F900" s="145">
        <v>1.8500715817014537E-2</v>
      </c>
      <c r="G900" s="146">
        <v>0.12390813321045878</v>
      </c>
      <c r="H900" s="146">
        <v>3.67601108033241E-2</v>
      </c>
      <c r="I900" s="147">
        <v>3.8290000000000002</v>
      </c>
      <c r="J900" s="148">
        <v>0.97226127209066115</v>
      </c>
      <c r="K900" s="149">
        <v>27</v>
      </c>
      <c r="L900" s="149">
        <v>158</v>
      </c>
      <c r="M900" s="150"/>
      <c r="N900" s="135"/>
    </row>
    <row r="901" spans="1:14" x14ac:dyDescent="0.25">
      <c r="A901" s="142">
        <v>44939</v>
      </c>
      <c r="B901" s="81" t="s">
        <v>45</v>
      </c>
      <c r="C901" s="129" t="str">
        <f t="shared" ref="C901:C964" si="29">CONCATENATE(TEXT(A901,"TT.MM.JJJJ"),"_",B901)</f>
        <v>13.01.2023_HAAun</v>
      </c>
      <c r="D901" s="143">
        <f t="shared" ref="D901:D964" si="30">COUNTBLANK(E901:L901)</f>
        <v>0</v>
      </c>
      <c r="E901" s="144">
        <v>1.1673125899678881E-2</v>
      </c>
      <c r="F901" s="145">
        <v>2.7905400081734071E-2</v>
      </c>
      <c r="G901" s="146">
        <v>7.2149039590900063E-2</v>
      </c>
      <c r="H901" s="146">
        <v>0.11169418282548477</v>
      </c>
      <c r="I901" s="147">
        <v>8.4909999999999997</v>
      </c>
      <c r="J901" s="148">
        <v>2.0078904717131567</v>
      </c>
      <c r="K901" s="149">
        <v>28</v>
      </c>
      <c r="L901" s="149">
        <v>214</v>
      </c>
      <c r="M901" s="150"/>
      <c r="N901" s="135"/>
    </row>
    <row r="902" spans="1:14" x14ac:dyDescent="0.25">
      <c r="A902" s="142">
        <v>44939</v>
      </c>
      <c r="B902" s="81" t="s">
        <v>47</v>
      </c>
      <c r="C902" s="129" t="str">
        <f t="shared" si="29"/>
        <v>13.01.2023_KIRob</v>
      </c>
      <c r="D902" s="143">
        <f t="shared" si="30"/>
        <v>0</v>
      </c>
      <c r="E902" s="144">
        <v>5.8365629498394406E-3</v>
      </c>
      <c r="F902" s="145">
        <v>1.0994036021256027E-2</v>
      </c>
      <c r="G902" s="146">
        <v>0.54425471169657214</v>
      </c>
      <c r="H902" s="146">
        <v>0.12441883656509695</v>
      </c>
      <c r="I902" s="147">
        <v>6.173</v>
      </c>
      <c r="J902" s="148">
        <v>1.8547831658775149</v>
      </c>
      <c r="K902" s="149">
        <v>66</v>
      </c>
      <c r="L902" s="149">
        <v>162</v>
      </c>
      <c r="M902" s="150"/>
      <c r="N902" s="135"/>
    </row>
    <row r="903" spans="1:14" x14ac:dyDescent="0.25">
      <c r="A903" s="142">
        <v>44939</v>
      </c>
      <c r="B903" s="81" t="s">
        <v>49</v>
      </c>
      <c r="C903" s="129" t="str">
        <f t="shared" si="29"/>
        <v>13.01.2023_KIRun</v>
      </c>
      <c r="D903" s="143">
        <f t="shared" si="30"/>
        <v>0</v>
      </c>
      <c r="E903" s="144">
        <v>5.8365629498394406E-3</v>
      </c>
      <c r="F903" s="145">
        <v>1.2377979611270013E-2</v>
      </c>
      <c r="G903" s="146">
        <v>8.6265156032597892E-2</v>
      </c>
      <c r="H903" s="146">
        <v>5.3726315789473698E-2</v>
      </c>
      <c r="I903" s="147">
        <v>5.5049999999999999</v>
      </c>
      <c r="J903" s="148">
        <v>1.326755357849857</v>
      </c>
      <c r="K903" s="149">
        <v>52</v>
      </c>
      <c r="L903" s="149">
        <v>137</v>
      </c>
      <c r="M903" s="150"/>
      <c r="N903" s="135"/>
    </row>
    <row r="904" spans="1:14" x14ac:dyDescent="0.25">
      <c r="A904" s="142">
        <v>44939</v>
      </c>
      <c r="B904" s="81" t="s">
        <v>50</v>
      </c>
      <c r="C904" s="129" t="str">
        <f t="shared" si="29"/>
        <v>13.01.2023_LIEohBo</v>
      </c>
      <c r="D904" s="143">
        <f t="shared" si="30"/>
        <v>0</v>
      </c>
      <c r="E904" s="144">
        <v>2.1400730816077948E-2</v>
      </c>
      <c r="F904" s="145">
        <v>3.5534946129927227E-2</v>
      </c>
      <c r="G904" s="146">
        <v>0</v>
      </c>
      <c r="H904" s="146">
        <v>2.5449307479224376E-2</v>
      </c>
      <c r="I904" s="147">
        <v>11.986000000000001</v>
      </c>
      <c r="J904" s="148">
        <v>2.7101542957705766</v>
      </c>
      <c r="K904" s="149">
        <v>17.792999999999999</v>
      </c>
      <c r="L904" s="149">
        <v>84</v>
      </c>
      <c r="M904" s="150"/>
      <c r="N904" s="135"/>
    </row>
    <row r="905" spans="1:14" x14ac:dyDescent="0.25">
      <c r="A905" s="142">
        <v>44939</v>
      </c>
      <c r="B905" s="81" t="s">
        <v>53</v>
      </c>
      <c r="C905" s="129" t="str">
        <f t="shared" si="29"/>
        <v>13.01.2023_NATohBo</v>
      </c>
      <c r="D905" s="143">
        <f t="shared" si="30"/>
        <v>0</v>
      </c>
      <c r="E905" s="144">
        <v>3.5019377699036645E-2</v>
      </c>
      <c r="F905" s="145">
        <v>4.7300617168547818E-2</v>
      </c>
      <c r="G905" s="146">
        <v>0.15684573824108711</v>
      </c>
      <c r="H905" s="146">
        <v>5.3726315789473698E-2</v>
      </c>
      <c r="I905" s="147">
        <v>7.5650000000000004</v>
      </c>
      <c r="J905" s="148">
        <v>1.8468526741289271</v>
      </c>
      <c r="K905" s="149">
        <v>35</v>
      </c>
      <c r="L905" s="149">
        <v>139</v>
      </c>
      <c r="M905" s="150"/>
      <c r="N905" s="135"/>
    </row>
    <row r="906" spans="1:14" x14ac:dyDescent="0.25">
      <c r="A906" s="142">
        <v>44939</v>
      </c>
      <c r="B906" s="81" t="s">
        <v>55</v>
      </c>
      <c r="C906" s="129" t="str">
        <f t="shared" si="29"/>
        <v>13.01.2023_QUAohBo</v>
      </c>
      <c r="D906" s="143">
        <f t="shared" si="30"/>
        <v>0</v>
      </c>
      <c r="E906" s="144">
        <v>1.9455209832798134E-2</v>
      </c>
      <c r="F906" s="145">
        <v>2.6516213680474358E-2</v>
      </c>
      <c r="G906" s="146">
        <v>8.4696698650187016E-2</v>
      </c>
      <c r="H906" s="146">
        <v>3.3932409972299175E-2</v>
      </c>
      <c r="I906" s="147">
        <v>19.852</v>
      </c>
      <c r="J906" s="148">
        <v>4.5600681017509501</v>
      </c>
      <c r="K906" s="149">
        <v>32.94</v>
      </c>
      <c r="L906" s="149">
        <v>132</v>
      </c>
      <c r="M906" s="150"/>
      <c r="N906" s="135"/>
    </row>
    <row r="907" spans="1:14" x14ac:dyDescent="0.25">
      <c r="A907" s="142">
        <v>44939</v>
      </c>
      <c r="B907" s="81" t="s">
        <v>57</v>
      </c>
      <c r="C907" s="129" t="str">
        <f t="shared" si="29"/>
        <v>13.01.2023_SCHohVo</v>
      </c>
      <c r="D907" s="143">
        <f t="shared" si="30"/>
        <v>0</v>
      </c>
      <c r="E907" s="144">
        <v>1.556416786623851E-2</v>
      </c>
      <c r="F907" s="145">
        <v>1.3455234924924998E-2</v>
      </c>
      <c r="G907" s="146">
        <v>6.2738295296434834E-2</v>
      </c>
      <c r="H907" s="146">
        <v>1.5552354570637123E-2</v>
      </c>
      <c r="I907" s="147">
        <v>9.0820000000000007</v>
      </c>
      <c r="J907" s="148">
        <v>2.104801913263759</v>
      </c>
      <c r="K907" s="149">
        <v>28.356000000000002</v>
      </c>
      <c r="L907" s="149">
        <v>145</v>
      </c>
      <c r="M907" s="150"/>
      <c r="N907" s="135"/>
    </row>
    <row r="908" spans="1:14" x14ac:dyDescent="0.25">
      <c r="A908" s="142">
        <v>44939</v>
      </c>
      <c r="B908" s="81" t="s">
        <v>60</v>
      </c>
      <c r="C908" s="129" t="str">
        <f t="shared" si="29"/>
        <v>13.01.2023_VORohBo</v>
      </c>
      <c r="D908" s="143">
        <f t="shared" si="30"/>
        <v>0</v>
      </c>
      <c r="E908" s="144">
        <v>1.3618646882958696E-2</v>
      </c>
      <c r="F908" s="145">
        <v>1.4971294122028134E-2</v>
      </c>
      <c r="G908" s="146">
        <v>0.19605717280135887</v>
      </c>
      <c r="H908" s="146">
        <v>2.9690858725761778E-2</v>
      </c>
      <c r="I908" s="147">
        <v>5.1189999999999998</v>
      </c>
      <c r="J908" s="148">
        <v>1.3175043460475853</v>
      </c>
      <c r="K908" s="149">
        <v>27</v>
      </c>
      <c r="L908" s="149">
        <v>179</v>
      </c>
      <c r="M908" s="150"/>
      <c r="N908" s="135"/>
    </row>
    <row r="909" spans="1:14" x14ac:dyDescent="0.25">
      <c r="A909" s="142">
        <v>44939</v>
      </c>
      <c r="B909" s="81" t="s">
        <v>62</v>
      </c>
      <c r="C909" s="129" t="str">
        <f t="shared" si="29"/>
        <v>13.01.2023_VORuhSc</v>
      </c>
      <c r="D909" s="143">
        <f t="shared" si="30"/>
        <v>0</v>
      </c>
      <c r="E909" s="144">
        <v>2.3346251799357762E-2</v>
      </c>
      <c r="F909" s="145">
        <v>1.3371793318536943E-2</v>
      </c>
      <c r="G909" s="146">
        <v>0.14272962179938925</v>
      </c>
      <c r="H909" s="146">
        <v>3.1104709141274244E-2</v>
      </c>
      <c r="I909" s="147">
        <v>6.1440000000000001</v>
      </c>
      <c r="J909" s="148">
        <v>1.5080432327290687</v>
      </c>
      <c r="K909" s="149">
        <v>31.343</v>
      </c>
      <c r="L909" s="149">
        <v>170</v>
      </c>
      <c r="M909" s="150"/>
      <c r="N909" s="135"/>
    </row>
    <row r="910" spans="1:14" x14ac:dyDescent="0.25">
      <c r="A910" s="142">
        <v>44939</v>
      </c>
      <c r="B910" s="81" t="s">
        <v>64</v>
      </c>
      <c r="C910" s="129" t="str">
        <f t="shared" si="29"/>
        <v>13.01.2023_WITob</v>
      </c>
      <c r="D910" s="143">
        <f t="shared" si="30"/>
        <v>0</v>
      </c>
      <c r="E910" s="144">
        <v>1.9455209832798134E-2</v>
      </c>
      <c r="F910" s="145">
        <v>1.2786685874603789E-2</v>
      </c>
      <c r="G910" s="146">
        <v>0.10038127247429574</v>
      </c>
      <c r="H910" s="146">
        <v>7.0692520775623288E-3</v>
      </c>
      <c r="I910" s="147">
        <v>2.4140000000000001</v>
      </c>
      <c r="J910" s="148">
        <v>0.62534746805857977</v>
      </c>
      <c r="K910" s="149">
        <v>62</v>
      </c>
      <c r="L910" s="149">
        <v>275</v>
      </c>
      <c r="M910" s="150"/>
      <c r="N910" s="135"/>
    </row>
    <row r="911" spans="1:14" x14ac:dyDescent="0.25">
      <c r="A911" s="142">
        <v>44953</v>
      </c>
      <c r="B911" s="81" t="s">
        <v>22</v>
      </c>
      <c r="C911" s="129" t="str">
        <f t="shared" si="29"/>
        <v>27.01.2023_BOYkl</v>
      </c>
      <c r="D911" s="143">
        <f t="shared" si="30"/>
        <v>0</v>
      </c>
      <c r="E911" s="144">
        <v>3.0408445829006574E-2</v>
      </c>
      <c r="F911" s="145">
        <v>5.3730194725174943E-2</v>
      </c>
      <c r="G911" s="146">
        <v>4.9952342415250435E-2</v>
      </c>
      <c r="H911" s="146">
        <v>3.5000000000000003E-2</v>
      </c>
      <c r="I911" s="147">
        <v>43</v>
      </c>
      <c r="J911" s="148">
        <v>9.7618532443620172</v>
      </c>
      <c r="K911" s="149">
        <v>30</v>
      </c>
      <c r="L911" s="149">
        <v>62</v>
      </c>
      <c r="M911" s="150"/>
      <c r="N911" s="135"/>
    </row>
    <row r="912" spans="1:14" x14ac:dyDescent="0.25">
      <c r="A912" s="142">
        <v>44953</v>
      </c>
      <c r="B912" s="81" t="s">
        <v>25</v>
      </c>
      <c r="C912" s="129" t="str">
        <f t="shared" si="29"/>
        <v>27.01.2023_BOYohB224</v>
      </c>
      <c r="D912" s="143">
        <f t="shared" si="30"/>
        <v>0</v>
      </c>
      <c r="E912" s="144">
        <v>0</v>
      </c>
      <c r="F912" s="145">
        <v>1.7895070006947233E-2</v>
      </c>
      <c r="G912" s="146">
        <v>0.14049096304289185</v>
      </c>
      <c r="H912" s="146">
        <v>4.9000000000000002E-2</v>
      </c>
      <c r="I912" s="147">
        <v>13.741</v>
      </c>
      <c r="J912" s="148">
        <v>3.2276875478931744</v>
      </c>
      <c r="K912" s="149">
        <v>40</v>
      </c>
      <c r="L912" s="149">
        <v>203</v>
      </c>
      <c r="M912" s="150"/>
      <c r="N912" s="135"/>
    </row>
    <row r="913" spans="1:14" x14ac:dyDescent="0.25">
      <c r="A913" s="142">
        <v>44953</v>
      </c>
      <c r="B913" s="81" t="s">
        <v>28</v>
      </c>
      <c r="C913" s="129" t="str">
        <f t="shared" si="29"/>
        <v>27.01.2023_BOYohBr</v>
      </c>
      <c r="D913" s="143">
        <f t="shared" si="30"/>
        <v>0</v>
      </c>
      <c r="E913" s="144">
        <v>1.0136148609668858E-2</v>
      </c>
      <c r="F913" s="145">
        <v>3.3109637576118296E-2</v>
      </c>
      <c r="G913" s="146">
        <v>7.9611545724305385E-2</v>
      </c>
      <c r="H913" s="146">
        <v>5.8000000000000003E-2</v>
      </c>
      <c r="I913" s="147">
        <v>25.274000000000001</v>
      </c>
      <c r="J913" s="148">
        <v>5.788114049139466</v>
      </c>
      <c r="K913" s="149">
        <v>25</v>
      </c>
      <c r="L913" s="149">
        <v>104</v>
      </c>
      <c r="M913" s="150"/>
      <c r="N913" s="135"/>
    </row>
    <row r="914" spans="1:14" x14ac:dyDescent="0.25">
      <c r="A914" s="142">
        <v>44953</v>
      </c>
      <c r="B914" s="81" t="s">
        <v>30</v>
      </c>
      <c r="C914" s="129" t="str">
        <f t="shared" si="29"/>
        <v>27.01.2023_BOYohKi</v>
      </c>
      <c r="D914" s="143">
        <f t="shared" si="30"/>
        <v>0</v>
      </c>
      <c r="E914" s="144">
        <v>0</v>
      </c>
      <c r="F914" s="145">
        <v>2.0943619441921333E-2</v>
      </c>
      <c r="G914" s="146">
        <v>0.10614872763240718</v>
      </c>
      <c r="H914" s="146">
        <v>5.0999999999999997E-2</v>
      </c>
      <c r="I914" s="147">
        <v>15.992000000000001</v>
      </c>
      <c r="J914" s="148">
        <v>3.7100634155192878</v>
      </c>
      <c r="K914" s="149">
        <v>38</v>
      </c>
      <c r="L914" s="149">
        <v>165</v>
      </c>
      <c r="M914" s="150"/>
      <c r="N914" s="135"/>
    </row>
    <row r="915" spans="1:14" x14ac:dyDescent="0.25">
      <c r="A915" s="142">
        <v>44953</v>
      </c>
      <c r="B915" s="81" t="s">
        <v>32</v>
      </c>
      <c r="C915" s="129" t="str">
        <f t="shared" si="29"/>
        <v>27.01.2023_BOYohSp</v>
      </c>
      <c r="D915" s="143">
        <f t="shared" si="30"/>
        <v>0</v>
      </c>
      <c r="E915" s="144">
        <v>4.0544594438675433E-3</v>
      </c>
      <c r="F915" s="145">
        <v>2.1278603996044389E-2</v>
      </c>
      <c r="G915" s="146">
        <v>0.12019782393669635</v>
      </c>
      <c r="H915" s="146">
        <v>5.5E-2</v>
      </c>
      <c r="I915" s="147">
        <v>20.021999999999998</v>
      </c>
      <c r="J915" s="148">
        <v>4.6324462983086052</v>
      </c>
      <c r="K915" s="149">
        <v>36</v>
      </c>
      <c r="L915" s="149">
        <v>141</v>
      </c>
      <c r="M915" s="150"/>
      <c r="N915" s="135"/>
    </row>
    <row r="916" spans="1:14" x14ac:dyDescent="0.25">
      <c r="A916" s="142">
        <v>44953</v>
      </c>
      <c r="B916" s="81" t="s">
        <v>34</v>
      </c>
      <c r="C916" s="129" t="str">
        <f t="shared" si="29"/>
        <v>27.01.2023_BOYuhHa</v>
      </c>
      <c r="D916" s="143">
        <f t="shared" si="30"/>
        <v>0</v>
      </c>
      <c r="E916" s="144">
        <v>0</v>
      </c>
      <c r="F916" s="145">
        <v>1.7696419906389652E-2</v>
      </c>
      <c r="G916" s="146">
        <v>0.14205197374336842</v>
      </c>
      <c r="H916" s="146">
        <v>5.1999999999999998E-2</v>
      </c>
      <c r="I916" s="147">
        <v>13.391999999999999</v>
      </c>
      <c r="J916" s="148">
        <v>3.1509843770919881</v>
      </c>
      <c r="K916" s="149">
        <v>46</v>
      </c>
      <c r="L916" s="149">
        <v>224</v>
      </c>
      <c r="M916" s="150"/>
      <c r="N916" s="135"/>
    </row>
    <row r="917" spans="1:14" x14ac:dyDescent="0.25">
      <c r="A917" s="142">
        <v>44953</v>
      </c>
      <c r="B917" s="81" t="s">
        <v>36</v>
      </c>
      <c r="C917" s="129" t="str">
        <f t="shared" si="29"/>
        <v>27.01.2023_BOYuhSp</v>
      </c>
      <c r="D917" s="143">
        <f t="shared" si="30"/>
        <v>0</v>
      </c>
      <c r="E917" s="144">
        <v>0</v>
      </c>
      <c r="F917" s="145">
        <v>2.2369154423609854E-2</v>
      </c>
      <c r="G917" s="146">
        <v>0.10302670623145402</v>
      </c>
      <c r="H917" s="146">
        <v>4.9000000000000002E-2</v>
      </c>
      <c r="I917" s="147">
        <v>17.824999999999999</v>
      </c>
      <c r="J917" s="148">
        <v>4.1210500071216618</v>
      </c>
      <c r="K917" s="149">
        <v>33</v>
      </c>
      <c r="L917" s="149">
        <v>148</v>
      </c>
      <c r="M917" s="150"/>
      <c r="N917" s="135"/>
    </row>
    <row r="918" spans="1:14" x14ac:dyDescent="0.25">
      <c r="A918" s="142">
        <v>44953</v>
      </c>
      <c r="B918" s="81" t="s">
        <v>38</v>
      </c>
      <c r="C918" s="129" t="str">
        <f t="shared" si="29"/>
        <v>27.01.2023_BRAob</v>
      </c>
      <c r="D918" s="143">
        <f t="shared" si="30"/>
        <v>0</v>
      </c>
      <c r="E918" s="144">
        <v>4.0544594438675433E-3</v>
      </c>
      <c r="F918" s="145">
        <v>1.87128795368307E-2</v>
      </c>
      <c r="G918" s="146">
        <v>0.11551479183526664</v>
      </c>
      <c r="H918" s="146">
        <v>3.3000000000000002E-2</v>
      </c>
      <c r="I918" s="147">
        <v>6.0830000000000002</v>
      </c>
      <c r="J918" s="148">
        <v>1.4737101407121662</v>
      </c>
      <c r="K918" s="149">
        <v>65</v>
      </c>
      <c r="L918" s="149">
        <v>222</v>
      </c>
      <c r="M918" s="150"/>
      <c r="N918" s="135"/>
    </row>
    <row r="919" spans="1:14" x14ac:dyDescent="0.25">
      <c r="A919" s="142">
        <v>44953</v>
      </c>
      <c r="B919" s="81" t="s">
        <v>41</v>
      </c>
      <c r="C919" s="129" t="str">
        <f t="shared" si="29"/>
        <v>27.01.2023_BRAohBo</v>
      </c>
      <c r="D919" s="143">
        <f t="shared" si="30"/>
        <v>0</v>
      </c>
      <c r="E919" s="144">
        <v>0</v>
      </c>
      <c r="F919" s="145">
        <v>2.5379023022503361E-2</v>
      </c>
      <c r="G919" s="146">
        <v>0.16234511284956393</v>
      </c>
      <c r="H919" s="146">
        <v>4.9000000000000002E-2</v>
      </c>
      <c r="I919" s="147">
        <v>16.321999999999999</v>
      </c>
      <c r="J919" s="148">
        <v>3.8276275466765575</v>
      </c>
      <c r="K919" s="149">
        <v>42</v>
      </c>
      <c r="L919" s="149">
        <v>178</v>
      </c>
      <c r="M919" s="150"/>
      <c r="N919" s="135"/>
    </row>
    <row r="920" spans="1:14" x14ac:dyDescent="0.25">
      <c r="A920" s="142">
        <v>44953</v>
      </c>
      <c r="B920" s="81" t="s">
        <v>43</v>
      </c>
      <c r="C920" s="129" t="str">
        <f t="shared" si="29"/>
        <v>27.01.2023_HAAob</v>
      </c>
      <c r="D920" s="143">
        <f t="shared" si="30"/>
        <v>0</v>
      </c>
      <c r="E920" s="144">
        <v>6.0816891658013149E-3</v>
      </c>
      <c r="F920" s="145">
        <v>1.8178797288723982E-2</v>
      </c>
      <c r="G920" s="146">
        <v>8.8977609927164844E-2</v>
      </c>
      <c r="H920" s="146">
        <v>4.3999999999999997E-2</v>
      </c>
      <c r="I920" s="147">
        <v>3.9969999999999999</v>
      </c>
      <c r="J920" s="148">
        <v>0.98528841433234415</v>
      </c>
      <c r="K920" s="149">
        <v>28</v>
      </c>
      <c r="L920" s="149">
        <v>176</v>
      </c>
      <c r="M920" s="150"/>
      <c r="N920" s="135"/>
    </row>
    <row r="921" spans="1:14" x14ac:dyDescent="0.25">
      <c r="A921" s="142">
        <v>44953</v>
      </c>
      <c r="B921" s="81" t="s">
        <v>45</v>
      </c>
      <c r="C921" s="129" t="str">
        <f t="shared" si="29"/>
        <v>27.01.2023_HAAun</v>
      </c>
      <c r="D921" s="143">
        <f t="shared" si="30"/>
        <v>0</v>
      </c>
      <c r="E921" s="144">
        <v>0</v>
      </c>
      <c r="F921" s="145">
        <v>2.0290079829434E-2</v>
      </c>
      <c r="G921" s="146">
        <v>0.18263825195575939</v>
      </c>
      <c r="H921" s="146">
        <v>4.4999999999999998E-2</v>
      </c>
      <c r="I921" s="147">
        <v>6.6849999999999996</v>
      </c>
      <c r="J921" s="148">
        <v>1.6654579762611275</v>
      </c>
      <c r="K921" s="149">
        <v>30</v>
      </c>
      <c r="L921" s="149">
        <v>260</v>
      </c>
      <c r="M921" s="150"/>
      <c r="N921" s="135"/>
    </row>
    <row r="922" spans="1:14" x14ac:dyDescent="0.25">
      <c r="A922" s="142">
        <v>44953</v>
      </c>
      <c r="B922" s="81" t="s">
        <v>47</v>
      </c>
      <c r="C922" s="129" t="str">
        <f t="shared" si="29"/>
        <v>27.01.2023_KIRob</v>
      </c>
      <c r="D922" s="143">
        <f t="shared" si="30"/>
        <v>0</v>
      </c>
      <c r="E922" s="144">
        <v>0</v>
      </c>
      <c r="F922" s="145">
        <v>1.113163598656888E-2</v>
      </c>
      <c r="G922" s="146">
        <v>0.60255013038395822</v>
      </c>
      <c r="H922" s="146">
        <v>9.9000000000000005E-2</v>
      </c>
      <c r="I922" s="147">
        <v>7.1109999999999998</v>
      </c>
      <c r="J922" s="148">
        <v>2.1041762707418394</v>
      </c>
      <c r="K922" s="149">
        <v>83</v>
      </c>
      <c r="L922" s="149">
        <v>183</v>
      </c>
      <c r="M922" s="150"/>
      <c r="N922" s="135"/>
    </row>
    <row r="923" spans="1:14" x14ac:dyDescent="0.25">
      <c r="A923" s="142">
        <v>44953</v>
      </c>
      <c r="B923" s="81" t="s">
        <v>49</v>
      </c>
      <c r="C923" s="129" t="str">
        <f t="shared" si="29"/>
        <v>27.01.2023_KIRun</v>
      </c>
      <c r="D923" s="143">
        <f t="shared" si="30"/>
        <v>0</v>
      </c>
      <c r="E923" s="144">
        <v>0</v>
      </c>
      <c r="F923" s="145">
        <v>1.3360328855990578E-2</v>
      </c>
      <c r="G923" s="146">
        <v>0.10302670623145402</v>
      </c>
      <c r="H923" s="146">
        <v>4.2000000000000003E-2</v>
      </c>
      <c r="I923" s="147">
        <v>6.1349999999999998</v>
      </c>
      <c r="J923" s="148">
        <v>1.4784985571216618</v>
      </c>
      <c r="K923" s="149">
        <v>67</v>
      </c>
      <c r="L923" s="149">
        <v>168</v>
      </c>
      <c r="M923" s="150"/>
      <c r="N923" s="135"/>
    </row>
    <row r="924" spans="1:14" x14ac:dyDescent="0.25">
      <c r="A924" s="142">
        <v>44953</v>
      </c>
      <c r="B924" s="81" t="s">
        <v>50</v>
      </c>
      <c r="C924" s="129" t="str">
        <f t="shared" si="29"/>
        <v>27.01.2023_LIEohBo</v>
      </c>
      <c r="D924" s="143">
        <f t="shared" si="30"/>
        <v>0</v>
      </c>
      <c r="E924" s="144">
        <v>0</v>
      </c>
      <c r="F924" s="145">
        <v>2.1522226280839378E-2</v>
      </c>
      <c r="G924" s="146">
        <v>0</v>
      </c>
      <c r="H924" s="146">
        <v>1.7999999999999999E-2</v>
      </c>
      <c r="I924" s="147">
        <v>17.298999999999999</v>
      </c>
      <c r="J924" s="148">
        <v>3.9018962472106824</v>
      </c>
      <c r="K924" s="149">
        <v>26.352</v>
      </c>
      <c r="L924" s="149">
        <v>113</v>
      </c>
      <c r="M924" s="150"/>
      <c r="N924" s="135"/>
    </row>
    <row r="925" spans="1:14" x14ac:dyDescent="0.25">
      <c r="A925" s="142">
        <v>44953</v>
      </c>
      <c r="B925" s="81" t="s">
        <v>53</v>
      </c>
      <c r="C925" s="129" t="str">
        <f t="shared" si="29"/>
        <v>27.01.2023_NATohBo</v>
      </c>
      <c r="D925" s="143">
        <f t="shared" si="30"/>
        <v>0</v>
      </c>
      <c r="E925" s="144">
        <v>2.0272297219337716E-3</v>
      </c>
      <c r="F925" s="145">
        <v>2.1472931533515118E-2</v>
      </c>
      <c r="G925" s="146">
        <v>0.26537181908101792</v>
      </c>
      <c r="H925" s="146">
        <v>5.1999999999999998E-2</v>
      </c>
      <c r="I925" s="147">
        <v>7.9480000000000004</v>
      </c>
      <c r="J925" s="148">
        <v>2.0171047237982194</v>
      </c>
      <c r="K925" s="149">
        <v>93</v>
      </c>
      <c r="L925" s="149">
        <v>424</v>
      </c>
      <c r="M925" s="150"/>
      <c r="N925" s="135"/>
    </row>
    <row r="926" spans="1:14" x14ac:dyDescent="0.25">
      <c r="A926" s="142">
        <v>44953</v>
      </c>
      <c r="B926" s="81" t="s">
        <v>55</v>
      </c>
      <c r="C926" s="129" t="str">
        <f t="shared" si="29"/>
        <v>27.01.2023_QUAohBo</v>
      </c>
      <c r="D926" s="143">
        <f t="shared" si="30"/>
        <v>0</v>
      </c>
      <c r="E926" s="144">
        <v>0</v>
      </c>
      <c r="F926" s="145">
        <v>1.2262876725596363E-2</v>
      </c>
      <c r="G926" s="146">
        <v>4.5269310313820706E-2</v>
      </c>
      <c r="H926" s="146">
        <v>2.4E-2</v>
      </c>
      <c r="I926" s="147">
        <v>8.4420000000000002</v>
      </c>
      <c r="J926" s="148">
        <v>1.9492525067655786</v>
      </c>
      <c r="K926" s="149">
        <v>40</v>
      </c>
      <c r="L926" s="149">
        <v>173</v>
      </c>
      <c r="M926" s="150"/>
      <c r="N926" s="135"/>
    </row>
    <row r="927" spans="1:14" x14ac:dyDescent="0.25">
      <c r="A927" s="142">
        <v>44953</v>
      </c>
      <c r="B927" s="81" t="s">
        <v>57</v>
      </c>
      <c r="C927" s="129" t="str">
        <f t="shared" si="29"/>
        <v>27.01.2023_SCHohVo</v>
      </c>
      <c r="D927" s="143">
        <f t="shared" si="30"/>
        <v>0</v>
      </c>
      <c r="E927" s="144">
        <v>2.0272297219337716E-3</v>
      </c>
      <c r="F927" s="145">
        <v>1.3297024121427551E-2</v>
      </c>
      <c r="G927" s="146">
        <v>5.4635374516680164E-2</v>
      </c>
      <c r="H927" s="146">
        <v>2.3E-2</v>
      </c>
      <c r="I927" s="147">
        <v>6.8890000000000002</v>
      </c>
      <c r="J927" s="148">
        <v>1.605444601958457</v>
      </c>
      <c r="K927" s="149">
        <v>30</v>
      </c>
      <c r="L927" s="149">
        <v>158</v>
      </c>
      <c r="M927" s="150"/>
      <c r="N927" s="135"/>
    </row>
    <row r="928" spans="1:14" x14ac:dyDescent="0.25">
      <c r="A928" s="142">
        <v>44953</v>
      </c>
      <c r="B928" s="81" t="s">
        <v>60</v>
      </c>
      <c r="C928" s="129" t="str">
        <f t="shared" si="29"/>
        <v>27.01.2023_VORohBo</v>
      </c>
      <c r="D928" s="143">
        <f t="shared" si="30"/>
        <v>0</v>
      </c>
      <c r="E928" s="144">
        <v>0</v>
      </c>
      <c r="F928" s="145">
        <v>1.4339898024055364E-2</v>
      </c>
      <c r="G928" s="146">
        <v>0.32312921499865127</v>
      </c>
      <c r="H928" s="146">
        <v>2.7E-2</v>
      </c>
      <c r="I928" s="147">
        <v>2.7610000000000001</v>
      </c>
      <c r="J928" s="148">
        <v>0.8827538241543027</v>
      </c>
      <c r="K928" s="149">
        <v>34</v>
      </c>
      <c r="L928" s="149">
        <v>222</v>
      </c>
      <c r="M928" s="150"/>
      <c r="N928" s="135"/>
    </row>
    <row r="929" spans="1:14" x14ac:dyDescent="0.25">
      <c r="A929" s="142">
        <v>44953</v>
      </c>
      <c r="B929" s="81" t="s">
        <v>62</v>
      </c>
      <c r="C929" s="129" t="str">
        <f t="shared" si="29"/>
        <v>27.01.2023_VORuhSc</v>
      </c>
      <c r="D929" s="143">
        <f t="shared" si="30"/>
        <v>0</v>
      </c>
      <c r="E929" s="144">
        <v>4.0544594438675433E-3</v>
      </c>
      <c r="F929" s="145">
        <v>1.1144199902738768E-2</v>
      </c>
      <c r="G929" s="146">
        <v>0.19668734826004858</v>
      </c>
      <c r="H929" s="146">
        <v>2.1999999999999999E-2</v>
      </c>
      <c r="I929" s="147">
        <v>3.1339999999999999</v>
      </c>
      <c r="J929" s="148">
        <v>0.86730023905044518</v>
      </c>
      <c r="K929" s="149">
        <v>31</v>
      </c>
      <c r="L929" s="149">
        <v>212</v>
      </c>
      <c r="M929" s="150"/>
      <c r="N929" s="135"/>
    </row>
    <row r="930" spans="1:14" x14ac:dyDescent="0.25">
      <c r="A930" s="142">
        <v>44953</v>
      </c>
      <c r="B930" s="81" t="s">
        <v>64</v>
      </c>
      <c r="C930" s="129" t="str">
        <f t="shared" si="29"/>
        <v>27.01.2023_WITob</v>
      </c>
      <c r="D930" s="143">
        <f t="shared" si="30"/>
        <v>0</v>
      </c>
      <c r="E930" s="144">
        <v>0</v>
      </c>
      <c r="F930" s="145">
        <v>1.2638830163313755E-2</v>
      </c>
      <c r="G930" s="146">
        <v>8.8977609927164844E-2</v>
      </c>
      <c r="H930" s="146">
        <v>1.6E-2</v>
      </c>
      <c r="I930" s="147">
        <v>1.8340000000000001</v>
      </c>
      <c r="J930" s="148">
        <v>0.48820700433234426</v>
      </c>
      <c r="K930" s="149">
        <v>73</v>
      </c>
      <c r="L930" s="149">
        <v>306</v>
      </c>
      <c r="M930" s="150"/>
      <c r="N930" s="135"/>
    </row>
    <row r="931" spans="1:14" x14ac:dyDescent="0.25">
      <c r="A931" s="142">
        <v>44967</v>
      </c>
      <c r="B931" s="81" t="s">
        <v>22</v>
      </c>
      <c r="C931" s="129" t="str">
        <f t="shared" si="29"/>
        <v>10.02.2023_BOYkl</v>
      </c>
      <c r="D931" s="143">
        <f t="shared" si="30"/>
        <v>0</v>
      </c>
      <c r="E931" s="144">
        <v>4.617406158293548E-2</v>
      </c>
      <c r="F931" s="145">
        <v>5.3203602624401193E-2</v>
      </c>
      <c r="G931" s="146">
        <v>2.719799461790836E-2</v>
      </c>
      <c r="H931" s="146">
        <v>5.1712000000000001E-2</v>
      </c>
      <c r="I931" s="147">
        <v>45.512</v>
      </c>
      <c r="J931" s="148">
        <v>10.316658129240858</v>
      </c>
      <c r="K931" s="149">
        <v>28</v>
      </c>
      <c r="L931" s="149">
        <v>60.948999999999998</v>
      </c>
      <c r="M931" s="150"/>
      <c r="N931" s="135"/>
    </row>
    <row r="932" spans="1:14" x14ac:dyDescent="0.25">
      <c r="A932" s="142">
        <v>44967</v>
      </c>
      <c r="B932" s="81" t="s">
        <v>25</v>
      </c>
      <c r="C932" s="129" t="str">
        <f t="shared" si="29"/>
        <v>10.02.2023_BOYohB224</v>
      </c>
      <c r="D932" s="143">
        <f t="shared" si="30"/>
        <v>0</v>
      </c>
      <c r="E932" s="144">
        <v>1.5391353860978493E-2</v>
      </c>
      <c r="F932" s="145">
        <v>1.7375495419888705E-2</v>
      </c>
      <c r="G932" s="146">
        <v>6.5595163490249575E-2</v>
      </c>
      <c r="H932" s="146">
        <v>6.9488000000000008E-2</v>
      </c>
      <c r="I932" s="147">
        <v>12.131</v>
      </c>
      <c r="J932" s="148">
        <v>2.8121185800985442</v>
      </c>
      <c r="K932" s="149">
        <v>37</v>
      </c>
      <c r="L932" s="149">
        <v>191.453</v>
      </c>
      <c r="M932" s="150"/>
      <c r="N932" s="135"/>
    </row>
    <row r="933" spans="1:14" x14ac:dyDescent="0.25">
      <c r="A933" s="142">
        <v>44967</v>
      </c>
      <c r="B933" s="81" t="s">
        <v>28</v>
      </c>
      <c r="C933" s="129" t="str">
        <f t="shared" si="29"/>
        <v>10.02.2023_BOYohBr</v>
      </c>
      <c r="D933" s="143">
        <f t="shared" si="30"/>
        <v>0</v>
      </c>
      <c r="E933" s="144">
        <v>4.4250142350313167E-2</v>
      </c>
      <c r="F933" s="145">
        <v>3.406713381522692E-2</v>
      </c>
      <c r="G933" s="146">
        <v>7.519445570833487E-2</v>
      </c>
      <c r="H933" s="146">
        <v>5.4944000000000007E-2</v>
      </c>
      <c r="I933" s="147">
        <v>24.507999999999999</v>
      </c>
      <c r="J933" s="148">
        <v>5.6107374037129638</v>
      </c>
      <c r="K933" s="149">
        <v>29.762</v>
      </c>
      <c r="L933" s="149">
        <v>106.283</v>
      </c>
      <c r="M933" s="150"/>
      <c r="N933" s="135"/>
    </row>
    <row r="934" spans="1:14" x14ac:dyDescent="0.25">
      <c r="A934" s="142">
        <v>44967</v>
      </c>
      <c r="B934" s="81" t="s">
        <v>30</v>
      </c>
      <c r="C934" s="129" t="str">
        <f t="shared" si="29"/>
        <v>10.02.2023_BOYohKi</v>
      </c>
      <c r="D934" s="143">
        <f t="shared" si="30"/>
        <v>0</v>
      </c>
      <c r="E934" s="144">
        <v>1.9239192326223113E-2</v>
      </c>
      <c r="F934" s="145">
        <v>2.0115114620171272E-2</v>
      </c>
      <c r="G934" s="146">
        <v>6.0795517381206927E-2</v>
      </c>
      <c r="H934" s="146">
        <v>6.3023999999999997E-2</v>
      </c>
      <c r="I934" s="147">
        <v>14.459</v>
      </c>
      <c r="J934" s="148">
        <v>3.3322490980913329</v>
      </c>
      <c r="K934" s="149">
        <v>35</v>
      </c>
      <c r="L934" s="149">
        <v>162.00200000000001</v>
      </c>
      <c r="M934" s="150"/>
      <c r="N934" s="135"/>
    </row>
    <row r="935" spans="1:14" x14ac:dyDescent="0.25">
      <c r="A935" s="142">
        <v>44967</v>
      </c>
      <c r="B935" s="81" t="s">
        <v>32</v>
      </c>
      <c r="C935" s="129" t="str">
        <f t="shared" si="29"/>
        <v>10.02.2023_BOYohSp</v>
      </c>
      <c r="D935" s="143">
        <f t="shared" si="30"/>
        <v>0</v>
      </c>
      <c r="E935" s="144">
        <v>3.655446541982392E-2</v>
      </c>
      <c r="F935" s="145">
        <v>2.230049734807759E-2</v>
      </c>
      <c r="G935" s="146">
        <v>8.1593983853725072E-2</v>
      </c>
      <c r="H935" s="146">
        <v>5.8176000000000005E-2</v>
      </c>
      <c r="I935" s="147">
        <v>18.382000000000001</v>
      </c>
      <c r="J935" s="148">
        <v>4.2330109357225787</v>
      </c>
      <c r="K935" s="149">
        <v>34</v>
      </c>
      <c r="L935" s="149">
        <v>137.74600000000001</v>
      </c>
      <c r="M935" s="150"/>
      <c r="N935" s="135"/>
    </row>
    <row r="936" spans="1:14" x14ac:dyDescent="0.25">
      <c r="A936" s="142">
        <v>44967</v>
      </c>
      <c r="B936" s="81" t="s">
        <v>34</v>
      </c>
      <c r="C936" s="129" t="str">
        <f t="shared" si="29"/>
        <v>10.02.2023_BOYuhHa</v>
      </c>
      <c r="D936" s="143">
        <f t="shared" si="30"/>
        <v>0</v>
      </c>
      <c r="E936" s="144">
        <v>2.5010950024090053E-2</v>
      </c>
      <c r="F936" s="145">
        <v>1.7090816610828539E-2</v>
      </c>
      <c r="G936" s="146">
        <v>7.519445570833487E-2</v>
      </c>
      <c r="H936" s="146">
        <v>6.9488000000000008E-2</v>
      </c>
      <c r="I936" s="147">
        <v>11.654999999999999</v>
      </c>
      <c r="J936" s="148">
        <v>2.712058214512965</v>
      </c>
      <c r="K936" s="149">
        <v>38</v>
      </c>
      <c r="L936" s="149">
        <v>206.346</v>
      </c>
      <c r="M936" s="150"/>
      <c r="N936" s="135"/>
    </row>
    <row r="937" spans="1:14" x14ac:dyDescent="0.25">
      <c r="A937" s="142">
        <v>44967</v>
      </c>
      <c r="B937" s="81" t="s">
        <v>36</v>
      </c>
      <c r="C937" s="129" t="str">
        <f t="shared" si="29"/>
        <v>10.02.2023_BOYuhSp</v>
      </c>
      <c r="D937" s="143">
        <f t="shared" si="30"/>
        <v>0</v>
      </c>
      <c r="E937" s="144">
        <v>3.27066269545793E-2</v>
      </c>
      <c r="F937" s="145">
        <v>2.5830575928893228E-2</v>
      </c>
      <c r="G937" s="146">
        <v>7.3594573671987323E-2</v>
      </c>
      <c r="H937" s="146">
        <v>5.1712000000000001E-2</v>
      </c>
      <c r="I937" s="147">
        <v>15.458</v>
      </c>
      <c r="J937" s="148">
        <v>3.5643876289105614</v>
      </c>
      <c r="K937" s="149">
        <v>31</v>
      </c>
      <c r="L937" s="149">
        <v>147.791</v>
      </c>
      <c r="M937" s="150"/>
      <c r="N937" s="135"/>
    </row>
    <row r="938" spans="1:14" x14ac:dyDescent="0.25">
      <c r="A938" s="142">
        <v>44967</v>
      </c>
      <c r="B938" s="81" t="s">
        <v>38</v>
      </c>
      <c r="C938" s="129" t="str">
        <f t="shared" si="29"/>
        <v>10.02.2023_BRAob</v>
      </c>
      <c r="D938" s="143">
        <f t="shared" si="30"/>
        <v>0</v>
      </c>
      <c r="E938" s="144">
        <v>3.0782707721956987E-2</v>
      </c>
      <c r="F938" s="145">
        <v>2.0906403457053375E-2</v>
      </c>
      <c r="G938" s="146">
        <v>5.2796107199469165E-2</v>
      </c>
      <c r="H938" s="146">
        <v>2.7472000000000003E-2</v>
      </c>
      <c r="I938" s="147">
        <v>5.2450000000000001</v>
      </c>
      <c r="J938" s="148">
        <v>1.2340476496793158</v>
      </c>
      <c r="K938" s="149">
        <v>57</v>
      </c>
      <c r="L938" s="149">
        <v>195.24100000000001</v>
      </c>
      <c r="M938" s="150"/>
      <c r="N938" s="135"/>
    </row>
    <row r="939" spans="1:14" x14ac:dyDescent="0.25">
      <c r="A939" s="142">
        <v>44967</v>
      </c>
      <c r="B939" s="81" t="s">
        <v>41</v>
      </c>
      <c r="C939" s="129" t="str">
        <f t="shared" si="29"/>
        <v>10.02.2023_BRAohBo</v>
      </c>
      <c r="D939" s="143">
        <f t="shared" si="30"/>
        <v>0</v>
      </c>
      <c r="E939" s="144">
        <v>3.4630546187201613E-2</v>
      </c>
      <c r="F939" s="145">
        <v>2.095376071954725E-2</v>
      </c>
      <c r="G939" s="146">
        <v>9.9192686253548143E-2</v>
      </c>
      <c r="H939" s="146">
        <v>5.0096000000000002E-2</v>
      </c>
      <c r="I939" s="147">
        <v>13.755000000000001</v>
      </c>
      <c r="J939" s="148">
        <v>3.1991157061490174</v>
      </c>
      <c r="K939" s="149">
        <v>36</v>
      </c>
      <c r="L939" s="149">
        <v>156.489</v>
      </c>
      <c r="M939" s="150"/>
      <c r="N939" s="135"/>
    </row>
    <row r="940" spans="1:14" x14ac:dyDescent="0.25">
      <c r="A940" s="142">
        <v>44967</v>
      </c>
      <c r="B940" s="81" t="s">
        <v>43</v>
      </c>
      <c r="C940" s="129" t="str">
        <f t="shared" si="29"/>
        <v>10.02.2023_HAAob</v>
      </c>
      <c r="D940" s="143">
        <f t="shared" si="30"/>
        <v>0</v>
      </c>
      <c r="E940" s="144">
        <v>1.3467434628356182E-2</v>
      </c>
      <c r="F940" s="145">
        <v>1.58516182154444E-2</v>
      </c>
      <c r="G940" s="146">
        <v>4.7996461090426554E-3</v>
      </c>
      <c r="H940" s="146">
        <v>5.3328E-2</v>
      </c>
      <c r="I940" s="147">
        <v>4.0510000000000002</v>
      </c>
      <c r="J940" s="148">
        <v>0.9349619568072105</v>
      </c>
      <c r="K940" s="149">
        <v>25</v>
      </c>
      <c r="L940" s="149">
        <v>165.761</v>
      </c>
      <c r="M940" s="150"/>
      <c r="N940" s="135"/>
    </row>
    <row r="941" spans="1:14" x14ac:dyDescent="0.25">
      <c r="A941" s="142">
        <v>44967</v>
      </c>
      <c r="B941" s="81" t="s">
        <v>45</v>
      </c>
      <c r="C941" s="129" t="str">
        <f t="shared" si="29"/>
        <v>10.02.2023_HAAun</v>
      </c>
      <c r="D941" s="143">
        <f t="shared" si="30"/>
        <v>0</v>
      </c>
      <c r="E941" s="144">
        <v>2.5010950024090053E-2</v>
      </c>
      <c r="F941" s="145">
        <v>2.1328390157130148E-2</v>
      </c>
      <c r="G941" s="146">
        <v>7.6794337744682417E-2</v>
      </c>
      <c r="H941" s="146">
        <v>6.9488000000000008E-2</v>
      </c>
      <c r="I941" s="147">
        <v>6.6630000000000003</v>
      </c>
      <c r="J941" s="148">
        <v>1.5857574669153685</v>
      </c>
      <c r="K941" s="149">
        <v>29</v>
      </c>
      <c r="L941" s="149">
        <v>252.06299999999999</v>
      </c>
      <c r="M941" s="150"/>
      <c r="N941" s="135"/>
    </row>
    <row r="942" spans="1:14" x14ac:dyDescent="0.25">
      <c r="A942" s="142">
        <v>44967</v>
      </c>
      <c r="B942" s="81" t="s">
        <v>47</v>
      </c>
      <c r="C942" s="129" t="str">
        <f t="shared" si="29"/>
        <v>10.02.2023_KIRob</v>
      </c>
      <c r="D942" s="143">
        <f t="shared" si="30"/>
        <v>0</v>
      </c>
      <c r="E942" s="144">
        <v>2.6934869256712367E-2</v>
      </c>
      <c r="F942" s="145">
        <v>1.2527210378925518E-2</v>
      </c>
      <c r="G942" s="146">
        <v>0.75514432115604391</v>
      </c>
      <c r="H942" s="146">
        <v>0.155136</v>
      </c>
      <c r="I942" s="147">
        <v>7.056</v>
      </c>
      <c r="J942" s="148">
        <v>2.2273318891344562</v>
      </c>
      <c r="K942" s="149">
        <v>82</v>
      </c>
      <c r="L942" s="149">
        <v>181</v>
      </c>
      <c r="M942" s="150"/>
      <c r="N942" s="135"/>
    </row>
    <row r="943" spans="1:14" x14ac:dyDescent="0.25">
      <c r="A943" s="142">
        <v>44967</v>
      </c>
      <c r="B943" s="81" t="s">
        <v>49</v>
      </c>
      <c r="C943" s="129" t="str">
        <f t="shared" si="29"/>
        <v>10.02.2023_KIRun</v>
      </c>
      <c r="D943" s="143">
        <f t="shared" si="30"/>
        <v>0</v>
      </c>
      <c r="E943" s="144">
        <v>1.7315273093600807E-2</v>
      </c>
      <c r="F943" s="145">
        <v>1.2733062664611878E-2</v>
      </c>
      <c r="G943" s="146">
        <v>0.11999115272606628</v>
      </c>
      <c r="H943" s="146">
        <v>8.0800000000000011E-2</v>
      </c>
      <c r="I943" s="147">
        <v>5.9370000000000003</v>
      </c>
      <c r="J943" s="148">
        <v>1.4587616801802632</v>
      </c>
      <c r="K943" s="149">
        <v>66</v>
      </c>
      <c r="L943" s="149">
        <v>164</v>
      </c>
      <c r="M943" s="150"/>
      <c r="N943" s="135"/>
    </row>
    <row r="944" spans="1:14" x14ac:dyDescent="0.25">
      <c r="A944" s="142">
        <v>44967</v>
      </c>
      <c r="B944" s="81" t="s">
        <v>50</v>
      </c>
      <c r="C944" s="129" t="str">
        <f t="shared" si="29"/>
        <v>10.02.2023_LIEohBo</v>
      </c>
      <c r="D944" s="143">
        <f t="shared" si="30"/>
        <v>0</v>
      </c>
      <c r="E944" s="144">
        <v>2.8858788489334673E-2</v>
      </c>
      <c r="F944" s="145">
        <v>1.8789734145110575E-2</v>
      </c>
      <c r="G944" s="146">
        <v>0.54076012828547204</v>
      </c>
      <c r="H944" s="146">
        <v>1.4544E-2</v>
      </c>
      <c r="I944" s="147">
        <v>17.545999999999999</v>
      </c>
      <c r="J944" s="148">
        <v>4.3874377728123859</v>
      </c>
      <c r="K944" s="149">
        <v>29.475999999999999</v>
      </c>
      <c r="L944" s="149">
        <v>115.71299999999999</v>
      </c>
      <c r="M944" s="150"/>
      <c r="N944" s="135"/>
    </row>
    <row r="945" spans="1:14" x14ac:dyDescent="0.25">
      <c r="A945" s="142">
        <v>44967</v>
      </c>
      <c r="B945" s="81" t="s">
        <v>53</v>
      </c>
      <c r="C945" s="129" t="str">
        <f t="shared" si="29"/>
        <v>10.02.2023_NATohBo</v>
      </c>
      <c r="D945" s="143">
        <f t="shared" si="30"/>
        <v>0</v>
      </c>
      <c r="E945" s="144">
        <v>3.8478384652446233E-2</v>
      </c>
      <c r="F945" s="145">
        <v>2.0461201369275542E-2</v>
      </c>
      <c r="G945" s="146">
        <v>3.9997050908688776E-2</v>
      </c>
      <c r="H945" s="146">
        <v>5.9791999999999998E-2</v>
      </c>
      <c r="I945" s="147">
        <v>8.1300000000000008</v>
      </c>
      <c r="J945" s="148">
        <v>1.8855840844600877</v>
      </c>
      <c r="K945" s="149">
        <v>113.824</v>
      </c>
      <c r="L945" s="149">
        <v>386</v>
      </c>
      <c r="M945" s="150"/>
      <c r="N945" s="135"/>
    </row>
    <row r="946" spans="1:14" x14ac:dyDescent="0.25">
      <c r="A946" s="142">
        <v>44967</v>
      </c>
      <c r="B946" s="81" t="s">
        <v>55</v>
      </c>
      <c r="C946" s="129" t="str">
        <f t="shared" si="29"/>
        <v>10.02.2023_QUAohBo</v>
      </c>
      <c r="D946" s="143">
        <f t="shared" si="30"/>
        <v>0</v>
      </c>
      <c r="E946" s="144">
        <v>3.0782707721956987E-2</v>
      </c>
      <c r="F946" s="145">
        <v>1.3456007428357579E-2</v>
      </c>
      <c r="G946" s="146">
        <v>9.5992922180853108E-3</v>
      </c>
      <c r="H946" s="146">
        <v>1.6160000000000001E-2</v>
      </c>
      <c r="I946" s="147">
        <v>5.9429999999999996</v>
      </c>
      <c r="J946" s="148">
        <v>1.354719076414421</v>
      </c>
      <c r="K946" s="149">
        <v>30</v>
      </c>
      <c r="L946" s="149">
        <v>163.43799999999999</v>
      </c>
      <c r="M946" s="150"/>
      <c r="N946" s="135"/>
    </row>
    <row r="947" spans="1:14" x14ac:dyDescent="0.25">
      <c r="A947" s="142">
        <v>44967</v>
      </c>
      <c r="B947" s="81" t="s">
        <v>57</v>
      </c>
      <c r="C947" s="129" t="str">
        <f t="shared" si="29"/>
        <v>10.02.2023_SCHohVo</v>
      </c>
      <c r="D947" s="143">
        <f t="shared" si="30"/>
        <v>0</v>
      </c>
      <c r="E947" s="144">
        <v>2.8858788489334673E-2</v>
      </c>
      <c r="F947" s="145">
        <v>1.4947867617729193E-2</v>
      </c>
      <c r="G947" s="146">
        <v>6.0795517381206927E-2</v>
      </c>
      <c r="H947" s="146">
        <v>1.7776000000000004E-2</v>
      </c>
      <c r="I947" s="147">
        <v>5.9790000000000001</v>
      </c>
      <c r="J947" s="148">
        <v>1.4030957444913335</v>
      </c>
      <c r="K947" s="149">
        <v>26</v>
      </c>
      <c r="L947" s="149">
        <v>147</v>
      </c>
      <c r="M947" s="150"/>
      <c r="N947" s="135"/>
    </row>
    <row r="948" spans="1:14" x14ac:dyDescent="0.25">
      <c r="A948" s="142">
        <v>44967</v>
      </c>
      <c r="B948" s="81" t="s">
        <v>60</v>
      </c>
      <c r="C948" s="129" t="str">
        <f t="shared" si="29"/>
        <v>10.02.2023_VORohBo</v>
      </c>
      <c r="D948" s="143">
        <f t="shared" si="30"/>
        <v>0</v>
      </c>
      <c r="E948" s="144">
        <v>3.655446541982392E-2</v>
      </c>
      <c r="F948" s="145">
        <v>1.2465351715431373E-2</v>
      </c>
      <c r="G948" s="146">
        <v>0.20478490065248647</v>
      </c>
      <c r="H948" s="146">
        <v>2.9088000000000003E-2</v>
      </c>
      <c r="I948" s="147">
        <v>2.4660000000000002</v>
      </c>
      <c r="J948" s="148">
        <v>0.72486468910764923</v>
      </c>
      <c r="K948" s="149">
        <v>30</v>
      </c>
      <c r="L948" s="149">
        <v>223.815</v>
      </c>
      <c r="M948" s="150"/>
      <c r="N948" s="135"/>
    </row>
    <row r="949" spans="1:14" x14ac:dyDescent="0.25">
      <c r="A949" s="142">
        <v>44967</v>
      </c>
      <c r="B949" s="81" t="s">
        <v>62</v>
      </c>
      <c r="C949" s="129" t="str">
        <f t="shared" si="29"/>
        <v>10.02.2023_VORuhSc</v>
      </c>
      <c r="D949" s="143">
        <f t="shared" si="30"/>
        <v>0</v>
      </c>
      <c r="E949" s="144">
        <v>2.1163111558845427E-2</v>
      </c>
      <c r="F949" s="145">
        <v>1.318296917839951E-2</v>
      </c>
      <c r="G949" s="146">
        <v>0.17758690603457811</v>
      </c>
      <c r="H949" s="146">
        <v>2.7472000000000003E-2</v>
      </c>
      <c r="I949" s="147">
        <v>2.9940000000000002</v>
      </c>
      <c r="J949" s="148">
        <v>0.82251308706678961</v>
      </c>
      <c r="K949" s="149">
        <v>29</v>
      </c>
      <c r="L949" s="149">
        <v>212.244</v>
      </c>
      <c r="M949" s="150"/>
      <c r="N949" s="135"/>
    </row>
    <row r="950" spans="1:14" x14ac:dyDescent="0.25">
      <c r="A950" s="142">
        <v>44967</v>
      </c>
      <c r="B950" s="81" t="s">
        <v>64</v>
      </c>
      <c r="C950" s="129" t="str">
        <f t="shared" si="29"/>
        <v>10.02.2023_WITob</v>
      </c>
      <c r="D950" s="143">
        <f t="shared" si="30"/>
        <v>0</v>
      </c>
      <c r="E950" s="144">
        <v>2.6934869256712367E-2</v>
      </c>
      <c r="F950" s="145">
        <v>1.3179103598810618E-2</v>
      </c>
      <c r="G950" s="146">
        <v>0</v>
      </c>
      <c r="H950" s="146">
        <v>1.9391999999999996E-2</v>
      </c>
      <c r="I950" s="147">
        <v>1.5409999999999999</v>
      </c>
      <c r="J950" s="148">
        <v>0.35396956439999994</v>
      </c>
      <c r="K950" s="149">
        <v>68</v>
      </c>
      <c r="L950" s="149">
        <v>298.21199999999999</v>
      </c>
      <c r="M950" s="150"/>
      <c r="N950" s="135"/>
    </row>
    <row r="951" spans="1:14" x14ac:dyDescent="0.25">
      <c r="A951" s="142">
        <v>44981</v>
      </c>
      <c r="B951" s="81" t="s">
        <v>22</v>
      </c>
      <c r="C951" s="129" t="str">
        <f t="shared" si="29"/>
        <v>24.02.2023_BOYkl</v>
      </c>
      <c r="D951" s="143">
        <f t="shared" si="30"/>
        <v>0</v>
      </c>
      <c r="E951" s="144">
        <v>2.8313136521851232E-2</v>
      </c>
      <c r="F951" s="145">
        <v>3.8007492662138848E-2</v>
      </c>
      <c r="G951" s="146">
        <v>5.5203116304952705E-2</v>
      </c>
      <c r="H951" s="146">
        <v>6.0680907877169558E-2</v>
      </c>
      <c r="I951" s="147">
        <v>33.442</v>
      </c>
      <c r="J951" s="148">
        <v>7.6148835101828372</v>
      </c>
      <c r="K951" s="149">
        <v>24.847000000000001</v>
      </c>
      <c r="L951" s="149">
        <v>51.673000000000002</v>
      </c>
      <c r="M951" s="150"/>
      <c r="N951" s="135"/>
    </row>
    <row r="952" spans="1:14" x14ac:dyDescent="0.25">
      <c r="A952" s="142">
        <v>44981</v>
      </c>
      <c r="B952" s="81" t="s">
        <v>25</v>
      </c>
      <c r="C952" s="129" t="str">
        <f t="shared" si="29"/>
        <v>24.02.2023_BOYohB224</v>
      </c>
      <c r="D952" s="143">
        <f t="shared" si="30"/>
        <v>0</v>
      </c>
      <c r="E952" s="144">
        <v>1.8875424347900836E-3</v>
      </c>
      <c r="F952" s="145">
        <v>1.2470123025905284E-2</v>
      </c>
      <c r="G952" s="146">
        <v>0.11040623260990541</v>
      </c>
      <c r="H952" s="146">
        <v>5.0567423230974622E-2</v>
      </c>
      <c r="I952" s="147">
        <v>8.7430000000000003</v>
      </c>
      <c r="J952" s="148">
        <v>2.0759059975619358</v>
      </c>
      <c r="K952" s="149">
        <v>28</v>
      </c>
      <c r="L952" s="149">
        <v>174.05099999999999</v>
      </c>
      <c r="M952" s="150"/>
      <c r="N952" s="135"/>
    </row>
    <row r="953" spans="1:14" x14ac:dyDescent="0.25">
      <c r="A953" s="142">
        <v>44981</v>
      </c>
      <c r="B953" s="81" t="s">
        <v>28</v>
      </c>
      <c r="C953" s="129" t="str">
        <f t="shared" si="29"/>
        <v>24.02.2023_BOYohBr</v>
      </c>
      <c r="D953" s="143">
        <f t="shared" si="30"/>
        <v>0</v>
      </c>
      <c r="E953" s="144">
        <v>2.0762966782690902E-2</v>
      </c>
      <c r="F953" s="145">
        <v>2.9003025468865989E-2</v>
      </c>
      <c r="G953" s="146">
        <v>7.5904284919309964E-2</v>
      </c>
      <c r="H953" s="146">
        <v>4.3825100133511347E-2</v>
      </c>
      <c r="I953" s="147">
        <v>20.027000000000001</v>
      </c>
      <c r="J953" s="148">
        <v>4.5957799599326421</v>
      </c>
      <c r="K953" s="149">
        <v>23.9</v>
      </c>
      <c r="L953" s="149">
        <v>94.524000000000001</v>
      </c>
      <c r="M953" s="150"/>
      <c r="N953" s="135"/>
    </row>
    <row r="954" spans="1:14" x14ac:dyDescent="0.25">
      <c r="A954" s="142">
        <v>44981</v>
      </c>
      <c r="B954" s="81" t="s">
        <v>30</v>
      </c>
      <c r="C954" s="129" t="str">
        <f t="shared" si="29"/>
        <v>24.02.2023_BOYohKi</v>
      </c>
      <c r="D954" s="143">
        <f t="shared" si="30"/>
        <v>0</v>
      </c>
      <c r="E954" s="144">
        <v>1.1325254608740492E-2</v>
      </c>
      <c r="F954" s="145">
        <v>1.8433894563516285E-2</v>
      </c>
      <c r="G954" s="146">
        <v>0.10350584307178633</v>
      </c>
      <c r="H954" s="146">
        <v>4.5510680907877167E-2</v>
      </c>
      <c r="I954" s="147">
        <v>10.042999999999999</v>
      </c>
      <c r="J954" s="148">
        <v>2.3626393888892143</v>
      </c>
      <c r="K954" s="149">
        <v>25</v>
      </c>
      <c r="L954" s="149">
        <v>143.233</v>
      </c>
      <c r="M954" s="150"/>
      <c r="N954" s="135"/>
    </row>
    <row r="955" spans="1:14" x14ac:dyDescent="0.25">
      <c r="A955" s="142">
        <v>44981</v>
      </c>
      <c r="B955" s="81" t="s">
        <v>32</v>
      </c>
      <c r="C955" s="129" t="str">
        <f t="shared" si="29"/>
        <v>24.02.2023_BOYohSp</v>
      </c>
      <c r="D955" s="143">
        <f t="shared" si="30"/>
        <v>0</v>
      </c>
      <c r="E955" s="144">
        <v>1.8875424347900821E-2</v>
      </c>
      <c r="F955" s="145">
        <v>1.9383317187907107E-2</v>
      </c>
      <c r="G955" s="146">
        <v>7.935447968836952E-2</v>
      </c>
      <c r="H955" s="146">
        <v>3.2026034712950603E-2</v>
      </c>
      <c r="I955" s="147">
        <v>10.673999999999999</v>
      </c>
      <c r="J955" s="148">
        <v>2.4823046662015793</v>
      </c>
      <c r="K955" s="149">
        <v>24.556999999999999</v>
      </c>
      <c r="L955" s="149">
        <v>124.375</v>
      </c>
      <c r="M955" s="150"/>
      <c r="N955" s="135"/>
    </row>
    <row r="956" spans="1:14" x14ac:dyDescent="0.25">
      <c r="A956" s="142">
        <v>44981</v>
      </c>
      <c r="B956" s="81" t="s">
        <v>34</v>
      </c>
      <c r="C956" s="129" t="str">
        <f t="shared" si="29"/>
        <v>24.02.2023_BOYuhHa</v>
      </c>
      <c r="D956" s="143">
        <f t="shared" si="30"/>
        <v>0</v>
      </c>
      <c r="E956" s="144">
        <v>1.3212797043530575E-2</v>
      </c>
      <c r="F956" s="145">
        <v>1.6321676441767758E-2</v>
      </c>
      <c r="G956" s="146">
        <v>0.1483583750695604</v>
      </c>
      <c r="H956" s="146">
        <v>6.4052069425901192E-2</v>
      </c>
      <c r="I956" s="147">
        <v>11.420999999999999</v>
      </c>
      <c r="J956" s="148">
        <v>2.7143607171944786</v>
      </c>
      <c r="K956" s="149">
        <v>40</v>
      </c>
      <c r="L956" s="149">
        <v>194.166</v>
      </c>
      <c r="M956" s="150"/>
      <c r="N956" s="135"/>
    </row>
    <row r="957" spans="1:14" x14ac:dyDescent="0.25">
      <c r="A957" s="142">
        <v>44981</v>
      </c>
      <c r="B957" s="81" t="s">
        <v>36</v>
      </c>
      <c r="C957" s="129" t="str">
        <f t="shared" si="29"/>
        <v>24.02.2023_BOYuhSp</v>
      </c>
      <c r="D957" s="143">
        <f t="shared" si="30"/>
        <v>0</v>
      </c>
      <c r="E957" s="144">
        <v>1.510033947832066E-2</v>
      </c>
      <c r="F957" s="145">
        <v>2.1538260676093421E-2</v>
      </c>
      <c r="G957" s="146">
        <v>8.452977184195884E-2</v>
      </c>
      <c r="H957" s="146">
        <v>4.2139519359145526E-2</v>
      </c>
      <c r="I957" s="147">
        <v>13.907</v>
      </c>
      <c r="J957" s="148">
        <v>3.2196399892064544</v>
      </c>
      <c r="K957" s="149">
        <v>29</v>
      </c>
      <c r="L957" s="149">
        <v>135.71299999999999</v>
      </c>
      <c r="M957" s="150"/>
      <c r="N957" s="135"/>
    </row>
    <row r="958" spans="1:14" x14ac:dyDescent="0.25">
      <c r="A958" s="142">
        <v>44981</v>
      </c>
      <c r="B958" s="81" t="s">
        <v>38</v>
      </c>
      <c r="C958" s="129" t="str">
        <f t="shared" si="29"/>
        <v>24.02.2023_BRAob</v>
      </c>
      <c r="D958" s="143">
        <f t="shared" si="30"/>
        <v>0</v>
      </c>
      <c r="E958" s="144">
        <v>0</v>
      </c>
      <c r="F958" s="145">
        <v>1.5831257620782378E-2</v>
      </c>
      <c r="G958" s="146">
        <v>8.6254869226488604E-2</v>
      </c>
      <c r="H958" s="146">
        <v>3.3711615487316424E-2</v>
      </c>
      <c r="I958" s="147">
        <v>3.4239999999999999</v>
      </c>
      <c r="J958" s="148">
        <v>0.85061842474078952</v>
      </c>
      <c r="K958" s="149">
        <v>51</v>
      </c>
      <c r="L958" s="149">
        <v>183.64599999999999</v>
      </c>
      <c r="M958" s="150"/>
      <c r="N958" s="135"/>
    </row>
    <row r="959" spans="1:14" x14ac:dyDescent="0.25">
      <c r="A959" s="142">
        <v>44981</v>
      </c>
      <c r="B959" s="81" t="s">
        <v>41</v>
      </c>
      <c r="C959" s="129" t="str">
        <f t="shared" si="29"/>
        <v>24.02.2023_BRAohBo</v>
      </c>
      <c r="D959" s="143">
        <f t="shared" si="30"/>
        <v>0</v>
      </c>
      <c r="E959" s="144">
        <v>0</v>
      </c>
      <c r="F959" s="145">
        <v>2.0537404763898801E-2</v>
      </c>
      <c r="G959" s="146">
        <v>0.12765720645520312</v>
      </c>
      <c r="H959" s="146">
        <v>6.573765020026702E-2</v>
      </c>
      <c r="I959" s="147">
        <v>12.528</v>
      </c>
      <c r="J959" s="148">
        <v>2.9488377318438714</v>
      </c>
      <c r="K959" s="149">
        <v>35</v>
      </c>
      <c r="L959" s="149">
        <v>154.55099999999999</v>
      </c>
      <c r="M959" s="150"/>
      <c r="N959" s="135"/>
    </row>
    <row r="960" spans="1:14" x14ac:dyDescent="0.25">
      <c r="A960" s="142">
        <v>44981</v>
      </c>
      <c r="B960" s="81" t="s">
        <v>43</v>
      </c>
      <c r="C960" s="129" t="str">
        <f t="shared" si="29"/>
        <v>24.02.2023_HAAob</v>
      </c>
      <c r="D960" s="143">
        <f t="shared" si="30"/>
        <v>0</v>
      </c>
      <c r="E960" s="144">
        <v>1.8875424347900836E-3</v>
      </c>
      <c r="F960" s="145">
        <v>1.2685184596791924E-2</v>
      </c>
      <c r="G960" s="146">
        <v>0.11040623260990541</v>
      </c>
      <c r="H960" s="146">
        <v>5.0567423230974622E-2</v>
      </c>
      <c r="I960" s="147">
        <v>3.4830000000000001</v>
      </c>
      <c r="J960" s="148">
        <v>0.88782979756193559</v>
      </c>
      <c r="K960" s="149">
        <v>25</v>
      </c>
      <c r="L960" s="149">
        <v>174.03299999999999</v>
      </c>
      <c r="M960" s="150"/>
      <c r="N960" s="135"/>
    </row>
    <row r="961" spans="1:14" x14ac:dyDescent="0.25">
      <c r="A961" s="142">
        <v>44981</v>
      </c>
      <c r="B961" s="81" t="s">
        <v>45</v>
      </c>
      <c r="C961" s="129" t="str">
        <f t="shared" si="29"/>
        <v>24.02.2023_HAAun</v>
      </c>
      <c r="D961" s="143">
        <f t="shared" si="30"/>
        <v>0</v>
      </c>
      <c r="E961" s="144">
        <v>5.6626273043702477E-3</v>
      </c>
      <c r="F961" s="145">
        <v>1.5442320381296788E-2</v>
      </c>
      <c r="G961" s="146">
        <v>0.12075681691708404</v>
      </c>
      <c r="H961" s="146">
        <v>3.0340453938584779E-2</v>
      </c>
      <c r="I961" s="147">
        <v>4.8899999999999997</v>
      </c>
      <c r="J961" s="148">
        <v>1.2075079119695484</v>
      </c>
      <c r="K961" s="149">
        <v>27</v>
      </c>
      <c r="L961" s="149">
        <v>247.59700000000001</v>
      </c>
      <c r="M961" s="150"/>
      <c r="N961" s="135"/>
    </row>
    <row r="962" spans="1:14" x14ac:dyDescent="0.25">
      <c r="A962" s="142">
        <v>44981</v>
      </c>
      <c r="B962" s="81" t="s">
        <v>47</v>
      </c>
      <c r="C962" s="129" t="str">
        <f t="shared" si="29"/>
        <v>24.02.2023_KIRob</v>
      </c>
      <c r="D962" s="143">
        <f t="shared" si="30"/>
        <v>0</v>
      </c>
      <c r="E962" s="144">
        <v>0</v>
      </c>
      <c r="F962" s="145">
        <v>9.60258043322091E-3</v>
      </c>
      <c r="G962" s="146">
        <v>0.74524207011686161</v>
      </c>
      <c r="H962" s="146">
        <v>0.12473297730307074</v>
      </c>
      <c r="I962" s="147">
        <v>6.7789999999999999</v>
      </c>
      <c r="J962" s="148">
        <v>2.1478206999649618</v>
      </c>
      <c r="K962" s="149">
        <v>75</v>
      </c>
      <c r="L962" s="149">
        <v>174.74299999999999</v>
      </c>
      <c r="M962" s="150"/>
      <c r="N962" s="135"/>
    </row>
    <row r="963" spans="1:14" x14ac:dyDescent="0.25">
      <c r="A963" s="142">
        <v>44981</v>
      </c>
      <c r="B963" s="81" t="s">
        <v>49</v>
      </c>
      <c r="C963" s="129" t="str">
        <f t="shared" si="29"/>
        <v>24.02.2023_KIRun</v>
      </c>
      <c r="D963" s="143">
        <f t="shared" si="30"/>
        <v>0</v>
      </c>
      <c r="E963" s="144">
        <v>0</v>
      </c>
      <c r="F963" s="145">
        <v>1.0314789435408823E-2</v>
      </c>
      <c r="G963" s="146">
        <v>0.16215915414579857</v>
      </c>
      <c r="H963" s="146">
        <v>7.9222296395193584E-2</v>
      </c>
      <c r="I963" s="147">
        <v>5.7750000000000004</v>
      </c>
      <c r="J963" s="148">
        <v>1.4544334397401877</v>
      </c>
      <c r="K963" s="149">
        <v>64</v>
      </c>
      <c r="L963" s="149">
        <v>163.209</v>
      </c>
      <c r="M963" s="150"/>
      <c r="N963" s="135"/>
    </row>
    <row r="964" spans="1:14" x14ac:dyDescent="0.25">
      <c r="A964" s="142">
        <v>44981</v>
      </c>
      <c r="B964" s="81" t="s">
        <v>50</v>
      </c>
      <c r="C964" s="129" t="str">
        <f t="shared" si="29"/>
        <v>24.02.2023_LIEohBo</v>
      </c>
      <c r="D964" s="143">
        <f t="shared" si="30"/>
        <v>0</v>
      </c>
      <c r="E964" s="144">
        <v>1.510033947832066E-2</v>
      </c>
      <c r="F964" s="145">
        <v>2.0355020152293363E-2</v>
      </c>
      <c r="G964" s="146">
        <v>2.0701168614357258E-2</v>
      </c>
      <c r="H964" s="146">
        <v>2.0226969292389849E-2</v>
      </c>
      <c r="I964" s="147">
        <v>16.77</v>
      </c>
      <c r="J964" s="148">
        <v>3.81007225121843</v>
      </c>
      <c r="K964" s="149">
        <v>25</v>
      </c>
      <c r="L964" s="149">
        <v>115.84699999999999</v>
      </c>
      <c r="M964" s="150"/>
      <c r="N964" s="135"/>
    </row>
    <row r="965" spans="1:14" x14ac:dyDescent="0.25">
      <c r="A965" s="142">
        <v>44981</v>
      </c>
      <c r="B965" s="81" t="s">
        <v>53</v>
      </c>
      <c r="C965" s="129" t="str">
        <f t="shared" ref="C965:C1028" si="31">CONCATENATE(TEXT(A965,"TT.MM.JJJJ"),"_",B965)</f>
        <v>24.02.2023_NATohBo</v>
      </c>
      <c r="D965" s="143">
        <f t="shared" ref="D965:D1028" si="32">COUNTBLANK(E965:L965)</f>
        <v>0</v>
      </c>
      <c r="E965" s="144">
        <v>1.1325254608740492E-2</v>
      </c>
      <c r="F965" s="145">
        <v>1.7874686829130189E-2</v>
      </c>
      <c r="G965" s="146">
        <v>0.18286032276015585</v>
      </c>
      <c r="H965" s="146">
        <v>4.3825100133511347E-2</v>
      </c>
      <c r="I965" s="147">
        <v>6.5149999999999997</v>
      </c>
      <c r="J965" s="148">
        <v>1.6268748137556808</v>
      </c>
      <c r="K965" s="149">
        <v>63</v>
      </c>
      <c r="L965" s="149">
        <v>346.10300000000001</v>
      </c>
      <c r="M965" s="150"/>
      <c r="N965" s="135"/>
    </row>
    <row r="966" spans="1:14" x14ac:dyDescent="0.25">
      <c r="A966" s="142">
        <v>44981</v>
      </c>
      <c r="B966" s="81" t="s">
        <v>55</v>
      </c>
      <c r="C966" s="129" t="str">
        <f t="shared" si="31"/>
        <v>24.02.2023_QUAohBo</v>
      </c>
      <c r="D966" s="143">
        <f t="shared" si="32"/>
        <v>0</v>
      </c>
      <c r="E966" s="144">
        <v>3.7750848695801641E-3</v>
      </c>
      <c r="F966" s="145">
        <v>1.2970590254047242E-2</v>
      </c>
      <c r="G966" s="146">
        <v>5.6928213689482483E-2</v>
      </c>
      <c r="H966" s="146">
        <v>2.0226969292389849E-2</v>
      </c>
      <c r="I966" s="147">
        <v>6.7759999999999998</v>
      </c>
      <c r="J966" s="148">
        <v>1.5808574094488141</v>
      </c>
      <c r="K966" s="149">
        <v>38</v>
      </c>
      <c r="L966" s="149">
        <v>158.16200000000001</v>
      </c>
      <c r="M966" s="150"/>
      <c r="N966" s="135"/>
    </row>
    <row r="967" spans="1:14" x14ac:dyDescent="0.25">
      <c r="A967" s="142">
        <v>44981</v>
      </c>
      <c r="B967" s="81" t="s">
        <v>57</v>
      </c>
      <c r="C967" s="129" t="str">
        <f t="shared" si="31"/>
        <v>24.02.2023_SCHohVo</v>
      </c>
      <c r="D967" s="143">
        <f t="shared" si="32"/>
        <v>0</v>
      </c>
      <c r="E967" s="144">
        <v>0</v>
      </c>
      <c r="F967" s="145">
        <v>1.1075517739687863E-2</v>
      </c>
      <c r="G967" s="146">
        <v>7.7629382303839742E-2</v>
      </c>
      <c r="H967" s="146">
        <v>2.6969292389853135E-2</v>
      </c>
      <c r="I967" s="147">
        <v>4.0279999999999996</v>
      </c>
      <c r="J967" s="148">
        <v>0.97829360013319921</v>
      </c>
      <c r="K967" s="149">
        <v>26</v>
      </c>
      <c r="L967" s="149">
        <v>139.34100000000001</v>
      </c>
      <c r="M967" s="150"/>
      <c r="N967" s="135"/>
    </row>
    <row r="968" spans="1:14" x14ac:dyDescent="0.25">
      <c r="A968" s="142">
        <v>44981</v>
      </c>
      <c r="B968" s="81" t="s">
        <v>60</v>
      </c>
      <c r="C968" s="129" t="str">
        <f t="shared" si="31"/>
        <v>24.02.2023_VORohBo</v>
      </c>
      <c r="D968" s="143">
        <f t="shared" si="32"/>
        <v>0</v>
      </c>
      <c r="E968" s="144">
        <v>0</v>
      </c>
      <c r="F968" s="145">
        <v>9.8018494058875159E-3</v>
      </c>
      <c r="G968" s="146">
        <v>0.28291597106288263</v>
      </c>
      <c r="H968" s="146">
        <v>1.6855807743658208E-2</v>
      </c>
      <c r="I968" s="147">
        <v>2.125</v>
      </c>
      <c r="J968" s="148">
        <v>0.70478692303817447</v>
      </c>
      <c r="K968" s="149">
        <v>32</v>
      </c>
      <c r="L968" s="149">
        <v>220.786</v>
      </c>
      <c r="M968" s="150"/>
      <c r="N968" s="135"/>
    </row>
    <row r="969" spans="1:14" x14ac:dyDescent="0.25">
      <c r="A969" s="142">
        <v>44981</v>
      </c>
      <c r="B969" s="81" t="s">
        <v>62</v>
      </c>
      <c r="C969" s="129" t="str">
        <f t="shared" si="31"/>
        <v>24.02.2023_VORuhSc</v>
      </c>
      <c r="D969" s="143">
        <f t="shared" si="32"/>
        <v>0</v>
      </c>
      <c r="E969" s="144">
        <v>0</v>
      </c>
      <c r="F969" s="145">
        <v>1.099953418770812E-2</v>
      </c>
      <c r="G969" s="146">
        <v>0.17768503060656654</v>
      </c>
      <c r="H969" s="146">
        <v>1.5170226969292386E-2</v>
      </c>
      <c r="I969" s="147">
        <v>1.669</v>
      </c>
      <c r="J969" s="148">
        <v>0.51956625501649389</v>
      </c>
      <c r="K969" s="149">
        <v>29.882999999999999</v>
      </c>
      <c r="L969" s="149">
        <v>210.5</v>
      </c>
      <c r="M969" s="150"/>
      <c r="N969" s="135"/>
    </row>
    <row r="970" spans="1:14" x14ac:dyDescent="0.25">
      <c r="A970" s="142">
        <v>44981</v>
      </c>
      <c r="B970" s="81" t="s">
        <v>64</v>
      </c>
      <c r="C970" s="129" t="str">
        <f t="shared" si="31"/>
        <v>24.02.2023_WITob</v>
      </c>
      <c r="D970" s="143">
        <f t="shared" si="32"/>
        <v>0</v>
      </c>
      <c r="E970" s="144">
        <v>0.01</v>
      </c>
      <c r="F970" s="145">
        <v>9.8980502064506641E-3</v>
      </c>
      <c r="G970" s="146">
        <v>0.11903171953255429</v>
      </c>
      <c r="H970" s="146">
        <v>1.0113484646194925E-2</v>
      </c>
      <c r="I970" s="147">
        <v>1.319</v>
      </c>
      <c r="J970" s="148">
        <v>0.39342852030036707</v>
      </c>
      <c r="K970" s="149">
        <v>63</v>
      </c>
      <c r="L970" s="149">
        <v>271.80200000000002</v>
      </c>
      <c r="M970" s="150"/>
      <c r="N970" s="135"/>
    </row>
    <row r="971" spans="1:14" x14ac:dyDescent="0.25">
      <c r="A971" s="142">
        <v>44995</v>
      </c>
      <c r="B971" s="81" t="s">
        <v>22</v>
      </c>
      <c r="C971" s="129" t="str">
        <f t="shared" si="31"/>
        <v>10.03.2023_BOYkl</v>
      </c>
      <c r="D971" s="143">
        <f t="shared" si="32"/>
        <v>0</v>
      </c>
      <c r="E971" s="144">
        <v>0.14236624669040446</v>
      </c>
      <c r="F971" s="145">
        <v>0.17340300597841707</v>
      </c>
      <c r="G971" s="146">
        <v>0.1517866593037436</v>
      </c>
      <c r="H971" s="146">
        <v>5.9333038869257948E-2</v>
      </c>
      <c r="I971" s="147">
        <v>30.984999999999999</v>
      </c>
      <c r="J971" s="148">
        <v>7.1345067167665093</v>
      </c>
      <c r="K971" s="149">
        <v>21.422000000000001</v>
      </c>
      <c r="L971" s="149">
        <v>43.234000000000002</v>
      </c>
      <c r="M971" s="150"/>
      <c r="N971" s="135"/>
    </row>
    <row r="972" spans="1:14" x14ac:dyDescent="0.25">
      <c r="A972" s="142">
        <v>44995</v>
      </c>
      <c r="B972" s="81" t="s">
        <v>25</v>
      </c>
      <c r="C972" s="129" t="str">
        <f t="shared" si="31"/>
        <v>10.03.2023_BOYohB224</v>
      </c>
      <c r="D972" s="143">
        <f t="shared" si="32"/>
        <v>0</v>
      </c>
      <c r="E972" s="144">
        <v>4.8123801698164888E-2</v>
      </c>
      <c r="F972" s="145">
        <v>5.9084827822775514E-2</v>
      </c>
      <c r="G972" s="146">
        <v>0.47533190676698656</v>
      </c>
      <c r="H972" s="146">
        <v>9.3683745583038852E-2</v>
      </c>
      <c r="I972" s="147">
        <v>16.859000000000002</v>
      </c>
      <c r="J972" s="148">
        <v>4.2055548186282543</v>
      </c>
      <c r="K972" s="149">
        <v>25</v>
      </c>
      <c r="L972" s="149">
        <v>104.502</v>
      </c>
      <c r="M972" s="150"/>
      <c r="N972" s="135"/>
    </row>
    <row r="973" spans="1:14" x14ac:dyDescent="0.25">
      <c r="A973" s="142">
        <v>44995</v>
      </c>
      <c r="B973" s="81" t="s">
        <v>28</v>
      </c>
      <c r="C973" s="129" t="str">
        <f t="shared" si="31"/>
        <v>10.03.2023_BOYohBr</v>
      </c>
      <c r="D973" s="143">
        <f t="shared" si="32"/>
        <v>0</v>
      </c>
      <c r="E973" s="144">
        <v>7.4190860951337534E-2</v>
      </c>
      <c r="F973" s="145">
        <v>0.10170161752966282</v>
      </c>
      <c r="G973" s="146">
        <v>0.32554244034881852</v>
      </c>
      <c r="H973" s="146">
        <v>5.464885159010599E-2</v>
      </c>
      <c r="I973" s="147">
        <v>25.606999999999999</v>
      </c>
      <c r="J973" s="148">
        <v>6.0532713823730608</v>
      </c>
      <c r="K973" s="149">
        <v>17.149000000000001</v>
      </c>
      <c r="L973" s="149">
        <v>71.433999999999997</v>
      </c>
      <c r="M973" s="150"/>
      <c r="N973" s="135"/>
    </row>
    <row r="974" spans="1:14" x14ac:dyDescent="0.25">
      <c r="A974" s="142">
        <v>44995</v>
      </c>
      <c r="B974" s="81" t="s">
        <v>30</v>
      </c>
      <c r="C974" s="129" t="str">
        <f t="shared" si="31"/>
        <v>10.03.2023_BOYohKi</v>
      </c>
      <c r="D974" s="143">
        <f t="shared" si="32"/>
        <v>0</v>
      </c>
      <c r="E974" s="144">
        <v>4.8123801698164888E-2</v>
      </c>
      <c r="F974" s="145">
        <v>6.0850430878484553E-2</v>
      </c>
      <c r="G974" s="146">
        <v>0.48132348542371328</v>
      </c>
      <c r="H974" s="146">
        <v>6.5578621908127202E-2</v>
      </c>
      <c r="I974" s="147">
        <v>17.702000000000002</v>
      </c>
      <c r="J974" s="148">
        <v>4.3920590246365885</v>
      </c>
      <c r="K974" s="149">
        <v>25</v>
      </c>
      <c r="L974" s="149">
        <v>94.022000000000006</v>
      </c>
      <c r="M974" s="150"/>
      <c r="N974" s="135"/>
    </row>
    <row r="975" spans="1:14" x14ac:dyDescent="0.25">
      <c r="A975" s="142">
        <v>44995</v>
      </c>
      <c r="B975" s="81" t="s">
        <v>32</v>
      </c>
      <c r="C975" s="129" t="str">
        <f t="shared" si="31"/>
        <v>10.03.2023_BOYohSp</v>
      </c>
      <c r="D975" s="143">
        <f t="shared" si="32"/>
        <v>0</v>
      </c>
      <c r="E975" s="144">
        <v>6.6170227334976725E-2</v>
      </c>
      <c r="F975" s="145">
        <v>8.5391515868520201E-2</v>
      </c>
      <c r="G975" s="146">
        <v>0.39544419134396364</v>
      </c>
      <c r="H975" s="146">
        <v>6.2455830388692568E-2</v>
      </c>
      <c r="I975" s="147">
        <v>22.099</v>
      </c>
      <c r="J975" s="148">
        <v>5.3175742676985109</v>
      </c>
      <c r="K975" s="149">
        <v>27.244</v>
      </c>
      <c r="L975" s="149">
        <v>83.778000000000006</v>
      </c>
      <c r="M975" s="150"/>
      <c r="N975" s="135"/>
    </row>
    <row r="976" spans="1:14" x14ac:dyDescent="0.25">
      <c r="A976" s="142">
        <v>44995</v>
      </c>
      <c r="B976" s="81" t="s">
        <v>34</v>
      </c>
      <c r="C976" s="129" t="str">
        <f t="shared" si="31"/>
        <v>10.03.2023_BOYuhHa</v>
      </c>
      <c r="D976" s="143">
        <f t="shared" si="32"/>
        <v>0</v>
      </c>
      <c r="E976" s="144">
        <v>5.6144435314525704E-2</v>
      </c>
      <c r="F976" s="145">
        <v>5.7465502660825014E-2</v>
      </c>
      <c r="G976" s="146">
        <v>0.71898943880720656</v>
      </c>
      <c r="H976" s="146">
        <v>0.10617491166077737</v>
      </c>
      <c r="I976" s="147">
        <v>13.427</v>
      </c>
      <c r="J976" s="148">
        <v>3.6233695511945312</v>
      </c>
      <c r="K976" s="149">
        <v>28</v>
      </c>
      <c r="L976" s="149">
        <v>91.789000000000001</v>
      </c>
      <c r="M976" s="150"/>
      <c r="N976" s="135"/>
    </row>
    <row r="977" spans="1:14" x14ac:dyDescent="0.25">
      <c r="A977" s="142">
        <v>44995</v>
      </c>
      <c r="B977" s="81" t="s">
        <v>36</v>
      </c>
      <c r="C977" s="129" t="str">
        <f t="shared" si="31"/>
        <v>10.03.2023_BOYuhSp</v>
      </c>
      <c r="D977" s="143">
        <f t="shared" si="32"/>
        <v>0</v>
      </c>
      <c r="E977" s="144">
        <v>4.2108326485894278E-2</v>
      </c>
      <c r="F977" s="145">
        <v>6.9371357094857575E-2</v>
      </c>
      <c r="G977" s="146">
        <v>0.41541612019971941</v>
      </c>
      <c r="H977" s="146">
        <v>5.3087455830388687E-2</v>
      </c>
      <c r="I977" s="147">
        <v>20.818999999999999</v>
      </c>
      <c r="J977" s="148">
        <v>5.041116469101441</v>
      </c>
      <c r="K977" s="149">
        <v>26</v>
      </c>
      <c r="L977" s="149">
        <v>98.102000000000004</v>
      </c>
      <c r="M977" s="150"/>
      <c r="N977" s="135"/>
    </row>
    <row r="978" spans="1:14" x14ac:dyDescent="0.25">
      <c r="A978" s="142">
        <v>44995</v>
      </c>
      <c r="B978" s="81" t="s">
        <v>38</v>
      </c>
      <c r="C978" s="129" t="str">
        <f t="shared" si="31"/>
        <v>10.03.2023_BRAob</v>
      </c>
      <c r="D978" s="143">
        <f t="shared" si="32"/>
        <v>0</v>
      </c>
      <c r="E978" s="144">
        <v>0.15439719711494568</v>
      </c>
      <c r="F978" s="145">
        <v>0.19780001754546692</v>
      </c>
      <c r="G978" s="146">
        <v>1.4679367708980469</v>
      </c>
      <c r="H978" s="146">
        <v>5.152606007067137E-2</v>
      </c>
      <c r="I978" s="147">
        <v>9.3330000000000002</v>
      </c>
      <c r="J978" s="148">
        <v>3.2635700422231402</v>
      </c>
      <c r="K978" s="149">
        <v>40</v>
      </c>
      <c r="L978" s="149">
        <v>139.214</v>
      </c>
      <c r="M978" s="150"/>
      <c r="N978" s="135"/>
    </row>
    <row r="979" spans="1:14" x14ac:dyDescent="0.25">
      <c r="A979" s="142">
        <v>44995</v>
      </c>
      <c r="B979" s="81" t="s">
        <v>41</v>
      </c>
      <c r="C979" s="129" t="str">
        <f t="shared" si="31"/>
        <v>10.03.2023_BRAohBo</v>
      </c>
      <c r="D979" s="143">
        <f t="shared" si="32"/>
        <v>0</v>
      </c>
      <c r="E979" s="144">
        <v>8.6221811375878754E-2</v>
      </c>
      <c r="F979" s="145">
        <v>0.1199936693223292</v>
      </c>
      <c r="G979" s="146">
        <v>0.90273118428015942</v>
      </c>
      <c r="H979" s="146">
        <v>7.806978798586571E-2</v>
      </c>
      <c r="I979" s="147">
        <v>17.22</v>
      </c>
      <c r="J979" s="148">
        <v>4.614211484233997</v>
      </c>
      <c r="K979" s="149">
        <v>27</v>
      </c>
      <c r="L979" s="149">
        <v>103.99</v>
      </c>
      <c r="M979" s="150"/>
      <c r="N979" s="135"/>
    </row>
    <row r="980" spans="1:14" x14ac:dyDescent="0.25">
      <c r="A980" s="142">
        <v>44995</v>
      </c>
      <c r="B980" s="81" t="s">
        <v>43</v>
      </c>
      <c r="C980" s="129" t="str">
        <f t="shared" si="31"/>
        <v>10.03.2023_HAAob</v>
      </c>
      <c r="D980" s="143">
        <f t="shared" si="32"/>
        <v>0</v>
      </c>
      <c r="E980" s="144">
        <v>6.015475212270611E-3</v>
      </c>
      <c r="F980" s="145">
        <v>1.5684086942542239E-2</v>
      </c>
      <c r="G980" s="146">
        <v>0.10385403004992985</v>
      </c>
      <c r="H980" s="146">
        <v>2.810512367491166E-2</v>
      </c>
      <c r="I980" s="147">
        <v>4.3620000000000001</v>
      </c>
      <c r="J980" s="148">
        <v>1.0744431606962968</v>
      </c>
      <c r="K980" s="149">
        <v>26</v>
      </c>
      <c r="L980" s="149">
        <v>183.411</v>
      </c>
      <c r="M980" s="150"/>
      <c r="N980" s="135"/>
    </row>
    <row r="981" spans="1:14" x14ac:dyDescent="0.25">
      <c r="A981" s="142">
        <v>44995</v>
      </c>
      <c r="B981" s="81" t="s">
        <v>45</v>
      </c>
      <c r="C981" s="129" t="str">
        <f t="shared" si="31"/>
        <v>10.03.2023_HAAun</v>
      </c>
      <c r="D981" s="143">
        <f t="shared" si="32"/>
        <v>0</v>
      </c>
      <c r="E981" s="144">
        <v>2.4061900849082444E-2</v>
      </c>
      <c r="F981" s="145">
        <v>3.6535707335648156E-2</v>
      </c>
      <c r="G981" s="146">
        <v>0.54723085064770727</v>
      </c>
      <c r="H981" s="146">
        <v>9.2122349823321528E-2</v>
      </c>
      <c r="I981" s="147">
        <v>15.055999999999999</v>
      </c>
      <c r="J981" s="148">
        <v>3.8536646526231482</v>
      </c>
      <c r="K981" s="149">
        <v>27</v>
      </c>
      <c r="L981" s="149">
        <v>210.58500000000001</v>
      </c>
      <c r="M981" s="150"/>
      <c r="N981" s="135"/>
    </row>
    <row r="982" spans="1:14" x14ac:dyDescent="0.25">
      <c r="A982" s="142">
        <v>44995</v>
      </c>
      <c r="B982" s="81" t="s">
        <v>47</v>
      </c>
      <c r="C982" s="129" t="str">
        <f t="shared" si="31"/>
        <v>10.03.2023_KIRob</v>
      </c>
      <c r="D982" s="143">
        <f t="shared" si="32"/>
        <v>0</v>
      </c>
      <c r="E982" s="144">
        <v>0</v>
      </c>
      <c r="F982" s="145">
        <v>1.1724302389773603E-2</v>
      </c>
      <c r="G982" s="146">
        <v>0.50728699293619572</v>
      </c>
      <c r="H982" s="146">
        <v>0.10305212014134274</v>
      </c>
      <c r="I982" s="147">
        <v>7.0170000000000003</v>
      </c>
      <c r="J982" s="148">
        <v>2.0102072851220583</v>
      </c>
      <c r="K982" s="149">
        <v>48</v>
      </c>
      <c r="L982" s="149">
        <v>126.38500000000001</v>
      </c>
      <c r="M982" s="150"/>
      <c r="N982" s="135"/>
    </row>
    <row r="983" spans="1:14" x14ac:dyDescent="0.25">
      <c r="A983" s="142">
        <v>44995</v>
      </c>
      <c r="B983" s="81" t="s">
        <v>49</v>
      </c>
      <c r="C983" s="129" t="str">
        <f t="shared" si="31"/>
        <v>10.03.2023_KIRun</v>
      </c>
      <c r="D983" s="143">
        <f t="shared" si="32"/>
        <v>0</v>
      </c>
      <c r="E983" s="144">
        <v>0</v>
      </c>
      <c r="F983" s="145">
        <v>1.3346143580717711E-2</v>
      </c>
      <c r="G983" s="146">
        <v>0.35949471940360328</v>
      </c>
      <c r="H983" s="146">
        <v>8.5876766784452274E-2</v>
      </c>
      <c r="I983" s="147">
        <v>5.7279999999999998</v>
      </c>
      <c r="J983" s="148">
        <v>1.5990725963172303</v>
      </c>
      <c r="K983" s="149">
        <v>55</v>
      </c>
      <c r="L983" s="149">
        <v>143.91999999999999</v>
      </c>
      <c r="M983" s="150"/>
      <c r="N983" s="135"/>
    </row>
    <row r="984" spans="1:14" x14ac:dyDescent="0.25">
      <c r="A984" s="142">
        <v>44995</v>
      </c>
      <c r="B984" s="81" t="s">
        <v>50</v>
      </c>
      <c r="C984" s="129" t="str">
        <f t="shared" si="31"/>
        <v>10.03.2023_LIEohBo</v>
      </c>
      <c r="D984" s="143">
        <f t="shared" si="32"/>
        <v>0</v>
      </c>
      <c r="E984" s="144">
        <v>2.8072217657262852E-2</v>
      </c>
      <c r="F984" s="145">
        <v>2.6597447791753312E-2</v>
      </c>
      <c r="G984" s="146">
        <v>5.9915786567267218E-2</v>
      </c>
      <c r="H984" s="146">
        <v>3.4350706713780911E-2</v>
      </c>
      <c r="I984" s="147">
        <v>13.345000000000001</v>
      </c>
      <c r="J984" s="148">
        <v>3.0712172317706283</v>
      </c>
      <c r="K984" s="149">
        <v>19.684999999999999</v>
      </c>
      <c r="L984" s="149">
        <v>79.055999999999997</v>
      </c>
      <c r="M984" s="150"/>
      <c r="N984" s="135"/>
    </row>
    <row r="985" spans="1:14" x14ac:dyDescent="0.25">
      <c r="A985" s="142">
        <v>44995</v>
      </c>
      <c r="B985" s="81" t="s">
        <v>53</v>
      </c>
      <c r="C985" s="129" t="str">
        <f t="shared" si="31"/>
        <v>10.03.2023_NATohBo</v>
      </c>
      <c r="D985" s="143">
        <f t="shared" si="32"/>
        <v>0</v>
      </c>
      <c r="E985" s="144">
        <v>2.2056742444992238E-2</v>
      </c>
      <c r="F985" s="145">
        <v>3.4448968916465497E-2</v>
      </c>
      <c r="G985" s="146">
        <v>0.35150594786130096</v>
      </c>
      <c r="H985" s="146">
        <v>7.806978798586571E-2</v>
      </c>
      <c r="I985" s="147">
        <v>10.782999999999999</v>
      </c>
      <c r="J985" s="148">
        <v>2.732265410407118</v>
      </c>
      <c r="K985" s="149">
        <v>39</v>
      </c>
      <c r="L985" s="149">
        <v>144.756</v>
      </c>
      <c r="M985" s="150"/>
      <c r="N985" s="135"/>
    </row>
    <row r="986" spans="1:14" x14ac:dyDescent="0.25">
      <c r="A986" s="142">
        <v>44995</v>
      </c>
      <c r="B986" s="81" t="s">
        <v>55</v>
      </c>
      <c r="C986" s="129" t="str">
        <f t="shared" si="31"/>
        <v>10.03.2023_QUAohBo</v>
      </c>
      <c r="D986" s="143">
        <f t="shared" si="32"/>
        <v>0</v>
      </c>
      <c r="E986" s="144">
        <v>6.015475212270611E-3</v>
      </c>
      <c r="F986" s="145">
        <v>2.3466528540723328E-2</v>
      </c>
      <c r="G986" s="146">
        <v>0.16976139527392378</v>
      </c>
      <c r="H986" s="146">
        <v>3.2789310954063594E-2</v>
      </c>
      <c r="I986" s="147">
        <v>15.566000000000001</v>
      </c>
      <c r="J986" s="148">
        <v>3.6576931515362139</v>
      </c>
      <c r="K986" s="149">
        <v>46</v>
      </c>
      <c r="L986" s="149">
        <v>112.41200000000001</v>
      </c>
      <c r="M986" s="150"/>
      <c r="N986" s="135"/>
    </row>
    <row r="987" spans="1:14" x14ac:dyDescent="0.25">
      <c r="A987" s="142">
        <v>44995</v>
      </c>
      <c r="B987" s="81" t="s">
        <v>57</v>
      </c>
      <c r="C987" s="129" t="str">
        <f t="shared" si="31"/>
        <v>10.03.2023_SCHohVo</v>
      </c>
      <c r="D987" s="143">
        <f t="shared" si="32"/>
        <v>0</v>
      </c>
      <c r="E987" s="144">
        <v>1.6041267232721632E-2</v>
      </c>
      <c r="F987" s="145">
        <v>1.4266669834658512E-2</v>
      </c>
      <c r="G987" s="146">
        <v>0.12782034467683673</v>
      </c>
      <c r="H987" s="146">
        <v>2.3420936395759713E-2</v>
      </c>
      <c r="I987" s="147">
        <v>10.954000000000001</v>
      </c>
      <c r="J987" s="148">
        <v>2.5805617035238058</v>
      </c>
      <c r="K987" s="149">
        <v>25.562999999999999</v>
      </c>
      <c r="L987" s="149">
        <v>87.016000000000005</v>
      </c>
      <c r="M987" s="150"/>
      <c r="N987" s="135"/>
    </row>
    <row r="988" spans="1:14" x14ac:dyDescent="0.25">
      <c r="A988" s="142">
        <v>44995</v>
      </c>
      <c r="B988" s="81" t="s">
        <v>60</v>
      </c>
      <c r="C988" s="129" t="str">
        <f t="shared" si="31"/>
        <v>10.03.2023_VORohBo</v>
      </c>
      <c r="D988" s="143">
        <f t="shared" si="32"/>
        <v>0</v>
      </c>
      <c r="E988" s="144">
        <v>0</v>
      </c>
      <c r="F988" s="145">
        <v>1.4633750872230834E-2</v>
      </c>
      <c r="G988" s="146">
        <v>0.25364349646809786</v>
      </c>
      <c r="H988" s="146">
        <v>2.4982332155477027E-2</v>
      </c>
      <c r="I988" s="147">
        <v>5.2119999999999997</v>
      </c>
      <c r="J988" s="148">
        <v>1.3817919495972482</v>
      </c>
      <c r="K988" s="149">
        <v>26</v>
      </c>
      <c r="L988" s="149">
        <v>154.74600000000001</v>
      </c>
      <c r="M988" s="150"/>
      <c r="N988" s="135"/>
    </row>
    <row r="989" spans="1:14" x14ac:dyDescent="0.25">
      <c r="A989" s="142">
        <v>44995</v>
      </c>
      <c r="B989" s="81" t="s">
        <v>62</v>
      </c>
      <c r="C989" s="129" t="str">
        <f t="shared" si="31"/>
        <v>10.03.2023_VORuhSc</v>
      </c>
      <c r="D989" s="143">
        <f t="shared" si="32"/>
        <v>0</v>
      </c>
      <c r="E989" s="144">
        <v>0</v>
      </c>
      <c r="F989" s="145">
        <v>1.5872906933196883E-2</v>
      </c>
      <c r="G989" s="146">
        <v>0.15578104507489476</v>
      </c>
      <c r="H989" s="146">
        <v>2.1859540636042396E-2</v>
      </c>
      <c r="I989" s="147">
        <v>6.056</v>
      </c>
      <c r="J989" s="148">
        <v>1.4954862808368479</v>
      </c>
      <c r="K989" s="149">
        <v>29.363</v>
      </c>
      <c r="L989" s="149">
        <v>145.36699999999999</v>
      </c>
      <c r="M989" s="150"/>
      <c r="N989" s="135"/>
    </row>
    <row r="990" spans="1:14" x14ac:dyDescent="0.25">
      <c r="A990" s="142">
        <v>44995</v>
      </c>
      <c r="B990" s="81" t="s">
        <v>64</v>
      </c>
      <c r="C990" s="129" t="str">
        <f t="shared" si="31"/>
        <v>10.03.2023_WITob</v>
      </c>
      <c r="D990" s="143">
        <f t="shared" si="32"/>
        <v>0</v>
      </c>
      <c r="E990" s="144">
        <v>6.015475212270611E-3</v>
      </c>
      <c r="F990" s="145">
        <v>1.3197784268592975E-2</v>
      </c>
      <c r="G990" s="146">
        <v>0.12981753756241232</v>
      </c>
      <c r="H990" s="146">
        <v>1.0929770318021198E-2</v>
      </c>
      <c r="I990" s="147">
        <v>1.9390000000000001</v>
      </c>
      <c r="J990" s="148">
        <v>0.54209151831515912</v>
      </c>
      <c r="K990" s="149">
        <v>49</v>
      </c>
      <c r="L990" s="149">
        <v>220.59299999999999</v>
      </c>
      <c r="M990" s="150"/>
      <c r="N990" s="135"/>
    </row>
    <row r="991" spans="1:14" x14ac:dyDescent="0.25">
      <c r="A991" s="142">
        <v>45008</v>
      </c>
      <c r="B991" s="81" t="s">
        <v>22</v>
      </c>
      <c r="C991" s="129" t="str">
        <f t="shared" si="31"/>
        <v>23.03.2023_BOYkl</v>
      </c>
      <c r="D991" s="143">
        <f t="shared" si="32"/>
        <v>0</v>
      </c>
      <c r="E991" s="144">
        <v>4.4509859554546755E-2</v>
      </c>
      <c r="F991" s="145">
        <v>4.3089634153993181E-2</v>
      </c>
      <c r="G991" s="146">
        <v>0.1622487672013245</v>
      </c>
      <c r="H991" s="146">
        <v>0.12891092057953749</v>
      </c>
      <c r="I991" s="147">
        <v>34</v>
      </c>
      <c r="J991" s="148">
        <v>7.8448114750145965</v>
      </c>
      <c r="K991" s="149">
        <v>26</v>
      </c>
      <c r="L991" s="149">
        <v>55.834000000000003</v>
      </c>
      <c r="M991" s="67"/>
      <c r="N991" s="135"/>
    </row>
    <row r="992" spans="1:14" x14ac:dyDescent="0.25">
      <c r="A992" s="142">
        <v>45008</v>
      </c>
      <c r="B992" s="81" t="s">
        <v>25</v>
      </c>
      <c r="C992" s="129" t="str">
        <f t="shared" si="31"/>
        <v>23.03.2023_BOYohB224</v>
      </c>
      <c r="D992" s="143">
        <f t="shared" si="32"/>
        <v>0</v>
      </c>
      <c r="E992" s="144">
        <v>1.4243155057454961E-2</v>
      </c>
      <c r="F992" s="145">
        <v>1.4580377494930633E-2</v>
      </c>
      <c r="G992" s="146">
        <v>8.8077902195004734E-2</v>
      </c>
      <c r="H992" s="146">
        <v>5.5247537391230346E-2</v>
      </c>
      <c r="I992" s="147">
        <v>6.476</v>
      </c>
      <c r="J992" s="148">
        <v>1.5479458430341593</v>
      </c>
      <c r="K992" s="149">
        <v>25</v>
      </c>
      <c r="L992" s="149">
        <v>166</v>
      </c>
      <c r="M992" s="67"/>
      <c r="N992" s="135"/>
    </row>
    <row r="993" spans="1:14" x14ac:dyDescent="0.25">
      <c r="A993" s="142">
        <v>45008</v>
      </c>
      <c r="B993" s="81" t="s">
        <v>28</v>
      </c>
      <c r="C993" s="129" t="str">
        <f t="shared" si="31"/>
        <v>23.03.2023_BOYohBr</v>
      </c>
      <c r="D993" s="143">
        <f t="shared" si="32"/>
        <v>0</v>
      </c>
      <c r="E993" s="144">
        <v>1.7803943821818703E-2</v>
      </c>
      <c r="F993" s="145">
        <v>2.2731538648331058E-2</v>
      </c>
      <c r="G993" s="146">
        <v>2.7814074377369907E-2</v>
      </c>
      <c r="H993" s="146">
        <v>5.8930706550645709E-2</v>
      </c>
      <c r="I993" s="147">
        <v>19.631</v>
      </c>
      <c r="J993" s="148">
        <v>4.4735927742226282</v>
      </c>
      <c r="K993" s="149">
        <v>23</v>
      </c>
      <c r="L993" s="149">
        <v>99.335999999999999</v>
      </c>
      <c r="M993" s="67"/>
      <c r="N993" s="135"/>
    </row>
    <row r="994" spans="1:14" x14ac:dyDescent="0.25">
      <c r="A994" s="142">
        <v>45008</v>
      </c>
      <c r="B994" s="81" t="s">
        <v>30</v>
      </c>
      <c r="C994" s="129" t="str">
        <f t="shared" si="31"/>
        <v>23.03.2023_BOYohKi</v>
      </c>
      <c r="D994" s="143">
        <f t="shared" si="32"/>
        <v>0</v>
      </c>
      <c r="E994" s="144">
        <v>1.7803943821818703E-2</v>
      </c>
      <c r="F994" s="145">
        <v>1.7972874512907848E-2</v>
      </c>
      <c r="G994" s="146">
        <v>9.8894486675093027E-2</v>
      </c>
      <c r="H994" s="146">
        <v>6.6297044869476421E-2</v>
      </c>
      <c r="I994" s="147">
        <v>10.848000000000001</v>
      </c>
      <c r="J994" s="148">
        <v>2.547212475268855</v>
      </c>
      <c r="K994" s="149">
        <v>34</v>
      </c>
      <c r="L994" s="149">
        <v>150.154</v>
      </c>
      <c r="M994" s="67"/>
      <c r="N994" s="135"/>
    </row>
    <row r="995" spans="1:14" x14ac:dyDescent="0.25">
      <c r="A995" s="142">
        <v>45008</v>
      </c>
      <c r="B995" s="81" t="s">
        <v>32</v>
      </c>
      <c r="C995" s="129" t="str">
        <f t="shared" si="31"/>
        <v>23.03.2023_BOYohSp</v>
      </c>
      <c r="D995" s="143">
        <f t="shared" si="32"/>
        <v>0</v>
      </c>
      <c r="E995" s="144">
        <v>2.136473258618244E-2</v>
      </c>
      <c r="F995" s="145">
        <v>2.0284029291311446E-2</v>
      </c>
      <c r="G995" s="146">
        <v>8.0351770423513075E-2</v>
      </c>
      <c r="H995" s="146">
        <v>5.7089121970938024E-2</v>
      </c>
      <c r="I995" s="147">
        <v>14.739000000000001</v>
      </c>
      <c r="J995" s="148">
        <v>3.4088710594002056</v>
      </c>
      <c r="K995" s="149">
        <v>33</v>
      </c>
      <c r="L995" s="149">
        <v>120.59699999999999</v>
      </c>
      <c r="M995" s="67"/>
      <c r="N995" s="135"/>
    </row>
    <row r="996" spans="1:14" x14ac:dyDescent="0.25">
      <c r="A996" s="142">
        <v>45008</v>
      </c>
      <c r="B996" s="81" t="s">
        <v>34</v>
      </c>
      <c r="C996" s="129" t="str">
        <f t="shared" si="31"/>
        <v>23.03.2023_BOYuhHa</v>
      </c>
      <c r="D996" s="143">
        <f t="shared" si="32"/>
        <v>0</v>
      </c>
      <c r="E996" s="144">
        <v>1.7803943821818703E-2</v>
      </c>
      <c r="F996" s="145">
        <v>1.4355196974161578E-2</v>
      </c>
      <c r="G996" s="146">
        <v>9.8894486675093027E-2</v>
      </c>
      <c r="H996" s="146">
        <v>6.2613875710061065E-2</v>
      </c>
      <c r="I996" s="147">
        <v>9.2539999999999996</v>
      </c>
      <c r="J996" s="148">
        <v>2.1860543544182707</v>
      </c>
      <c r="K996" s="149">
        <v>42</v>
      </c>
      <c r="L996" s="149">
        <v>217</v>
      </c>
      <c r="M996" s="67"/>
      <c r="N996" s="135"/>
    </row>
    <row r="997" spans="1:14" x14ac:dyDescent="0.25">
      <c r="A997" s="142">
        <v>45008</v>
      </c>
      <c r="B997" s="81" t="s">
        <v>36</v>
      </c>
      <c r="C997" s="129" t="str">
        <f t="shared" si="31"/>
        <v>23.03.2023_BOYuhSp</v>
      </c>
      <c r="D997" s="143">
        <f t="shared" si="32"/>
        <v>0</v>
      </c>
      <c r="E997" s="144">
        <v>1.7803943821818703E-2</v>
      </c>
      <c r="F997" s="145">
        <v>1.8071410265239059E-2</v>
      </c>
      <c r="G997" s="146">
        <v>7.2625638652021429E-2</v>
      </c>
      <c r="H997" s="146">
        <v>6.0772291130353387E-2</v>
      </c>
      <c r="I997" s="147">
        <v>12.552</v>
      </c>
      <c r="J997" s="148">
        <v>2.9100154461915442</v>
      </c>
      <c r="K997" s="149">
        <v>32</v>
      </c>
      <c r="L997" s="149">
        <v>130.935</v>
      </c>
      <c r="M997" s="67"/>
      <c r="N997" s="135"/>
    </row>
    <row r="998" spans="1:14" x14ac:dyDescent="0.25">
      <c r="A998" s="142">
        <v>45008</v>
      </c>
      <c r="B998" s="81" t="s">
        <v>38</v>
      </c>
      <c r="C998" s="129" t="str">
        <f t="shared" si="31"/>
        <v>23.03.2023_BRAob</v>
      </c>
      <c r="D998" s="143">
        <f t="shared" si="32"/>
        <v>0</v>
      </c>
      <c r="E998" s="144">
        <v>2.136473258618244E-2</v>
      </c>
      <c r="F998" s="145">
        <v>1.8466367338518589E-2</v>
      </c>
      <c r="G998" s="146">
        <v>7.571609136061809E-2</v>
      </c>
      <c r="H998" s="146">
        <v>3.1306937855030532E-2</v>
      </c>
      <c r="I998" s="147">
        <v>4.3719999999999999</v>
      </c>
      <c r="J998" s="148">
        <v>1.0558278250105702</v>
      </c>
      <c r="K998" s="149">
        <v>55</v>
      </c>
      <c r="L998" s="149">
        <v>167.15700000000001</v>
      </c>
      <c r="M998" s="67"/>
      <c r="N998" s="135"/>
    </row>
    <row r="999" spans="1:14" x14ac:dyDescent="0.25">
      <c r="A999" s="142">
        <v>45008</v>
      </c>
      <c r="B999" s="81" t="s">
        <v>41</v>
      </c>
      <c r="C999" s="129" t="str">
        <f t="shared" si="31"/>
        <v>23.03.2023_BRAohBo</v>
      </c>
      <c r="D999" s="143">
        <f t="shared" si="32"/>
        <v>0</v>
      </c>
      <c r="E999" s="144">
        <v>1.7803943821818703E-2</v>
      </c>
      <c r="F999" s="145">
        <v>2.6271435664209173E-2</v>
      </c>
      <c r="G999" s="146">
        <v>0.11125629750947967</v>
      </c>
      <c r="H999" s="146">
        <v>7.3663383188307133E-2</v>
      </c>
      <c r="I999" s="147">
        <v>11.346</v>
      </c>
      <c r="J999" s="148">
        <v>2.6715372394648154</v>
      </c>
      <c r="K999" s="149">
        <v>37</v>
      </c>
      <c r="L999" s="149">
        <v>140.14500000000001</v>
      </c>
      <c r="M999" s="67"/>
      <c r="N999" s="135"/>
    </row>
    <row r="1000" spans="1:14" x14ac:dyDescent="0.25">
      <c r="A1000" s="142">
        <v>45008</v>
      </c>
      <c r="B1000" s="81" t="s">
        <v>43</v>
      </c>
      <c r="C1000" s="129" t="str">
        <f t="shared" si="31"/>
        <v>23.03.2023_HAAob</v>
      </c>
      <c r="D1000" s="143">
        <f t="shared" si="32"/>
        <v>0</v>
      </c>
      <c r="E1000" s="144">
        <v>1.7803943821818703E-2</v>
      </c>
      <c r="F1000" s="145">
        <v>1.3669197297762465E-2</v>
      </c>
      <c r="G1000" s="146">
        <v>4.7902016983248183E-2</v>
      </c>
      <c r="H1000" s="146">
        <v>0.51011892857902685</v>
      </c>
      <c r="I1000" s="147">
        <v>2.1549999999999998</v>
      </c>
      <c r="J1000" s="148">
        <v>0.67925099497320707</v>
      </c>
      <c r="K1000" s="149">
        <v>19.419</v>
      </c>
      <c r="L1000" s="149">
        <v>146</v>
      </c>
      <c r="M1000" s="67"/>
      <c r="N1000" s="135"/>
    </row>
    <row r="1001" spans="1:14" x14ac:dyDescent="0.25">
      <c r="A1001" s="142">
        <v>45008</v>
      </c>
      <c r="B1001" s="81" t="s">
        <v>45</v>
      </c>
      <c r="C1001" s="129" t="str">
        <f t="shared" si="31"/>
        <v>23.03.2023_HAAun</v>
      </c>
      <c r="D1001" s="143">
        <f t="shared" si="32"/>
        <v>0</v>
      </c>
      <c r="E1001" s="144">
        <v>1.7803943821818703E-2</v>
      </c>
      <c r="F1001" s="145">
        <v>1.5997256941854589E-2</v>
      </c>
      <c r="G1001" s="146">
        <v>7.1080412297723106E-2</v>
      </c>
      <c r="H1001" s="146">
        <v>3.6831691594153573E-2</v>
      </c>
      <c r="I1001" s="147">
        <v>6.22</v>
      </c>
      <c r="J1001" s="148">
        <v>1.4713180378508988</v>
      </c>
      <c r="K1001" s="149">
        <v>27</v>
      </c>
      <c r="L1001" s="149">
        <v>252</v>
      </c>
      <c r="M1001" s="67"/>
      <c r="N1001" s="135"/>
    </row>
    <row r="1002" spans="1:14" x14ac:dyDescent="0.25">
      <c r="A1002" s="142">
        <v>45008</v>
      </c>
      <c r="B1002" s="81" t="s">
        <v>47</v>
      </c>
      <c r="C1002" s="129" t="str">
        <f t="shared" si="31"/>
        <v>23.03.2023_KIRob</v>
      </c>
      <c r="D1002" s="143">
        <f t="shared" si="32"/>
        <v>0</v>
      </c>
      <c r="E1002" s="144">
        <v>1.6023549439636828E-2</v>
      </c>
      <c r="F1002" s="145">
        <v>1.0948919826232768E-2</v>
      </c>
      <c r="G1002" s="146">
        <v>0.53001263952432665</v>
      </c>
      <c r="H1002" s="146">
        <v>0.11049507478246069</v>
      </c>
      <c r="I1002" s="147">
        <v>4.3449999999999998</v>
      </c>
      <c r="J1002" s="148">
        <v>1.4265948899817644</v>
      </c>
      <c r="K1002" s="149">
        <v>43</v>
      </c>
      <c r="L1002" s="149">
        <v>158.143</v>
      </c>
      <c r="M1002" s="67"/>
      <c r="N1002" s="135"/>
    </row>
    <row r="1003" spans="1:14" x14ac:dyDescent="0.25">
      <c r="A1003" s="142">
        <v>45008</v>
      </c>
      <c r="B1003" s="81" t="s">
        <v>49</v>
      </c>
      <c r="C1003" s="129" t="str">
        <f t="shared" si="31"/>
        <v>23.03.2023_KIRun</v>
      </c>
      <c r="D1003" s="143">
        <f t="shared" si="32"/>
        <v>0</v>
      </c>
      <c r="E1003" s="144">
        <v>1.6023549439636828E-2</v>
      </c>
      <c r="F1003" s="145">
        <v>1.2925111096953257E-2</v>
      </c>
      <c r="G1003" s="146">
        <v>0.23332917949904761</v>
      </c>
      <c r="H1003" s="146">
        <v>9.0237644405676234E-2</v>
      </c>
      <c r="I1003" s="147">
        <v>6.4130000000000003</v>
      </c>
      <c r="J1003" s="148">
        <v>1.6571549354285233</v>
      </c>
      <c r="K1003" s="149">
        <v>67</v>
      </c>
      <c r="L1003" s="149">
        <v>170.61600000000001</v>
      </c>
      <c r="M1003" s="67"/>
      <c r="N1003" s="135"/>
    </row>
    <row r="1004" spans="1:14" x14ac:dyDescent="0.25">
      <c r="A1004" s="142">
        <v>45008</v>
      </c>
      <c r="B1004" s="81" t="s">
        <v>50</v>
      </c>
      <c r="C1004" s="129" t="str">
        <f t="shared" si="31"/>
        <v>23.03.2023_LIEohBo</v>
      </c>
      <c r="D1004" s="143">
        <f t="shared" si="32"/>
        <v>0</v>
      </c>
      <c r="E1004" s="144">
        <v>1.6023549439636828E-2</v>
      </c>
      <c r="F1004" s="145">
        <v>2.0190743004314768E-2</v>
      </c>
      <c r="G1004" s="146">
        <v>2.9359300731668238E-2</v>
      </c>
      <c r="H1004" s="146">
        <v>4.7881199072399641E-2</v>
      </c>
      <c r="I1004" s="147">
        <v>14.69</v>
      </c>
      <c r="J1004" s="148">
        <v>3.3554049344827246</v>
      </c>
      <c r="K1004" s="149">
        <v>28.742000000000001</v>
      </c>
      <c r="L1004" s="149">
        <v>124</v>
      </c>
      <c r="M1004" s="67"/>
      <c r="N1004" s="135"/>
    </row>
    <row r="1005" spans="1:14" x14ac:dyDescent="0.25">
      <c r="A1005" s="142">
        <v>45008</v>
      </c>
      <c r="B1005" s="81" t="s">
        <v>53</v>
      </c>
      <c r="C1005" s="129" t="str">
        <f t="shared" si="31"/>
        <v>23.03.2023_NATohBo</v>
      </c>
      <c r="D1005" s="143">
        <f t="shared" si="32"/>
        <v>0</v>
      </c>
      <c r="E1005" s="144">
        <v>1.958433820400057E-2</v>
      </c>
      <c r="F1005" s="145">
        <v>1.6591931794546166E-2</v>
      </c>
      <c r="G1005" s="146">
        <v>0.20242465241308105</v>
      </c>
      <c r="H1005" s="146">
        <v>4.6039614492691956E-2</v>
      </c>
      <c r="I1005" s="147">
        <v>5.7290000000000001</v>
      </c>
      <c r="J1005" s="148">
        <v>1.4652067089845333</v>
      </c>
      <c r="K1005" s="149">
        <v>65</v>
      </c>
      <c r="L1005" s="149">
        <v>309</v>
      </c>
      <c r="M1005" s="67"/>
      <c r="N1005" s="135"/>
    </row>
    <row r="1006" spans="1:14" x14ac:dyDescent="0.25">
      <c r="A1006" s="142">
        <v>45008</v>
      </c>
      <c r="B1006" s="81" t="s">
        <v>55</v>
      </c>
      <c r="C1006" s="129" t="str">
        <f t="shared" si="31"/>
        <v>23.03.2023_QUAohBo</v>
      </c>
      <c r="D1006" s="143">
        <f t="shared" si="32"/>
        <v>0</v>
      </c>
      <c r="E1006" s="144">
        <v>1.4243155057454961E-2</v>
      </c>
      <c r="F1006" s="145">
        <v>1.3459876284790265E-2</v>
      </c>
      <c r="G1006" s="146">
        <v>3.3994979794563229E-2</v>
      </c>
      <c r="H1006" s="146">
        <v>2.7623768695615177E-2</v>
      </c>
      <c r="I1006" s="147">
        <v>5.1050000000000004</v>
      </c>
      <c r="J1006" s="148">
        <v>1.1878731682400605</v>
      </c>
      <c r="K1006" s="149">
        <v>41</v>
      </c>
      <c r="L1006" s="149">
        <v>150.548</v>
      </c>
      <c r="M1006" s="67"/>
      <c r="N1006" s="135"/>
    </row>
    <row r="1007" spans="1:14" x14ac:dyDescent="0.25">
      <c r="A1007" s="142">
        <v>45008</v>
      </c>
      <c r="B1007" s="81" t="s">
        <v>57</v>
      </c>
      <c r="C1007" s="129" t="str">
        <f t="shared" si="31"/>
        <v>23.03.2023_SCHohVo</v>
      </c>
      <c r="D1007" s="143">
        <f t="shared" si="32"/>
        <v>0</v>
      </c>
      <c r="E1007" s="144">
        <v>2.136473258618244E-2</v>
      </c>
      <c r="F1007" s="145">
        <v>1.4121295311415587E-2</v>
      </c>
      <c r="G1007" s="146">
        <v>9.2713581257899719E-2</v>
      </c>
      <c r="H1007" s="146">
        <v>4.7881199072399641E-2</v>
      </c>
      <c r="I1007" s="147">
        <v>5.056</v>
      </c>
      <c r="J1007" s="148">
        <v>1.2285673197685385</v>
      </c>
      <c r="K1007" s="149">
        <v>26</v>
      </c>
      <c r="L1007" s="149">
        <v>118.285</v>
      </c>
      <c r="M1007" s="67"/>
      <c r="N1007" s="135"/>
    </row>
    <row r="1008" spans="1:14" x14ac:dyDescent="0.25">
      <c r="A1008" s="142">
        <v>45008</v>
      </c>
      <c r="B1008" s="81" t="s">
        <v>60</v>
      </c>
      <c r="C1008" s="129" t="str">
        <f t="shared" si="31"/>
        <v>23.03.2023_VORohBo</v>
      </c>
      <c r="D1008" s="143">
        <f t="shared" si="32"/>
        <v>0</v>
      </c>
      <c r="E1008" s="144">
        <v>1.068236629309122E-2</v>
      </c>
      <c r="F1008" s="145">
        <v>1.2308842007380146E-2</v>
      </c>
      <c r="G1008" s="146">
        <v>0.21633168960176602</v>
      </c>
      <c r="H1008" s="146">
        <v>2.7623768695615177E-2</v>
      </c>
      <c r="I1008" s="147">
        <v>2.5870000000000002</v>
      </c>
      <c r="J1008" s="148">
        <v>0.76071514003825536</v>
      </c>
      <c r="K1008" s="149">
        <v>26</v>
      </c>
      <c r="L1008" s="149">
        <v>192.97399999999999</v>
      </c>
      <c r="M1008" s="67"/>
      <c r="N1008" s="135"/>
    </row>
    <row r="1009" spans="1:14" x14ac:dyDescent="0.25">
      <c r="A1009" s="142">
        <v>45008</v>
      </c>
      <c r="B1009" s="81" t="s">
        <v>62</v>
      </c>
      <c r="C1009" s="129" t="str">
        <f t="shared" si="31"/>
        <v>23.03.2023_VORuhSc</v>
      </c>
      <c r="D1009" s="143">
        <f t="shared" si="32"/>
        <v>0</v>
      </c>
      <c r="E1009" s="144">
        <v>1.7803943821818703E-2</v>
      </c>
      <c r="F1009" s="145">
        <v>1.2051144280176018E-2</v>
      </c>
      <c r="G1009" s="146">
        <v>0.12670856105246292</v>
      </c>
      <c r="H1009" s="146">
        <v>2.3940599536199817E-2</v>
      </c>
      <c r="I1009" s="147">
        <v>3.11</v>
      </c>
      <c r="J1009" s="148">
        <v>0.80813234610042295</v>
      </c>
      <c r="K1009" s="149">
        <v>26</v>
      </c>
      <c r="L1009" s="149">
        <v>186.94800000000001</v>
      </c>
      <c r="M1009" s="67"/>
      <c r="N1009" s="135"/>
    </row>
    <row r="1010" spans="1:14" x14ac:dyDescent="0.25">
      <c r="A1010" s="142">
        <v>45008</v>
      </c>
      <c r="B1010" s="81" t="s">
        <v>64</v>
      </c>
      <c r="C1010" s="129" t="str">
        <f t="shared" si="31"/>
        <v>23.03.2023_WITob</v>
      </c>
      <c r="D1010" s="143">
        <f t="shared" si="32"/>
        <v>0</v>
      </c>
      <c r="E1010" s="144">
        <v>1.2462760675273091E-2</v>
      </c>
      <c r="F1010" s="145">
        <v>1.1203465606648557E-2</v>
      </c>
      <c r="G1010" s="146">
        <v>0.11280152386377799</v>
      </c>
      <c r="H1010" s="146">
        <v>5.5247537391230365E-3</v>
      </c>
      <c r="I1010" s="147">
        <v>1.87</v>
      </c>
      <c r="J1010" s="148">
        <v>0.51164816654086098</v>
      </c>
      <c r="K1010" s="149">
        <v>66</v>
      </c>
      <c r="L1010" s="149">
        <v>288</v>
      </c>
      <c r="M1010" s="67"/>
      <c r="N1010" s="135"/>
    </row>
    <row r="1011" spans="1:14" x14ac:dyDescent="0.25">
      <c r="A1011" s="142">
        <v>45020</v>
      </c>
      <c r="B1011" s="81" t="s">
        <v>22</v>
      </c>
      <c r="C1011" s="129" t="str">
        <f t="shared" si="31"/>
        <v>04.04.2023_BOYkl</v>
      </c>
      <c r="D1011" s="143">
        <f t="shared" si="32"/>
        <v>0</v>
      </c>
      <c r="E1011" s="144">
        <v>4.3949841214599564E-2</v>
      </c>
      <c r="F1011" s="145">
        <v>4.7291647668798252E-2</v>
      </c>
      <c r="G1011" s="146">
        <v>9.2312600811812071E-2</v>
      </c>
      <c r="H1011" s="146">
        <v>5.8128867540784973E-2</v>
      </c>
      <c r="I1011" s="147">
        <v>29.849</v>
      </c>
      <c r="J1011" s="148">
        <v>6.8313707751271551</v>
      </c>
      <c r="K1011" s="149">
        <v>24.846</v>
      </c>
      <c r="L1011" s="149">
        <v>55.984000000000002</v>
      </c>
      <c r="M1011" s="67"/>
      <c r="N1011" s="135"/>
    </row>
    <row r="1012" spans="1:14" x14ac:dyDescent="0.25">
      <c r="A1012" s="142">
        <v>45020</v>
      </c>
      <c r="B1012" s="81" t="s">
        <v>25</v>
      </c>
      <c r="C1012" s="129" t="str">
        <f t="shared" si="31"/>
        <v>04.04.2023_BOYohB224</v>
      </c>
      <c r="D1012" s="143">
        <f t="shared" si="32"/>
        <v>0</v>
      </c>
      <c r="E1012" s="144">
        <v>1.3376038630530298E-2</v>
      </c>
      <c r="F1012" s="145">
        <v>2.0629394727850161E-2</v>
      </c>
      <c r="G1012" s="146">
        <v>9.3851144158675598E-2</v>
      </c>
      <c r="H1012" s="146">
        <v>4.8950625297503138E-2</v>
      </c>
      <c r="I1012" s="147">
        <v>11.968</v>
      </c>
      <c r="J1012" s="148">
        <v>2.7909896527995945</v>
      </c>
      <c r="K1012" s="149">
        <v>29</v>
      </c>
      <c r="L1012" s="149">
        <v>152.755</v>
      </c>
      <c r="M1012" s="67"/>
      <c r="N1012" s="135"/>
    </row>
    <row r="1013" spans="1:14" x14ac:dyDescent="0.25">
      <c r="A1013" s="142">
        <v>45020</v>
      </c>
      <c r="B1013" s="81" t="s">
        <v>28</v>
      </c>
      <c r="C1013" s="129" t="str">
        <f t="shared" si="31"/>
        <v>04.04.2023_BOYohBr</v>
      </c>
      <c r="D1013" s="143">
        <f t="shared" si="32"/>
        <v>0</v>
      </c>
      <c r="E1013" s="144">
        <v>3.0573802584069255E-2</v>
      </c>
      <c r="F1013" s="145">
        <v>4.5835061845330323E-2</v>
      </c>
      <c r="G1013" s="146">
        <v>6.3080277221404912E-2</v>
      </c>
      <c r="H1013" s="146">
        <v>4.2831797135315243E-2</v>
      </c>
      <c r="I1013" s="147">
        <v>21.172000000000001</v>
      </c>
      <c r="J1013" s="148">
        <v>4.8441409850974946</v>
      </c>
      <c r="K1013" s="149">
        <v>19.902999999999999</v>
      </c>
      <c r="L1013" s="149">
        <v>77.956000000000003</v>
      </c>
      <c r="M1013" s="67"/>
      <c r="N1013" s="135"/>
    </row>
    <row r="1014" spans="1:14" x14ac:dyDescent="0.25">
      <c r="A1014" s="142">
        <v>45020</v>
      </c>
      <c r="B1014" s="81" t="s">
        <v>30</v>
      </c>
      <c r="C1014" s="129" t="str">
        <f t="shared" si="31"/>
        <v>04.04.2023_BOYohKi</v>
      </c>
      <c r="D1014" s="143">
        <f t="shared" si="32"/>
        <v>0</v>
      </c>
      <c r="E1014" s="144">
        <v>2.101948927654761E-2</v>
      </c>
      <c r="F1014" s="145">
        <v>2.4370798326431919E-2</v>
      </c>
      <c r="G1014" s="146">
        <v>0.11077512097417444</v>
      </c>
      <c r="H1014" s="146">
        <v>5.2010039378597085E-2</v>
      </c>
      <c r="I1014" s="147">
        <v>12.46</v>
      </c>
      <c r="J1014" s="148">
        <v>2.9161904301740504</v>
      </c>
      <c r="K1014" s="149">
        <v>29.661999999999999</v>
      </c>
      <c r="L1014" s="149">
        <v>119.188</v>
      </c>
      <c r="M1014" s="67"/>
      <c r="N1014" s="135"/>
    </row>
    <row r="1015" spans="1:14" x14ac:dyDescent="0.25">
      <c r="A1015" s="142">
        <v>45020</v>
      </c>
      <c r="B1015" s="81" t="s">
        <v>32</v>
      </c>
      <c r="C1015" s="129" t="str">
        <f t="shared" si="31"/>
        <v>04.04.2023_BOYohSp</v>
      </c>
      <c r="D1015" s="143">
        <f t="shared" si="32"/>
        <v>0</v>
      </c>
      <c r="E1015" s="144">
        <v>1.9108626615043287E-2</v>
      </c>
      <c r="F1015" s="145">
        <v>2.9036448420216025E-2</v>
      </c>
      <c r="G1015" s="146">
        <v>0.26616799900739135</v>
      </c>
      <c r="H1015" s="146">
        <v>4.7420918256956171E-2</v>
      </c>
      <c r="I1015" s="147">
        <v>16.760999999999999</v>
      </c>
      <c r="J1015" s="148">
        <v>4.0069211581125792</v>
      </c>
      <c r="K1015" s="149">
        <v>34</v>
      </c>
      <c r="L1015" s="149">
        <v>106.727</v>
      </c>
      <c r="M1015" s="67"/>
      <c r="N1015" s="135"/>
    </row>
    <row r="1016" spans="1:14" x14ac:dyDescent="0.25">
      <c r="A1016" s="142">
        <v>45020</v>
      </c>
      <c r="B1016" s="81" t="s">
        <v>34</v>
      </c>
      <c r="C1016" s="129" t="str">
        <f t="shared" si="31"/>
        <v>04.04.2023_BOYuhHa</v>
      </c>
      <c r="D1016" s="143">
        <f t="shared" si="32"/>
        <v>0</v>
      </c>
      <c r="E1016" s="144">
        <v>9.5543133075216436E-3</v>
      </c>
      <c r="F1016" s="145">
        <v>1.9301371564501412E-2</v>
      </c>
      <c r="G1016" s="146">
        <v>8.9235514118084988E-2</v>
      </c>
      <c r="H1016" s="146">
        <v>5.5069453459691033E-2</v>
      </c>
      <c r="I1016" s="147">
        <v>12.696</v>
      </c>
      <c r="J1016" s="148">
        <v>2.9537018994633546</v>
      </c>
      <c r="K1016" s="149">
        <v>31</v>
      </c>
      <c r="L1016" s="149">
        <v>163.767</v>
      </c>
      <c r="M1016" s="67"/>
      <c r="N1016" s="135"/>
    </row>
    <row r="1017" spans="1:14" x14ac:dyDescent="0.25">
      <c r="A1017" s="142">
        <v>45020</v>
      </c>
      <c r="B1017" s="81" t="s">
        <v>36</v>
      </c>
      <c r="C1017" s="129" t="str">
        <f t="shared" si="31"/>
        <v>04.04.2023_BOYuhSp</v>
      </c>
      <c r="D1017" s="143">
        <f t="shared" si="32"/>
        <v>0</v>
      </c>
      <c r="E1017" s="144">
        <v>2.101948927654761E-2</v>
      </c>
      <c r="F1017" s="145">
        <v>2.6350801549753666E-2</v>
      </c>
      <c r="G1017" s="146">
        <v>0.10154386089299328</v>
      </c>
      <c r="H1017" s="146">
        <v>5.0480332338050111E-2</v>
      </c>
      <c r="I1017" s="147">
        <v>15.571</v>
      </c>
      <c r="J1017" s="148">
        <v>3.6112382997251196</v>
      </c>
      <c r="K1017" s="149">
        <v>30</v>
      </c>
      <c r="L1017" s="149">
        <v>116.279</v>
      </c>
      <c r="M1017" s="67"/>
      <c r="N1017" s="135"/>
    </row>
    <row r="1018" spans="1:14" x14ac:dyDescent="0.25">
      <c r="A1018" s="142">
        <v>45020</v>
      </c>
      <c r="B1018" s="81" t="s">
        <v>38</v>
      </c>
      <c r="C1018" s="129" t="str">
        <f t="shared" si="31"/>
        <v>04.04.2023_BRAob</v>
      </c>
      <c r="D1018" s="143">
        <f t="shared" si="32"/>
        <v>0</v>
      </c>
      <c r="E1018" s="144">
        <v>5.7325879845129876E-3</v>
      </c>
      <c r="F1018" s="145">
        <v>1.6348594908473728E-2</v>
      </c>
      <c r="G1018" s="146">
        <v>7.8465710690040241E-2</v>
      </c>
      <c r="H1018" s="146">
        <v>2.6005019689298543E-2</v>
      </c>
      <c r="I1018" s="147">
        <v>6.0860000000000003</v>
      </c>
      <c r="J1018" s="148">
        <v>1.4434898879381164</v>
      </c>
      <c r="K1018" s="149">
        <v>40</v>
      </c>
      <c r="L1018" s="149">
        <v>150.822</v>
      </c>
      <c r="M1018" s="67"/>
      <c r="N1018" s="135"/>
    </row>
    <row r="1019" spans="1:14" x14ac:dyDescent="0.25">
      <c r="A1019" s="142">
        <v>45020</v>
      </c>
      <c r="B1019" s="81" t="s">
        <v>41</v>
      </c>
      <c r="C1019" s="129" t="str">
        <f t="shared" si="31"/>
        <v>04.04.2023_BRAohBo</v>
      </c>
      <c r="D1019" s="143">
        <f t="shared" si="32"/>
        <v>0</v>
      </c>
      <c r="E1019" s="144">
        <v>2.4841214599556273E-2</v>
      </c>
      <c r="F1019" s="145">
        <v>2.9210655253237631E-2</v>
      </c>
      <c r="G1019" s="146">
        <v>0.70926848290408928</v>
      </c>
      <c r="H1019" s="146">
        <v>5.8128867540784987E-2</v>
      </c>
      <c r="I1019" s="147">
        <v>12.983000000000001</v>
      </c>
      <c r="J1019" s="148">
        <v>3.5009074280129884</v>
      </c>
      <c r="K1019" s="149">
        <v>30</v>
      </c>
      <c r="L1019" s="149">
        <v>118.881</v>
      </c>
      <c r="M1019" s="67"/>
      <c r="N1019" s="135"/>
    </row>
    <row r="1020" spans="1:14" x14ac:dyDescent="0.25">
      <c r="A1020" s="142">
        <v>45020</v>
      </c>
      <c r="B1020" s="81" t="s">
        <v>43</v>
      </c>
      <c r="C1020" s="129" t="str">
        <f t="shared" si="31"/>
        <v>04.04.2023_HAAob</v>
      </c>
      <c r="D1020" s="143">
        <f t="shared" si="32"/>
        <v>0</v>
      </c>
      <c r="E1020" s="144">
        <v>1.3376038630530298E-2</v>
      </c>
      <c r="F1020" s="145">
        <v>1.4398425058364235E-2</v>
      </c>
      <c r="G1020" s="146">
        <v>7.6927167343176714E-2</v>
      </c>
      <c r="H1020" s="146">
        <v>3.3653554892033408E-2</v>
      </c>
      <c r="I1020" s="147">
        <v>4.7949999999999999</v>
      </c>
      <c r="J1020" s="148">
        <v>1.1530256509571828</v>
      </c>
      <c r="K1020" s="149">
        <v>26</v>
      </c>
      <c r="L1020" s="149">
        <v>193.999</v>
      </c>
      <c r="M1020" s="67"/>
      <c r="N1020" s="135"/>
    </row>
    <row r="1021" spans="1:14" x14ac:dyDescent="0.25">
      <c r="A1021" s="142">
        <v>45020</v>
      </c>
      <c r="B1021" s="81" t="s">
        <v>45</v>
      </c>
      <c r="C1021" s="129" t="str">
        <f t="shared" si="31"/>
        <v>04.04.2023_HAAun</v>
      </c>
      <c r="D1021" s="143">
        <f t="shared" si="32"/>
        <v>0</v>
      </c>
      <c r="E1021" s="144">
        <v>1.5286901292034628E-2</v>
      </c>
      <c r="F1021" s="145">
        <v>1.6870507317982054E-2</v>
      </c>
      <c r="G1021" s="146">
        <v>0.14923870464576283</v>
      </c>
      <c r="H1021" s="146">
        <v>3.6712968973127355E-2</v>
      </c>
      <c r="I1021" s="147">
        <v>8.8460000000000001</v>
      </c>
      <c r="J1021" s="148">
        <v>2.1251056451742567</v>
      </c>
      <c r="K1021" s="149">
        <v>27</v>
      </c>
      <c r="L1021" s="149">
        <v>270.16300000000001</v>
      </c>
      <c r="M1021" s="67"/>
      <c r="N1021" s="135"/>
    </row>
    <row r="1022" spans="1:14" x14ac:dyDescent="0.25">
      <c r="A1022" s="142">
        <v>45020</v>
      </c>
      <c r="B1022" s="81" t="s">
        <v>47</v>
      </c>
      <c r="C1022" s="129" t="str">
        <f t="shared" si="31"/>
        <v>04.04.2023_KIRob</v>
      </c>
      <c r="D1022" s="143">
        <f t="shared" si="32"/>
        <v>0</v>
      </c>
      <c r="E1022" s="144">
        <v>1.9108626615043302E-3</v>
      </c>
      <c r="F1022" s="145">
        <v>9.9098021543097842E-3</v>
      </c>
      <c r="G1022" s="146">
        <v>0.84619884077494378</v>
      </c>
      <c r="H1022" s="146">
        <v>5.5069453459691033E-2</v>
      </c>
      <c r="I1022" s="147">
        <v>6.931</v>
      </c>
      <c r="J1022" s="148">
        <v>2.2393358029791388</v>
      </c>
      <c r="K1022" s="149">
        <v>61</v>
      </c>
      <c r="L1022" s="149">
        <v>175.011</v>
      </c>
      <c r="M1022" s="67"/>
      <c r="N1022" s="135"/>
    </row>
    <row r="1023" spans="1:14" x14ac:dyDescent="0.25">
      <c r="A1023" s="142">
        <v>45020</v>
      </c>
      <c r="B1023" s="81" t="s">
        <v>49</v>
      </c>
      <c r="C1023" s="129" t="str">
        <f t="shared" si="31"/>
        <v>04.04.2023_KIRun</v>
      </c>
      <c r="D1023" s="143">
        <f t="shared" si="32"/>
        <v>0</v>
      </c>
      <c r="E1023" s="144">
        <v>7.6434506460173138E-3</v>
      </c>
      <c r="F1023" s="145">
        <v>1.1064213759925097E-2</v>
      </c>
      <c r="G1023" s="146">
        <v>0.42309942038747184</v>
      </c>
      <c r="H1023" s="146">
        <v>7.8015059067895631E-2</v>
      </c>
      <c r="I1023" s="147">
        <v>6.1769999999999996</v>
      </c>
      <c r="J1023" s="148">
        <v>1.7474831436698888</v>
      </c>
      <c r="K1023" s="149">
        <v>55</v>
      </c>
      <c r="L1023" s="149">
        <v>163.08799999999999</v>
      </c>
      <c r="M1023" s="67"/>
      <c r="N1023" s="135"/>
    </row>
    <row r="1024" spans="1:14" x14ac:dyDescent="0.25">
      <c r="A1024" s="142">
        <v>45020</v>
      </c>
      <c r="B1024" s="81" t="s">
        <v>50</v>
      </c>
      <c r="C1024" s="129" t="str">
        <f t="shared" si="31"/>
        <v>04.04.2023_LIEohBo</v>
      </c>
      <c r="D1024" s="143">
        <f t="shared" si="32"/>
        <v>0</v>
      </c>
      <c r="E1024" s="144">
        <v>1.5286901292034628E-2</v>
      </c>
      <c r="F1024" s="145">
        <v>1.5857780832165016E-2</v>
      </c>
      <c r="G1024" s="146">
        <v>1.6923976815498891E-2</v>
      </c>
      <c r="H1024" s="146">
        <v>4.4361504175862217E-2</v>
      </c>
      <c r="I1024" s="147">
        <v>18.356999999999999</v>
      </c>
      <c r="J1024" s="148">
        <v>4.1729427487038073</v>
      </c>
      <c r="K1024" s="149">
        <v>27.399000000000001</v>
      </c>
      <c r="L1024" s="149">
        <v>124.887</v>
      </c>
      <c r="M1024" s="67"/>
      <c r="N1024" s="135"/>
    </row>
    <row r="1025" spans="1:14" x14ac:dyDescent="0.25">
      <c r="A1025" s="142">
        <v>45020</v>
      </c>
      <c r="B1025" s="81" t="s">
        <v>53</v>
      </c>
      <c r="C1025" s="129" t="str">
        <f t="shared" si="31"/>
        <v>04.04.2023_NATohBo</v>
      </c>
      <c r="D1025" s="143">
        <f t="shared" si="32"/>
        <v>0</v>
      </c>
      <c r="E1025" s="144">
        <v>1.3376038630530298E-2</v>
      </c>
      <c r="F1025" s="145">
        <v>1.6684793429591591E-2</v>
      </c>
      <c r="G1025" s="146">
        <v>0.11231366432103798</v>
      </c>
      <c r="H1025" s="146">
        <v>5.2010039378597085E-2</v>
      </c>
      <c r="I1025" s="147">
        <v>7.7809999999999997</v>
      </c>
      <c r="J1025" s="148">
        <v>1.8605393636974568</v>
      </c>
      <c r="K1025" s="149">
        <v>55</v>
      </c>
      <c r="L1025" s="149">
        <v>290.75099999999998</v>
      </c>
      <c r="M1025" s="67"/>
      <c r="N1025" s="135"/>
    </row>
    <row r="1026" spans="1:14" x14ac:dyDescent="0.25">
      <c r="A1026" s="142">
        <v>45020</v>
      </c>
      <c r="B1026" s="81" t="s">
        <v>55</v>
      </c>
      <c r="C1026" s="129" t="str">
        <f t="shared" si="31"/>
        <v>04.04.2023_QUAohBo</v>
      </c>
      <c r="D1026" s="143">
        <f t="shared" si="32"/>
        <v>0</v>
      </c>
      <c r="E1026" s="144">
        <v>1.3376038630530298E-2</v>
      </c>
      <c r="F1026" s="145">
        <v>1.4136556738249168E-2</v>
      </c>
      <c r="G1026" s="146">
        <v>4.923338709963309E-2</v>
      </c>
      <c r="H1026" s="146">
        <v>1.6826777446016704E-2</v>
      </c>
      <c r="I1026" s="147">
        <v>7.9560000000000004</v>
      </c>
      <c r="J1026" s="148">
        <v>1.840373865142434</v>
      </c>
      <c r="K1026" s="149">
        <v>36</v>
      </c>
      <c r="L1026" s="149">
        <v>131.221</v>
      </c>
      <c r="M1026" s="67"/>
      <c r="N1026" s="135"/>
    </row>
    <row r="1027" spans="1:14" x14ac:dyDescent="0.25">
      <c r="A1027" s="142">
        <v>45020</v>
      </c>
      <c r="B1027" s="81" t="s">
        <v>57</v>
      </c>
      <c r="C1027" s="129" t="str">
        <f t="shared" si="31"/>
        <v>04.04.2023_SCHohVo</v>
      </c>
      <c r="D1027" s="143">
        <f t="shared" si="32"/>
        <v>0</v>
      </c>
      <c r="E1027" s="144">
        <v>3.8217253230086569E-3</v>
      </c>
      <c r="F1027" s="145">
        <v>1.400108840472652E-2</v>
      </c>
      <c r="G1027" s="146">
        <v>5.6926103833950768E-2</v>
      </c>
      <c r="H1027" s="146">
        <v>2.7534726729845516E-2</v>
      </c>
      <c r="I1027" s="147">
        <v>6.5179999999999998</v>
      </c>
      <c r="J1027" s="148">
        <v>1.5248061579189256</v>
      </c>
      <c r="K1027" s="149">
        <v>19.009</v>
      </c>
      <c r="L1027" s="149">
        <v>83.823999999999998</v>
      </c>
      <c r="M1027" s="67"/>
      <c r="N1027" s="135"/>
    </row>
    <row r="1028" spans="1:14" x14ac:dyDescent="0.25">
      <c r="A1028" s="142">
        <v>45020</v>
      </c>
      <c r="B1028" s="81" t="s">
        <v>60</v>
      </c>
      <c r="C1028" s="129" t="str">
        <f t="shared" si="31"/>
        <v>04.04.2023_VORohBo</v>
      </c>
      <c r="D1028" s="143">
        <f t="shared" si="32"/>
        <v>0</v>
      </c>
      <c r="E1028" s="144">
        <v>5.7325879845129876E-3</v>
      </c>
      <c r="F1028" s="145">
        <v>1.2275757391383035E-2</v>
      </c>
      <c r="G1028" s="146">
        <v>0.22924295868266661</v>
      </c>
      <c r="H1028" s="146">
        <v>2.4475312648751569E-2</v>
      </c>
      <c r="I1028" s="147">
        <v>5.1230000000000002</v>
      </c>
      <c r="J1028" s="148">
        <v>1.3425883839234163</v>
      </c>
      <c r="K1028" s="149">
        <v>24</v>
      </c>
      <c r="L1028" s="149">
        <v>165.905</v>
      </c>
      <c r="M1028" s="67"/>
      <c r="N1028" s="135"/>
    </row>
    <row r="1029" spans="1:14" x14ac:dyDescent="0.25">
      <c r="A1029" s="142">
        <v>45020</v>
      </c>
      <c r="B1029" s="81" t="s">
        <v>62</v>
      </c>
      <c r="C1029" s="129" t="str">
        <f t="shared" ref="C1029:C1092" si="33">CONCATENATE(TEXT(A1029,"TT.MM.JJJJ"),"_",B1029)</f>
        <v>04.04.2023_VORuhSc</v>
      </c>
      <c r="D1029" s="143">
        <f t="shared" ref="D1029:D1092" si="34">COUNTBLANK(E1029:L1029)</f>
        <v>0</v>
      </c>
      <c r="E1029" s="144">
        <v>0</v>
      </c>
      <c r="F1029" s="145">
        <v>1.2425485928482317E-2</v>
      </c>
      <c r="G1029" s="146">
        <v>0.11231366432103798</v>
      </c>
      <c r="H1029" s="146">
        <v>2.2945605608204595E-2</v>
      </c>
      <c r="I1029" s="147">
        <v>5.9969999999999999</v>
      </c>
      <c r="J1029" s="148">
        <v>1.4487386168360608</v>
      </c>
      <c r="K1029" s="149">
        <v>27.46</v>
      </c>
      <c r="L1029" s="149">
        <v>152.048</v>
      </c>
      <c r="M1029" s="67"/>
      <c r="N1029" s="135"/>
    </row>
    <row r="1030" spans="1:14" x14ac:dyDescent="0.25">
      <c r="A1030" s="142">
        <v>45020</v>
      </c>
      <c r="B1030" s="81" t="s">
        <v>64</v>
      </c>
      <c r="C1030" s="129" t="str">
        <f t="shared" si="33"/>
        <v>04.04.2023_WITob</v>
      </c>
      <c r="D1030" s="143">
        <f t="shared" si="34"/>
        <v>0</v>
      </c>
      <c r="E1030" s="144">
        <v>9.5543133075216436E-3</v>
      </c>
      <c r="F1030" s="145">
        <v>1.0593543031270835E-2</v>
      </c>
      <c r="G1030" s="146">
        <v>4.923338709963309E-2</v>
      </c>
      <c r="H1030" s="146">
        <v>9.1782422432818405E-3</v>
      </c>
      <c r="I1030" s="147">
        <v>2.7410000000000001</v>
      </c>
      <c r="J1030" s="148">
        <v>0.66013321859996121</v>
      </c>
      <c r="K1030" s="149">
        <v>68</v>
      </c>
      <c r="L1030" s="149">
        <v>328.18799999999999</v>
      </c>
      <c r="M1030" s="67"/>
      <c r="N1030" s="135"/>
    </row>
    <row r="1031" spans="1:14" x14ac:dyDescent="0.25">
      <c r="A1031" s="142">
        <v>45036</v>
      </c>
      <c r="B1031" s="81" t="s">
        <v>22</v>
      </c>
      <c r="C1031" s="129" t="str">
        <f t="shared" si="33"/>
        <v>20.04.2023_BOYkl</v>
      </c>
      <c r="D1031" s="143">
        <f t="shared" si="34"/>
        <v>0</v>
      </c>
      <c r="E1031" s="144">
        <v>9.119377162629759E-2</v>
      </c>
      <c r="F1031" s="145">
        <v>3.6886046007641352E-2</v>
      </c>
      <c r="G1031" s="146">
        <v>6.318331114070129E-2</v>
      </c>
      <c r="H1031" s="146">
        <v>5.5055535062912421E-2</v>
      </c>
      <c r="I1031" s="147">
        <v>22</v>
      </c>
      <c r="J1031" s="148">
        <v>5.0349628669175468</v>
      </c>
      <c r="K1031" s="149">
        <v>25.274000000000001</v>
      </c>
      <c r="L1031" s="149">
        <v>55.981000000000002</v>
      </c>
      <c r="M1031" s="67"/>
      <c r="N1031" s="135"/>
    </row>
    <row r="1032" spans="1:14" x14ac:dyDescent="0.25">
      <c r="A1032" s="142">
        <v>45036</v>
      </c>
      <c r="B1032" s="81" t="s">
        <v>25</v>
      </c>
      <c r="C1032" s="129" t="str">
        <f t="shared" si="33"/>
        <v>20.04.2023_BOYohB224</v>
      </c>
      <c r="D1032" s="143">
        <f t="shared" si="34"/>
        <v>0</v>
      </c>
      <c r="E1032" s="144">
        <v>9.119377162629759E-2</v>
      </c>
      <c r="F1032" s="145">
        <v>1.3155269428740287E-2</v>
      </c>
      <c r="G1032" s="146">
        <v>0.10479183311140702</v>
      </c>
      <c r="H1032" s="146">
        <v>4.6362555842452566E-2</v>
      </c>
      <c r="I1032" s="147">
        <v>6.0629999999999997</v>
      </c>
      <c r="J1032" s="148">
        <v>1.4649347006189108</v>
      </c>
      <c r="K1032" s="149">
        <v>31</v>
      </c>
      <c r="L1032" s="149">
        <v>171.26599999999999</v>
      </c>
      <c r="M1032" s="67"/>
      <c r="N1032" s="135"/>
    </row>
    <row r="1033" spans="1:14" x14ac:dyDescent="0.25">
      <c r="A1033" s="142">
        <v>45036</v>
      </c>
      <c r="B1033" s="81" t="s">
        <v>28</v>
      </c>
      <c r="C1033" s="129" t="str">
        <f t="shared" si="33"/>
        <v>20.04.2023_BOYohBr</v>
      </c>
      <c r="D1033" s="143">
        <f t="shared" si="34"/>
        <v>0</v>
      </c>
      <c r="E1033" s="144">
        <v>2.6055363321799328E-2</v>
      </c>
      <c r="F1033" s="145">
        <v>2.0483686699249593E-2</v>
      </c>
      <c r="G1033" s="146">
        <v>6.7806480248557482E-2</v>
      </c>
      <c r="H1033" s="146">
        <v>6.5197344153448911E-2</v>
      </c>
      <c r="I1033" s="147">
        <v>14.567</v>
      </c>
      <c r="J1033" s="148">
        <v>3.3627486752757201</v>
      </c>
      <c r="K1033" s="149">
        <v>23.507999999999999</v>
      </c>
      <c r="L1033" s="149">
        <v>80.058000000000007</v>
      </c>
      <c r="M1033" s="67"/>
      <c r="N1033" s="135"/>
    </row>
    <row r="1034" spans="1:14" x14ac:dyDescent="0.25">
      <c r="A1034" s="142">
        <v>45036</v>
      </c>
      <c r="B1034" s="81" t="s">
        <v>30</v>
      </c>
      <c r="C1034" s="129" t="str">
        <f t="shared" si="33"/>
        <v>20.04.2023_BOYohKi</v>
      </c>
      <c r="D1034" s="143">
        <f t="shared" si="34"/>
        <v>0</v>
      </c>
      <c r="E1034" s="144">
        <v>8.6851211072664428E-3</v>
      </c>
      <c r="F1034" s="145">
        <v>1.5515259911413951E-2</v>
      </c>
      <c r="G1034" s="146">
        <v>0.15256458055925434</v>
      </c>
      <c r="H1034" s="146">
        <v>5.0709045452682497E-2</v>
      </c>
      <c r="I1034" s="147">
        <v>8.7620000000000005</v>
      </c>
      <c r="J1034" s="148">
        <v>2.1129761800465245</v>
      </c>
      <c r="K1034" s="149">
        <v>34</v>
      </c>
      <c r="L1034" s="149">
        <v>157.10599999999999</v>
      </c>
      <c r="M1034" s="67"/>
      <c r="N1034" s="135"/>
    </row>
    <row r="1035" spans="1:14" x14ac:dyDescent="0.25">
      <c r="A1035" s="142">
        <v>45036</v>
      </c>
      <c r="B1035" s="81" t="s">
        <v>32</v>
      </c>
      <c r="C1035" s="129" t="str">
        <f t="shared" si="33"/>
        <v>20.04.2023_BOYohSp</v>
      </c>
      <c r="D1035" s="143">
        <f t="shared" si="34"/>
        <v>0</v>
      </c>
      <c r="E1035" s="144">
        <v>5.2110726643598629E-2</v>
      </c>
      <c r="F1035" s="145">
        <v>1.948560926618936E-2</v>
      </c>
      <c r="G1035" s="146">
        <v>8.0134931202840654E-2</v>
      </c>
      <c r="H1035" s="146">
        <v>5.3606705192835787E-2</v>
      </c>
      <c r="I1035" s="147">
        <v>11.558999999999999</v>
      </c>
      <c r="J1035" s="148">
        <v>2.6893758641256524</v>
      </c>
      <c r="K1035" s="149">
        <v>34</v>
      </c>
      <c r="L1035" s="149">
        <v>121.93899999999999</v>
      </c>
      <c r="M1035" s="67"/>
      <c r="N1035" s="135"/>
    </row>
    <row r="1036" spans="1:14" x14ac:dyDescent="0.25">
      <c r="A1036" s="142">
        <v>45036</v>
      </c>
      <c r="B1036" s="81" t="s">
        <v>34</v>
      </c>
      <c r="C1036" s="129" t="str">
        <f t="shared" si="33"/>
        <v>20.04.2023_BOYuhHa</v>
      </c>
      <c r="D1036" s="143">
        <f t="shared" si="34"/>
        <v>0</v>
      </c>
      <c r="E1036" s="144">
        <v>6.5138408304498296E-2</v>
      </c>
      <c r="F1036" s="145">
        <v>1.2505180807989369E-2</v>
      </c>
      <c r="G1036" s="146">
        <v>0.10787394584997782</v>
      </c>
      <c r="H1036" s="146">
        <v>5.3606705192835787E-2</v>
      </c>
      <c r="I1036" s="147">
        <v>7.5979999999999999</v>
      </c>
      <c r="J1036" s="148">
        <v>1.8162438616090082</v>
      </c>
      <c r="K1036" s="149">
        <v>42</v>
      </c>
      <c r="L1036" s="149">
        <v>285.923</v>
      </c>
      <c r="M1036" s="67"/>
      <c r="N1036" s="135"/>
    </row>
    <row r="1037" spans="1:14" x14ac:dyDescent="0.25">
      <c r="A1037" s="142">
        <v>45036</v>
      </c>
      <c r="B1037" s="81" t="s">
        <v>36</v>
      </c>
      <c r="C1037" s="129" t="str">
        <f t="shared" si="33"/>
        <v>20.04.2023_BOYuhSp</v>
      </c>
      <c r="D1037" s="143">
        <f t="shared" si="34"/>
        <v>0</v>
      </c>
      <c r="E1037" s="144">
        <v>3.4740484429065743E-2</v>
      </c>
      <c r="F1037" s="145">
        <v>1.790813935375889E-2</v>
      </c>
      <c r="G1037" s="146">
        <v>0.10170972037283622</v>
      </c>
      <c r="H1037" s="146">
        <v>4.6362555842452566E-2</v>
      </c>
      <c r="I1037" s="147">
        <v>9.2759999999999998</v>
      </c>
      <c r="J1037" s="148">
        <v>2.1882617808985381</v>
      </c>
      <c r="K1037" s="149">
        <v>28</v>
      </c>
      <c r="L1037" s="149">
        <v>116.98</v>
      </c>
      <c r="M1037" s="67"/>
      <c r="N1037" s="135"/>
    </row>
    <row r="1038" spans="1:14" x14ac:dyDescent="0.25">
      <c r="A1038" s="142">
        <v>45036</v>
      </c>
      <c r="B1038" s="81" t="s">
        <v>38</v>
      </c>
      <c r="C1038" s="129" t="str">
        <f t="shared" si="33"/>
        <v>20.04.2023_BRAob</v>
      </c>
      <c r="D1038" s="143">
        <f t="shared" si="34"/>
        <v>0</v>
      </c>
      <c r="E1038" s="144">
        <v>4.3425605536332214E-3</v>
      </c>
      <c r="F1038" s="145">
        <v>1.6838424860314102E-2</v>
      </c>
      <c r="G1038" s="146">
        <v>0.10325077674212163</v>
      </c>
      <c r="H1038" s="146">
        <v>2.4630107791302928E-2</v>
      </c>
      <c r="I1038" s="147">
        <v>2.7010000000000001</v>
      </c>
      <c r="J1038" s="148">
        <v>0.69774670194955213</v>
      </c>
      <c r="K1038" s="149">
        <v>45</v>
      </c>
      <c r="L1038" s="149">
        <v>164.11799999999999</v>
      </c>
      <c r="M1038" s="67"/>
      <c r="N1038" s="135"/>
    </row>
    <row r="1039" spans="1:14" x14ac:dyDescent="0.25">
      <c r="A1039" s="142">
        <v>45036</v>
      </c>
      <c r="B1039" s="81" t="s">
        <v>41</v>
      </c>
      <c r="C1039" s="129" t="str">
        <f t="shared" si="33"/>
        <v>20.04.2023_BRAohBo</v>
      </c>
      <c r="D1039" s="143">
        <f t="shared" si="34"/>
        <v>0</v>
      </c>
      <c r="E1039" s="144">
        <v>1.7370242214532886E-2</v>
      </c>
      <c r="F1039" s="145">
        <v>2.0196163934457358E-2</v>
      </c>
      <c r="G1039" s="146">
        <v>8.0134931202840654E-2</v>
      </c>
      <c r="H1039" s="146">
        <v>6.5197344153448911E-2</v>
      </c>
      <c r="I1039" s="147">
        <v>7.1150000000000002</v>
      </c>
      <c r="J1039" s="148">
        <v>1.6891383541572111</v>
      </c>
      <c r="K1039" s="149">
        <v>37</v>
      </c>
      <c r="L1039" s="149">
        <v>137.54300000000001</v>
      </c>
      <c r="M1039" s="67"/>
      <c r="N1039" s="135"/>
    </row>
    <row r="1040" spans="1:14" x14ac:dyDescent="0.25">
      <c r="A1040" s="142">
        <v>45036</v>
      </c>
      <c r="B1040" s="81" t="s">
        <v>43</v>
      </c>
      <c r="C1040" s="129" t="str">
        <f t="shared" si="33"/>
        <v>20.04.2023_HAAob</v>
      </c>
      <c r="D1040" s="143">
        <f t="shared" si="34"/>
        <v>0</v>
      </c>
      <c r="E1040" s="144">
        <v>1.7370242214532886E-2</v>
      </c>
      <c r="F1040" s="145">
        <v>1.3716791647947583E-2</v>
      </c>
      <c r="G1040" s="146">
        <v>7.2429649356413689E-2</v>
      </c>
      <c r="H1040" s="146">
        <v>2.6078937661379566E-2</v>
      </c>
      <c r="I1040" s="147">
        <v>2.25</v>
      </c>
      <c r="J1040" s="148">
        <v>0.5723881309997686</v>
      </c>
      <c r="K1040" s="149">
        <v>24.256</v>
      </c>
      <c r="L1040" s="149">
        <v>174.161</v>
      </c>
      <c r="M1040" s="67"/>
      <c r="N1040" s="135"/>
    </row>
    <row r="1041" spans="1:14" x14ac:dyDescent="0.25">
      <c r="A1041" s="142">
        <v>45036</v>
      </c>
      <c r="B1041" s="81" t="s">
        <v>45</v>
      </c>
      <c r="C1041" s="129" t="str">
        <f t="shared" si="33"/>
        <v>20.04.2023_HAAun</v>
      </c>
      <c r="D1041" s="143">
        <f t="shared" si="34"/>
        <v>0</v>
      </c>
      <c r="E1041" s="144">
        <v>1.7370242214532886E-2</v>
      </c>
      <c r="F1041" s="145">
        <v>1.5985659405763523E-2</v>
      </c>
      <c r="G1041" s="146">
        <v>0.14640035508211274</v>
      </c>
      <c r="H1041" s="146">
        <v>2.752776753145621E-2</v>
      </c>
      <c r="I1041" s="147">
        <v>4.548</v>
      </c>
      <c r="J1041" s="148">
        <v>1.1493160005426615</v>
      </c>
      <c r="K1041" s="149">
        <v>29</v>
      </c>
      <c r="L1041" s="149">
        <v>273.92200000000003</v>
      </c>
      <c r="M1041" s="67"/>
      <c r="N1041" s="135"/>
    </row>
    <row r="1042" spans="1:14" x14ac:dyDescent="0.25">
      <c r="A1042" s="142">
        <v>45036</v>
      </c>
      <c r="B1042" s="81" t="s">
        <v>47</v>
      </c>
      <c r="C1042" s="129" t="str">
        <f t="shared" si="33"/>
        <v>20.04.2023_KIRob</v>
      </c>
      <c r="D1042" s="143">
        <f t="shared" si="34"/>
        <v>0</v>
      </c>
      <c r="E1042" s="144">
        <v>4.3425605536332214E-3</v>
      </c>
      <c r="F1042" s="145">
        <v>9.5599771097607585E-3</v>
      </c>
      <c r="G1042" s="146">
        <v>0.50238437638703948</v>
      </c>
      <c r="H1042" s="146">
        <v>0.13619000778720441</v>
      </c>
      <c r="I1042" s="147">
        <v>5.883</v>
      </c>
      <c r="J1042" s="148">
        <v>1.7603527022915868</v>
      </c>
      <c r="K1042" s="149">
        <v>53</v>
      </c>
      <c r="L1042" s="149">
        <v>164.9</v>
      </c>
      <c r="M1042" s="67"/>
      <c r="N1042" s="135"/>
    </row>
    <row r="1043" spans="1:14" x14ac:dyDescent="0.25">
      <c r="A1043" s="142">
        <v>45036</v>
      </c>
      <c r="B1043" s="81" t="s">
        <v>49</v>
      </c>
      <c r="C1043" s="129" t="str">
        <f t="shared" si="33"/>
        <v>20.04.2023_KIRun</v>
      </c>
      <c r="D1043" s="143">
        <f t="shared" si="34"/>
        <v>0</v>
      </c>
      <c r="E1043" s="144">
        <v>1.3027681660899664E-2</v>
      </c>
      <c r="F1043" s="145">
        <v>1.1130922997057195E-2</v>
      </c>
      <c r="G1043" s="146">
        <v>0.19879627163781624</v>
      </c>
      <c r="H1043" s="146">
        <v>8.9827451944751849E-2</v>
      </c>
      <c r="I1043" s="147">
        <v>5.7770000000000001</v>
      </c>
      <c r="J1043" s="148">
        <v>1.4865622747086276</v>
      </c>
      <c r="K1043" s="149">
        <v>53</v>
      </c>
      <c r="L1043" s="149">
        <v>165.93299999999999</v>
      </c>
      <c r="M1043" s="67"/>
      <c r="N1043" s="135"/>
    </row>
    <row r="1044" spans="1:14" x14ac:dyDescent="0.25">
      <c r="A1044" s="142">
        <v>45036</v>
      </c>
      <c r="B1044" s="81" t="s">
        <v>50</v>
      </c>
      <c r="C1044" s="129" t="str">
        <f t="shared" si="33"/>
        <v>20.04.2023_LIEohBo</v>
      </c>
      <c r="D1044" s="143">
        <f t="shared" si="34"/>
        <v>0</v>
      </c>
      <c r="E1044" s="144">
        <v>6.9480968858131487E-2</v>
      </c>
      <c r="F1044" s="145">
        <v>1.6662547415999901E-2</v>
      </c>
      <c r="G1044" s="146">
        <v>5.2395916555703498E-2</v>
      </c>
      <c r="H1044" s="146">
        <v>2.8976597401532855E-2</v>
      </c>
      <c r="I1044" s="147">
        <v>15.872</v>
      </c>
      <c r="J1044" s="148">
        <v>3.6345154703252347</v>
      </c>
      <c r="K1044" s="149">
        <v>24</v>
      </c>
      <c r="L1044" s="149">
        <v>126.485</v>
      </c>
      <c r="M1044" s="67"/>
      <c r="N1044" s="135"/>
    </row>
    <row r="1045" spans="1:14" x14ac:dyDescent="0.25">
      <c r="A1045" s="142">
        <v>45036</v>
      </c>
      <c r="B1045" s="81" t="s">
        <v>53</v>
      </c>
      <c r="C1045" s="129" t="str">
        <f t="shared" si="33"/>
        <v>20.04.2023_NATohBo</v>
      </c>
      <c r="D1045" s="143">
        <f t="shared" si="34"/>
        <v>0</v>
      </c>
      <c r="E1045" s="144">
        <v>9.5536332179930808E-2</v>
      </c>
      <c r="F1045" s="145">
        <v>3.5060744750439389E-2</v>
      </c>
      <c r="G1045" s="146">
        <v>0.44536529072347986</v>
      </c>
      <c r="H1045" s="146">
        <v>6.6646174023525559E-2</v>
      </c>
      <c r="I1045" s="147">
        <v>18.181000000000001</v>
      </c>
      <c r="J1045" s="148">
        <v>4.4726545922753367</v>
      </c>
      <c r="K1045" s="149">
        <v>111</v>
      </c>
      <c r="L1045" s="149">
        <v>1330.2280000000001</v>
      </c>
      <c r="M1045" s="67"/>
      <c r="N1045" s="135"/>
    </row>
    <row r="1046" spans="1:14" x14ac:dyDescent="0.25">
      <c r="A1046" s="142">
        <v>45036</v>
      </c>
      <c r="B1046" s="81" t="s">
        <v>55</v>
      </c>
      <c r="C1046" s="129" t="str">
        <f t="shared" si="33"/>
        <v>20.04.2023_QUAohBo</v>
      </c>
      <c r="D1046" s="143">
        <f t="shared" si="34"/>
        <v>0</v>
      </c>
      <c r="E1046" s="144">
        <v>6.0795847750865072E-2</v>
      </c>
      <c r="F1046" s="145">
        <v>1.3489955758601914E-2</v>
      </c>
      <c r="G1046" s="146">
        <v>5.0854860186418105E-2</v>
      </c>
      <c r="H1046" s="146">
        <v>1.1590638960613141E-2</v>
      </c>
      <c r="I1046" s="147">
        <v>2.7149999999999999</v>
      </c>
      <c r="J1046" s="148">
        <v>0.65625411041771042</v>
      </c>
      <c r="K1046" s="149">
        <v>32</v>
      </c>
      <c r="L1046" s="149">
        <v>144.4</v>
      </c>
      <c r="M1046" s="67"/>
      <c r="N1046" s="135"/>
    </row>
    <row r="1047" spans="1:14" x14ac:dyDescent="0.25">
      <c r="A1047" s="142">
        <v>45036</v>
      </c>
      <c r="B1047" s="81" t="s">
        <v>57</v>
      </c>
      <c r="C1047" s="129" t="str">
        <f t="shared" si="33"/>
        <v>20.04.2023_SCHohVo</v>
      </c>
      <c r="D1047" s="143">
        <f t="shared" si="34"/>
        <v>0</v>
      </c>
      <c r="E1047" s="144">
        <v>5.2110726643598629E-2</v>
      </c>
      <c r="F1047" s="145">
        <v>1.3729023594998E-2</v>
      </c>
      <c r="G1047" s="146">
        <v>0.10170972037283622</v>
      </c>
      <c r="H1047" s="146">
        <v>1.8834788310996355E-2</v>
      </c>
      <c r="I1047" s="147">
        <v>2.496</v>
      </c>
      <c r="J1047" s="148">
        <v>0.6484823520735864</v>
      </c>
      <c r="K1047" s="149">
        <v>18.606999999999999</v>
      </c>
      <c r="L1047" s="149">
        <v>106.955</v>
      </c>
      <c r="M1047" s="67"/>
      <c r="N1047" s="135"/>
    </row>
    <row r="1048" spans="1:14" x14ac:dyDescent="0.25">
      <c r="A1048" s="142">
        <v>45036</v>
      </c>
      <c r="B1048" s="81" t="s">
        <v>60</v>
      </c>
      <c r="C1048" s="129" t="str">
        <f t="shared" si="33"/>
        <v>20.04.2023_VORohBo</v>
      </c>
      <c r="D1048" s="143">
        <f t="shared" si="34"/>
        <v>0</v>
      </c>
      <c r="E1048" s="144">
        <v>3.9083044982698961E-2</v>
      </c>
      <c r="F1048" s="145">
        <v>1.2846585587575118E-2</v>
      </c>
      <c r="G1048" s="146">
        <v>0.34981979582778522</v>
      </c>
      <c r="H1048" s="146">
        <v>2.3181277921226283E-2</v>
      </c>
      <c r="I1048" s="147">
        <v>2.7170000000000001</v>
      </c>
      <c r="J1048" s="148">
        <v>0.89237790332543421</v>
      </c>
      <c r="K1048" s="149">
        <v>31</v>
      </c>
      <c r="L1048" s="149">
        <v>223.37299999999999</v>
      </c>
      <c r="M1048" s="67"/>
      <c r="N1048" s="135"/>
    </row>
    <row r="1049" spans="1:14" x14ac:dyDescent="0.25">
      <c r="A1049" s="142">
        <v>45036</v>
      </c>
      <c r="B1049" s="81" t="s">
        <v>62</v>
      </c>
      <c r="C1049" s="129" t="str">
        <f t="shared" si="33"/>
        <v>20.04.2023_VORuhSc</v>
      </c>
      <c r="D1049" s="143">
        <f t="shared" si="34"/>
        <v>0</v>
      </c>
      <c r="E1049" s="144">
        <v>2.6055363321799328E-2</v>
      </c>
      <c r="F1049" s="145">
        <v>1.0644753508178338E-2</v>
      </c>
      <c r="G1049" s="146">
        <v>0.16181091877496673</v>
      </c>
      <c r="H1049" s="146">
        <v>1.7385958440919714E-2</v>
      </c>
      <c r="I1049" s="147">
        <v>2.1360000000000001</v>
      </c>
      <c r="J1049" s="148">
        <v>0.6133960353669119</v>
      </c>
      <c r="K1049" s="149">
        <v>22.344999999999999</v>
      </c>
      <c r="L1049" s="149">
        <v>184.52199999999999</v>
      </c>
      <c r="M1049" s="67"/>
      <c r="N1049" s="135"/>
    </row>
    <row r="1050" spans="1:14" x14ac:dyDescent="0.25">
      <c r="A1050" s="142">
        <v>45036</v>
      </c>
      <c r="B1050" s="81" t="s">
        <v>64</v>
      </c>
      <c r="C1050" s="129" t="str">
        <f t="shared" si="33"/>
        <v>20.04.2023_WITob</v>
      </c>
      <c r="D1050" s="143">
        <f t="shared" si="34"/>
        <v>0</v>
      </c>
      <c r="E1050" s="144">
        <v>3.4740484429065743E-2</v>
      </c>
      <c r="F1050" s="145">
        <v>1.0829620089404595E-2</v>
      </c>
      <c r="G1050" s="146">
        <v>0.16335197514425212</v>
      </c>
      <c r="H1050" s="146">
        <v>4.3464896102299267E-3</v>
      </c>
      <c r="I1050" s="147">
        <v>1.4610000000000001</v>
      </c>
      <c r="J1050" s="148">
        <v>0.45816053394159484</v>
      </c>
      <c r="K1050" s="149">
        <v>66</v>
      </c>
      <c r="L1050" s="149">
        <v>288.20100000000002</v>
      </c>
      <c r="M1050" s="67"/>
      <c r="N1050" s="135"/>
    </row>
    <row r="1051" spans="1:14" x14ac:dyDescent="0.25">
      <c r="A1051" s="142">
        <v>45050</v>
      </c>
      <c r="B1051" s="81" t="s">
        <v>22</v>
      </c>
      <c r="C1051" s="129" t="str">
        <f t="shared" si="33"/>
        <v>04.05.2023_BOYkl</v>
      </c>
      <c r="D1051" s="143">
        <f t="shared" si="34"/>
        <v>0</v>
      </c>
      <c r="E1051" s="144">
        <v>0.10142416574410881</v>
      </c>
      <c r="F1051" s="145">
        <v>3.4048961428021537E-2</v>
      </c>
      <c r="G1051" s="146">
        <v>0.12667464463967781</v>
      </c>
      <c r="H1051" s="146">
        <v>7.8735320686540211E-2</v>
      </c>
      <c r="I1051" s="147">
        <v>22.771999999999998</v>
      </c>
      <c r="J1051" s="148">
        <v>5.26584420319928</v>
      </c>
      <c r="K1051" s="149">
        <v>26.358000000000001</v>
      </c>
      <c r="L1051" s="149">
        <v>55</v>
      </c>
      <c r="M1051" s="67"/>
      <c r="N1051" s="135"/>
    </row>
    <row r="1052" spans="1:14" x14ac:dyDescent="0.25">
      <c r="A1052" s="142">
        <v>45050</v>
      </c>
      <c r="B1052" s="81" t="s">
        <v>25</v>
      </c>
      <c r="C1052" s="129" t="str">
        <f t="shared" si="33"/>
        <v>04.05.2023_BOYohB224</v>
      </c>
      <c r="D1052" s="143">
        <f t="shared" si="34"/>
        <v>0</v>
      </c>
      <c r="E1052" s="144">
        <v>6.2521746006642412E-2</v>
      </c>
      <c r="F1052" s="145">
        <v>1.6258922621186306E-2</v>
      </c>
      <c r="G1052" s="146">
        <v>0.12667464463967781</v>
      </c>
      <c r="H1052" s="146">
        <v>4.2946538556294635E-2</v>
      </c>
      <c r="I1052" s="147">
        <v>3.0030000000000001</v>
      </c>
      <c r="J1052" s="148">
        <v>0.78972427847972737</v>
      </c>
      <c r="K1052" s="149">
        <v>27.879000000000001</v>
      </c>
      <c r="L1052" s="149">
        <v>185</v>
      </c>
      <c r="M1052" s="67"/>
      <c r="N1052" s="135"/>
    </row>
    <row r="1053" spans="1:14" x14ac:dyDescent="0.25">
      <c r="A1053" s="142">
        <v>45050</v>
      </c>
      <c r="B1053" s="81" t="s">
        <v>28</v>
      </c>
      <c r="C1053" s="129" t="str">
        <f t="shared" si="33"/>
        <v>04.05.2023_BOYohBr</v>
      </c>
      <c r="D1053" s="143">
        <f t="shared" si="34"/>
        <v>0</v>
      </c>
      <c r="E1053" s="144">
        <v>2.6398070536137918E-2</v>
      </c>
      <c r="F1053" s="145">
        <v>2.4898720270467245E-2</v>
      </c>
      <c r="G1053" s="146">
        <v>9.373923703336158E-2</v>
      </c>
      <c r="H1053" s="146">
        <v>3.9367660343270078E-2</v>
      </c>
      <c r="I1053" s="147">
        <v>11.226000000000001</v>
      </c>
      <c r="J1053" s="148">
        <v>2.6203896843555432</v>
      </c>
      <c r="K1053" s="149">
        <v>23.242000000000001</v>
      </c>
      <c r="L1053" s="149">
        <v>93</v>
      </c>
      <c r="M1053" s="67"/>
      <c r="N1053" s="135"/>
    </row>
    <row r="1054" spans="1:14" x14ac:dyDescent="0.25">
      <c r="A1054" s="142">
        <v>45050</v>
      </c>
      <c r="B1054" s="81" t="s">
        <v>30</v>
      </c>
      <c r="C1054" s="129" t="str">
        <f t="shared" si="33"/>
        <v>04.05.2023_BOYohKi</v>
      </c>
      <c r="D1054" s="143">
        <f t="shared" si="34"/>
        <v>0</v>
      </c>
      <c r="E1054" s="144">
        <v>2.7787442669618852E-2</v>
      </c>
      <c r="F1054" s="145">
        <v>1.0410657425629031E-2</v>
      </c>
      <c r="G1054" s="146">
        <v>0.11907416596129712</v>
      </c>
      <c r="H1054" s="146">
        <v>1.0736634639073647E-2</v>
      </c>
      <c r="I1054" s="147">
        <v>4.9909999999999997</v>
      </c>
      <c r="J1054" s="148">
        <v>1.2230458375431532</v>
      </c>
      <c r="K1054" s="149">
        <v>33.966000000000001</v>
      </c>
      <c r="L1054" s="149">
        <v>146</v>
      </c>
      <c r="M1054" s="67"/>
      <c r="N1054" s="135"/>
    </row>
    <row r="1055" spans="1:14" x14ac:dyDescent="0.25">
      <c r="A1055" s="142">
        <v>45050</v>
      </c>
      <c r="B1055" s="81" t="s">
        <v>32</v>
      </c>
      <c r="C1055" s="129" t="str">
        <f t="shared" si="33"/>
        <v>04.05.2023_BOYohSp</v>
      </c>
      <c r="D1055" s="143">
        <f t="shared" si="34"/>
        <v>0</v>
      </c>
      <c r="E1055" s="144">
        <v>6.252174600664237E-2</v>
      </c>
      <c r="F1055" s="145">
        <v>1.9018892325014174E-2</v>
      </c>
      <c r="G1055" s="146">
        <v>9.627272992615514E-2</v>
      </c>
      <c r="H1055" s="146">
        <v>2.5052147491171874E-2</v>
      </c>
      <c r="I1055" s="147">
        <v>5.5670000000000002</v>
      </c>
      <c r="J1055" s="148">
        <v>1.3398002283640476</v>
      </c>
      <c r="K1055" s="149">
        <v>24.645</v>
      </c>
      <c r="L1055" s="149">
        <v>110</v>
      </c>
      <c r="M1055" s="67"/>
      <c r="N1055" s="135"/>
    </row>
    <row r="1056" spans="1:14" x14ac:dyDescent="0.25">
      <c r="A1056" s="142">
        <v>45050</v>
      </c>
      <c r="B1056" s="81" t="s">
        <v>34</v>
      </c>
      <c r="C1056" s="129" t="str">
        <f t="shared" si="33"/>
        <v>04.05.2023_BOYuhHa</v>
      </c>
      <c r="D1056" s="143">
        <f t="shared" si="34"/>
        <v>0</v>
      </c>
      <c r="E1056" s="144">
        <v>5.0017396805313911E-2</v>
      </c>
      <c r="F1056" s="145">
        <v>1.3129162955411602E-2</v>
      </c>
      <c r="G1056" s="146">
        <v>0.13174163042526491</v>
      </c>
      <c r="H1056" s="146">
        <v>1.0736634639073647E-2</v>
      </c>
      <c r="I1056" s="147">
        <v>3.649</v>
      </c>
      <c r="J1056" s="148">
        <v>0.92976445702477983</v>
      </c>
      <c r="K1056" s="149">
        <v>34.704999999999998</v>
      </c>
      <c r="L1056" s="149">
        <v>209</v>
      </c>
      <c r="M1056" s="67"/>
      <c r="N1056" s="135"/>
    </row>
    <row r="1057" spans="1:14" x14ac:dyDescent="0.25">
      <c r="A1057" s="142">
        <v>45050</v>
      </c>
      <c r="B1057" s="81" t="s">
        <v>36</v>
      </c>
      <c r="C1057" s="129" t="str">
        <f t="shared" si="33"/>
        <v>04.05.2023_BOYuhSp</v>
      </c>
      <c r="D1057" s="143">
        <f t="shared" si="34"/>
        <v>0</v>
      </c>
      <c r="E1057" s="144">
        <v>3.3344931203542649E-2</v>
      </c>
      <c r="F1057" s="145">
        <v>1.8007242803964922E-2</v>
      </c>
      <c r="G1057" s="146">
        <v>0.11654067306850358</v>
      </c>
      <c r="H1057" s="146">
        <v>6.0840929621417419E-2</v>
      </c>
      <c r="I1057" s="147">
        <v>7.31</v>
      </c>
      <c r="J1057" s="148">
        <v>1.7601253882542027</v>
      </c>
      <c r="K1057" s="149">
        <v>29</v>
      </c>
      <c r="L1057" s="149">
        <v>127</v>
      </c>
      <c r="M1057" s="67"/>
      <c r="N1057" s="135"/>
    </row>
    <row r="1058" spans="1:14" x14ac:dyDescent="0.25">
      <c r="A1058" s="142">
        <v>45050</v>
      </c>
      <c r="B1058" s="81" t="s">
        <v>38</v>
      </c>
      <c r="C1058" s="129" t="str">
        <f t="shared" si="33"/>
        <v>04.05.2023_BRAob</v>
      </c>
      <c r="D1058" s="143">
        <f t="shared" si="34"/>
        <v>0</v>
      </c>
      <c r="E1058" s="144">
        <v>1.2504349201328493E-2</v>
      </c>
      <c r="F1058" s="145">
        <v>1.5528313575772338E-2</v>
      </c>
      <c r="G1058" s="146">
        <v>0.10133971571174226</v>
      </c>
      <c r="H1058" s="146">
        <v>0</v>
      </c>
      <c r="I1058" s="147">
        <v>1.8740000000000001</v>
      </c>
      <c r="J1058" s="148">
        <v>0.50196965585301079</v>
      </c>
      <c r="K1058" s="149">
        <v>43</v>
      </c>
      <c r="L1058" s="149">
        <v>159</v>
      </c>
      <c r="M1058" s="67"/>
      <c r="N1058" s="135"/>
    </row>
    <row r="1059" spans="1:14" x14ac:dyDescent="0.25">
      <c r="A1059" s="142">
        <v>45050</v>
      </c>
      <c r="B1059" s="81" t="s">
        <v>41</v>
      </c>
      <c r="C1059" s="129" t="str">
        <f t="shared" si="33"/>
        <v>04.05.2023_BRAohBo</v>
      </c>
      <c r="D1059" s="143">
        <f t="shared" si="34"/>
        <v>0</v>
      </c>
      <c r="E1059" s="144">
        <v>2.7787442669618681E-3</v>
      </c>
      <c r="F1059" s="145">
        <v>2.7890652007525149E-2</v>
      </c>
      <c r="G1059" s="146">
        <v>0.1570765593532005</v>
      </c>
      <c r="H1059" s="146">
        <v>6.7998686047466533E-2</v>
      </c>
      <c r="I1059" s="147">
        <v>5.077</v>
      </c>
      <c r="J1059" s="148">
        <v>1.289412567539318</v>
      </c>
      <c r="K1059" s="149">
        <v>40</v>
      </c>
      <c r="L1059" s="149">
        <v>134</v>
      </c>
      <c r="M1059" s="67"/>
      <c r="N1059" s="135"/>
    </row>
    <row r="1060" spans="1:14" x14ac:dyDescent="0.25">
      <c r="A1060" s="142">
        <v>45050</v>
      </c>
      <c r="B1060" s="81" t="s">
        <v>43</v>
      </c>
      <c r="C1060" s="129" t="str">
        <f t="shared" si="33"/>
        <v>04.05.2023_HAAob</v>
      </c>
      <c r="D1060" s="143">
        <f t="shared" si="34"/>
        <v>0</v>
      </c>
      <c r="E1060" s="144">
        <v>6.9468606674046992E-3</v>
      </c>
      <c r="F1060" s="145">
        <v>1.3651439554267007E-2</v>
      </c>
      <c r="G1060" s="146">
        <v>3.5468900499109779E-2</v>
      </c>
      <c r="H1060" s="146">
        <v>0</v>
      </c>
      <c r="I1060" s="147">
        <v>1.544</v>
      </c>
      <c r="J1060" s="148">
        <v>0.37519493707659846</v>
      </c>
      <c r="K1060" s="149">
        <v>25.207999999999998</v>
      </c>
      <c r="L1060" s="149">
        <v>133</v>
      </c>
      <c r="M1060" s="67"/>
      <c r="N1060" s="135"/>
    </row>
    <row r="1061" spans="1:14" x14ac:dyDescent="0.25">
      <c r="A1061" s="142">
        <v>45050</v>
      </c>
      <c r="B1061" s="81" t="s">
        <v>45</v>
      </c>
      <c r="C1061" s="129" t="str">
        <f t="shared" si="33"/>
        <v>04.05.2023_HAAun</v>
      </c>
      <c r="D1061" s="143">
        <f t="shared" si="34"/>
        <v>0</v>
      </c>
      <c r="E1061" s="144">
        <v>2.3619326269176021E-2</v>
      </c>
      <c r="F1061" s="145">
        <v>1.4898616457685662E-2</v>
      </c>
      <c r="G1061" s="146">
        <v>8.8672251247774461E-2</v>
      </c>
      <c r="H1061" s="146">
        <v>0</v>
      </c>
      <c r="I1061" s="147">
        <v>2.6869999999999998</v>
      </c>
      <c r="J1061" s="148">
        <v>0.67576580637138428</v>
      </c>
      <c r="K1061" s="149">
        <v>29</v>
      </c>
      <c r="L1061" s="149">
        <v>262</v>
      </c>
      <c r="M1061" s="67"/>
      <c r="N1061" s="135"/>
    </row>
    <row r="1062" spans="1:14" x14ac:dyDescent="0.25">
      <c r="A1062" s="142">
        <v>45050</v>
      </c>
      <c r="B1062" s="81" t="s">
        <v>47</v>
      </c>
      <c r="C1062" s="129" t="str">
        <f t="shared" si="33"/>
        <v>04.05.2023_KIRob</v>
      </c>
      <c r="D1062" s="143">
        <f t="shared" si="34"/>
        <v>0</v>
      </c>
      <c r="E1062" s="144">
        <v>8.3362328008856623E-3</v>
      </c>
      <c r="F1062" s="145">
        <v>1.14869903262991E-2</v>
      </c>
      <c r="G1062" s="146">
        <v>0.44842824202445936</v>
      </c>
      <c r="H1062" s="146">
        <v>0.24336371848566968</v>
      </c>
      <c r="I1062" s="147">
        <v>9.0660000000000007</v>
      </c>
      <c r="J1062" s="148">
        <v>2.4700295497425349</v>
      </c>
      <c r="K1062" s="149">
        <v>85</v>
      </c>
      <c r="L1062" s="149">
        <v>191</v>
      </c>
      <c r="M1062" s="67"/>
      <c r="N1062" s="135"/>
    </row>
    <row r="1063" spans="1:14" x14ac:dyDescent="0.25">
      <c r="A1063" s="142">
        <v>45050</v>
      </c>
      <c r="B1063" s="81" t="s">
        <v>49</v>
      </c>
      <c r="C1063" s="129" t="str">
        <f t="shared" si="33"/>
        <v>04.05.2023_KIRun</v>
      </c>
      <c r="D1063" s="143">
        <f t="shared" si="34"/>
        <v>0</v>
      </c>
      <c r="E1063" s="144">
        <v>6.9468606674047098E-2</v>
      </c>
      <c r="F1063" s="145">
        <v>9.8876672341672873E-3</v>
      </c>
      <c r="G1063" s="146">
        <v>0.12414115174688424</v>
      </c>
      <c r="H1063" s="146">
        <v>0.12883961566888397</v>
      </c>
      <c r="I1063" s="147">
        <v>5.0919999999999996</v>
      </c>
      <c r="J1063" s="148">
        <v>1.2857496239103299</v>
      </c>
      <c r="K1063" s="149">
        <v>50</v>
      </c>
      <c r="L1063" s="149">
        <v>168</v>
      </c>
      <c r="M1063" s="67"/>
      <c r="N1063" s="135"/>
    </row>
    <row r="1064" spans="1:14" x14ac:dyDescent="0.25">
      <c r="A1064" s="142">
        <v>45050</v>
      </c>
      <c r="B1064" s="81" t="s">
        <v>50</v>
      </c>
      <c r="C1064" s="129" t="str">
        <f t="shared" si="33"/>
        <v>04.05.2023_LIEohBo</v>
      </c>
      <c r="D1064" s="143">
        <f t="shared" si="34"/>
        <v>0</v>
      </c>
      <c r="E1064" s="144">
        <v>3.3344931203542649E-2</v>
      </c>
      <c r="F1064" s="145">
        <v>1.489338344523917E-2</v>
      </c>
      <c r="G1064" s="146">
        <v>3.2935407606316219E-2</v>
      </c>
      <c r="H1064" s="146">
        <v>0</v>
      </c>
      <c r="I1064" s="147">
        <v>9.9359999999999999</v>
      </c>
      <c r="J1064" s="148">
        <v>2.2698183346522285</v>
      </c>
      <c r="K1064" s="149">
        <v>21.315000000000001</v>
      </c>
      <c r="L1064" s="149">
        <v>114</v>
      </c>
      <c r="M1064" s="67"/>
      <c r="N1064" s="135"/>
    </row>
    <row r="1065" spans="1:14" x14ac:dyDescent="0.25">
      <c r="A1065" s="142">
        <v>45050</v>
      </c>
      <c r="B1065" s="81" t="s">
        <v>53</v>
      </c>
      <c r="C1065" s="129" t="str">
        <f t="shared" si="33"/>
        <v>04.05.2023_NATohBo</v>
      </c>
      <c r="D1065" s="143">
        <f t="shared" si="34"/>
        <v>0</v>
      </c>
      <c r="E1065" s="144">
        <v>4.584928040487108E-2</v>
      </c>
      <c r="F1065" s="145">
        <v>9.5143877259586829E-3</v>
      </c>
      <c r="G1065" s="146">
        <v>0.21534689588745226</v>
      </c>
      <c r="H1065" s="146">
        <v>0</v>
      </c>
      <c r="I1065" s="147">
        <v>1.97</v>
      </c>
      <c r="J1065" s="148">
        <v>0.61217861118764771</v>
      </c>
      <c r="K1065" s="149">
        <v>63</v>
      </c>
      <c r="L1065" s="149">
        <v>503</v>
      </c>
      <c r="M1065" s="67"/>
      <c r="N1065" s="135"/>
    </row>
    <row r="1066" spans="1:14" x14ac:dyDescent="0.25">
      <c r="A1066" s="142">
        <v>45050</v>
      </c>
      <c r="B1066" s="81" t="s">
        <v>55</v>
      </c>
      <c r="C1066" s="129" t="str">
        <f t="shared" si="33"/>
        <v>04.05.2023_QUAohBo</v>
      </c>
      <c r="D1066" s="143">
        <f t="shared" si="34"/>
        <v>0</v>
      </c>
      <c r="E1066" s="144">
        <v>9.1698560809742188E-2</v>
      </c>
      <c r="F1066" s="145">
        <v>1.3796771967865863E-2</v>
      </c>
      <c r="G1066" s="146">
        <v>7.0937800998219558E-2</v>
      </c>
      <c r="H1066" s="146">
        <v>2.5052147491171874E-2</v>
      </c>
      <c r="I1066" s="147">
        <v>2.3149999999999999</v>
      </c>
      <c r="J1066" s="148">
        <v>0.58559866940079475</v>
      </c>
      <c r="K1066" s="149">
        <v>36</v>
      </c>
      <c r="L1066" s="149">
        <v>152</v>
      </c>
      <c r="M1066" s="67"/>
      <c r="N1066" s="135"/>
    </row>
    <row r="1067" spans="1:14" x14ac:dyDescent="0.25">
      <c r="A1067" s="142">
        <v>45050</v>
      </c>
      <c r="B1067" s="81" t="s">
        <v>57</v>
      </c>
      <c r="C1067" s="129" t="str">
        <f t="shared" si="33"/>
        <v>04.05.2023_SCHohVo</v>
      </c>
      <c r="D1067" s="143">
        <f t="shared" si="34"/>
        <v>0</v>
      </c>
      <c r="E1067" s="144">
        <v>2.222995413569509E-2</v>
      </c>
      <c r="F1067" s="145">
        <v>1.4533764138351925E-2</v>
      </c>
      <c r="G1067" s="146">
        <v>0.1444090948892327</v>
      </c>
      <c r="H1067" s="146">
        <v>1.789439106512276E-2</v>
      </c>
      <c r="I1067" s="147">
        <v>2.4209999999999998</v>
      </c>
      <c r="J1067" s="148">
        <v>0.66441143545031689</v>
      </c>
      <c r="K1067" s="149">
        <v>28.364000000000001</v>
      </c>
      <c r="L1067" s="149">
        <v>115</v>
      </c>
      <c r="M1067" s="67"/>
      <c r="N1067" s="135"/>
    </row>
    <row r="1068" spans="1:14" x14ac:dyDescent="0.25">
      <c r="A1068" s="142">
        <v>45050</v>
      </c>
      <c r="B1068" s="81" t="s">
        <v>60</v>
      </c>
      <c r="C1068" s="129" t="str">
        <f t="shared" si="33"/>
        <v>04.05.2023_VORohBo</v>
      </c>
      <c r="D1068" s="143">
        <f t="shared" si="34"/>
        <v>0</v>
      </c>
      <c r="E1068" s="144">
        <v>5.6964257472718612E-2</v>
      </c>
      <c r="F1068" s="145">
        <v>1.0686713208589264E-2</v>
      </c>
      <c r="G1068" s="146">
        <v>0.29135168267125894</v>
      </c>
      <c r="H1068" s="146">
        <v>3.9367660343270078E-2</v>
      </c>
      <c r="I1068" s="147">
        <v>1.663</v>
      </c>
      <c r="J1068" s="148">
        <v>0.61383896226891443</v>
      </c>
      <c r="K1068" s="149">
        <v>28.222000000000001</v>
      </c>
      <c r="L1068" s="149">
        <v>210</v>
      </c>
      <c r="M1068" s="67"/>
      <c r="N1068" s="135"/>
    </row>
    <row r="1069" spans="1:14" x14ac:dyDescent="0.25">
      <c r="A1069" s="142">
        <v>45050</v>
      </c>
      <c r="B1069" s="81" t="s">
        <v>62</v>
      </c>
      <c r="C1069" s="129" t="str">
        <f t="shared" si="33"/>
        <v>04.05.2023_VORuhSc</v>
      </c>
      <c r="D1069" s="143">
        <f t="shared" si="34"/>
        <v>0</v>
      </c>
      <c r="E1069" s="144">
        <v>4.584928040487108E-2</v>
      </c>
      <c r="F1069" s="145">
        <v>9.0676735266053601E-3</v>
      </c>
      <c r="G1069" s="146">
        <v>0.20267943142348446</v>
      </c>
      <c r="H1069" s="146">
        <v>3.5788782130245569E-3</v>
      </c>
      <c r="I1069" s="147">
        <v>1.8919999999999999</v>
      </c>
      <c r="J1069" s="148">
        <v>0.58581418117797668</v>
      </c>
      <c r="K1069" s="149">
        <v>28.152000000000001</v>
      </c>
      <c r="L1069" s="149">
        <v>204</v>
      </c>
      <c r="M1069" s="67"/>
      <c r="N1069" s="135"/>
    </row>
    <row r="1070" spans="1:14" x14ac:dyDescent="0.25">
      <c r="A1070" s="142">
        <v>45050</v>
      </c>
      <c r="B1070" s="81" t="s">
        <v>64</v>
      </c>
      <c r="C1070" s="129" t="str">
        <f t="shared" si="33"/>
        <v>04.05.2023_WITob</v>
      </c>
      <c r="D1070" s="143">
        <f t="shared" si="34"/>
        <v>0</v>
      </c>
      <c r="E1070" s="144">
        <v>2.9176814803099818E-2</v>
      </c>
      <c r="F1070" s="145">
        <v>8.1698302637517976E-3</v>
      </c>
      <c r="G1070" s="146">
        <v>9.627272992615514E-2</v>
      </c>
      <c r="H1070" s="146">
        <v>0</v>
      </c>
      <c r="I1070" s="147">
        <v>0.42299999999999999</v>
      </c>
      <c r="J1070" s="148">
        <v>0.1702978220603602</v>
      </c>
      <c r="K1070" s="149">
        <v>65</v>
      </c>
      <c r="L1070" s="149">
        <v>298</v>
      </c>
      <c r="M1070" s="67"/>
      <c r="N1070" s="135"/>
    </row>
    <row r="1071" spans="1:14" x14ac:dyDescent="0.25">
      <c r="A1071" s="142">
        <v>45062</v>
      </c>
      <c r="B1071" s="81" t="s">
        <v>22</v>
      </c>
      <c r="C1071" s="129" t="str">
        <f t="shared" si="33"/>
        <v>16.05.2023_BOYkl</v>
      </c>
      <c r="D1071" s="143">
        <f t="shared" si="34"/>
        <v>0</v>
      </c>
      <c r="E1071" s="144">
        <v>5.0973502675520616E-2</v>
      </c>
      <c r="F1071" s="145">
        <v>5.8425752747313389E-2</v>
      </c>
      <c r="G1071" s="146">
        <v>2.4167232796159968E-2</v>
      </c>
      <c r="H1071" s="146">
        <v>0.16752575978727402</v>
      </c>
      <c r="I1071" s="147">
        <v>29.593</v>
      </c>
      <c r="J1071" s="148">
        <v>6.7539397421611262</v>
      </c>
      <c r="K1071" s="149">
        <v>27</v>
      </c>
      <c r="L1071" s="149">
        <v>55</v>
      </c>
      <c r="M1071" s="67"/>
      <c r="N1071" s="135"/>
    </row>
    <row r="1072" spans="1:14" x14ac:dyDescent="0.25">
      <c r="A1072" s="142">
        <v>45062</v>
      </c>
      <c r="B1072" s="81" t="s">
        <v>25</v>
      </c>
      <c r="C1072" s="129" t="str">
        <f t="shared" si="33"/>
        <v>16.05.2023_BOYohB224</v>
      </c>
      <c r="D1072" s="143">
        <f t="shared" si="34"/>
        <v>0</v>
      </c>
      <c r="E1072" s="144">
        <v>5.2389433305396145E-2</v>
      </c>
      <c r="F1072" s="145">
        <v>1.6872863196302226E-2</v>
      </c>
      <c r="G1072" s="146">
        <v>0.15950373645465579</v>
      </c>
      <c r="H1072" s="146">
        <v>9.82481899504314E-2</v>
      </c>
      <c r="I1072" s="147">
        <v>2.6160000000000001</v>
      </c>
      <c r="J1072" s="148">
        <v>0.74464063775008449</v>
      </c>
      <c r="K1072" s="149">
        <v>29</v>
      </c>
      <c r="L1072" s="149">
        <v>180</v>
      </c>
      <c r="M1072" s="67"/>
      <c r="N1072" s="135"/>
    </row>
    <row r="1073" spans="1:14" x14ac:dyDescent="0.25">
      <c r="A1073" s="142">
        <v>45062</v>
      </c>
      <c r="B1073" s="81" t="s">
        <v>28</v>
      </c>
      <c r="C1073" s="129" t="str">
        <f t="shared" si="33"/>
        <v>16.05.2023_BOYohBr</v>
      </c>
      <c r="D1073" s="143">
        <f t="shared" si="34"/>
        <v>0</v>
      </c>
      <c r="E1073" s="144">
        <v>0</v>
      </c>
      <c r="F1073" s="145">
        <v>2.7258199846921689E-2</v>
      </c>
      <c r="G1073" s="146">
        <v>3.2867436602777522E-2</v>
      </c>
      <c r="H1073" s="146">
        <v>7.8094715088804417E-2</v>
      </c>
      <c r="I1073" s="147">
        <v>8.5129999999999999</v>
      </c>
      <c r="J1073" s="148">
        <v>1.972128481856477</v>
      </c>
      <c r="K1073" s="149">
        <v>25.544</v>
      </c>
      <c r="L1073" s="149">
        <v>87</v>
      </c>
      <c r="M1073" s="67"/>
      <c r="N1073" s="135"/>
    </row>
    <row r="1074" spans="1:14" x14ac:dyDescent="0.25">
      <c r="A1074" s="142">
        <v>45062</v>
      </c>
      <c r="B1074" s="81" t="s">
        <v>30</v>
      </c>
      <c r="C1074" s="129" t="str">
        <f t="shared" si="33"/>
        <v>16.05.2023_BOYohKi</v>
      </c>
      <c r="D1074" s="143">
        <f t="shared" si="34"/>
        <v>0</v>
      </c>
      <c r="E1074" s="144">
        <v>0</v>
      </c>
      <c r="F1074" s="145">
        <v>1.2549197752812911E-2</v>
      </c>
      <c r="G1074" s="146">
        <v>0.20880489135882219</v>
      </c>
      <c r="H1074" s="146">
        <v>0.13099758660057514</v>
      </c>
      <c r="I1074" s="147">
        <v>4.266</v>
      </c>
      <c r="J1074" s="148">
        <v>1.1655785453317571</v>
      </c>
      <c r="K1074" s="149">
        <v>28</v>
      </c>
      <c r="L1074" s="149">
        <v>132</v>
      </c>
      <c r="M1074" s="67"/>
      <c r="N1074" s="135"/>
    </row>
    <row r="1075" spans="1:14" x14ac:dyDescent="0.25">
      <c r="A1075" s="142">
        <v>45062</v>
      </c>
      <c r="B1075" s="81" t="s">
        <v>32</v>
      </c>
      <c r="C1075" s="129" t="str">
        <f t="shared" si="33"/>
        <v>16.05.2023_BOYohSp</v>
      </c>
      <c r="D1075" s="143">
        <f t="shared" si="34"/>
        <v>0</v>
      </c>
      <c r="E1075" s="144">
        <v>1.4159306298755754E-2</v>
      </c>
      <c r="F1075" s="145">
        <v>1.8891671571376226E-2</v>
      </c>
      <c r="G1075" s="146">
        <v>1.0633582430310384E-2</v>
      </c>
      <c r="H1075" s="146">
        <v>0.1259592178851684</v>
      </c>
      <c r="I1075" s="147">
        <v>6.8010000000000002</v>
      </c>
      <c r="J1075" s="148">
        <v>1.5827470243064512</v>
      </c>
      <c r="K1075" s="149">
        <v>34</v>
      </c>
      <c r="L1075" s="149">
        <v>110</v>
      </c>
      <c r="M1075" s="67"/>
      <c r="N1075" s="135"/>
    </row>
    <row r="1076" spans="1:14" x14ac:dyDescent="0.25">
      <c r="A1076" s="142">
        <v>45062</v>
      </c>
      <c r="B1076" s="81" t="s">
        <v>34</v>
      </c>
      <c r="C1076" s="129" t="str">
        <f t="shared" si="33"/>
        <v>16.05.2023_BOYuhHa</v>
      </c>
      <c r="D1076" s="143">
        <f t="shared" si="34"/>
        <v>0</v>
      </c>
      <c r="E1076" s="144">
        <v>3.2566404487138198E-2</v>
      </c>
      <c r="F1076" s="145">
        <v>1.5186421686673356E-2</v>
      </c>
      <c r="G1076" s="146">
        <v>0.16047042576650219</v>
      </c>
      <c r="H1076" s="146">
        <v>9.82481899504314E-2</v>
      </c>
      <c r="I1076" s="147">
        <v>4.0439999999999996</v>
      </c>
      <c r="J1076" s="148">
        <v>1.0679336223338398</v>
      </c>
      <c r="K1076" s="149">
        <v>42</v>
      </c>
      <c r="L1076" s="149">
        <v>212</v>
      </c>
      <c r="M1076" s="67"/>
      <c r="N1076" s="135"/>
    </row>
    <row r="1077" spans="1:14" x14ac:dyDescent="0.25">
      <c r="A1077" s="142">
        <v>45062</v>
      </c>
      <c r="B1077" s="81" t="s">
        <v>36</v>
      </c>
      <c r="C1077" s="129" t="str">
        <f t="shared" si="33"/>
        <v>16.05.2023_BOYuhSp</v>
      </c>
      <c r="D1077" s="143">
        <f t="shared" si="34"/>
        <v>0</v>
      </c>
      <c r="E1077" s="144">
        <v>1.274337566888019E-2</v>
      </c>
      <c r="F1077" s="145">
        <v>1.9733410249239035E-2</v>
      </c>
      <c r="G1077" s="146">
        <v>0.14307001815326706</v>
      </c>
      <c r="H1077" s="146">
        <v>0.27585068716851885</v>
      </c>
      <c r="I1077" s="147">
        <v>5.617</v>
      </c>
      <c r="J1077" s="148">
        <v>1.4637869701042858</v>
      </c>
      <c r="K1077" s="149">
        <v>31</v>
      </c>
      <c r="L1077" s="149">
        <v>122</v>
      </c>
      <c r="M1077" s="67"/>
      <c r="N1077" s="135"/>
    </row>
    <row r="1078" spans="1:14" x14ac:dyDescent="0.25">
      <c r="A1078" s="142">
        <v>45062</v>
      </c>
      <c r="B1078" s="81" t="s">
        <v>38</v>
      </c>
      <c r="C1078" s="129" t="str">
        <f t="shared" si="33"/>
        <v>16.05.2023_BRAob</v>
      </c>
      <c r="D1078" s="143">
        <f t="shared" si="34"/>
        <v>0</v>
      </c>
      <c r="E1078" s="144">
        <v>0</v>
      </c>
      <c r="F1078" s="145">
        <v>1.7099809170149236E-2</v>
      </c>
      <c r="G1078" s="146">
        <v>0.10440244567941113</v>
      </c>
      <c r="H1078" s="146">
        <v>3.0230212292440422E-2</v>
      </c>
      <c r="I1078" s="147">
        <v>1.26</v>
      </c>
      <c r="J1078" s="148">
        <v>0.37486724317803943</v>
      </c>
      <c r="K1078" s="149">
        <v>53</v>
      </c>
      <c r="L1078" s="149">
        <v>151</v>
      </c>
      <c r="M1078" s="67"/>
      <c r="N1078" s="135"/>
    </row>
    <row r="1079" spans="1:14" x14ac:dyDescent="0.25">
      <c r="A1079" s="142">
        <v>45062</v>
      </c>
      <c r="B1079" s="81" t="s">
        <v>41</v>
      </c>
      <c r="C1079" s="129" t="str">
        <f t="shared" si="33"/>
        <v>16.05.2023_BRAohBo</v>
      </c>
      <c r="D1079" s="143">
        <f t="shared" si="34"/>
        <v>0</v>
      </c>
      <c r="E1079" s="144">
        <v>0</v>
      </c>
      <c r="F1079" s="145">
        <v>3.166420028494249E-2</v>
      </c>
      <c r="G1079" s="146">
        <v>0.20590482342328298</v>
      </c>
      <c r="H1079" s="146">
        <v>0.12973799442172346</v>
      </c>
      <c r="I1079" s="147">
        <v>3.9910000000000001</v>
      </c>
      <c r="J1079" s="148">
        <v>1.1008289387416386</v>
      </c>
      <c r="K1079" s="149">
        <v>36</v>
      </c>
      <c r="L1079" s="149">
        <v>118</v>
      </c>
      <c r="M1079" s="67"/>
      <c r="N1079" s="135"/>
    </row>
    <row r="1080" spans="1:14" x14ac:dyDescent="0.25">
      <c r="A1080" s="142">
        <v>45062</v>
      </c>
      <c r="B1080" s="81" t="s">
        <v>43</v>
      </c>
      <c r="C1080" s="129" t="str">
        <f t="shared" si="33"/>
        <v>16.05.2023_HAAob</v>
      </c>
      <c r="D1080" s="143">
        <f t="shared" si="34"/>
        <v>0</v>
      </c>
      <c r="E1080" s="144">
        <v>0</v>
      </c>
      <c r="F1080" s="145">
        <v>1.6420353997651266E-2</v>
      </c>
      <c r="G1080" s="146">
        <v>1.3533650365849583E-2</v>
      </c>
      <c r="H1080" s="146">
        <v>5.4162463690622407E-2</v>
      </c>
      <c r="I1080" s="147">
        <v>0.66800000000000004</v>
      </c>
      <c r="J1080" s="148">
        <v>0.17787966624318852</v>
      </c>
      <c r="K1080" s="149">
        <v>24</v>
      </c>
      <c r="L1080" s="149">
        <v>135</v>
      </c>
      <c r="M1080" s="67"/>
      <c r="N1080" s="135"/>
    </row>
    <row r="1081" spans="1:14" x14ac:dyDescent="0.25">
      <c r="A1081" s="142">
        <v>45062</v>
      </c>
      <c r="B1081" s="81" t="s">
        <v>45</v>
      </c>
      <c r="C1081" s="129" t="str">
        <f t="shared" si="33"/>
        <v>16.05.2023_HAAun</v>
      </c>
      <c r="D1081" s="143">
        <f t="shared" si="34"/>
        <v>0</v>
      </c>
      <c r="E1081" s="144">
        <v>5.6637225195023131E-3</v>
      </c>
      <c r="F1081" s="145">
        <v>1.7216380926431036E-2</v>
      </c>
      <c r="G1081" s="146">
        <v>0.1024690670557183</v>
      </c>
      <c r="H1081" s="146">
        <v>2.6451435755885367E-2</v>
      </c>
      <c r="I1081" s="147">
        <v>0.95599999999999996</v>
      </c>
      <c r="J1081" s="148">
        <v>0.30355106549397398</v>
      </c>
      <c r="K1081" s="149">
        <v>28</v>
      </c>
      <c r="L1081" s="149">
        <v>231</v>
      </c>
      <c r="M1081" s="67"/>
      <c r="N1081" s="135"/>
    </row>
    <row r="1082" spans="1:14" x14ac:dyDescent="0.25">
      <c r="A1082" s="142">
        <v>45062</v>
      </c>
      <c r="B1082" s="81" t="s">
        <v>47</v>
      </c>
      <c r="C1082" s="129" t="str">
        <f t="shared" si="33"/>
        <v>16.05.2023_KIRob</v>
      </c>
      <c r="D1082" s="143">
        <f t="shared" si="34"/>
        <v>0</v>
      </c>
      <c r="E1082" s="144">
        <v>1.4159306298755754E-2</v>
      </c>
      <c r="F1082" s="145">
        <v>1.0677825974664153E-2</v>
      </c>
      <c r="G1082" s="146">
        <v>0.37314207437270991</v>
      </c>
      <c r="H1082" s="146">
        <v>0.29600416203014579</v>
      </c>
      <c r="I1082" s="147">
        <v>8.4830000000000005</v>
      </c>
      <c r="J1082" s="148">
        <v>2.2959147664597439</v>
      </c>
      <c r="K1082" s="149">
        <v>71</v>
      </c>
      <c r="L1082" s="149">
        <v>167</v>
      </c>
      <c r="M1082" s="67"/>
      <c r="N1082" s="135"/>
    </row>
    <row r="1083" spans="1:14" x14ac:dyDescent="0.25">
      <c r="A1083" s="142">
        <v>45062</v>
      </c>
      <c r="B1083" s="81" t="s">
        <v>49</v>
      </c>
      <c r="C1083" s="129" t="str">
        <f t="shared" si="33"/>
        <v>16.05.2023_KIRun</v>
      </c>
      <c r="D1083" s="143">
        <f t="shared" si="34"/>
        <v>0</v>
      </c>
      <c r="E1083" s="144">
        <v>5.0973502675520616E-2</v>
      </c>
      <c r="F1083" s="145">
        <v>8.9373317855242981E-3</v>
      </c>
      <c r="G1083" s="146">
        <v>5.6067980087091115E-2</v>
      </c>
      <c r="H1083" s="146">
        <v>0.13729554749483355</v>
      </c>
      <c r="I1083" s="147">
        <v>5.1619999999999999</v>
      </c>
      <c r="J1083" s="148">
        <v>1.2512767952926271</v>
      </c>
      <c r="K1083" s="149">
        <v>44</v>
      </c>
      <c r="L1083" s="149">
        <v>137</v>
      </c>
      <c r="M1083" s="67"/>
      <c r="N1083" s="135"/>
    </row>
    <row r="1084" spans="1:14" x14ac:dyDescent="0.25">
      <c r="A1084" s="142">
        <v>45062</v>
      </c>
      <c r="B1084" s="81" t="s">
        <v>50</v>
      </c>
      <c r="C1084" s="129" t="str">
        <f t="shared" si="33"/>
        <v>16.05.2023_LIEohBo</v>
      </c>
      <c r="D1084" s="143">
        <f t="shared" si="34"/>
        <v>0</v>
      </c>
      <c r="E1084" s="144">
        <v>4.2477918896267175E-2</v>
      </c>
      <c r="F1084" s="145">
        <v>1.3111851146503952E-2</v>
      </c>
      <c r="G1084" s="146">
        <v>1.7400407613235195E-2</v>
      </c>
      <c r="H1084" s="146">
        <v>3.5268581007847181E-2</v>
      </c>
      <c r="I1084" s="147">
        <v>13.294</v>
      </c>
      <c r="J1084" s="148">
        <v>3.0269645419954401</v>
      </c>
      <c r="K1084" s="149">
        <v>26</v>
      </c>
      <c r="L1084" s="149">
        <v>111</v>
      </c>
      <c r="M1084" s="67"/>
      <c r="N1084" s="135"/>
    </row>
    <row r="1085" spans="1:14" x14ac:dyDescent="0.25">
      <c r="A1085" s="142">
        <v>45062</v>
      </c>
      <c r="B1085" s="81" t="s">
        <v>53</v>
      </c>
      <c r="C1085" s="129" t="str">
        <f t="shared" si="33"/>
        <v>16.05.2023_NATohBo</v>
      </c>
      <c r="D1085" s="143">
        <f t="shared" si="34"/>
        <v>0</v>
      </c>
      <c r="E1085" s="144">
        <v>2.4070820707884757E-2</v>
      </c>
      <c r="F1085" s="145">
        <v>1.833458054056537E-2</v>
      </c>
      <c r="G1085" s="146">
        <v>0.21170495929436137</v>
      </c>
      <c r="H1085" s="146">
        <v>6.0460424584880844E-2</v>
      </c>
      <c r="I1085" s="147">
        <v>3.2050000000000001</v>
      </c>
      <c r="J1085" s="148">
        <v>0.90670731010734562</v>
      </c>
      <c r="K1085" s="149">
        <v>77</v>
      </c>
      <c r="L1085" s="149">
        <v>417</v>
      </c>
      <c r="M1085" s="67"/>
      <c r="N1085" s="135"/>
    </row>
    <row r="1086" spans="1:14" x14ac:dyDescent="0.25">
      <c r="A1086" s="142">
        <v>45062</v>
      </c>
      <c r="B1086" s="81" t="s">
        <v>55</v>
      </c>
      <c r="C1086" s="129" t="str">
        <f t="shared" si="33"/>
        <v>16.05.2023_QUAohBo</v>
      </c>
      <c r="D1086" s="143">
        <f t="shared" si="34"/>
        <v>0</v>
      </c>
      <c r="E1086" s="144">
        <v>8.070804590290763E-2</v>
      </c>
      <c r="F1086" s="145">
        <v>9.3804048328606556E-3</v>
      </c>
      <c r="G1086" s="146">
        <v>8.6035348754329527E-2</v>
      </c>
      <c r="H1086" s="146">
        <v>6.0460424584880844E-2</v>
      </c>
      <c r="I1086" s="147">
        <v>1.7110000000000001</v>
      </c>
      <c r="J1086" s="148">
        <v>0.47167633421911631</v>
      </c>
      <c r="K1086" s="149">
        <v>40</v>
      </c>
      <c r="L1086" s="149">
        <v>138</v>
      </c>
      <c r="M1086" s="67"/>
      <c r="N1086" s="135"/>
    </row>
    <row r="1087" spans="1:14" x14ac:dyDescent="0.25">
      <c r="A1087" s="142">
        <v>45062</v>
      </c>
      <c r="B1087" s="81" t="s">
        <v>57</v>
      </c>
      <c r="C1087" s="129" t="str">
        <f t="shared" si="33"/>
        <v>16.05.2023_SCHohVo</v>
      </c>
      <c r="D1087" s="143">
        <f t="shared" si="34"/>
        <v>0</v>
      </c>
      <c r="E1087" s="144">
        <v>0</v>
      </c>
      <c r="F1087" s="145">
        <v>9.9126978671281278E-3</v>
      </c>
      <c r="G1087" s="146">
        <v>0.30257375460792285</v>
      </c>
      <c r="H1087" s="146">
        <v>9.9507782129283101E-2</v>
      </c>
      <c r="I1087" s="147">
        <v>1.2330000000000001</v>
      </c>
      <c r="J1087" s="148">
        <v>0.54373834898476625</v>
      </c>
      <c r="K1087" s="149">
        <v>27.812000000000001</v>
      </c>
      <c r="L1087" s="149">
        <v>98</v>
      </c>
      <c r="M1087" s="67"/>
      <c r="N1087" s="135"/>
    </row>
    <row r="1088" spans="1:14" x14ac:dyDescent="0.25">
      <c r="A1088" s="142">
        <v>45062</v>
      </c>
      <c r="B1088" s="81" t="s">
        <v>60</v>
      </c>
      <c r="C1088" s="129" t="str">
        <f t="shared" si="33"/>
        <v>16.05.2023_VORohBo</v>
      </c>
      <c r="D1088" s="143">
        <f t="shared" si="34"/>
        <v>0</v>
      </c>
      <c r="E1088" s="144">
        <v>3.2566404487138198E-2</v>
      </c>
      <c r="F1088" s="145">
        <v>9.2597841573582671E-3</v>
      </c>
      <c r="G1088" s="146">
        <v>0.31030726910269407</v>
      </c>
      <c r="H1088" s="146">
        <v>7.1796754194546009E-2</v>
      </c>
      <c r="I1088" s="147">
        <v>2.17</v>
      </c>
      <c r="J1088" s="148">
        <v>0.75294691320008045</v>
      </c>
      <c r="K1088" s="149">
        <v>31</v>
      </c>
      <c r="L1088" s="149">
        <v>196</v>
      </c>
      <c r="M1088" s="67"/>
      <c r="N1088" s="135"/>
    </row>
    <row r="1089" spans="1:14" x14ac:dyDescent="0.25">
      <c r="A1089" s="142">
        <v>45062</v>
      </c>
      <c r="B1089" s="81" t="s">
        <v>62</v>
      </c>
      <c r="C1089" s="129" t="str">
        <f t="shared" si="33"/>
        <v>16.05.2023_VORuhSc</v>
      </c>
      <c r="D1089" s="143">
        <f t="shared" si="34"/>
        <v>0</v>
      </c>
      <c r="E1089" s="144">
        <v>1.415930629875593E-3</v>
      </c>
      <c r="F1089" s="145">
        <v>1.1642004597091667E-2</v>
      </c>
      <c r="G1089" s="146">
        <v>0.191404483745587</v>
      </c>
      <c r="H1089" s="146">
        <v>4.156654190210559E-2</v>
      </c>
      <c r="I1089" s="147">
        <v>1.4970000000000001</v>
      </c>
      <c r="J1089" s="148">
        <v>0.49940599126570689</v>
      </c>
      <c r="K1089" s="149">
        <v>25</v>
      </c>
      <c r="L1089" s="149">
        <v>178</v>
      </c>
      <c r="M1089" s="67"/>
      <c r="N1089" s="135"/>
    </row>
    <row r="1090" spans="1:14" x14ac:dyDescent="0.25">
      <c r="A1090" s="142">
        <v>45062</v>
      </c>
      <c r="B1090" s="81" t="s">
        <v>64</v>
      </c>
      <c r="C1090" s="129" t="str">
        <f t="shared" si="33"/>
        <v>16.05.2023_WITob</v>
      </c>
      <c r="D1090" s="143">
        <f t="shared" si="34"/>
        <v>0</v>
      </c>
      <c r="E1090" s="144">
        <v>1.1327445039004597E-2</v>
      </c>
      <c r="F1090" s="145">
        <v>1.0750455586970948E-2</v>
      </c>
      <c r="G1090" s="146">
        <v>0.12083616398079987</v>
      </c>
      <c r="H1090" s="146">
        <v>2.6220529473729524E-17</v>
      </c>
      <c r="I1090" s="147">
        <v>0.16900000000000001</v>
      </c>
      <c r="J1090" s="148">
        <v>0.13200010296945131</v>
      </c>
      <c r="K1090" s="149">
        <v>66</v>
      </c>
      <c r="L1090" s="149">
        <v>284</v>
      </c>
      <c r="M1090" s="67"/>
      <c r="N1090" s="135"/>
    </row>
    <row r="1091" spans="1:14" x14ac:dyDescent="0.25">
      <c r="A1091" s="142">
        <v>45082</v>
      </c>
      <c r="B1091" s="81" t="s">
        <v>22</v>
      </c>
      <c r="C1091" s="129" t="str">
        <f t="shared" si="33"/>
        <v>05.06.2023_BOYkl</v>
      </c>
      <c r="D1091" s="143">
        <f t="shared" si="34"/>
        <v>8</v>
      </c>
      <c r="E1091" s="144"/>
      <c r="F1091" s="145"/>
      <c r="G1091" s="146"/>
      <c r="H1091" s="146"/>
      <c r="I1091" s="147"/>
      <c r="J1091" s="148"/>
      <c r="K1091" s="149"/>
      <c r="L1091" s="149"/>
      <c r="M1091" s="67"/>
      <c r="N1091" s="135" t="s">
        <v>341</v>
      </c>
    </row>
    <row r="1092" spans="1:14" x14ac:dyDescent="0.25">
      <c r="A1092" s="142">
        <v>45082</v>
      </c>
      <c r="B1092" s="81" t="s">
        <v>25</v>
      </c>
      <c r="C1092" s="129" t="str">
        <f t="shared" si="33"/>
        <v>05.06.2023_BOYohB224</v>
      </c>
      <c r="D1092" s="143">
        <f t="shared" si="34"/>
        <v>0</v>
      </c>
      <c r="E1092" s="144">
        <v>6.4458785665449311E-2</v>
      </c>
      <c r="F1092" s="145">
        <v>8.5682913907371757E-3</v>
      </c>
      <c r="G1092" s="146">
        <v>0.10595600676818955</v>
      </c>
      <c r="H1092" s="146">
        <v>4.0074889470360024E-2</v>
      </c>
      <c r="I1092" s="147">
        <v>3.0379999999999998</v>
      </c>
      <c r="J1092" s="148">
        <v>0.78066763979468246</v>
      </c>
      <c r="K1092" s="149">
        <v>40</v>
      </c>
      <c r="L1092" s="149">
        <v>239</v>
      </c>
      <c r="M1092" s="67"/>
      <c r="N1092" s="135"/>
    </row>
    <row r="1093" spans="1:14" x14ac:dyDescent="0.25">
      <c r="A1093" s="142">
        <v>45082</v>
      </c>
      <c r="B1093" s="81" t="s">
        <v>28</v>
      </c>
      <c r="C1093" s="129" t="str">
        <f t="shared" ref="C1093:C1156" si="35">CONCATENATE(TEXT(A1093,"TT.MM.JJJJ"),"_",B1093)</f>
        <v>05.06.2023_BOYohBr</v>
      </c>
      <c r="D1093" s="143">
        <f t="shared" ref="D1093:D1156" si="36">COUNTBLANK(E1093:L1093)</f>
        <v>0</v>
      </c>
      <c r="E1093" s="144">
        <v>2.9299448029749824E-3</v>
      </c>
      <c r="F1093" s="145">
        <v>1.5401728352088893E-2</v>
      </c>
      <c r="G1093" s="146">
        <v>0.11539763113367178</v>
      </c>
      <c r="H1093" s="146">
        <v>4.0965442569701353E-2</v>
      </c>
      <c r="I1093" s="147">
        <v>6.2519999999999998</v>
      </c>
      <c r="J1093" s="148">
        <v>1.5142162755893305</v>
      </c>
      <c r="K1093" s="149">
        <v>20.780999999999999</v>
      </c>
      <c r="L1093" s="149">
        <v>88</v>
      </c>
      <c r="M1093" s="67"/>
      <c r="N1093" s="135"/>
    </row>
    <row r="1094" spans="1:14" x14ac:dyDescent="0.25">
      <c r="A1094" s="142">
        <v>45082</v>
      </c>
      <c r="B1094" s="81" t="s">
        <v>30</v>
      </c>
      <c r="C1094" s="129" t="str">
        <f t="shared" si="35"/>
        <v>05.06.2023_BOYohKi</v>
      </c>
      <c r="D1094" s="143">
        <f t="shared" si="36"/>
        <v>0</v>
      </c>
      <c r="E1094" s="144">
        <v>0</v>
      </c>
      <c r="F1094" s="145">
        <v>9.661353220702636E-3</v>
      </c>
      <c r="G1094" s="146">
        <v>0.11644670050761427</v>
      </c>
      <c r="H1094" s="146">
        <v>0</v>
      </c>
      <c r="I1094" s="147">
        <v>3.5939999999999999</v>
      </c>
      <c r="J1094" s="148">
        <v>0.8994851895662126</v>
      </c>
      <c r="K1094" s="149">
        <v>30</v>
      </c>
      <c r="L1094" s="149">
        <v>159</v>
      </c>
      <c r="M1094" s="67"/>
      <c r="N1094" s="135"/>
    </row>
    <row r="1095" spans="1:14" x14ac:dyDescent="0.25">
      <c r="A1095" s="142">
        <v>45082</v>
      </c>
      <c r="B1095" s="81" t="s">
        <v>32</v>
      </c>
      <c r="C1095" s="129" t="str">
        <f t="shared" si="35"/>
        <v>05.06.2023_BOYohSp</v>
      </c>
      <c r="D1095" s="143">
        <f t="shared" si="36"/>
        <v>0</v>
      </c>
      <c r="E1095" s="144">
        <v>2.636950322677472E-2</v>
      </c>
      <c r="F1095" s="145">
        <v>1.6548834685618897E-2</v>
      </c>
      <c r="G1095" s="146">
        <v>7.133671742808799E-2</v>
      </c>
      <c r="H1095" s="146">
        <v>1.2467743390778691E-2</v>
      </c>
      <c r="I1095" s="147">
        <v>6.0910000000000002</v>
      </c>
      <c r="J1095" s="148">
        <v>1.4349622221910585</v>
      </c>
      <c r="K1095" s="149">
        <v>24</v>
      </c>
      <c r="L1095" s="149">
        <v>107</v>
      </c>
      <c r="M1095" s="67"/>
      <c r="N1095" s="135"/>
    </row>
    <row r="1096" spans="1:14" x14ac:dyDescent="0.25">
      <c r="A1096" s="142">
        <v>45082</v>
      </c>
      <c r="B1096" s="81" t="s">
        <v>34</v>
      </c>
      <c r="C1096" s="129" t="str">
        <f t="shared" si="35"/>
        <v>05.06.2023_BOYuhHa</v>
      </c>
      <c r="D1096" s="143">
        <f t="shared" si="36"/>
        <v>0</v>
      </c>
      <c r="E1096" s="144">
        <v>2.7834475628262165E-2</v>
      </c>
      <c r="F1096" s="145">
        <v>6.9355957042743508E-3</v>
      </c>
      <c r="G1096" s="146">
        <v>0</v>
      </c>
      <c r="H1096" s="146">
        <v>1.8701615086168008E-2</v>
      </c>
      <c r="I1096" s="147">
        <v>3.133</v>
      </c>
      <c r="J1096" s="148">
        <v>0.69868176290587725</v>
      </c>
      <c r="K1096" s="149">
        <v>47</v>
      </c>
      <c r="L1096" s="149">
        <v>288</v>
      </c>
      <c r="M1096" s="67"/>
      <c r="N1096" s="135"/>
    </row>
    <row r="1097" spans="1:14" x14ac:dyDescent="0.25">
      <c r="A1097" s="142">
        <v>45082</v>
      </c>
      <c r="B1097" s="81" t="s">
        <v>36</v>
      </c>
      <c r="C1097" s="129" t="str">
        <f t="shared" si="35"/>
        <v>05.06.2023_BOYuhSp</v>
      </c>
      <c r="D1097" s="143">
        <f t="shared" si="36"/>
        <v>0</v>
      </c>
      <c r="E1097" s="144">
        <v>4.6879116847599503E-2</v>
      </c>
      <c r="F1097" s="145">
        <v>1.4906244875411138E-2</v>
      </c>
      <c r="G1097" s="146">
        <v>9.2318104906937398E-2</v>
      </c>
      <c r="H1097" s="146">
        <v>4.0965442569701353E-2</v>
      </c>
      <c r="I1097" s="147">
        <v>6.0979999999999999</v>
      </c>
      <c r="J1097" s="148">
        <v>1.4615112742695333</v>
      </c>
      <c r="K1097" s="149">
        <v>27</v>
      </c>
      <c r="L1097" s="149">
        <v>115</v>
      </c>
      <c r="M1097" s="67"/>
      <c r="N1097" s="135"/>
    </row>
    <row r="1098" spans="1:14" x14ac:dyDescent="0.25">
      <c r="A1098" s="142">
        <v>45082</v>
      </c>
      <c r="B1098" s="81" t="s">
        <v>38</v>
      </c>
      <c r="C1098" s="129" t="str">
        <f t="shared" si="35"/>
        <v>05.06.2023_BRAob</v>
      </c>
      <c r="D1098" s="143">
        <f t="shared" si="36"/>
        <v>0</v>
      </c>
      <c r="E1098" s="144">
        <v>0</v>
      </c>
      <c r="F1098" s="145">
        <v>1.6672740756117944E-2</v>
      </c>
      <c r="G1098" s="146">
        <v>0.30947546531302872</v>
      </c>
      <c r="H1098" s="146">
        <v>0.10063250022557073</v>
      </c>
      <c r="I1098" s="147">
        <v>1.8089999999999999</v>
      </c>
      <c r="J1098" s="148">
        <v>0.67954099875458862</v>
      </c>
      <c r="K1098" s="149">
        <v>29</v>
      </c>
      <c r="L1098" s="149">
        <v>149</v>
      </c>
      <c r="M1098" s="67"/>
      <c r="N1098" s="135"/>
    </row>
    <row r="1099" spans="1:14" x14ac:dyDescent="0.25">
      <c r="A1099" s="142">
        <v>45082</v>
      </c>
      <c r="B1099" s="81" t="s">
        <v>41</v>
      </c>
      <c r="C1099" s="129" t="str">
        <f t="shared" si="35"/>
        <v>05.06.2023_BRAohBo</v>
      </c>
      <c r="D1099" s="143">
        <f t="shared" si="36"/>
        <v>0</v>
      </c>
      <c r="E1099" s="144">
        <v>2.6369503226774688E-2</v>
      </c>
      <c r="F1099" s="145">
        <v>5.3319617863886518E-2</v>
      </c>
      <c r="G1099" s="146">
        <v>9.2318104906937398E-2</v>
      </c>
      <c r="H1099" s="146">
        <v>2.7607146079581368E-2</v>
      </c>
      <c r="I1099" s="147">
        <v>3.6339999999999999</v>
      </c>
      <c r="J1099" s="148">
        <v>0.90090066090311638</v>
      </c>
      <c r="K1099" s="149">
        <v>31</v>
      </c>
      <c r="L1099" s="149">
        <v>130</v>
      </c>
      <c r="M1099" s="67"/>
      <c r="N1099" s="135"/>
    </row>
    <row r="1100" spans="1:14" x14ac:dyDescent="0.25">
      <c r="A1100" s="142">
        <v>45082</v>
      </c>
      <c r="B1100" s="81" t="s">
        <v>43</v>
      </c>
      <c r="C1100" s="129" t="str">
        <f t="shared" si="35"/>
        <v>05.06.2023_HAAob</v>
      </c>
      <c r="D1100" s="143">
        <f t="shared" si="36"/>
        <v>0</v>
      </c>
      <c r="E1100" s="144">
        <v>2.636950322677472E-2</v>
      </c>
      <c r="F1100" s="145">
        <v>1.6187263345542095E-2</v>
      </c>
      <c r="G1100" s="146">
        <v>0.12483925549915398</v>
      </c>
      <c r="H1100" s="146">
        <v>0</v>
      </c>
      <c r="I1100" s="147">
        <v>0.74199999999999999</v>
      </c>
      <c r="J1100" s="148">
        <v>0.26398971572034913</v>
      </c>
      <c r="K1100" s="149">
        <v>26</v>
      </c>
      <c r="L1100" s="149">
        <v>158</v>
      </c>
      <c r="M1100" s="67"/>
      <c r="N1100" s="135"/>
    </row>
    <row r="1101" spans="1:14" x14ac:dyDescent="0.25">
      <c r="A1101" s="142">
        <v>45082</v>
      </c>
      <c r="B1101" s="81" t="s">
        <v>45</v>
      </c>
      <c r="C1101" s="129" t="str">
        <f t="shared" si="35"/>
        <v>05.06.2023_HAAun</v>
      </c>
      <c r="D1101" s="143">
        <f t="shared" si="36"/>
        <v>0</v>
      </c>
      <c r="E1101" s="144">
        <v>0</v>
      </c>
      <c r="F1101" s="145">
        <v>1.3277561877535938E-2</v>
      </c>
      <c r="G1101" s="146">
        <v>4.1962774957698776E-2</v>
      </c>
      <c r="H1101" s="146">
        <v>0</v>
      </c>
      <c r="I1101" s="147">
        <v>1.63</v>
      </c>
      <c r="J1101" s="148">
        <v>0.39695597065158089</v>
      </c>
      <c r="K1101" s="149">
        <v>30</v>
      </c>
      <c r="L1101" s="149">
        <v>274</v>
      </c>
      <c r="M1101" s="67"/>
      <c r="N1101" s="135"/>
    </row>
    <row r="1102" spans="1:14" x14ac:dyDescent="0.25">
      <c r="A1102" s="142">
        <v>45082</v>
      </c>
      <c r="B1102" s="81" t="s">
        <v>47</v>
      </c>
      <c r="C1102" s="129" t="str">
        <f t="shared" si="35"/>
        <v>05.06.2023_KIRob</v>
      </c>
      <c r="D1102" s="143">
        <f t="shared" si="36"/>
        <v>0</v>
      </c>
      <c r="E1102" s="144">
        <v>0</v>
      </c>
      <c r="F1102" s="145">
        <v>4.9240314319882825E-3</v>
      </c>
      <c r="G1102" s="146">
        <v>0.32101522842639596</v>
      </c>
      <c r="H1102" s="146">
        <v>0.1932500225570695</v>
      </c>
      <c r="I1102" s="147">
        <v>7.1890000000000001</v>
      </c>
      <c r="J1102" s="148">
        <v>1.931879514088312</v>
      </c>
      <c r="K1102" s="149">
        <v>83</v>
      </c>
      <c r="L1102" s="149">
        <v>194</v>
      </c>
      <c r="M1102" s="67"/>
      <c r="N1102" s="135"/>
    </row>
    <row r="1103" spans="1:14" x14ac:dyDescent="0.25">
      <c r="A1103" s="142">
        <v>45082</v>
      </c>
      <c r="B1103" s="81" t="s">
        <v>49</v>
      </c>
      <c r="C1103" s="129" t="str">
        <f t="shared" si="35"/>
        <v>05.06.2023_KIRun</v>
      </c>
      <c r="D1103" s="143">
        <f t="shared" si="36"/>
        <v>0</v>
      </c>
      <c r="E1103" s="144">
        <v>8.2038454483299134E-2</v>
      </c>
      <c r="F1103" s="145">
        <v>5.9531075822839858E-3</v>
      </c>
      <c r="G1103" s="146">
        <v>0.11434856175972929</v>
      </c>
      <c r="H1103" s="146">
        <v>5.8776504556528046E-2</v>
      </c>
      <c r="I1103" s="147">
        <v>4.9480000000000004</v>
      </c>
      <c r="J1103" s="148">
        <v>1.2242897815330471</v>
      </c>
      <c r="K1103" s="149">
        <v>61</v>
      </c>
      <c r="L1103" s="149">
        <v>169</v>
      </c>
      <c r="M1103" s="67"/>
      <c r="N1103" s="135"/>
    </row>
    <row r="1104" spans="1:14" x14ac:dyDescent="0.25">
      <c r="A1104" s="142">
        <v>45082</v>
      </c>
      <c r="B1104" s="81" t="s">
        <v>50</v>
      </c>
      <c r="C1104" s="129" t="str">
        <f t="shared" si="35"/>
        <v>05.06.2023_LIEohBo</v>
      </c>
      <c r="D1104" s="143">
        <f t="shared" si="36"/>
        <v>0</v>
      </c>
      <c r="E1104" s="144">
        <v>0</v>
      </c>
      <c r="F1104" s="145">
        <v>1.4190434606047901E-2</v>
      </c>
      <c r="G1104" s="146">
        <v>4.3011844331641264E-2</v>
      </c>
      <c r="H1104" s="146">
        <v>8.9055309934134698E-4</v>
      </c>
      <c r="I1104" s="147">
        <v>11.051</v>
      </c>
      <c r="J1104" s="148">
        <v>2.5297587658961707</v>
      </c>
      <c r="K1104" s="149">
        <v>29.001000000000001</v>
      </c>
      <c r="L1104" s="149">
        <v>117</v>
      </c>
      <c r="M1104" s="67"/>
      <c r="N1104" s="135"/>
    </row>
    <row r="1105" spans="1:14" x14ac:dyDescent="0.25">
      <c r="A1105" s="142">
        <v>45082</v>
      </c>
      <c r="B1105" s="81" t="s">
        <v>53</v>
      </c>
      <c r="C1105" s="129" t="str">
        <f t="shared" si="35"/>
        <v>05.06.2023_NATohBo</v>
      </c>
      <c r="D1105" s="143">
        <f t="shared" si="36"/>
        <v>0</v>
      </c>
      <c r="E1105" s="144">
        <v>3.5159337635699603E-2</v>
      </c>
      <c r="F1105" s="145">
        <v>1.0782496914386607E-2</v>
      </c>
      <c r="G1105" s="146">
        <v>4.9306260575296093E-2</v>
      </c>
      <c r="H1105" s="146">
        <v>3.5622123973653344E-2</v>
      </c>
      <c r="I1105" s="147">
        <v>2.637</v>
      </c>
      <c r="J1105" s="148">
        <v>0.64475016391789042</v>
      </c>
      <c r="K1105" s="149">
        <v>114</v>
      </c>
      <c r="L1105" s="149">
        <v>686</v>
      </c>
      <c r="M1105" s="67"/>
      <c r="N1105" s="135"/>
    </row>
    <row r="1106" spans="1:14" x14ac:dyDescent="0.25">
      <c r="A1106" s="142">
        <v>45082</v>
      </c>
      <c r="B1106" s="81" t="s">
        <v>55</v>
      </c>
      <c r="C1106" s="129" t="str">
        <f t="shared" si="35"/>
        <v>05.06.2023_QUAohBo</v>
      </c>
      <c r="D1106" s="143">
        <f t="shared" si="36"/>
        <v>0</v>
      </c>
      <c r="E1106" s="144">
        <v>4.834408924908698E-2</v>
      </c>
      <c r="F1106" s="145">
        <v>8.0059618515090827E-3</v>
      </c>
      <c r="G1106" s="146">
        <v>0.16470389170896788</v>
      </c>
      <c r="H1106" s="146">
        <v>6.5900929351258714E-2</v>
      </c>
      <c r="I1106" s="147">
        <v>1.145</v>
      </c>
      <c r="J1106" s="148">
        <v>0.40657561281408716</v>
      </c>
      <c r="K1106" s="149">
        <v>31</v>
      </c>
      <c r="L1106" s="149">
        <v>142</v>
      </c>
      <c r="M1106" s="67"/>
      <c r="N1106" s="135"/>
    </row>
    <row r="1107" spans="1:14" x14ac:dyDescent="0.25">
      <c r="A1107" s="142">
        <v>45082</v>
      </c>
      <c r="B1107" s="81" t="s">
        <v>57</v>
      </c>
      <c r="C1107" s="129" t="str">
        <f t="shared" si="35"/>
        <v>05.06.2023_SCHohVo</v>
      </c>
      <c r="D1107" s="143">
        <f t="shared" si="36"/>
        <v>0</v>
      </c>
      <c r="E1107" s="144">
        <v>0</v>
      </c>
      <c r="F1107" s="145">
        <v>1.4127198996878665E-2</v>
      </c>
      <c r="G1107" s="146">
        <v>4.8257191201353605E-2</v>
      </c>
      <c r="H1107" s="146">
        <v>1.8701615086168008E-2</v>
      </c>
      <c r="I1107" s="147">
        <v>1.419</v>
      </c>
      <c r="J1107" s="148">
        <v>0.36367446310892293</v>
      </c>
      <c r="K1107" s="149">
        <v>27.76</v>
      </c>
      <c r="L1107" s="149">
        <v>81</v>
      </c>
      <c r="M1107" s="67"/>
      <c r="N1107" s="135"/>
    </row>
    <row r="1108" spans="1:14" x14ac:dyDescent="0.25">
      <c r="A1108" s="142">
        <v>45082</v>
      </c>
      <c r="B1108" s="81" t="s">
        <v>60</v>
      </c>
      <c r="C1108" s="129" t="str">
        <f t="shared" si="35"/>
        <v>05.06.2023_VORohBo</v>
      </c>
      <c r="D1108" s="143">
        <f t="shared" si="36"/>
        <v>0</v>
      </c>
      <c r="E1108" s="144">
        <v>2.636950322677472E-2</v>
      </c>
      <c r="F1108" s="145">
        <v>5.7664023163831943E-3</v>
      </c>
      <c r="G1108" s="146">
        <v>0.35773265651438241</v>
      </c>
      <c r="H1108" s="146">
        <v>4.6308761165749356E-2</v>
      </c>
      <c r="I1108" s="147">
        <v>1.4470000000000001</v>
      </c>
      <c r="J1108" s="148">
        <v>0.61870842279376514</v>
      </c>
      <c r="K1108" s="149">
        <v>33</v>
      </c>
      <c r="L1108" s="149">
        <v>248</v>
      </c>
      <c r="M1108" s="67"/>
      <c r="N1108" s="135"/>
    </row>
    <row r="1109" spans="1:14" x14ac:dyDescent="0.25">
      <c r="A1109" s="142">
        <v>45082</v>
      </c>
      <c r="B1109" s="81" t="s">
        <v>62</v>
      </c>
      <c r="C1109" s="129" t="str">
        <f t="shared" si="35"/>
        <v>05.06.2023_VORuhSc</v>
      </c>
      <c r="D1109" s="143">
        <f t="shared" si="36"/>
        <v>0</v>
      </c>
      <c r="E1109" s="144">
        <v>3.0495864198221523E-17</v>
      </c>
      <c r="F1109" s="145">
        <v>4.6244139947698637E-3</v>
      </c>
      <c r="G1109" s="146">
        <v>0.2863959390862944</v>
      </c>
      <c r="H1109" s="146">
        <v>3.2950464675629378E-2</v>
      </c>
      <c r="I1109" s="147">
        <v>0.81299999999999994</v>
      </c>
      <c r="J1109" s="148">
        <v>0.41604766171161212</v>
      </c>
      <c r="K1109" s="149">
        <v>30</v>
      </c>
      <c r="L1109" s="149">
        <v>229</v>
      </c>
      <c r="M1109" s="67"/>
      <c r="N1109" s="135"/>
    </row>
    <row r="1110" spans="1:14" x14ac:dyDescent="0.25">
      <c r="A1110" s="142">
        <v>45082</v>
      </c>
      <c r="B1110" s="81" t="s">
        <v>64</v>
      </c>
      <c r="C1110" s="129" t="str">
        <f t="shared" si="35"/>
        <v>05.06.2023_WITob</v>
      </c>
      <c r="D1110" s="143">
        <f t="shared" si="36"/>
        <v>0</v>
      </c>
      <c r="E1110" s="144">
        <v>2.0509613620824783E-2</v>
      </c>
      <c r="F1110" s="145">
        <v>5.8673775848868091E-3</v>
      </c>
      <c r="G1110" s="146">
        <v>5.4551607445008435E-2</v>
      </c>
      <c r="H1110" s="146">
        <v>4.4527654967066793E-3</v>
      </c>
      <c r="I1110" s="147">
        <v>0.59499999999999997</v>
      </c>
      <c r="J1110" s="148">
        <v>0.17810707212044691</v>
      </c>
      <c r="K1110" s="149">
        <v>63</v>
      </c>
      <c r="L1110" s="149">
        <v>298</v>
      </c>
      <c r="M1110" s="67"/>
      <c r="N1110" s="135"/>
    </row>
    <row r="1111" spans="1:14" x14ac:dyDescent="0.25">
      <c r="A1111" s="142">
        <v>45093</v>
      </c>
      <c r="B1111" s="81" t="s">
        <v>22</v>
      </c>
      <c r="C1111" s="129" t="str">
        <f t="shared" si="35"/>
        <v>16.06.2023_BOYkl</v>
      </c>
      <c r="D1111" s="143">
        <f t="shared" si="36"/>
        <v>8</v>
      </c>
      <c r="E1111" s="144"/>
      <c r="F1111" s="145"/>
      <c r="G1111" s="146"/>
      <c r="H1111" s="146"/>
      <c r="I1111" s="147"/>
      <c r="J1111" s="148"/>
      <c r="K1111" s="149"/>
      <c r="L1111" s="149"/>
      <c r="M1111" s="67"/>
      <c r="N1111" s="135" t="s">
        <v>341</v>
      </c>
    </row>
    <row r="1112" spans="1:14" x14ac:dyDescent="0.25">
      <c r="A1112" s="142">
        <v>45093</v>
      </c>
      <c r="B1112" s="81" t="s">
        <v>25</v>
      </c>
      <c r="C1112" s="129" t="str">
        <f t="shared" si="35"/>
        <v>16.06.2023_BOYohB224</v>
      </c>
      <c r="D1112" s="143">
        <f t="shared" si="36"/>
        <v>0</v>
      </c>
      <c r="E1112" s="144">
        <v>3.1763880653139162E-2</v>
      </c>
      <c r="F1112" s="145">
        <v>4.6451885873270392E-3</v>
      </c>
      <c r="G1112" s="146">
        <v>0</v>
      </c>
      <c r="H1112" s="146">
        <v>0</v>
      </c>
      <c r="I1112" s="147">
        <v>1.512</v>
      </c>
      <c r="J1112" s="148">
        <v>0.34151544</v>
      </c>
      <c r="K1112" s="149">
        <v>43</v>
      </c>
      <c r="L1112" s="149">
        <v>249</v>
      </c>
      <c r="M1112" s="67"/>
      <c r="N1112" s="135"/>
    </row>
    <row r="1113" spans="1:14" x14ac:dyDescent="0.25">
      <c r="A1113" s="142">
        <v>45093</v>
      </c>
      <c r="B1113" s="81" t="s">
        <v>28</v>
      </c>
      <c r="C1113" s="129" t="str">
        <f t="shared" si="35"/>
        <v>16.06.2023_BOYohBr</v>
      </c>
      <c r="D1113" s="143">
        <f t="shared" si="36"/>
        <v>0</v>
      </c>
      <c r="E1113" s="144">
        <v>2.4140549296385764E-2</v>
      </c>
      <c r="F1113" s="145">
        <v>3.8185454820622118E-3</v>
      </c>
      <c r="G1113" s="146">
        <v>8.708876802027779E-2</v>
      </c>
      <c r="H1113" s="146">
        <v>1.1047258585367533E-2</v>
      </c>
      <c r="I1113" s="147">
        <v>4.1369999999999996</v>
      </c>
      <c r="J1113" s="148">
        <v>1.0054110853563805</v>
      </c>
      <c r="K1113" s="149">
        <v>20.577000000000002</v>
      </c>
      <c r="L1113" s="149">
        <v>75</v>
      </c>
      <c r="M1113" s="67"/>
      <c r="N1113" s="135"/>
    </row>
    <row r="1114" spans="1:14" x14ac:dyDescent="0.25">
      <c r="A1114" s="142">
        <v>45093</v>
      </c>
      <c r="B1114" s="81" t="s">
        <v>30</v>
      </c>
      <c r="C1114" s="129" t="str">
        <f t="shared" si="35"/>
        <v>16.06.2023_BOYohKi</v>
      </c>
      <c r="D1114" s="143">
        <f t="shared" si="36"/>
        <v>0</v>
      </c>
      <c r="E1114" s="144">
        <v>1.6517217939632362E-2</v>
      </c>
      <c r="F1114" s="145">
        <v>3.9363685842420714E-3</v>
      </c>
      <c r="G1114" s="146">
        <v>0.11367376036330992</v>
      </c>
      <c r="H1114" s="146">
        <v>0</v>
      </c>
      <c r="I1114" s="147">
        <v>2.4750000000000001</v>
      </c>
      <c r="J1114" s="148">
        <v>0.64729478818450659</v>
      </c>
      <c r="K1114" s="149">
        <v>32</v>
      </c>
      <c r="L1114" s="149">
        <v>155</v>
      </c>
      <c r="M1114" s="67"/>
      <c r="N1114" s="135"/>
    </row>
    <row r="1115" spans="1:14" x14ac:dyDescent="0.25">
      <c r="A1115" s="142">
        <v>45093</v>
      </c>
      <c r="B1115" s="81" t="s">
        <v>32</v>
      </c>
      <c r="C1115" s="129" t="str">
        <f t="shared" si="35"/>
        <v>16.06.2023_BOYohSp</v>
      </c>
      <c r="D1115" s="143">
        <f t="shared" si="36"/>
        <v>0</v>
      </c>
      <c r="E1115" s="144">
        <v>0.10926774944679864</v>
      </c>
      <c r="F1115" s="145">
        <v>9.4601987849718457E-3</v>
      </c>
      <c r="G1115" s="146">
        <v>2.1084649099646163E-2</v>
      </c>
      <c r="H1115" s="146">
        <v>0</v>
      </c>
      <c r="I1115" s="147">
        <v>2.4140000000000001</v>
      </c>
      <c r="J1115" s="148">
        <v>0.56162219917938427</v>
      </c>
      <c r="K1115" s="149">
        <v>13.496</v>
      </c>
      <c r="L1115" s="149">
        <v>46</v>
      </c>
      <c r="M1115" s="67"/>
      <c r="N1115" s="135"/>
    </row>
    <row r="1116" spans="1:14" x14ac:dyDescent="0.25">
      <c r="A1116" s="142">
        <v>45093</v>
      </c>
      <c r="B1116" s="81" t="s">
        <v>34</v>
      </c>
      <c r="C1116" s="129" t="str">
        <f t="shared" si="35"/>
        <v>16.06.2023_BOYuhHa</v>
      </c>
      <c r="D1116" s="143">
        <f t="shared" si="36"/>
        <v>0</v>
      </c>
      <c r="E1116" s="144">
        <v>6.352776130627831E-2</v>
      </c>
      <c r="F1116" s="145">
        <v>6.485479417481772E-3</v>
      </c>
      <c r="G1116" s="146">
        <v>0</v>
      </c>
      <c r="H1116" s="146">
        <v>0</v>
      </c>
      <c r="I1116" s="147">
        <v>2.0950000000000002</v>
      </c>
      <c r="J1116" s="148">
        <v>0.47319765000000003</v>
      </c>
      <c r="K1116" s="149">
        <v>51</v>
      </c>
      <c r="L1116" s="149">
        <v>285</v>
      </c>
      <c r="M1116" s="67"/>
      <c r="N1116" s="135"/>
    </row>
    <row r="1117" spans="1:14" x14ac:dyDescent="0.25">
      <c r="A1117" s="142">
        <v>45093</v>
      </c>
      <c r="B1117" s="81" t="s">
        <v>36</v>
      </c>
      <c r="C1117" s="129" t="str">
        <f t="shared" si="35"/>
        <v>16.06.2023_BOYuhSp</v>
      </c>
      <c r="D1117" s="143">
        <f t="shared" si="36"/>
        <v>0</v>
      </c>
      <c r="E1117" s="144">
        <v>5.0822209045022618E-2</v>
      </c>
      <c r="F1117" s="145">
        <v>9.5275563415466048E-3</v>
      </c>
      <c r="G1117" s="146">
        <v>0.10175635000264031</v>
      </c>
      <c r="H1117" s="146">
        <v>0</v>
      </c>
      <c r="I1117" s="147">
        <v>3.302</v>
      </c>
      <c r="J1117" s="148">
        <v>0.82483552821355011</v>
      </c>
      <c r="K1117" s="149">
        <v>21.667000000000002</v>
      </c>
      <c r="L1117" s="149">
        <v>63</v>
      </c>
      <c r="M1117" s="67"/>
      <c r="N1117" s="135"/>
    </row>
    <row r="1118" spans="1:14" x14ac:dyDescent="0.25">
      <c r="A1118" s="142">
        <v>45093</v>
      </c>
      <c r="B1118" s="81" t="s">
        <v>38</v>
      </c>
      <c r="C1118" s="129" t="str">
        <f t="shared" si="35"/>
        <v>16.06.2023_BRAob</v>
      </c>
      <c r="D1118" s="143">
        <f t="shared" si="36"/>
        <v>0</v>
      </c>
      <c r="E1118" s="144">
        <v>2.6448743739420477E-17</v>
      </c>
      <c r="F1118" s="145">
        <v>1.9375307950186143E-2</v>
      </c>
      <c r="G1118" s="146">
        <v>7.2421186037915197E-2</v>
      </c>
      <c r="H1118" s="146">
        <v>0</v>
      </c>
      <c r="I1118" s="147">
        <v>1.2769999999999999</v>
      </c>
      <c r="J1118" s="148">
        <v>0.34467031674658077</v>
      </c>
      <c r="K1118" s="149">
        <v>24</v>
      </c>
      <c r="L1118" s="149">
        <v>104</v>
      </c>
      <c r="M1118" s="67"/>
      <c r="N1118" s="135"/>
    </row>
    <row r="1119" spans="1:14" x14ac:dyDescent="0.25">
      <c r="A1119" s="142">
        <v>45093</v>
      </c>
      <c r="B1119" s="81" t="s">
        <v>41</v>
      </c>
      <c r="C1119" s="129" t="str">
        <f t="shared" si="35"/>
        <v>16.06.2023_BRAohBo</v>
      </c>
      <c r="D1119" s="143">
        <f t="shared" si="36"/>
        <v>8</v>
      </c>
      <c r="E1119" s="144"/>
      <c r="F1119" s="145"/>
      <c r="G1119" s="146"/>
      <c r="H1119" s="146"/>
      <c r="I1119" s="147"/>
      <c r="J1119" s="148"/>
      <c r="K1119" s="149"/>
      <c r="L1119" s="149"/>
      <c r="M1119" s="67"/>
      <c r="N1119" s="135" t="s">
        <v>341</v>
      </c>
    </row>
    <row r="1120" spans="1:14" x14ac:dyDescent="0.25">
      <c r="A1120" s="142">
        <v>45093</v>
      </c>
      <c r="B1120" s="81" t="s">
        <v>43</v>
      </c>
      <c r="C1120" s="129" t="str">
        <f t="shared" si="35"/>
        <v>16.06.2023_HAAob</v>
      </c>
      <c r="D1120" s="143">
        <f t="shared" si="36"/>
        <v>0</v>
      </c>
      <c r="E1120" s="144">
        <v>4.5739988140520355E-2</v>
      </c>
      <c r="F1120" s="145">
        <v>5.0269111956571765E-3</v>
      </c>
      <c r="G1120" s="146">
        <v>0.15859323018429528</v>
      </c>
      <c r="H1120" s="146">
        <v>4.9098927046078031E-2</v>
      </c>
      <c r="I1120" s="147">
        <v>0.51</v>
      </c>
      <c r="J1120" s="148">
        <v>0.25328792564498193</v>
      </c>
      <c r="K1120" s="149">
        <v>20.873999999999999</v>
      </c>
      <c r="L1120" s="149">
        <v>112</v>
      </c>
      <c r="M1120" s="67"/>
      <c r="N1120" s="135"/>
    </row>
    <row r="1121" spans="1:14" x14ac:dyDescent="0.25">
      <c r="A1121" s="142">
        <v>45093</v>
      </c>
      <c r="B1121" s="81" t="s">
        <v>45</v>
      </c>
      <c r="C1121" s="129" t="str">
        <f t="shared" si="35"/>
        <v>16.06.2023_HAAun</v>
      </c>
      <c r="D1121" s="143">
        <f t="shared" si="36"/>
        <v>0</v>
      </c>
      <c r="E1121" s="144">
        <v>2.6448743739420477E-17</v>
      </c>
      <c r="F1121" s="145">
        <v>7.1693215647418733E-3</v>
      </c>
      <c r="G1121" s="146">
        <v>2.5668268469134458E-2</v>
      </c>
      <c r="H1121" s="146">
        <v>0</v>
      </c>
      <c r="I1121" s="147">
        <v>1.1020000000000001</v>
      </c>
      <c r="J1121" s="148">
        <v>0.26883989378359824</v>
      </c>
      <c r="K1121" s="149">
        <v>28</v>
      </c>
      <c r="L1121" s="149">
        <v>279</v>
      </c>
      <c r="M1121" s="67"/>
      <c r="N1121" s="135"/>
    </row>
    <row r="1122" spans="1:14" x14ac:dyDescent="0.25">
      <c r="A1122" s="142">
        <v>45093</v>
      </c>
      <c r="B1122" s="81" t="s">
        <v>47</v>
      </c>
      <c r="C1122" s="129" t="str">
        <f t="shared" si="35"/>
        <v>16.06.2023_KIRob</v>
      </c>
      <c r="D1122" s="143">
        <f t="shared" si="36"/>
        <v>0</v>
      </c>
      <c r="E1122" s="144">
        <v>2.0328883618009063E-2</v>
      </c>
      <c r="F1122" s="145">
        <v>5.9326126322950092E-3</v>
      </c>
      <c r="G1122" s="146">
        <v>0.20076252838358771</v>
      </c>
      <c r="H1122" s="146">
        <v>0.22094517170735101</v>
      </c>
      <c r="I1122" s="147">
        <v>5.5979999999999999</v>
      </c>
      <c r="J1122" s="148">
        <v>1.4875771131908748</v>
      </c>
      <c r="K1122" s="149">
        <v>74</v>
      </c>
      <c r="L1122" s="149">
        <v>156</v>
      </c>
      <c r="M1122" s="67"/>
      <c r="N1122" s="135"/>
    </row>
    <row r="1123" spans="1:14" x14ac:dyDescent="0.25">
      <c r="A1123" s="142">
        <v>45093</v>
      </c>
      <c r="B1123" s="81" t="s">
        <v>49</v>
      </c>
      <c r="C1123" s="129" t="str">
        <f t="shared" si="35"/>
        <v>16.06.2023_KIRun</v>
      </c>
      <c r="D1123" s="143">
        <f t="shared" si="36"/>
        <v>0</v>
      </c>
      <c r="E1123" s="144">
        <v>1.7787773165757945E-2</v>
      </c>
      <c r="F1123" s="145">
        <v>7.2884290266191452E-3</v>
      </c>
      <c r="G1123" s="146">
        <v>8.5255320272482477E-2</v>
      </c>
      <c r="H1123" s="146">
        <v>0.21726275217889515</v>
      </c>
      <c r="I1123" s="147">
        <v>4.1909999999999998</v>
      </c>
      <c r="J1123" s="148">
        <v>1.0789667185392446</v>
      </c>
      <c r="K1123" s="149">
        <v>62</v>
      </c>
      <c r="L1123" s="149">
        <v>142</v>
      </c>
      <c r="M1123" s="67"/>
      <c r="N1123" s="135"/>
    </row>
    <row r="1124" spans="1:14" x14ac:dyDescent="0.25">
      <c r="A1124" s="142">
        <v>45093</v>
      </c>
      <c r="B1124" s="81" t="s">
        <v>50</v>
      </c>
      <c r="C1124" s="129" t="str">
        <f t="shared" si="35"/>
        <v>16.06.2023_LIEohBo</v>
      </c>
      <c r="D1124" s="143">
        <f t="shared" si="36"/>
        <v>0</v>
      </c>
      <c r="E1124" s="144">
        <v>0.33796769014940059</v>
      </c>
      <c r="F1124" s="145">
        <v>5.4639564298785016E-3</v>
      </c>
      <c r="G1124" s="146">
        <v>0</v>
      </c>
      <c r="H1124" s="146">
        <v>0</v>
      </c>
      <c r="I1124" s="147">
        <v>11.356999999999999</v>
      </c>
      <c r="J1124" s="148">
        <v>2.5652055899999997</v>
      </c>
      <c r="K1124" s="149">
        <v>26</v>
      </c>
      <c r="L1124" s="149">
        <v>98</v>
      </c>
      <c r="M1124" s="67"/>
      <c r="N1124" s="135"/>
    </row>
    <row r="1125" spans="1:14" x14ac:dyDescent="0.25">
      <c r="A1125" s="142">
        <v>45093</v>
      </c>
      <c r="B1125" s="81" t="s">
        <v>53</v>
      </c>
      <c r="C1125" s="129" t="str">
        <f t="shared" si="35"/>
        <v>16.06.2023_NATohBo</v>
      </c>
      <c r="D1125" s="143">
        <f t="shared" si="36"/>
        <v>0</v>
      </c>
      <c r="E1125" s="144">
        <v>3.9387212009892564E-2</v>
      </c>
      <c r="F1125" s="145">
        <v>8.0355045032592283E-3</v>
      </c>
      <c r="G1125" s="146">
        <v>0</v>
      </c>
      <c r="H1125" s="146">
        <v>0</v>
      </c>
      <c r="I1125" s="147">
        <v>2.3879999999999999</v>
      </c>
      <c r="J1125" s="148">
        <v>0.53937755999999992</v>
      </c>
      <c r="K1125" s="149">
        <v>118</v>
      </c>
      <c r="L1125" s="149">
        <v>648</v>
      </c>
      <c r="M1125" s="67"/>
      <c r="N1125" s="135"/>
    </row>
    <row r="1126" spans="1:14" x14ac:dyDescent="0.25">
      <c r="A1126" s="142">
        <v>45093</v>
      </c>
      <c r="B1126" s="81" t="s">
        <v>55</v>
      </c>
      <c r="C1126" s="129" t="str">
        <f t="shared" si="35"/>
        <v>16.06.2023_QUAohBo</v>
      </c>
      <c r="D1126" s="143">
        <f t="shared" si="36"/>
        <v>8</v>
      </c>
      <c r="E1126" s="144"/>
      <c r="F1126" s="145"/>
      <c r="G1126" s="146"/>
      <c r="H1126" s="146"/>
      <c r="I1126" s="147"/>
      <c r="J1126" s="148"/>
      <c r="K1126" s="149"/>
      <c r="L1126" s="149"/>
      <c r="M1126" s="67"/>
      <c r="N1126" s="135" t="s">
        <v>341</v>
      </c>
    </row>
    <row r="1127" spans="1:14" x14ac:dyDescent="0.25">
      <c r="A1127" s="142">
        <v>45093</v>
      </c>
      <c r="B1127" s="81" t="s">
        <v>57</v>
      </c>
      <c r="C1127" s="129" t="str">
        <f t="shared" si="35"/>
        <v>16.06.2023_SCHohVo</v>
      </c>
      <c r="D1127" s="143">
        <f t="shared" si="36"/>
        <v>8</v>
      </c>
      <c r="E1127" s="144"/>
      <c r="F1127" s="145"/>
      <c r="G1127" s="146"/>
      <c r="H1127" s="146"/>
      <c r="I1127" s="147"/>
      <c r="J1127" s="148"/>
      <c r="K1127" s="149"/>
      <c r="L1127" s="149"/>
      <c r="M1127" s="67"/>
      <c r="N1127" s="135" t="s">
        <v>341</v>
      </c>
    </row>
    <row r="1128" spans="1:14" x14ac:dyDescent="0.25">
      <c r="A1128" s="142">
        <v>45093</v>
      </c>
      <c r="B1128" s="81" t="s">
        <v>60</v>
      </c>
      <c r="C1128" s="129" t="str">
        <f t="shared" si="35"/>
        <v>16.06.2023_VORohBo</v>
      </c>
      <c r="D1128" s="143">
        <f t="shared" si="36"/>
        <v>0</v>
      </c>
      <c r="E1128" s="144">
        <v>5.8445540401776019E-2</v>
      </c>
      <c r="F1128" s="145">
        <v>3.9467585551072361E-3</v>
      </c>
      <c r="G1128" s="146">
        <v>0.10358979775043567</v>
      </c>
      <c r="H1128" s="146">
        <v>1.7184624466127296E-2</v>
      </c>
      <c r="I1128" s="147">
        <v>1.3420000000000001</v>
      </c>
      <c r="J1128" s="148">
        <v>0.3887858409739483</v>
      </c>
      <c r="K1128" s="149">
        <v>32</v>
      </c>
      <c r="L1128" s="149">
        <v>217</v>
      </c>
      <c r="M1128" s="67"/>
      <c r="N1128" s="135"/>
    </row>
    <row r="1129" spans="1:14" x14ac:dyDescent="0.25">
      <c r="A1129" s="142">
        <v>45093</v>
      </c>
      <c r="B1129" s="81" t="s">
        <v>62</v>
      </c>
      <c r="C1129" s="129" t="str">
        <f t="shared" si="35"/>
        <v>16.06.2023_VORuhSc</v>
      </c>
      <c r="D1129" s="143">
        <f t="shared" si="36"/>
        <v>0</v>
      </c>
      <c r="E1129" s="144">
        <v>1.9058328391883532E-2</v>
      </c>
      <c r="F1129" s="145">
        <v>3.2036960167159813E-3</v>
      </c>
      <c r="G1129" s="146">
        <v>0.31901990811638598</v>
      </c>
      <c r="H1129" s="146">
        <v>9.8197854092156173E-3</v>
      </c>
      <c r="I1129" s="147">
        <v>0.216</v>
      </c>
      <c r="J1129" s="148">
        <v>0.29949332212112822</v>
      </c>
      <c r="K1129" s="149">
        <v>12.429</v>
      </c>
      <c r="L1129" s="149">
        <v>88</v>
      </c>
      <c r="M1129" s="67"/>
      <c r="N1129" s="135"/>
    </row>
    <row r="1130" spans="1:14" x14ac:dyDescent="0.25">
      <c r="A1130" s="142">
        <v>45093</v>
      </c>
      <c r="B1130" s="81" t="s">
        <v>64</v>
      </c>
      <c r="C1130" s="129" t="str">
        <f t="shared" si="35"/>
        <v>16.06.2023_WITob</v>
      </c>
      <c r="D1130" s="143">
        <f t="shared" si="36"/>
        <v>0</v>
      </c>
      <c r="E1130" s="144">
        <v>6.0986650854027165E-2</v>
      </c>
      <c r="F1130" s="145">
        <v>3.6858523076650834E-3</v>
      </c>
      <c r="G1130" s="146">
        <v>4.4002745947087717E-2</v>
      </c>
      <c r="H1130" s="146">
        <v>0</v>
      </c>
      <c r="I1130" s="147">
        <v>0.61799999999999999</v>
      </c>
      <c r="J1130" s="148">
        <v>0.17375535220045413</v>
      </c>
      <c r="K1130" s="149">
        <v>66</v>
      </c>
      <c r="L1130" s="149">
        <v>261</v>
      </c>
      <c r="M1130" s="67"/>
      <c r="N1130" s="135"/>
    </row>
    <row r="1131" spans="1:14" x14ac:dyDescent="0.25">
      <c r="A1131" s="142">
        <v>45107</v>
      </c>
      <c r="B1131" s="81" t="s">
        <v>22</v>
      </c>
      <c r="C1131" s="129" t="str">
        <f t="shared" si="35"/>
        <v>30.06.2023_BOYkl</v>
      </c>
      <c r="D1131" s="143">
        <f t="shared" si="36"/>
        <v>0</v>
      </c>
      <c r="E1131" s="144">
        <v>0.14559584372162729</v>
      </c>
      <c r="F1131" s="145">
        <v>8.6675114750342216E-2</v>
      </c>
      <c r="G1131" s="146">
        <v>7.4898610751574793E-2</v>
      </c>
      <c r="H1131" s="146">
        <v>0.40542831044048977</v>
      </c>
      <c r="I1131" s="147">
        <v>31.138999999999999</v>
      </c>
      <c r="J1131" s="148">
        <v>7.2149566013760973</v>
      </c>
      <c r="K1131" s="149">
        <v>26.172999999999998</v>
      </c>
      <c r="L1131" s="149">
        <v>51</v>
      </c>
      <c r="M1131" s="67"/>
      <c r="N1131" s="135"/>
    </row>
    <row r="1132" spans="1:14" x14ac:dyDescent="0.25">
      <c r="A1132" s="142">
        <v>45107</v>
      </c>
      <c r="B1132" s="81" t="s">
        <v>25</v>
      </c>
      <c r="C1132" s="129" t="str">
        <f t="shared" si="35"/>
        <v>30.06.2023_BOYohB224</v>
      </c>
      <c r="D1132" s="143">
        <f t="shared" si="36"/>
        <v>0</v>
      </c>
      <c r="E1132" s="144">
        <v>7.3430947268298977E-2</v>
      </c>
      <c r="F1132" s="145">
        <v>1.2233679971483528E-2</v>
      </c>
      <c r="G1132" s="146">
        <v>0.10319364147994746</v>
      </c>
      <c r="H1132" s="146">
        <v>0.13155490899248931</v>
      </c>
      <c r="I1132" s="147">
        <v>2.74</v>
      </c>
      <c r="J1132" s="148">
        <v>0.73906452271552781</v>
      </c>
      <c r="K1132" s="149">
        <v>35</v>
      </c>
      <c r="L1132" s="149">
        <v>184</v>
      </c>
      <c r="M1132" s="157">
        <v>41.14</v>
      </c>
      <c r="N1132" s="135"/>
    </row>
    <row r="1133" spans="1:14" x14ac:dyDescent="0.25">
      <c r="A1133" s="142">
        <v>45107</v>
      </c>
      <c r="B1133" s="81" t="s">
        <v>28</v>
      </c>
      <c r="C1133" s="129" t="str">
        <f t="shared" si="35"/>
        <v>30.06.2023_BOYohBr</v>
      </c>
      <c r="D1133" s="143">
        <f t="shared" si="36"/>
        <v>0</v>
      </c>
      <c r="E1133" s="144">
        <v>0.10255011601262447</v>
      </c>
      <c r="F1133" s="145">
        <v>7.4270042395173722E-2</v>
      </c>
      <c r="G1133" s="146">
        <v>0.14896501471702095</v>
      </c>
      <c r="H1133" s="146">
        <v>0.15188612220041947</v>
      </c>
      <c r="I1133" s="147">
        <v>4.2409999999999997</v>
      </c>
      <c r="J1133" s="148">
        <v>1.1198262441815372</v>
      </c>
      <c r="K1133" s="149">
        <v>18.873999999999999</v>
      </c>
      <c r="L1133" s="149">
        <v>63</v>
      </c>
      <c r="M1133" s="157">
        <v>36.25</v>
      </c>
      <c r="N1133" s="135"/>
    </row>
    <row r="1134" spans="1:14" x14ac:dyDescent="0.25">
      <c r="A1134" s="142">
        <v>45107</v>
      </c>
      <c r="B1134" s="81" t="s">
        <v>30</v>
      </c>
      <c r="C1134" s="129" t="str">
        <f t="shared" si="35"/>
        <v>30.06.2023_BOYohKi</v>
      </c>
      <c r="D1134" s="143">
        <f t="shared" si="36"/>
        <v>0</v>
      </c>
      <c r="E1134" s="144">
        <v>0</v>
      </c>
      <c r="F1134" s="145">
        <v>1.627106048287499E-2</v>
      </c>
      <c r="G1134" s="146">
        <v>0.15645487579217843</v>
      </c>
      <c r="H1134" s="146">
        <v>0.16862947425400907</v>
      </c>
      <c r="I1134" s="147">
        <v>3.7080000000000002</v>
      </c>
      <c r="J1134" s="148">
        <v>1.0103508499405018</v>
      </c>
      <c r="K1134" s="149">
        <v>29</v>
      </c>
      <c r="L1134" s="149">
        <v>131</v>
      </c>
      <c r="M1134" s="157">
        <v>37.61</v>
      </c>
      <c r="N1134" s="135"/>
    </row>
    <row r="1135" spans="1:14" x14ac:dyDescent="0.25">
      <c r="A1135" s="142">
        <v>45107</v>
      </c>
      <c r="B1135" s="81" t="s">
        <v>32</v>
      </c>
      <c r="C1135" s="129" t="str">
        <f t="shared" si="35"/>
        <v>30.06.2023_BOYohSp</v>
      </c>
      <c r="D1135" s="143">
        <f t="shared" si="36"/>
        <v>0</v>
      </c>
      <c r="E1135" s="144">
        <v>9.3687760307829743E-2</v>
      </c>
      <c r="F1135" s="145">
        <v>4.0538056259739885E-2</v>
      </c>
      <c r="G1135" s="146">
        <v>0.10985129576897631</v>
      </c>
      <c r="H1135" s="146">
        <v>0.17819710399891739</v>
      </c>
      <c r="I1135" s="147">
        <v>3.8839999999999999</v>
      </c>
      <c r="J1135" s="148">
        <v>1.0168296209641228</v>
      </c>
      <c r="K1135" s="149">
        <v>25.544</v>
      </c>
      <c r="L1135" s="149">
        <v>83</v>
      </c>
      <c r="M1135" s="157"/>
      <c r="N1135" s="135"/>
    </row>
    <row r="1136" spans="1:14" x14ac:dyDescent="0.25">
      <c r="A1136" s="142">
        <v>45107</v>
      </c>
      <c r="B1136" s="81" t="s">
        <v>34</v>
      </c>
      <c r="C1136" s="129" t="str">
        <f t="shared" si="35"/>
        <v>30.06.2023_BOYuhHa</v>
      </c>
      <c r="D1136" s="143">
        <f t="shared" si="36"/>
        <v>0</v>
      </c>
      <c r="E1136" s="144">
        <v>5.4440185043738924E-2</v>
      </c>
      <c r="F1136" s="145">
        <v>8.4441369851542703E-3</v>
      </c>
      <c r="G1136" s="146">
        <v>0.17726004544539364</v>
      </c>
      <c r="H1136" s="146">
        <v>0.23201502131402665</v>
      </c>
      <c r="I1136" s="147">
        <v>3.43</v>
      </c>
      <c r="J1136" s="148">
        <v>0.98301172592694908</v>
      </c>
      <c r="K1136" s="149">
        <v>42</v>
      </c>
      <c r="L1136" s="149">
        <v>217</v>
      </c>
      <c r="M1136" s="157">
        <v>46.38</v>
      </c>
      <c r="N1136" s="135"/>
    </row>
    <row r="1137" spans="1:14" x14ac:dyDescent="0.25">
      <c r="A1137" s="142">
        <v>45107</v>
      </c>
      <c r="B1137" s="81" t="s">
        <v>36</v>
      </c>
      <c r="C1137" s="129" t="str">
        <f t="shared" si="35"/>
        <v>30.06.2023_BOYuhSp</v>
      </c>
      <c r="D1137" s="143">
        <f t="shared" si="36"/>
        <v>0</v>
      </c>
      <c r="E1137" s="144">
        <v>4.9375981783856208E-2</v>
      </c>
      <c r="F1137" s="145">
        <v>3.1688342026996025E-2</v>
      </c>
      <c r="G1137" s="146">
        <v>9.8200400763175794E-2</v>
      </c>
      <c r="H1137" s="146">
        <v>0.16025779822721428</v>
      </c>
      <c r="I1137" s="147">
        <v>4.3769999999999998</v>
      </c>
      <c r="J1137" s="148">
        <v>1.1136751058588736</v>
      </c>
      <c r="K1137" s="149">
        <v>28.66</v>
      </c>
      <c r="L1137" s="149">
        <v>86</v>
      </c>
      <c r="M1137" s="157">
        <v>36.03</v>
      </c>
      <c r="N1137" s="135"/>
    </row>
    <row r="1138" spans="1:14" x14ac:dyDescent="0.25">
      <c r="A1138" s="142">
        <v>45107</v>
      </c>
      <c r="B1138" s="81" t="s">
        <v>38</v>
      </c>
      <c r="C1138" s="129" t="str">
        <f t="shared" si="35"/>
        <v>30.06.2023_BRAob</v>
      </c>
      <c r="D1138" s="143">
        <f t="shared" si="36"/>
        <v>0</v>
      </c>
      <c r="E1138" s="144">
        <v>2.5321016299413293E-3</v>
      </c>
      <c r="F1138" s="145">
        <v>4.6045479216607526E-3</v>
      </c>
      <c r="G1138" s="146">
        <v>0.12566322470541988</v>
      </c>
      <c r="H1138" s="146">
        <v>9.3284390012856086E-2</v>
      </c>
      <c r="I1138" s="147">
        <v>1.647</v>
      </c>
      <c r="J1138" s="148">
        <v>0.49798455989092555</v>
      </c>
      <c r="K1138" s="149">
        <v>28</v>
      </c>
      <c r="L1138" s="149">
        <v>138</v>
      </c>
      <c r="M1138" s="157">
        <v>35.71</v>
      </c>
      <c r="N1138" s="135"/>
    </row>
    <row r="1139" spans="1:14" x14ac:dyDescent="0.25">
      <c r="A1139" s="142">
        <v>45107</v>
      </c>
      <c r="B1139" s="81" t="s">
        <v>41</v>
      </c>
      <c r="C1139" s="129" t="str">
        <f t="shared" si="35"/>
        <v>30.06.2023_BRAohBo</v>
      </c>
      <c r="D1139" s="143">
        <f t="shared" si="36"/>
        <v>0</v>
      </c>
      <c r="E1139" s="144">
        <v>5.6972286673680254E-2</v>
      </c>
      <c r="F1139" s="145">
        <v>7.0203521314892742E-2</v>
      </c>
      <c r="G1139" s="146">
        <v>0.13981074006960623</v>
      </c>
      <c r="H1139" s="146">
        <v>0.30855605927329316</v>
      </c>
      <c r="I1139" s="147">
        <v>3.952</v>
      </c>
      <c r="J1139" s="148">
        <v>1.0951397738024027</v>
      </c>
      <c r="K1139" s="149">
        <v>27</v>
      </c>
      <c r="L1139" s="149">
        <v>123</v>
      </c>
      <c r="M1139" s="157">
        <v>33.78</v>
      </c>
      <c r="N1139" s="135"/>
    </row>
    <row r="1140" spans="1:14" x14ac:dyDescent="0.25">
      <c r="A1140" s="142">
        <v>45107</v>
      </c>
      <c r="B1140" s="81" t="s">
        <v>43</v>
      </c>
      <c r="C1140" s="129" t="str">
        <f t="shared" si="35"/>
        <v>30.06.2023_HAAob</v>
      </c>
      <c r="D1140" s="143">
        <f t="shared" si="36"/>
        <v>0</v>
      </c>
      <c r="E1140" s="144">
        <v>2.6587067114384143E-2</v>
      </c>
      <c r="F1140" s="145">
        <v>2.2773354241977548E-2</v>
      </c>
      <c r="G1140" s="146">
        <v>4.3274752878687622E-2</v>
      </c>
      <c r="H1140" s="146">
        <v>5.8601732187563413E-2</v>
      </c>
      <c r="I1140" s="147">
        <v>0.54300000000000004</v>
      </c>
      <c r="J1140" s="148">
        <v>0.17409112022727583</v>
      </c>
      <c r="K1140" s="149">
        <v>28</v>
      </c>
      <c r="L1140" s="149">
        <v>133</v>
      </c>
      <c r="M1140" s="157">
        <v>37.78</v>
      </c>
      <c r="N1140" s="135"/>
    </row>
    <row r="1141" spans="1:14" x14ac:dyDescent="0.25">
      <c r="A1141" s="142">
        <v>45107</v>
      </c>
      <c r="B1141" s="81" t="s">
        <v>45</v>
      </c>
      <c r="C1141" s="129" t="str">
        <f t="shared" si="35"/>
        <v>30.06.2023_HAAun</v>
      </c>
      <c r="D1141" s="143">
        <f t="shared" si="36"/>
        <v>0</v>
      </c>
      <c r="E1141" s="144">
        <v>0</v>
      </c>
      <c r="F1141" s="145">
        <v>1.8522170676490587E-2</v>
      </c>
      <c r="G1141" s="146">
        <v>6.2415508959645663E-2</v>
      </c>
      <c r="H1141" s="146">
        <v>2.15271669260437E-2</v>
      </c>
      <c r="I1141" s="147">
        <v>1.419</v>
      </c>
      <c r="J1141" s="148">
        <v>0.37552849452270926</v>
      </c>
      <c r="K1141" s="149">
        <v>30</v>
      </c>
      <c r="L1141" s="149">
        <v>234</v>
      </c>
      <c r="M1141" s="157">
        <v>46.07</v>
      </c>
      <c r="N1141" s="135"/>
    </row>
    <row r="1142" spans="1:14" x14ac:dyDescent="0.25">
      <c r="A1142" s="142">
        <v>45107</v>
      </c>
      <c r="B1142" s="81" t="s">
        <v>47</v>
      </c>
      <c r="C1142" s="129" t="str">
        <f t="shared" si="35"/>
        <v>30.06.2023_KIRob</v>
      </c>
      <c r="D1142" s="143">
        <f t="shared" si="36"/>
        <v>0</v>
      </c>
      <c r="E1142" s="144">
        <v>2.5321016299413293E-3</v>
      </c>
      <c r="F1142" s="145">
        <v>4.7925691828784442E-3</v>
      </c>
      <c r="G1142" s="146">
        <v>0.23052127975762454</v>
      </c>
      <c r="H1142" s="146">
        <v>0.36356993030651585</v>
      </c>
      <c r="I1142" s="147">
        <v>6.3109999999999999</v>
      </c>
      <c r="J1142" s="148">
        <v>1.7151519038008165</v>
      </c>
      <c r="K1142" s="149">
        <v>59</v>
      </c>
      <c r="L1142" s="149">
        <v>136</v>
      </c>
      <c r="M1142" s="157">
        <v>29.82</v>
      </c>
      <c r="N1142" s="135"/>
    </row>
    <row r="1143" spans="1:14" x14ac:dyDescent="0.25">
      <c r="A1143" s="142">
        <v>45107</v>
      </c>
      <c r="B1143" s="81" t="s">
        <v>49</v>
      </c>
      <c r="C1143" s="129" t="str">
        <f t="shared" si="35"/>
        <v>30.06.2023_KIRun</v>
      </c>
      <c r="D1143" s="143">
        <f t="shared" si="36"/>
        <v>0</v>
      </c>
      <c r="E1143" s="144">
        <v>5.6972286673680227E-2</v>
      </c>
      <c r="F1143" s="145">
        <v>6.9536410377982524E-3</v>
      </c>
      <c r="G1143" s="146">
        <v>0.16810577079797892</v>
      </c>
      <c r="H1143" s="146">
        <v>0.29420461465593067</v>
      </c>
      <c r="I1143" s="147">
        <v>4.633</v>
      </c>
      <c r="J1143" s="148">
        <v>1.2665587548989208</v>
      </c>
      <c r="K1143" s="149">
        <v>70</v>
      </c>
      <c r="L1143" s="149">
        <v>167</v>
      </c>
      <c r="M1143" s="157">
        <v>33.71</v>
      </c>
      <c r="N1143" s="135"/>
    </row>
    <row r="1144" spans="1:14" x14ac:dyDescent="0.25">
      <c r="A1144" s="142">
        <v>45107</v>
      </c>
      <c r="B1144" s="81" t="s">
        <v>50</v>
      </c>
      <c r="C1144" s="129" t="str">
        <f t="shared" si="35"/>
        <v>30.06.2023_LIEohBo</v>
      </c>
      <c r="D1144" s="143">
        <f t="shared" si="36"/>
        <v>0</v>
      </c>
      <c r="E1144" s="144">
        <v>5.0642032598826901E-2</v>
      </c>
      <c r="F1144" s="145">
        <v>1.7182592699101582E-2</v>
      </c>
      <c r="G1144" s="146">
        <v>0.1972330083124802</v>
      </c>
      <c r="H1144" s="146">
        <v>0.16623756681778196</v>
      </c>
      <c r="I1144" s="147">
        <v>9.8409999999999993</v>
      </c>
      <c r="J1144" s="148">
        <v>2.4265471558422314</v>
      </c>
      <c r="K1144" s="149">
        <v>25</v>
      </c>
      <c r="L1144" s="149">
        <v>90</v>
      </c>
      <c r="M1144" s="157">
        <v>43.16</v>
      </c>
      <c r="N1144" s="135"/>
    </row>
    <row r="1145" spans="1:14" x14ac:dyDescent="0.25">
      <c r="A1145" s="142">
        <v>45107</v>
      </c>
      <c r="B1145" s="81" t="s">
        <v>53</v>
      </c>
      <c r="C1145" s="129" t="str">
        <f t="shared" si="35"/>
        <v>30.06.2023_NATohBo</v>
      </c>
      <c r="D1145" s="143">
        <f t="shared" si="36"/>
        <v>0</v>
      </c>
      <c r="E1145" s="144">
        <v>5.4440185043738924E-2</v>
      </c>
      <c r="F1145" s="145">
        <v>1.3308504269280876E-2</v>
      </c>
      <c r="G1145" s="146">
        <v>0.16560915043959307</v>
      </c>
      <c r="H1145" s="146">
        <v>7.0561269368698804E-2</v>
      </c>
      <c r="I1145" s="147">
        <v>1.7869999999999999</v>
      </c>
      <c r="J1145" s="148">
        <v>0.5537059176841399</v>
      </c>
      <c r="K1145" s="149">
        <v>93</v>
      </c>
      <c r="L1145" s="149">
        <v>423</v>
      </c>
      <c r="M1145" s="157">
        <v>60.41</v>
      </c>
      <c r="N1145" s="135"/>
    </row>
    <row r="1146" spans="1:14" x14ac:dyDescent="0.25">
      <c r="A1146" s="142">
        <v>45107</v>
      </c>
      <c r="B1146" s="81" t="s">
        <v>55</v>
      </c>
      <c r="C1146" s="129" t="str">
        <f t="shared" si="35"/>
        <v>30.06.2023_QUAohBo</v>
      </c>
      <c r="D1146" s="143">
        <f t="shared" si="36"/>
        <v>0</v>
      </c>
      <c r="E1146" s="144">
        <v>5.4440185043738869E-2</v>
      </c>
      <c r="F1146" s="145">
        <v>4.8819424306409953E-3</v>
      </c>
      <c r="G1146" s="146">
        <v>3.5784891803530137E-2</v>
      </c>
      <c r="H1146" s="146">
        <v>6.3385547060017589E-2</v>
      </c>
      <c r="I1146" s="147">
        <v>2.4300000000000002</v>
      </c>
      <c r="J1146" s="148">
        <v>0.59594844043894546</v>
      </c>
      <c r="K1146" s="149">
        <v>30</v>
      </c>
      <c r="L1146" s="149">
        <v>106</v>
      </c>
      <c r="M1146" s="157">
        <v>43.93</v>
      </c>
      <c r="N1146" s="135"/>
    </row>
    <row r="1147" spans="1:14" x14ac:dyDescent="0.25">
      <c r="A1147" s="142">
        <v>45107</v>
      </c>
      <c r="B1147" s="81" t="s">
        <v>57</v>
      </c>
      <c r="C1147" s="129" t="str">
        <f t="shared" si="35"/>
        <v>30.06.2023_SCHohVo</v>
      </c>
      <c r="D1147" s="143">
        <f t="shared" si="36"/>
        <v>0</v>
      </c>
      <c r="E1147" s="144">
        <v>3.9247575264090839E-2</v>
      </c>
      <c r="F1147" s="145">
        <v>1.6988172910328406E-2</v>
      </c>
      <c r="G1147" s="146">
        <v>8.9046126115761112E-2</v>
      </c>
      <c r="H1147" s="146">
        <v>7.0561269368698804E-2</v>
      </c>
      <c r="I1147" s="147">
        <v>1.2390000000000001</v>
      </c>
      <c r="J1147" s="148">
        <v>0.37047873492692768</v>
      </c>
      <c r="K1147" s="149">
        <v>32</v>
      </c>
      <c r="L1147" s="149">
        <v>80</v>
      </c>
      <c r="M1147" s="157">
        <v>52.76</v>
      </c>
      <c r="N1147" s="135"/>
    </row>
    <row r="1148" spans="1:14" x14ac:dyDescent="0.25">
      <c r="A1148" s="142">
        <v>45107</v>
      </c>
      <c r="B1148" s="81" t="s">
        <v>60</v>
      </c>
      <c r="C1148" s="129" t="str">
        <f t="shared" si="35"/>
        <v>30.06.2023_VORohBo</v>
      </c>
      <c r="D1148" s="143">
        <f t="shared" si="36"/>
        <v>0</v>
      </c>
      <c r="E1148" s="144">
        <v>2.7853117929354809E-2</v>
      </c>
      <c r="F1148" s="145">
        <v>5.4519253761844836E-3</v>
      </c>
      <c r="G1148" s="146">
        <v>0.43524414914526222</v>
      </c>
      <c r="H1148" s="146">
        <v>0.11481155693889976</v>
      </c>
      <c r="I1148" s="147">
        <v>1.175</v>
      </c>
      <c r="J1148" s="148">
        <v>0.63831435787985269</v>
      </c>
      <c r="K1148" s="149">
        <v>30</v>
      </c>
      <c r="L1148" s="149">
        <v>204</v>
      </c>
      <c r="M1148" s="157">
        <v>46.58</v>
      </c>
      <c r="N1148" s="135"/>
    </row>
    <row r="1149" spans="1:14" x14ac:dyDescent="0.25">
      <c r="A1149" s="142">
        <v>45107</v>
      </c>
      <c r="B1149" s="81" t="s">
        <v>62</v>
      </c>
      <c r="C1149" s="129" t="str">
        <f t="shared" si="35"/>
        <v>30.06.2023_VORuhSc</v>
      </c>
      <c r="D1149" s="143">
        <f t="shared" si="36"/>
        <v>0</v>
      </c>
      <c r="E1149" s="144">
        <v>2.4054965484442761E-2</v>
      </c>
      <c r="F1149" s="145">
        <v>3.6909222694568884E-3</v>
      </c>
      <c r="G1149" s="146">
        <v>0.2488298290524539</v>
      </c>
      <c r="H1149" s="146">
        <v>5.0230056160768664E-2</v>
      </c>
      <c r="I1149" s="147">
        <v>0.40600000000000003</v>
      </c>
      <c r="J1149" s="148">
        <v>0.300209634559086</v>
      </c>
      <c r="K1149" s="149">
        <v>31</v>
      </c>
      <c r="L1149" s="149">
        <v>207</v>
      </c>
      <c r="M1149" s="157">
        <v>51.49</v>
      </c>
      <c r="N1149" s="135"/>
    </row>
    <row r="1150" spans="1:14" x14ac:dyDescent="0.25">
      <c r="A1150" s="142">
        <v>45107</v>
      </c>
      <c r="B1150" s="81" t="s">
        <v>64</v>
      </c>
      <c r="C1150" s="129" t="str">
        <f t="shared" si="35"/>
        <v>30.06.2023_WITob</v>
      </c>
      <c r="D1150" s="143">
        <f t="shared" si="36"/>
        <v>0</v>
      </c>
      <c r="E1150" s="144">
        <v>3.6715473634149488E-2</v>
      </c>
      <c r="F1150" s="145">
        <v>6.6539227339624642E-3</v>
      </c>
      <c r="G1150" s="146">
        <v>2.3301790011601001E-2</v>
      </c>
      <c r="H1150" s="146">
        <v>3.5878611543406179E-2</v>
      </c>
      <c r="I1150" s="147">
        <v>0.41799999999999998</v>
      </c>
      <c r="J1150" s="148">
        <v>0.12343051021049807</v>
      </c>
      <c r="K1150" s="149">
        <v>69</v>
      </c>
      <c r="L1150" s="149">
        <v>269</v>
      </c>
      <c r="M1150" s="157">
        <v>45.77</v>
      </c>
      <c r="N1150" s="135"/>
    </row>
    <row r="1151" spans="1:14" x14ac:dyDescent="0.25">
      <c r="A1151" s="142">
        <v>45124</v>
      </c>
      <c r="B1151" s="81" t="s">
        <v>22</v>
      </c>
      <c r="C1151" s="129" t="str">
        <f t="shared" si="35"/>
        <v>17.07.2023_BOYkl</v>
      </c>
      <c r="D1151" s="143">
        <f t="shared" si="36"/>
        <v>8</v>
      </c>
      <c r="E1151" s="144"/>
      <c r="F1151" s="145"/>
      <c r="G1151" s="146"/>
      <c r="H1151" s="146"/>
      <c r="I1151" s="147"/>
      <c r="J1151" s="148"/>
      <c r="K1151" s="149"/>
      <c r="L1151" s="149"/>
      <c r="M1151" s="157"/>
      <c r="N1151" s="135" t="s">
        <v>341</v>
      </c>
    </row>
    <row r="1152" spans="1:14" x14ac:dyDescent="0.25">
      <c r="A1152" s="142">
        <v>45124</v>
      </c>
      <c r="B1152" s="81" t="s">
        <v>25</v>
      </c>
      <c r="C1152" s="129" t="str">
        <f t="shared" si="35"/>
        <v>17.07.2023_BOYohB224</v>
      </c>
      <c r="D1152" s="143">
        <f t="shared" si="36"/>
        <v>0</v>
      </c>
      <c r="E1152" s="144">
        <v>1.5570443629145407E-3</v>
      </c>
      <c r="F1152" s="145">
        <v>7.7316674170562535E-3</v>
      </c>
      <c r="G1152" s="146">
        <v>0</v>
      </c>
      <c r="H1152" s="146">
        <v>4.0605904695610054E-2</v>
      </c>
      <c r="I1152" s="147">
        <v>1.383</v>
      </c>
      <c r="J1152" s="148">
        <v>0.32474067768457848</v>
      </c>
      <c r="K1152" s="149">
        <v>37</v>
      </c>
      <c r="L1152" s="149">
        <v>211</v>
      </c>
      <c r="M1152" s="157">
        <v>9.5559999999999992</v>
      </c>
      <c r="N1152" s="135"/>
    </row>
    <row r="1153" spans="1:14" x14ac:dyDescent="0.25">
      <c r="A1153" s="142">
        <v>45124</v>
      </c>
      <c r="B1153" s="81" t="s">
        <v>28</v>
      </c>
      <c r="C1153" s="129" t="str">
        <f t="shared" si="35"/>
        <v>17.07.2023_BOYohBr</v>
      </c>
      <c r="D1153" s="143">
        <f t="shared" si="36"/>
        <v>0</v>
      </c>
      <c r="E1153" s="144">
        <v>1.557044362914518E-2</v>
      </c>
      <c r="F1153" s="145">
        <v>1.5438740198190646E-2</v>
      </c>
      <c r="G1153" s="146">
        <v>7.1877405087338184E-2</v>
      </c>
      <c r="H1153" s="146">
        <v>1.0478943147254206E-2</v>
      </c>
      <c r="I1153" s="147">
        <v>2.8170000000000002</v>
      </c>
      <c r="J1153" s="148">
        <v>0.69527819051744877</v>
      </c>
      <c r="K1153" s="149">
        <v>25.082999999999998</v>
      </c>
      <c r="L1153" s="149">
        <v>71</v>
      </c>
      <c r="M1153" s="157">
        <v>8.0760000000000005</v>
      </c>
      <c r="N1153" s="135"/>
    </row>
    <row r="1154" spans="1:14" x14ac:dyDescent="0.25">
      <c r="A1154" s="142">
        <v>45124</v>
      </c>
      <c r="B1154" s="81" t="s">
        <v>30</v>
      </c>
      <c r="C1154" s="129" t="str">
        <f t="shared" si="35"/>
        <v>17.07.2023_BOYohKi</v>
      </c>
      <c r="D1154" s="143">
        <f t="shared" si="36"/>
        <v>0</v>
      </c>
      <c r="E1154" s="144">
        <v>0</v>
      </c>
      <c r="F1154" s="145">
        <v>7.5930378922870806E-3</v>
      </c>
      <c r="G1154" s="146">
        <v>3.0442195095813845E-2</v>
      </c>
      <c r="H1154" s="146">
        <v>0</v>
      </c>
      <c r="I1154" s="147">
        <v>1.548</v>
      </c>
      <c r="J1154" s="148">
        <v>0.37328482006994851</v>
      </c>
      <c r="K1154" s="149">
        <v>28</v>
      </c>
      <c r="L1154" s="149">
        <v>141</v>
      </c>
      <c r="M1154" s="157">
        <v>8.76</v>
      </c>
      <c r="N1154" s="135"/>
    </row>
    <row r="1155" spans="1:14" x14ac:dyDescent="0.25">
      <c r="A1155" s="142">
        <v>45124</v>
      </c>
      <c r="B1155" s="81" t="s">
        <v>32</v>
      </c>
      <c r="C1155" s="129" t="str">
        <f t="shared" si="35"/>
        <v>17.07.2023_BOYohSp</v>
      </c>
      <c r="D1155" s="143">
        <f t="shared" si="36"/>
        <v>0</v>
      </c>
      <c r="E1155" s="144">
        <v>0.10432197231527274</v>
      </c>
      <c r="F1155" s="145">
        <v>1.4837179763856847E-2</v>
      </c>
      <c r="G1155" s="146">
        <v>6.0884390191627689E-2</v>
      </c>
      <c r="H1155" s="146">
        <v>0.11919797830001666</v>
      </c>
      <c r="I1155" s="147">
        <v>1.4239999999999999</v>
      </c>
      <c r="J1155" s="148">
        <v>0.40520482463333707</v>
      </c>
      <c r="K1155" s="149">
        <v>20</v>
      </c>
      <c r="L1155" s="149">
        <v>71</v>
      </c>
      <c r="M1155" s="157">
        <v>11.61</v>
      </c>
      <c r="N1155" s="135"/>
    </row>
    <row r="1156" spans="1:14" x14ac:dyDescent="0.25">
      <c r="A1156" s="142">
        <v>45124</v>
      </c>
      <c r="B1156" s="81" t="s">
        <v>34</v>
      </c>
      <c r="C1156" s="129" t="str">
        <f t="shared" si="35"/>
        <v>17.07.2023_BOYuhHa</v>
      </c>
      <c r="D1156" s="143">
        <f t="shared" si="36"/>
        <v>0</v>
      </c>
      <c r="E1156" s="144">
        <v>1.0899310540401622E-2</v>
      </c>
      <c r="F1156" s="145">
        <v>3.7336741445612408E-3</v>
      </c>
      <c r="G1156" s="146">
        <v>4.9891375295917126E-2</v>
      </c>
      <c r="H1156" s="146">
        <v>1.3098678934067962E-3</v>
      </c>
      <c r="I1156" s="147">
        <v>1.8939999999999999</v>
      </c>
      <c r="J1156" s="148">
        <v>0.46693672328367436</v>
      </c>
      <c r="K1156" s="149">
        <v>45</v>
      </c>
      <c r="L1156" s="149">
        <v>251</v>
      </c>
      <c r="M1156" s="157">
        <v>10.15</v>
      </c>
      <c r="N1156" s="135"/>
    </row>
    <row r="1157" spans="1:14" x14ac:dyDescent="0.25">
      <c r="A1157" s="142">
        <v>45124</v>
      </c>
      <c r="B1157" s="81" t="s">
        <v>36</v>
      </c>
      <c r="C1157" s="129" t="str">
        <f t="shared" ref="C1157:C1220" si="37">CONCATENATE(TEXT(A1157,"TT.MM.JJJJ"),"_",B1157)</f>
        <v>17.07.2023_BOYuhSp</v>
      </c>
      <c r="D1157" s="143">
        <f t="shared" ref="D1157:D1220" si="38">COUNTBLANK(E1157:L1157)</f>
        <v>0</v>
      </c>
      <c r="E1157" s="144">
        <v>0.129234682121905</v>
      </c>
      <c r="F1157" s="145">
        <v>1.2038406525690113E-2</v>
      </c>
      <c r="G1157" s="146">
        <v>9.7245901000516388E-2</v>
      </c>
      <c r="H1157" s="146">
        <v>4.3225640482423625E-2</v>
      </c>
      <c r="I1157" s="147">
        <v>1.635</v>
      </c>
      <c r="J1157" s="148">
        <v>0.45796796591276484</v>
      </c>
      <c r="K1157" s="149">
        <v>21</v>
      </c>
      <c r="L1157" s="149">
        <v>83</v>
      </c>
      <c r="M1157" s="157">
        <v>11.23</v>
      </c>
      <c r="N1157" s="135"/>
    </row>
    <row r="1158" spans="1:14" x14ac:dyDescent="0.25">
      <c r="A1158" s="142">
        <v>45124</v>
      </c>
      <c r="B1158" s="81" t="s">
        <v>38</v>
      </c>
      <c r="C1158" s="129" t="str">
        <f t="shared" si="37"/>
        <v>17.07.2023_BRAob</v>
      </c>
      <c r="D1158" s="143">
        <f t="shared" si="38"/>
        <v>0</v>
      </c>
      <c r="E1158" s="144">
        <v>3.5812020347033915E-2</v>
      </c>
      <c r="F1158" s="145">
        <v>2.0833912368953756E-2</v>
      </c>
      <c r="G1158" s="146">
        <v>9.7245901000516388E-2</v>
      </c>
      <c r="H1158" s="146">
        <v>2.8817093654949107E-2</v>
      </c>
      <c r="I1158" s="147">
        <v>3.9</v>
      </c>
      <c r="J1158" s="148">
        <v>0.96517683383114017</v>
      </c>
      <c r="K1158" s="149">
        <v>26.529</v>
      </c>
      <c r="L1158" s="149">
        <v>115</v>
      </c>
      <c r="M1158" s="157">
        <v>10.72</v>
      </c>
      <c r="N1158" s="135"/>
    </row>
    <row r="1159" spans="1:14" x14ac:dyDescent="0.25">
      <c r="A1159" s="142">
        <v>45124</v>
      </c>
      <c r="B1159" s="81" t="s">
        <v>41</v>
      </c>
      <c r="C1159" s="129" t="str">
        <f t="shared" si="37"/>
        <v>17.07.2023_BRAohBo</v>
      </c>
      <c r="D1159" s="143">
        <f t="shared" si="38"/>
        <v>0</v>
      </c>
      <c r="E1159" s="144">
        <v>0</v>
      </c>
      <c r="F1159" s="145">
        <v>5.1111342346237522E-2</v>
      </c>
      <c r="G1159" s="146">
        <v>2.8750962034935275E-2</v>
      </c>
      <c r="H1159" s="146">
        <v>2.2267754187915208E-2</v>
      </c>
      <c r="I1159" s="147">
        <v>2.411</v>
      </c>
      <c r="J1159" s="148">
        <v>0.57367682227301764</v>
      </c>
      <c r="K1159" s="149">
        <v>27.024999999999999</v>
      </c>
      <c r="L1159" s="149">
        <v>105</v>
      </c>
      <c r="M1159" s="157">
        <v>16.309999999999999</v>
      </c>
      <c r="N1159" s="135"/>
    </row>
    <row r="1160" spans="1:14" x14ac:dyDescent="0.25">
      <c r="A1160" s="142">
        <v>45124</v>
      </c>
      <c r="B1160" s="81" t="s">
        <v>43</v>
      </c>
      <c r="C1160" s="129" t="str">
        <f t="shared" si="37"/>
        <v>17.07.2023_HAAob</v>
      </c>
      <c r="D1160" s="143">
        <f t="shared" si="38"/>
        <v>0</v>
      </c>
      <c r="E1160" s="144">
        <v>2.0241576717888735E-2</v>
      </c>
      <c r="F1160" s="145">
        <v>1.8118096915594732E-2</v>
      </c>
      <c r="G1160" s="146">
        <v>4.8200142235038587E-2</v>
      </c>
      <c r="H1160" s="146">
        <v>2.619735786813565E-3</v>
      </c>
      <c r="I1160" s="147">
        <v>0.79600000000000004</v>
      </c>
      <c r="J1160" s="148">
        <v>0.21801702700438053</v>
      </c>
      <c r="K1160" s="149">
        <v>27</v>
      </c>
      <c r="L1160" s="149">
        <v>154</v>
      </c>
      <c r="M1160" s="157">
        <v>10.35</v>
      </c>
      <c r="N1160" s="135"/>
    </row>
    <row r="1161" spans="1:14" x14ac:dyDescent="0.25">
      <c r="A1161" s="142">
        <v>45124</v>
      </c>
      <c r="B1161" s="81" t="s">
        <v>45</v>
      </c>
      <c r="C1161" s="129" t="str">
        <f t="shared" si="37"/>
        <v>17.07.2023_HAAun</v>
      </c>
      <c r="D1161" s="143">
        <f t="shared" si="38"/>
        <v>0</v>
      </c>
      <c r="E1161" s="144">
        <v>0</v>
      </c>
      <c r="F1161" s="145">
        <v>1.2601531409337665E-2</v>
      </c>
      <c r="G1161" s="146">
        <v>0.13614426140072294</v>
      </c>
      <c r="H1161" s="146">
        <v>0</v>
      </c>
      <c r="I1161" s="147">
        <v>1.538</v>
      </c>
      <c r="J1161" s="148">
        <v>0.45310271753504738</v>
      </c>
      <c r="K1161" s="149">
        <v>35</v>
      </c>
      <c r="L1161" s="149">
        <v>320</v>
      </c>
      <c r="M1161" s="157">
        <v>11.01</v>
      </c>
      <c r="N1161" s="135"/>
    </row>
    <row r="1162" spans="1:14" x14ac:dyDescent="0.25">
      <c r="A1162" s="142">
        <v>45124</v>
      </c>
      <c r="B1162" s="81" t="s">
        <v>47</v>
      </c>
      <c r="C1162" s="129" t="str">
        <f t="shared" si="37"/>
        <v>17.07.2023_KIRob</v>
      </c>
      <c r="D1162" s="143">
        <f t="shared" si="38"/>
        <v>0</v>
      </c>
      <c r="E1162" s="144">
        <v>0.10432197231527274</v>
      </c>
      <c r="F1162" s="145">
        <v>5.4945881922256485E-3</v>
      </c>
      <c r="G1162" s="146">
        <v>0.26044989137529595</v>
      </c>
      <c r="H1162" s="146">
        <v>0.25280450342750799</v>
      </c>
      <c r="I1162" s="147">
        <v>5.3250000000000002</v>
      </c>
      <c r="J1162" s="148">
        <v>1.4819608172225083</v>
      </c>
      <c r="K1162" s="149">
        <v>80</v>
      </c>
      <c r="L1162" s="149">
        <v>172</v>
      </c>
      <c r="M1162" s="157">
        <v>8.5749999999999993</v>
      </c>
      <c r="N1162" s="135"/>
    </row>
    <row r="1163" spans="1:14" x14ac:dyDescent="0.25">
      <c r="A1163" s="142">
        <v>45124</v>
      </c>
      <c r="B1163" s="81" t="s">
        <v>49</v>
      </c>
      <c r="C1163" s="129" t="str">
        <f t="shared" si="37"/>
        <v>17.07.2023_KIRun</v>
      </c>
      <c r="D1163" s="143">
        <f t="shared" si="38"/>
        <v>0</v>
      </c>
      <c r="E1163" s="144">
        <v>4.0483153435777471E-2</v>
      </c>
      <c r="F1163" s="145">
        <v>6.2839354688160867E-3</v>
      </c>
      <c r="G1163" s="146">
        <v>6.9340555496020403E-2</v>
      </c>
      <c r="H1163" s="146">
        <v>0.22005780609233849</v>
      </c>
      <c r="I1163" s="147">
        <v>3.4220000000000002</v>
      </c>
      <c r="J1163" s="148">
        <v>0.89376598700191734</v>
      </c>
      <c r="K1163" s="149">
        <v>56</v>
      </c>
      <c r="L1163" s="149">
        <v>135</v>
      </c>
      <c r="M1163" s="157">
        <v>7.9660000000000002</v>
      </c>
      <c r="N1163" s="135"/>
    </row>
    <row r="1164" spans="1:14" x14ac:dyDescent="0.25">
      <c r="A1164" s="142">
        <v>45124</v>
      </c>
      <c r="B1164" s="81" t="s">
        <v>50</v>
      </c>
      <c r="C1164" s="129" t="str">
        <f t="shared" si="37"/>
        <v>17.07.2023_LIEohBo</v>
      </c>
      <c r="D1164" s="143">
        <f t="shared" si="38"/>
        <v>0</v>
      </c>
      <c r="E1164" s="144">
        <v>1.4013399266230639E-2</v>
      </c>
      <c r="F1164" s="145">
        <v>1.6050936580437561E-2</v>
      </c>
      <c r="G1164" s="146">
        <v>0</v>
      </c>
      <c r="H1164" s="146">
        <v>0</v>
      </c>
      <c r="I1164" s="147">
        <v>5.45</v>
      </c>
      <c r="J1164" s="148">
        <v>1.229795132159557</v>
      </c>
      <c r="K1164" s="149">
        <v>29.224</v>
      </c>
      <c r="L1164" s="149">
        <v>81</v>
      </c>
      <c r="M1164" s="157">
        <v>12.95</v>
      </c>
      <c r="N1164" s="135"/>
    </row>
    <row r="1165" spans="1:14" x14ac:dyDescent="0.25">
      <c r="A1165" s="142">
        <v>45124</v>
      </c>
      <c r="B1165" s="81" t="s">
        <v>53</v>
      </c>
      <c r="C1165" s="129" t="str">
        <f t="shared" si="37"/>
        <v>17.07.2023_NATohBo</v>
      </c>
      <c r="D1165" s="143">
        <f t="shared" si="38"/>
        <v>0</v>
      </c>
      <c r="E1165" s="144">
        <v>7.7852218145726057E-3</v>
      </c>
      <c r="F1165" s="145">
        <v>6.9139854831454821E-3</v>
      </c>
      <c r="G1165" s="146">
        <v>3.3824661217570912E-2</v>
      </c>
      <c r="H1165" s="146">
        <v>2.3577622081321976E-2</v>
      </c>
      <c r="I1165" s="147">
        <v>2.1549999999999998</v>
      </c>
      <c r="J1165" s="148">
        <v>0.52019256823149007</v>
      </c>
      <c r="K1165" s="149">
        <v>126</v>
      </c>
      <c r="L1165" s="149">
        <v>818</v>
      </c>
      <c r="M1165" s="157">
        <v>11.93</v>
      </c>
      <c r="N1165" s="135"/>
    </row>
    <row r="1166" spans="1:14" x14ac:dyDescent="0.25">
      <c r="A1166" s="142">
        <v>45124</v>
      </c>
      <c r="B1166" s="81" t="s">
        <v>55</v>
      </c>
      <c r="C1166" s="129" t="str">
        <f t="shared" si="37"/>
        <v>17.07.2023_QUAohBo</v>
      </c>
      <c r="D1166" s="143">
        <f t="shared" si="38"/>
        <v>8</v>
      </c>
      <c r="E1166" s="144"/>
      <c r="F1166" s="145"/>
      <c r="G1166" s="146"/>
      <c r="H1166" s="146"/>
      <c r="I1166" s="147"/>
      <c r="J1166" s="148"/>
      <c r="K1166" s="149"/>
      <c r="L1166" s="149"/>
      <c r="M1166" s="157"/>
      <c r="N1166" s="135" t="s">
        <v>341</v>
      </c>
    </row>
    <row r="1167" spans="1:14" x14ac:dyDescent="0.25">
      <c r="A1167" s="142">
        <v>45124</v>
      </c>
      <c r="B1167" s="81" t="s">
        <v>57</v>
      </c>
      <c r="C1167" s="129" t="str">
        <f t="shared" si="37"/>
        <v>17.07.2023_SCHohVo</v>
      </c>
      <c r="D1167" s="143">
        <f t="shared" si="38"/>
        <v>8</v>
      </c>
      <c r="E1167" s="144"/>
      <c r="F1167" s="145"/>
      <c r="G1167" s="146"/>
      <c r="H1167" s="146"/>
      <c r="I1167" s="147"/>
      <c r="J1167" s="148"/>
      <c r="K1167" s="149"/>
      <c r="L1167" s="149"/>
      <c r="M1167" s="157"/>
      <c r="N1167" s="135" t="s">
        <v>341</v>
      </c>
    </row>
    <row r="1168" spans="1:14" x14ac:dyDescent="0.25">
      <c r="A1168" s="142">
        <v>45124</v>
      </c>
      <c r="B1168" s="81" t="s">
        <v>60</v>
      </c>
      <c r="C1168" s="129" t="str">
        <f t="shared" si="37"/>
        <v>17.07.2023_VORohBo</v>
      </c>
      <c r="D1168" s="143">
        <f t="shared" si="38"/>
        <v>0</v>
      </c>
      <c r="E1168" s="144">
        <v>0.2413418762517503</v>
      </c>
      <c r="F1168" s="145">
        <v>5.2164414487244036E-3</v>
      </c>
      <c r="G1168" s="146">
        <v>0.10316521671359132</v>
      </c>
      <c r="H1168" s="146">
        <v>5.2394715736271059E-2</v>
      </c>
      <c r="I1168" s="147">
        <v>1.6459999999999999</v>
      </c>
      <c r="J1168" s="148">
        <v>0.46784035033184418</v>
      </c>
      <c r="K1168" s="149">
        <v>29</v>
      </c>
      <c r="L1168" s="149">
        <v>180</v>
      </c>
      <c r="M1168" s="157">
        <v>10.6</v>
      </c>
      <c r="N1168" s="135"/>
    </row>
    <row r="1169" spans="1:14" x14ac:dyDescent="0.25">
      <c r="A1169" s="142">
        <v>45124</v>
      </c>
      <c r="B1169" s="81" t="s">
        <v>62</v>
      </c>
      <c r="C1169" s="129" t="str">
        <f t="shared" si="37"/>
        <v>17.07.2023_VORuhSc</v>
      </c>
      <c r="D1169" s="143">
        <f t="shared" si="38"/>
        <v>0</v>
      </c>
      <c r="E1169" s="144">
        <v>3.2412496913821983E-17</v>
      </c>
      <c r="F1169" s="145">
        <v>4.4540447404987308E-3</v>
      </c>
      <c r="G1169" s="146">
        <v>0.23592701199255711</v>
      </c>
      <c r="H1169" s="146">
        <v>4.5845376269237188E-2</v>
      </c>
      <c r="I1169" s="147">
        <v>1.268</v>
      </c>
      <c r="J1169" s="148">
        <v>0.48355575034726994</v>
      </c>
      <c r="K1169" s="149">
        <v>27</v>
      </c>
      <c r="L1169" s="149">
        <v>179</v>
      </c>
      <c r="M1169" s="157">
        <v>5.5330000000000004</v>
      </c>
      <c r="N1169" s="135"/>
    </row>
    <row r="1170" spans="1:14" x14ac:dyDescent="0.25">
      <c r="A1170" s="142">
        <v>45124</v>
      </c>
      <c r="B1170" s="81" t="s">
        <v>64</v>
      </c>
      <c r="C1170" s="129" t="str">
        <f t="shared" si="37"/>
        <v>17.07.2023_WITob</v>
      </c>
      <c r="D1170" s="143">
        <f t="shared" si="38"/>
        <v>0</v>
      </c>
      <c r="E1170" s="144">
        <v>3.114088725829036E-2</v>
      </c>
      <c r="F1170" s="145">
        <v>4.5735331580910961E-3</v>
      </c>
      <c r="G1170" s="146">
        <v>0.17588823833136874</v>
      </c>
      <c r="H1170" s="146">
        <v>0.11002890304616925</v>
      </c>
      <c r="I1170" s="147">
        <v>0.69699999999999995</v>
      </c>
      <c r="J1170" s="148">
        <v>0.3275051477143307</v>
      </c>
      <c r="K1170" s="149">
        <v>63</v>
      </c>
      <c r="L1170" s="149">
        <v>249</v>
      </c>
      <c r="M1170" s="157">
        <v>12.61</v>
      </c>
      <c r="N1170" s="135"/>
    </row>
    <row r="1171" spans="1:14" x14ac:dyDescent="0.25">
      <c r="A1171" s="142">
        <v>45135</v>
      </c>
      <c r="B1171" s="81" t="s">
        <v>22</v>
      </c>
      <c r="C1171" s="129" t="str">
        <f t="shared" si="37"/>
        <v>28.07.2023_BOYkl</v>
      </c>
      <c r="D1171" s="143">
        <f t="shared" si="38"/>
        <v>0</v>
      </c>
      <c r="E1171" s="144">
        <v>0.15709998406487366</v>
      </c>
      <c r="F1171" s="145">
        <v>7.579984770770061E-2</v>
      </c>
      <c r="G1171" s="146">
        <v>2.2831646321860383E-2</v>
      </c>
      <c r="H1171" s="146">
        <v>0.13833247679796848</v>
      </c>
      <c r="I1171" s="147">
        <v>7.7850000000000001</v>
      </c>
      <c r="J1171" s="148">
        <v>1.8182418176136028</v>
      </c>
      <c r="K1171" s="149">
        <v>30</v>
      </c>
      <c r="L1171" s="149">
        <v>142</v>
      </c>
      <c r="M1171" s="157">
        <v>7.375</v>
      </c>
      <c r="N1171" s="135"/>
    </row>
    <row r="1172" spans="1:14" x14ac:dyDescent="0.25">
      <c r="A1172" s="142">
        <v>45135</v>
      </c>
      <c r="B1172" s="81" t="s">
        <v>25</v>
      </c>
      <c r="C1172" s="129" t="str">
        <f t="shared" si="37"/>
        <v>28.07.2023_BOYohB224</v>
      </c>
      <c r="D1172" s="143">
        <f t="shared" si="38"/>
        <v>0</v>
      </c>
      <c r="E1172" s="144">
        <v>9.1771277820074729E-2</v>
      </c>
      <c r="F1172" s="145">
        <v>3.5959958602887775E-2</v>
      </c>
      <c r="G1172" s="146">
        <v>0.35093086013229824</v>
      </c>
      <c r="H1172" s="146">
        <v>6.5872607999032592E-2</v>
      </c>
      <c r="I1172" s="147">
        <v>0.70699999999999996</v>
      </c>
      <c r="J1172" s="148">
        <v>0.45223930908943366</v>
      </c>
      <c r="K1172" s="149">
        <v>10.271000000000001</v>
      </c>
      <c r="L1172" s="149">
        <v>42</v>
      </c>
      <c r="M1172" s="157">
        <v>6.3819999999999997</v>
      </c>
      <c r="N1172" s="135"/>
    </row>
    <row r="1173" spans="1:14" x14ac:dyDescent="0.25">
      <c r="A1173" s="142">
        <v>45135</v>
      </c>
      <c r="B1173" s="81" t="s">
        <v>28</v>
      </c>
      <c r="C1173" s="129" t="str">
        <f t="shared" si="37"/>
        <v>28.07.2023_BOYohBr</v>
      </c>
      <c r="D1173" s="143">
        <f t="shared" si="38"/>
        <v>0</v>
      </c>
      <c r="E1173" s="144">
        <v>1.5554453867809306E-2</v>
      </c>
      <c r="F1173" s="145">
        <v>3.6925357398534434E-2</v>
      </c>
      <c r="G1173" s="146">
        <v>4.8200142235038587E-2</v>
      </c>
      <c r="H1173" s="146">
        <v>0.12911031167810388</v>
      </c>
      <c r="I1173" s="147">
        <v>6.9870000000000001</v>
      </c>
      <c r="J1173" s="148">
        <v>1.6548882528344837</v>
      </c>
      <c r="K1173" s="149">
        <v>21</v>
      </c>
      <c r="L1173" s="149">
        <v>83</v>
      </c>
      <c r="M1173" s="157">
        <v>8.59</v>
      </c>
      <c r="N1173" s="135"/>
    </row>
    <row r="1174" spans="1:14" x14ac:dyDescent="0.25">
      <c r="A1174" s="142">
        <v>45135</v>
      </c>
      <c r="B1174" s="81" t="s">
        <v>30</v>
      </c>
      <c r="C1174" s="129" t="str">
        <f t="shared" si="37"/>
        <v>28.07.2023_BOYohKi</v>
      </c>
      <c r="D1174" s="143">
        <f t="shared" si="38"/>
        <v>0</v>
      </c>
      <c r="E1174" s="144">
        <v>0</v>
      </c>
      <c r="F1174" s="145">
        <v>1.6512462721866773E-2</v>
      </c>
      <c r="G1174" s="146">
        <v>8.0333570391730932E-2</v>
      </c>
      <c r="H1174" s="146">
        <v>5.665044287916806E-2</v>
      </c>
      <c r="I1174" s="147">
        <v>3.782</v>
      </c>
      <c r="J1174" s="148">
        <v>0.93386578140803778</v>
      </c>
      <c r="K1174" s="149">
        <v>30.004999999999999</v>
      </c>
      <c r="L1174" s="149">
        <v>102</v>
      </c>
      <c r="M1174" s="157">
        <v>13.6</v>
      </c>
      <c r="N1174" s="135"/>
    </row>
    <row r="1175" spans="1:14" x14ac:dyDescent="0.25">
      <c r="A1175" s="142">
        <v>45135</v>
      </c>
      <c r="B1175" s="81" t="s">
        <v>32</v>
      </c>
      <c r="C1175" s="129" t="str">
        <f t="shared" si="37"/>
        <v>28.07.2023_BOYohSp</v>
      </c>
      <c r="D1175" s="143">
        <f t="shared" si="38"/>
        <v>0</v>
      </c>
      <c r="E1175" s="144">
        <v>0.11976929478213137</v>
      </c>
      <c r="F1175" s="145">
        <v>2.389824657944568E-2</v>
      </c>
      <c r="G1175" s="146">
        <v>0.11077576548754471</v>
      </c>
      <c r="H1175" s="146">
        <v>9.8808911998548923E-2</v>
      </c>
      <c r="I1175" s="147">
        <v>5.2839999999999998</v>
      </c>
      <c r="J1175" s="148">
        <v>1.3095957274013819</v>
      </c>
      <c r="K1175" s="149">
        <v>26.327999999999999</v>
      </c>
      <c r="L1175" s="149">
        <v>73</v>
      </c>
      <c r="M1175" s="157">
        <v>7.5270000000000001</v>
      </c>
      <c r="N1175" s="135"/>
    </row>
    <row r="1176" spans="1:14" x14ac:dyDescent="0.25">
      <c r="A1176" s="142">
        <v>45135</v>
      </c>
      <c r="B1176" s="81" t="s">
        <v>34</v>
      </c>
      <c r="C1176" s="129" t="str">
        <f t="shared" si="37"/>
        <v>28.07.2023_BOYuhHa</v>
      </c>
      <c r="D1176" s="143">
        <f t="shared" si="38"/>
        <v>0</v>
      </c>
      <c r="E1176" s="144">
        <v>5.132969776377061E-2</v>
      </c>
      <c r="F1176" s="145">
        <v>7.4988984961415317E-2</v>
      </c>
      <c r="G1176" s="146">
        <v>0.94793613062242477</v>
      </c>
      <c r="H1176" s="146">
        <v>0.17785604159738808</v>
      </c>
      <c r="I1176" s="147">
        <v>2.403</v>
      </c>
      <c r="J1176" s="148">
        <v>1.3329768079313316</v>
      </c>
      <c r="K1176" s="149">
        <v>28.317</v>
      </c>
      <c r="L1176" s="149">
        <v>94</v>
      </c>
      <c r="M1176" s="157">
        <v>9.16</v>
      </c>
      <c r="N1176" s="135"/>
    </row>
    <row r="1177" spans="1:14" x14ac:dyDescent="0.25">
      <c r="A1177" s="142">
        <v>45135</v>
      </c>
      <c r="B1177" s="81" t="s">
        <v>36</v>
      </c>
      <c r="C1177" s="129" t="str">
        <f t="shared" si="37"/>
        <v>28.07.2023_BOYuhSp</v>
      </c>
      <c r="D1177" s="143">
        <f t="shared" si="38"/>
        <v>0</v>
      </c>
      <c r="E1177" s="144">
        <v>6.2217815471237352E-3</v>
      </c>
      <c r="F1177" s="145">
        <v>2.9599215098401417E-2</v>
      </c>
      <c r="G1177" s="146">
        <v>2.6214112443617453E-2</v>
      </c>
      <c r="H1177" s="146">
        <v>9.6174007678587636E-2</v>
      </c>
      <c r="I1177" s="147">
        <v>5.2030000000000003</v>
      </c>
      <c r="J1177" s="148">
        <v>1.2248367828090905</v>
      </c>
      <c r="K1177" s="149">
        <v>27</v>
      </c>
      <c r="L1177" s="149">
        <v>81</v>
      </c>
      <c r="M1177" s="157">
        <v>8.3339999999999996</v>
      </c>
      <c r="N1177" s="135"/>
    </row>
    <row r="1178" spans="1:14" x14ac:dyDescent="0.25">
      <c r="A1178" s="142">
        <v>45135</v>
      </c>
      <c r="B1178" s="81" t="s">
        <v>38</v>
      </c>
      <c r="C1178" s="129" t="str">
        <f t="shared" si="37"/>
        <v>28.07.2023_BRAob</v>
      </c>
      <c r="D1178" s="143">
        <f t="shared" si="38"/>
        <v>0</v>
      </c>
      <c r="E1178" s="144">
        <v>0</v>
      </c>
      <c r="F1178" s="145">
        <v>1.6899853314345844E-2</v>
      </c>
      <c r="G1178" s="146">
        <v>5.9193157130749116E-2</v>
      </c>
      <c r="H1178" s="146">
        <v>8.826929471870372E-2</v>
      </c>
      <c r="I1178" s="147">
        <v>2.1480000000000001</v>
      </c>
      <c r="J1178" s="148">
        <v>0.55800524135756469</v>
      </c>
      <c r="K1178" s="149">
        <v>25</v>
      </c>
      <c r="L1178" s="149">
        <v>111</v>
      </c>
      <c r="M1178" s="157">
        <v>10.42</v>
      </c>
      <c r="N1178" s="135"/>
    </row>
    <row r="1179" spans="1:14" x14ac:dyDescent="0.25">
      <c r="A1179" s="142">
        <v>45135</v>
      </c>
      <c r="B1179" s="81" t="s">
        <v>41</v>
      </c>
      <c r="C1179" s="129" t="str">
        <f t="shared" si="37"/>
        <v>28.07.2023_BRAohBo</v>
      </c>
      <c r="D1179" s="143">
        <f t="shared" si="38"/>
        <v>0</v>
      </c>
      <c r="E1179" s="144">
        <v>3.2664353122399466E-2</v>
      </c>
      <c r="F1179" s="145">
        <v>7.348892954550916E-2</v>
      </c>
      <c r="G1179" s="146">
        <v>8.4561653043927106E-3</v>
      </c>
      <c r="H1179" s="146">
        <v>9.0904199038665007E-2</v>
      </c>
      <c r="I1179" s="147">
        <v>3.444</v>
      </c>
      <c r="J1179" s="148">
        <v>0.81213819119452946</v>
      </c>
      <c r="K1179" s="149">
        <v>17</v>
      </c>
      <c r="L1179" s="149">
        <v>69</v>
      </c>
      <c r="M1179" s="157">
        <v>12.85</v>
      </c>
      <c r="N1179" s="135"/>
    </row>
    <row r="1180" spans="1:14" x14ac:dyDescent="0.25">
      <c r="A1180" s="142">
        <v>45135</v>
      </c>
      <c r="B1180" s="81" t="s">
        <v>43</v>
      </c>
      <c r="C1180" s="129" t="str">
        <f t="shared" si="37"/>
        <v>28.07.2023_HAAob</v>
      </c>
      <c r="D1180" s="143">
        <f t="shared" si="38"/>
        <v>0</v>
      </c>
      <c r="E1180" s="144">
        <v>4.1997025443085034E-2</v>
      </c>
      <c r="F1180" s="145">
        <v>1.8350400904458792E-2</v>
      </c>
      <c r="G1180" s="146">
        <v>0</v>
      </c>
      <c r="H1180" s="146">
        <v>5.2698086399226044E-3</v>
      </c>
      <c r="I1180" s="147">
        <v>0.29499999999999998</v>
      </c>
      <c r="J1180" s="148">
        <v>6.8236043240424427E-2</v>
      </c>
      <c r="K1180" s="149">
        <v>25</v>
      </c>
      <c r="L1180" s="149">
        <v>97</v>
      </c>
      <c r="M1180" s="157">
        <v>11.22</v>
      </c>
      <c r="N1180" s="135"/>
    </row>
    <row r="1181" spans="1:14" x14ac:dyDescent="0.25">
      <c r="A1181" s="142">
        <v>45135</v>
      </c>
      <c r="B1181" s="81" t="s">
        <v>45</v>
      </c>
      <c r="C1181" s="129" t="str">
        <f t="shared" si="37"/>
        <v>28.07.2023_HAAun</v>
      </c>
      <c r="D1181" s="143">
        <f t="shared" si="38"/>
        <v>0</v>
      </c>
      <c r="E1181" s="144">
        <v>0</v>
      </c>
      <c r="F1181" s="145">
        <v>1.3257173851024571E-2</v>
      </c>
      <c r="G1181" s="146">
        <v>6.7649322435141762E-3</v>
      </c>
      <c r="H1181" s="146">
        <v>2.5031591039632407E-2</v>
      </c>
      <c r="I1181" s="147">
        <v>0.77900000000000003</v>
      </c>
      <c r="J1181" s="148">
        <v>0.18882650012978239</v>
      </c>
      <c r="K1181" s="149">
        <v>31</v>
      </c>
      <c r="L1181" s="149">
        <v>183</v>
      </c>
      <c r="M1181" s="157">
        <v>9.8469999999999995</v>
      </c>
      <c r="N1181" s="135"/>
    </row>
    <row r="1182" spans="1:14" x14ac:dyDescent="0.25">
      <c r="A1182" s="142">
        <v>45135</v>
      </c>
      <c r="B1182" s="81" t="s">
        <v>47</v>
      </c>
      <c r="C1182" s="129" t="str">
        <f t="shared" si="37"/>
        <v>28.07.2023_KIRob</v>
      </c>
      <c r="D1182" s="143">
        <f t="shared" si="38"/>
        <v>0</v>
      </c>
      <c r="E1182" s="144">
        <v>0</v>
      </c>
      <c r="F1182" s="145">
        <v>1.9157577108923419E-3</v>
      </c>
      <c r="G1182" s="146">
        <v>0.30526756748857753</v>
      </c>
      <c r="H1182" s="146">
        <v>0.54674264639197068</v>
      </c>
      <c r="I1182" s="147">
        <v>5.1340000000000003</v>
      </c>
      <c r="J1182" s="148">
        <v>1.5631095921732412</v>
      </c>
      <c r="K1182" s="149">
        <v>64</v>
      </c>
      <c r="L1182" s="149">
        <v>144</v>
      </c>
      <c r="M1182" s="157">
        <v>6.8360000000000003</v>
      </c>
      <c r="N1182" s="135"/>
    </row>
    <row r="1183" spans="1:14" x14ac:dyDescent="0.25">
      <c r="A1183" s="142">
        <v>45135</v>
      </c>
      <c r="B1183" s="81" t="s">
        <v>49</v>
      </c>
      <c r="C1183" s="129" t="str">
        <f t="shared" si="37"/>
        <v>28.07.2023_KIRun</v>
      </c>
      <c r="D1183" s="143">
        <f t="shared" si="38"/>
        <v>0</v>
      </c>
      <c r="E1183" s="144">
        <v>9.4882168593636504E-2</v>
      </c>
      <c r="F1183" s="145">
        <v>1.9357301460499467E-3</v>
      </c>
      <c r="G1183" s="146">
        <v>0.14460042670511566</v>
      </c>
      <c r="H1183" s="146">
        <v>0.14623718975785238</v>
      </c>
      <c r="I1183" s="147">
        <v>4.1050000000000004</v>
      </c>
      <c r="J1183" s="148">
        <v>1.0839990477540333</v>
      </c>
      <c r="K1183" s="149">
        <v>53</v>
      </c>
      <c r="L1183" s="149">
        <v>136</v>
      </c>
      <c r="M1183" s="157">
        <v>12.47</v>
      </c>
      <c r="N1183" s="135"/>
    </row>
    <row r="1184" spans="1:14" x14ac:dyDescent="0.25">
      <c r="A1184" s="142">
        <v>45135</v>
      </c>
      <c r="B1184" s="81" t="s">
        <v>50</v>
      </c>
      <c r="C1184" s="129" t="str">
        <f t="shared" si="37"/>
        <v>28.07.2023_LIEohBo</v>
      </c>
      <c r="D1184" s="143">
        <f t="shared" si="38"/>
        <v>0</v>
      </c>
      <c r="E1184" s="144">
        <v>4.977425237698966E-2</v>
      </c>
      <c r="F1184" s="145">
        <v>1.0452832217997084E-2</v>
      </c>
      <c r="G1184" s="146">
        <v>6.0038773661188406E-2</v>
      </c>
      <c r="H1184" s="146">
        <v>0.10276126847849089</v>
      </c>
      <c r="I1184" s="147">
        <v>7.3849999999999998</v>
      </c>
      <c r="J1184" s="148">
        <v>1.7459551255484527</v>
      </c>
      <c r="K1184" s="149">
        <v>25.085000000000001</v>
      </c>
      <c r="L1184" s="149">
        <v>68</v>
      </c>
      <c r="M1184" s="157">
        <v>8.7949999999999999</v>
      </c>
      <c r="N1184" s="135"/>
    </row>
    <row r="1185" spans="1:14" x14ac:dyDescent="0.25">
      <c r="A1185" s="142">
        <v>45135</v>
      </c>
      <c r="B1185" s="81" t="s">
        <v>53</v>
      </c>
      <c r="C1185" s="129" t="str">
        <f t="shared" si="37"/>
        <v>28.07.2023_NATohBo</v>
      </c>
      <c r="D1185" s="143">
        <f t="shared" si="38"/>
        <v>0</v>
      </c>
      <c r="E1185" s="144">
        <v>2.6442571575275763E-2</v>
      </c>
      <c r="F1185" s="145">
        <v>7.8323015663088365E-3</v>
      </c>
      <c r="G1185" s="146">
        <v>8.2870419983048754E-2</v>
      </c>
      <c r="H1185" s="146">
        <v>0.15677680703769761</v>
      </c>
      <c r="I1185" s="147">
        <v>2.5550000000000002</v>
      </c>
      <c r="J1185" s="148">
        <v>0.68917660131526459</v>
      </c>
      <c r="K1185" s="149">
        <v>55</v>
      </c>
      <c r="L1185" s="149">
        <v>304</v>
      </c>
      <c r="M1185" s="157">
        <v>10.88</v>
      </c>
      <c r="N1185" s="135"/>
    </row>
    <row r="1186" spans="1:14" x14ac:dyDescent="0.25">
      <c r="A1186" s="142">
        <v>45135</v>
      </c>
      <c r="B1186" s="81" t="s">
        <v>55</v>
      </c>
      <c r="C1186" s="129" t="str">
        <f t="shared" si="37"/>
        <v>28.07.2023_QUAohBo</v>
      </c>
      <c r="D1186" s="143">
        <f t="shared" si="38"/>
        <v>0</v>
      </c>
      <c r="E1186" s="144">
        <v>3.8886134669523169E-2</v>
      </c>
      <c r="F1186" s="145">
        <v>5.0344970636495776E-3</v>
      </c>
      <c r="G1186" s="146">
        <v>8.4561653043925002E-4</v>
      </c>
      <c r="H1186" s="146">
        <v>6.9824964478974558E-2</v>
      </c>
      <c r="I1186" s="147">
        <v>3.0270000000000001</v>
      </c>
      <c r="J1186" s="148">
        <v>0.70562331321534455</v>
      </c>
      <c r="K1186" s="149">
        <v>29.062000000000001</v>
      </c>
      <c r="L1186" s="149">
        <v>102</v>
      </c>
      <c r="M1186" s="157">
        <v>15.47</v>
      </c>
      <c r="N1186" s="135"/>
    </row>
    <row r="1187" spans="1:14" x14ac:dyDescent="0.25">
      <c r="A1187" s="142">
        <v>45135</v>
      </c>
      <c r="B1187" s="81" t="s">
        <v>57</v>
      </c>
      <c r="C1187" s="129" t="str">
        <f t="shared" si="37"/>
        <v>28.07.2023_SCHohVo</v>
      </c>
      <c r="D1187" s="143">
        <f t="shared" si="38"/>
        <v>0</v>
      </c>
      <c r="E1187" s="144">
        <v>0</v>
      </c>
      <c r="F1187" s="145">
        <v>1.243823531805965E-2</v>
      </c>
      <c r="G1187" s="146">
        <v>5.0736991826356409E-2</v>
      </c>
      <c r="H1187" s="146">
        <v>2.5031591039632407E-2</v>
      </c>
      <c r="I1187" s="147">
        <v>1.2569999999999999</v>
      </c>
      <c r="J1187" s="148">
        <v>0.33093622467526357</v>
      </c>
      <c r="K1187" s="149">
        <v>24.265000000000001</v>
      </c>
      <c r="L1187" s="149">
        <v>76</v>
      </c>
      <c r="M1187" s="157">
        <v>14.08</v>
      </c>
      <c r="N1187" s="135"/>
    </row>
    <row r="1188" spans="1:14" x14ac:dyDescent="0.25">
      <c r="A1188" s="142">
        <v>45135</v>
      </c>
      <c r="B1188" s="81" t="s">
        <v>60</v>
      </c>
      <c r="C1188" s="129" t="str">
        <f t="shared" si="37"/>
        <v>28.07.2023_VORohBo</v>
      </c>
      <c r="D1188" s="143">
        <f t="shared" si="38"/>
        <v>0</v>
      </c>
      <c r="E1188" s="144">
        <v>2.0220790028152028E-2</v>
      </c>
      <c r="F1188" s="145">
        <v>4.5638954075379471E-3</v>
      </c>
      <c r="G1188" s="146">
        <v>0.23085331280992147</v>
      </c>
      <c r="H1188" s="146">
        <v>0.13964992895794909</v>
      </c>
      <c r="I1188" s="147">
        <v>1.3540000000000001</v>
      </c>
      <c r="J1188" s="148">
        <v>0.52759968973502358</v>
      </c>
      <c r="K1188" s="149">
        <v>28</v>
      </c>
      <c r="L1188" s="149">
        <v>168</v>
      </c>
      <c r="M1188" s="157">
        <v>16.04</v>
      </c>
      <c r="N1188" s="135"/>
    </row>
    <row r="1189" spans="1:14" x14ac:dyDescent="0.25">
      <c r="A1189" s="142">
        <v>45135</v>
      </c>
      <c r="B1189" s="81" t="s">
        <v>62</v>
      </c>
      <c r="C1189" s="129" t="str">
        <f t="shared" si="37"/>
        <v>28.07.2023_VORuhSc</v>
      </c>
      <c r="D1189" s="143">
        <f t="shared" si="38"/>
        <v>0</v>
      </c>
      <c r="E1189" s="144">
        <v>0</v>
      </c>
      <c r="F1189" s="145">
        <v>5.7194821327933828E-3</v>
      </c>
      <c r="G1189" s="146">
        <v>0.17504262180092944</v>
      </c>
      <c r="H1189" s="146">
        <v>3.9523564799419549E-2</v>
      </c>
      <c r="I1189" s="147">
        <v>0.65600000000000003</v>
      </c>
      <c r="J1189" s="148">
        <v>0.29612251470538697</v>
      </c>
      <c r="K1189" s="149">
        <v>26</v>
      </c>
      <c r="L1189" s="149">
        <v>171</v>
      </c>
      <c r="M1189" s="157">
        <v>9.391</v>
      </c>
      <c r="N1189" s="135"/>
    </row>
    <row r="1190" spans="1:14" x14ac:dyDescent="0.25">
      <c r="A1190" s="142">
        <v>45135</v>
      </c>
      <c r="B1190" s="81" t="s">
        <v>64</v>
      </c>
      <c r="C1190" s="129" t="str">
        <f t="shared" si="37"/>
        <v>28.07.2023_WITob</v>
      </c>
      <c r="D1190" s="143">
        <f t="shared" si="38"/>
        <v>0</v>
      </c>
      <c r="E1190" s="144">
        <v>7.7772269339046532E-3</v>
      </c>
      <c r="F1190" s="145">
        <v>2.2328345329144352E-3</v>
      </c>
      <c r="G1190" s="146">
        <v>1.9449180200103278E-2</v>
      </c>
      <c r="H1190" s="146">
        <v>1.7126878079748487E-2</v>
      </c>
      <c r="I1190" s="147">
        <v>1.2509999999999999</v>
      </c>
      <c r="J1190" s="148">
        <v>0.30287974196495759</v>
      </c>
      <c r="K1190" s="149">
        <v>45</v>
      </c>
      <c r="L1190" s="149">
        <v>193</v>
      </c>
      <c r="M1190" s="157">
        <v>7.1289999999999996</v>
      </c>
      <c r="N1190" s="135"/>
    </row>
    <row r="1191" spans="1:14" x14ac:dyDescent="0.25">
      <c r="A1191" s="142">
        <v>45149</v>
      </c>
      <c r="B1191" s="81" t="s">
        <v>22</v>
      </c>
      <c r="C1191" s="129" t="str">
        <f t="shared" si="37"/>
        <v>11.08.2023_BOYkl</v>
      </c>
      <c r="D1191" s="143">
        <f t="shared" si="38"/>
        <v>0</v>
      </c>
      <c r="E1191" s="144">
        <v>0.13026256110467171</v>
      </c>
      <c r="F1191" s="145">
        <v>6.4899349806341086E-2</v>
      </c>
      <c r="G1191" s="146">
        <v>9.0689064037410144E-2</v>
      </c>
      <c r="H1191" s="146">
        <v>0.16704276615104641</v>
      </c>
      <c r="I1191" s="147">
        <v>30.637</v>
      </c>
      <c r="J1191" s="148">
        <v>7.0412545114890941</v>
      </c>
      <c r="K1191" s="149">
        <v>23</v>
      </c>
      <c r="L1191" s="149">
        <v>48</v>
      </c>
      <c r="M1191" s="157"/>
      <c r="N1191" s="135"/>
    </row>
    <row r="1192" spans="1:14" x14ac:dyDescent="0.25">
      <c r="A1192" s="142">
        <v>45149</v>
      </c>
      <c r="B1192" s="81" t="s">
        <v>25</v>
      </c>
      <c r="C1192" s="129" t="str">
        <f t="shared" si="37"/>
        <v>11.08.2023_BOYohB224</v>
      </c>
      <c r="D1192" s="143">
        <f t="shared" si="38"/>
        <v>0</v>
      </c>
      <c r="E1192" s="144">
        <v>9.4078516353374025E-2</v>
      </c>
      <c r="F1192" s="145">
        <v>1.6125701096380094E-2</v>
      </c>
      <c r="G1192" s="146">
        <v>1.5848574297799841E-2</v>
      </c>
      <c r="H1192" s="146">
        <v>8.5350318471337616E-2</v>
      </c>
      <c r="I1192" s="147">
        <v>5.7450000000000001</v>
      </c>
      <c r="J1192" s="148">
        <v>1.3359143139150973</v>
      </c>
      <c r="K1192" s="149">
        <v>33</v>
      </c>
      <c r="L1192" s="149">
        <v>147</v>
      </c>
      <c r="M1192" s="157">
        <v>14.84</v>
      </c>
      <c r="N1192" s="135"/>
    </row>
    <row r="1193" spans="1:14" x14ac:dyDescent="0.25">
      <c r="A1193" s="142">
        <v>45149</v>
      </c>
      <c r="B1193" s="81" t="s">
        <v>28</v>
      </c>
      <c r="C1193" s="129" t="str">
        <f t="shared" si="37"/>
        <v>11.08.2023_BOYohBr</v>
      </c>
      <c r="D1193" s="143">
        <f t="shared" si="38"/>
        <v>0</v>
      </c>
      <c r="E1193" s="144">
        <v>2.3519629088343506E-2</v>
      </c>
      <c r="F1193" s="145">
        <v>5.1829607115390496E-2</v>
      </c>
      <c r="G1193" s="146">
        <v>3.6099530344988515E-2</v>
      </c>
      <c r="H1193" s="146">
        <v>0.16338489535941766</v>
      </c>
      <c r="I1193" s="147">
        <v>13.311</v>
      </c>
      <c r="J1193" s="148">
        <v>3.0843290257097546</v>
      </c>
      <c r="K1193" s="149">
        <v>23.513000000000002</v>
      </c>
      <c r="L1193" s="149">
        <v>69</v>
      </c>
      <c r="M1193" s="157">
        <v>10.63</v>
      </c>
      <c r="N1193" s="135"/>
    </row>
    <row r="1194" spans="1:14" x14ac:dyDescent="0.25">
      <c r="A1194" s="142">
        <v>45149</v>
      </c>
      <c r="B1194" s="81" t="s">
        <v>30</v>
      </c>
      <c r="C1194" s="129" t="str">
        <f t="shared" si="37"/>
        <v>11.08.2023_BOYohKi</v>
      </c>
      <c r="D1194" s="143">
        <f t="shared" si="38"/>
        <v>0</v>
      </c>
      <c r="E1194" s="144">
        <v>7.7795696215290006E-2</v>
      </c>
      <c r="F1194" s="145">
        <v>3.2358310177521048E-2</v>
      </c>
      <c r="G1194" s="146">
        <v>4.1382388444255125E-2</v>
      </c>
      <c r="H1194" s="146">
        <v>3.0482256596906294E-2</v>
      </c>
      <c r="I1194" s="147">
        <v>7.7249999999999996</v>
      </c>
      <c r="J1194" s="148">
        <v>1.7862590838240078</v>
      </c>
      <c r="K1194" s="149">
        <v>30</v>
      </c>
      <c r="L1194" s="149">
        <v>111</v>
      </c>
      <c r="M1194" s="157">
        <v>14.37</v>
      </c>
      <c r="N1194" s="135"/>
    </row>
    <row r="1195" spans="1:14" x14ac:dyDescent="0.25">
      <c r="A1195" s="142">
        <v>45149</v>
      </c>
      <c r="B1195" s="81" t="s">
        <v>32</v>
      </c>
      <c r="C1195" s="129" t="str">
        <f t="shared" si="37"/>
        <v>11.08.2023_BOYohSp</v>
      </c>
      <c r="D1195" s="143">
        <f t="shared" si="38"/>
        <v>0</v>
      </c>
      <c r="E1195" s="144">
        <v>1.8092022375648886E-2</v>
      </c>
      <c r="F1195" s="145">
        <v>4.6291112671644777E-2</v>
      </c>
      <c r="G1195" s="146">
        <v>0</v>
      </c>
      <c r="H1195" s="146">
        <v>4.7552320291173802E-2</v>
      </c>
      <c r="I1195" s="147">
        <v>8.1920000000000002</v>
      </c>
      <c r="J1195" s="148">
        <v>1.8648043439126478</v>
      </c>
      <c r="K1195" s="149">
        <v>28</v>
      </c>
      <c r="L1195" s="149">
        <v>90</v>
      </c>
      <c r="M1195" s="157">
        <v>16.149999999999999</v>
      </c>
      <c r="N1195" s="135"/>
    </row>
    <row r="1196" spans="1:14" x14ac:dyDescent="0.25">
      <c r="A1196" s="142">
        <v>45149</v>
      </c>
      <c r="B1196" s="81" t="s">
        <v>34</v>
      </c>
      <c r="C1196" s="129" t="str">
        <f t="shared" si="37"/>
        <v>11.08.2023_BOYuhHa</v>
      </c>
      <c r="D1196" s="143">
        <f t="shared" si="38"/>
        <v>0</v>
      </c>
      <c r="E1196" s="144">
        <v>1.9901224613213721E-2</v>
      </c>
      <c r="F1196" s="145">
        <v>3.0379860077299571E-2</v>
      </c>
      <c r="G1196" s="146">
        <v>0</v>
      </c>
      <c r="H1196" s="146">
        <v>4.023657870791629E-2</v>
      </c>
      <c r="I1196" s="147">
        <v>5.9850000000000003</v>
      </c>
      <c r="J1196" s="148">
        <v>1.3640819763876251</v>
      </c>
      <c r="K1196" s="149">
        <v>36</v>
      </c>
      <c r="L1196" s="149">
        <v>160</v>
      </c>
      <c r="M1196" s="157">
        <v>13.66</v>
      </c>
      <c r="N1196" s="135"/>
    </row>
    <row r="1197" spans="1:14" x14ac:dyDescent="0.25">
      <c r="A1197" s="142">
        <v>45149</v>
      </c>
      <c r="B1197" s="81" t="s">
        <v>36</v>
      </c>
      <c r="C1197" s="129" t="str">
        <f t="shared" si="37"/>
        <v>11.08.2023_BOYuhSp</v>
      </c>
      <c r="D1197" s="143">
        <f t="shared" si="38"/>
        <v>0</v>
      </c>
      <c r="E1197" s="144">
        <v>4.5230055939122139E-2</v>
      </c>
      <c r="F1197" s="145">
        <v>3.7526148020637161E-2</v>
      </c>
      <c r="G1197" s="146">
        <v>5.8111439091932747E-2</v>
      </c>
      <c r="H1197" s="146">
        <v>0.1438762511373976</v>
      </c>
      <c r="I1197" s="147">
        <v>8.1760000000000002</v>
      </c>
      <c r="J1197" s="148">
        <v>1.9356391959992756</v>
      </c>
      <c r="K1197" s="149">
        <v>29</v>
      </c>
      <c r="L1197" s="149">
        <v>96</v>
      </c>
      <c r="M1197" s="157"/>
      <c r="N1197" s="135"/>
    </row>
    <row r="1198" spans="1:14" x14ac:dyDescent="0.25">
      <c r="A1198" s="142">
        <v>45149</v>
      </c>
      <c r="B1198" s="81" t="s">
        <v>38</v>
      </c>
      <c r="C1198" s="129" t="str">
        <f t="shared" si="37"/>
        <v>11.08.2023_BRAob</v>
      </c>
      <c r="D1198" s="143">
        <f t="shared" si="38"/>
        <v>0</v>
      </c>
      <c r="E1198" s="144">
        <v>0.10312452754119843</v>
      </c>
      <c r="F1198" s="145">
        <v>9.5073905531957662E-3</v>
      </c>
      <c r="G1198" s="146">
        <v>4.1382388444255125E-2</v>
      </c>
      <c r="H1198" s="146">
        <v>9.7543221110100095E-2</v>
      </c>
      <c r="I1198" s="147">
        <v>1.573</v>
      </c>
      <c r="J1198" s="148">
        <v>0.41712355447004962</v>
      </c>
      <c r="K1198" s="149">
        <v>41</v>
      </c>
      <c r="L1198" s="149">
        <v>134</v>
      </c>
      <c r="M1198" s="157">
        <v>17.88</v>
      </c>
      <c r="N1198" s="135"/>
    </row>
    <row r="1199" spans="1:14" x14ac:dyDescent="0.25">
      <c r="A1199" s="142">
        <v>45149</v>
      </c>
      <c r="B1199" s="81" t="s">
        <v>41</v>
      </c>
      <c r="C1199" s="129" t="str">
        <f t="shared" si="37"/>
        <v>11.08.2023_BRAohBo</v>
      </c>
      <c r="D1199" s="143">
        <f t="shared" si="38"/>
        <v>8</v>
      </c>
      <c r="E1199" s="144"/>
      <c r="F1199" s="145"/>
      <c r="G1199" s="146"/>
      <c r="H1199" s="146"/>
      <c r="I1199" s="147"/>
      <c r="J1199" s="148"/>
      <c r="K1199" s="149"/>
      <c r="L1199" s="149"/>
      <c r="M1199" s="157"/>
      <c r="N1199" s="135" t="s">
        <v>341</v>
      </c>
    </row>
    <row r="1200" spans="1:14" x14ac:dyDescent="0.25">
      <c r="A1200" s="142">
        <v>45149</v>
      </c>
      <c r="B1200" s="81" t="s">
        <v>43</v>
      </c>
      <c r="C1200" s="129" t="str">
        <f t="shared" si="37"/>
        <v>11.08.2023_HAAob</v>
      </c>
      <c r="D1200" s="143">
        <f t="shared" si="38"/>
        <v>0</v>
      </c>
      <c r="E1200" s="144">
        <v>2.1710426850778595E-2</v>
      </c>
      <c r="F1200" s="145">
        <v>3.5225588349017602E-2</v>
      </c>
      <c r="G1200" s="146">
        <v>0</v>
      </c>
      <c r="H1200" s="146">
        <v>9.7543221110100251E-3</v>
      </c>
      <c r="I1200" s="147">
        <v>5.8999999999999997E-2</v>
      </c>
      <c r="J1200" s="148">
        <v>1.6296033366697001E-2</v>
      </c>
      <c r="K1200" s="149">
        <v>26</v>
      </c>
      <c r="L1200" s="149">
        <v>104</v>
      </c>
      <c r="M1200" s="157">
        <v>12.05</v>
      </c>
      <c r="N1200" s="135"/>
    </row>
    <row r="1201" spans="1:14" x14ac:dyDescent="0.25">
      <c r="A1201" s="142">
        <v>45149</v>
      </c>
      <c r="B1201" s="81" t="s">
        <v>45</v>
      </c>
      <c r="C1201" s="129" t="str">
        <f t="shared" si="37"/>
        <v>11.08.2023_HAAun</v>
      </c>
      <c r="D1201" s="143">
        <f t="shared" si="38"/>
        <v>0</v>
      </c>
      <c r="E1201" s="144">
        <v>8.322330292798466E-2</v>
      </c>
      <c r="F1201" s="145">
        <v>2.0587187827082201E-2</v>
      </c>
      <c r="G1201" s="146">
        <v>7.9242871488999205E-3</v>
      </c>
      <c r="H1201" s="146">
        <v>3.5359417652411296E-2</v>
      </c>
      <c r="I1201" s="147">
        <v>1.661</v>
      </c>
      <c r="J1201" s="148">
        <v>0.39208837443252587</v>
      </c>
      <c r="K1201" s="149">
        <v>27</v>
      </c>
      <c r="L1201" s="149">
        <v>188</v>
      </c>
      <c r="M1201" s="157">
        <v>11.97</v>
      </c>
      <c r="N1201" s="135"/>
    </row>
    <row r="1202" spans="1:14" x14ac:dyDescent="0.25">
      <c r="A1202" s="142">
        <v>45149</v>
      </c>
      <c r="B1202" s="81" t="s">
        <v>47</v>
      </c>
      <c r="C1202" s="129" t="str">
        <f t="shared" si="37"/>
        <v>11.08.2023_KIRob</v>
      </c>
      <c r="D1202" s="143">
        <f t="shared" si="38"/>
        <v>0</v>
      </c>
      <c r="E1202" s="144">
        <v>1.0855213425389353E-2</v>
      </c>
      <c r="F1202" s="145">
        <v>9.5187594221571824E-3</v>
      </c>
      <c r="G1202" s="146">
        <v>0.51948104642788318</v>
      </c>
      <c r="H1202" s="146">
        <v>0.58891719745222915</v>
      </c>
      <c r="I1202" s="147">
        <v>5.6820000000000004</v>
      </c>
      <c r="J1202" s="148">
        <v>1.8660610185051181</v>
      </c>
      <c r="K1202" s="149">
        <v>71</v>
      </c>
      <c r="L1202" s="149">
        <v>160</v>
      </c>
      <c r="M1202" s="157">
        <v>13.03</v>
      </c>
      <c r="N1202" s="135"/>
    </row>
    <row r="1203" spans="1:14" x14ac:dyDescent="0.25">
      <c r="A1203" s="142">
        <v>45149</v>
      </c>
      <c r="B1203" s="81" t="s">
        <v>49</v>
      </c>
      <c r="C1203" s="129" t="str">
        <f t="shared" si="37"/>
        <v>11.08.2023_KIRun</v>
      </c>
      <c r="D1203" s="143">
        <f t="shared" si="38"/>
        <v>0</v>
      </c>
      <c r="E1203" s="144">
        <v>5.4276067126946201E-3</v>
      </c>
      <c r="F1203" s="145">
        <v>1.3304361543893597E-2</v>
      </c>
      <c r="G1203" s="146">
        <v>9.3330493087043442E-2</v>
      </c>
      <c r="H1203" s="146">
        <v>0.18777070063694268</v>
      </c>
      <c r="I1203" s="147">
        <v>4.8460000000000001</v>
      </c>
      <c r="J1203" s="148">
        <v>1.2242030043860757</v>
      </c>
      <c r="K1203" s="149">
        <v>58</v>
      </c>
      <c r="L1203" s="149">
        <v>144</v>
      </c>
      <c r="M1203" s="157">
        <v>12.4</v>
      </c>
      <c r="N1203" s="135"/>
    </row>
    <row r="1204" spans="1:14" x14ac:dyDescent="0.25">
      <c r="A1204" s="142">
        <v>45149</v>
      </c>
      <c r="B1204" s="81" t="s">
        <v>50</v>
      </c>
      <c r="C1204" s="129" t="str">
        <f t="shared" si="37"/>
        <v>11.08.2023_LIEohBo</v>
      </c>
      <c r="D1204" s="143">
        <f t="shared" si="38"/>
        <v>0</v>
      </c>
      <c r="E1204" s="144">
        <v>7.2368089502595351E-2</v>
      </c>
      <c r="F1204" s="145">
        <v>2.4134910625483799E-2</v>
      </c>
      <c r="G1204" s="146">
        <v>6.4274773541077065E-2</v>
      </c>
      <c r="H1204" s="146">
        <v>0.14143767060964513</v>
      </c>
      <c r="I1204" s="147">
        <v>8.1590000000000007</v>
      </c>
      <c r="J1204" s="148">
        <v>1.9358427477240174</v>
      </c>
      <c r="K1204" s="149">
        <v>20</v>
      </c>
      <c r="L1204" s="149">
        <v>91</v>
      </c>
      <c r="M1204" s="157">
        <v>10.31</v>
      </c>
      <c r="N1204" s="135"/>
    </row>
    <row r="1205" spans="1:14" x14ac:dyDescent="0.25">
      <c r="A1205" s="142">
        <v>45149</v>
      </c>
      <c r="B1205" s="81" t="s">
        <v>53</v>
      </c>
      <c r="C1205" s="129" t="str">
        <f t="shared" si="37"/>
        <v>11.08.2023_NATohBo</v>
      </c>
      <c r="D1205" s="143">
        <f t="shared" si="38"/>
        <v>0</v>
      </c>
      <c r="E1205" s="144">
        <v>5.608526936451138E-2</v>
      </c>
      <c r="F1205" s="145">
        <v>3.296062625564037E-2</v>
      </c>
      <c r="G1205" s="146">
        <v>9.4210969436921227E-2</v>
      </c>
      <c r="H1205" s="146">
        <v>9.8762511373976361E-2</v>
      </c>
      <c r="I1205" s="147">
        <v>2.274</v>
      </c>
      <c r="J1205" s="148">
        <v>0.61685050224588212</v>
      </c>
      <c r="K1205" s="149">
        <v>58</v>
      </c>
      <c r="L1205" s="149">
        <v>280</v>
      </c>
      <c r="M1205" s="157">
        <v>17.690000000000001</v>
      </c>
      <c r="N1205" s="135"/>
    </row>
    <row r="1206" spans="1:14" x14ac:dyDescent="0.25">
      <c r="A1206" s="142">
        <v>45149</v>
      </c>
      <c r="B1206" s="81" t="s">
        <v>55</v>
      </c>
      <c r="C1206" s="129" t="str">
        <f t="shared" si="37"/>
        <v>11.08.2023_QUAohBo</v>
      </c>
      <c r="D1206" s="143">
        <f t="shared" si="38"/>
        <v>0</v>
      </c>
      <c r="E1206" s="144">
        <v>4.8848460414251886E-2</v>
      </c>
      <c r="F1206" s="145">
        <v>1.7729813850901919E-2</v>
      </c>
      <c r="G1206" s="146">
        <v>4.754572289339952E-2</v>
      </c>
      <c r="H1206" s="146">
        <v>0.13168334849863511</v>
      </c>
      <c r="I1206" s="147">
        <v>5.4080000000000004</v>
      </c>
      <c r="J1206" s="148">
        <v>1.2985147338199052</v>
      </c>
      <c r="K1206" s="149">
        <v>27</v>
      </c>
      <c r="L1206" s="149">
        <v>110</v>
      </c>
      <c r="M1206" s="157">
        <v>8.8629999999999995</v>
      </c>
      <c r="N1206" s="135"/>
    </row>
    <row r="1207" spans="1:14" x14ac:dyDescent="0.25">
      <c r="A1207" s="142">
        <v>45149</v>
      </c>
      <c r="B1207" s="81" t="s">
        <v>57</v>
      </c>
      <c r="C1207" s="129" t="str">
        <f t="shared" si="37"/>
        <v>11.08.2023_SCHohVo</v>
      </c>
      <c r="D1207" s="143">
        <f t="shared" si="38"/>
        <v>0</v>
      </c>
      <c r="E1207" s="144">
        <v>7.7795696215290006E-2</v>
      </c>
      <c r="F1207" s="145">
        <v>3.3043223613121786E-2</v>
      </c>
      <c r="G1207" s="146">
        <v>2.2011908746944198E-2</v>
      </c>
      <c r="H1207" s="146">
        <v>4.8771610555050075E-2</v>
      </c>
      <c r="I1207" s="147">
        <v>1.292</v>
      </c>
      <c r="J1207" s="148">
        <v>0.32376458385639967</v>
      </c>
      <c r="K1207" s="149">
        <v>27.811</v>
      </c>
      <c r="L1207" s="149">
        <v>79</v>
      </c>
      <c r="M1207" s="157">
        <v>22.86</v>
      </c>
      <c r="N1207" s="135"/>
    </row>
    <row r="1208" spans="1:14" x14ac:dyDescent="0.25">
      <c r="A1208" s="142">
        <v>45149</v>
      </c>
      <c r="B1208" s="81" t="s">
        <v>60</v>
      </c>
      <c r="C1208" s="129" t="str">
        <f t="shared" si="37"/>
        <v>11.08.2023_VORohBo</v>
      </c>
      <c r="D1208" s="143">
        <f t="shared" si="38"/>
        <v>0</v>
      </c>
      <c r="E1208" s="144">
        <v>3.4374842513732823E-2</v>
      </c>
      <c r="F1208" s="145">
        <v>1.0872229135347961E-2</v>
      </c>
      <c r="G1208" s="146">
        <v>0.24829433066553064</v>
      </c>
      <c r="H1208" s="146">
        <v>9.5104640582347605E-2</v>
      </c>
      <c r="I1208" s="147">
        <v>1.258</v>
      </c>
      <c r="J1208" s="148">
        <v>0.50589713264377356</v>
      </c>
      <c r="K1208" s="149">
        <v>31</v>
      </c>
      <c r="L1208" s="149">
        <v>191</v>
      </c>
      <c r="M1208" s="157">
        <v>14.15</v>
      </c>
      <c r="N1208" s="135"/>
    </row>
    <row r="1209" spans="1:14" x14ac:dyDescent="0.25">
      <c r="A1209" s="142">
        <v>45149</v>
      </c>
      <c r="B1209" s="81" t="s">
        <v>62</v>
      </c>
      <c r="C1209" s="129" t="str">
        <f t="shared" si="37"/>
        <v>11.08.2023_VORuhSc</v>
      </c>
      <c r="D1209" s="143">
        <f t="shared" si="38"/>
        <v>0</v>
      </c>
      <c r="E1209" s="144">
        <v>0</v>
      </c>
      <c r="F1209" s="145">
        <v>1.0628284725179214E-2</v>
      </c>
      <c r="G1209" s="146">
        <v>0.1752147936256758</v>
      </c>
      <c r="H1209" s="146">
        <v>5.7306642402183805E-2</v>
      </c>
      <c r="I1209" s="147">
        <v>0.78300000000000003</v>
      </c>
      <c r="J1209" s="148">
        <v>0.33035575238174586</v>
      </c>
      <c r="K1209" s="149">
        <v>28</v>
      </c>
      <c r="L1209" s="149">
        <v>182</v>
      </c>
      <c r="M1209" s="157">
        <v>14.94</v>
      </c>
      <c r="N1209" s="135"/>
    </row>
    <row r="1210" spans="1:14" x14ac:dyDescent="0.25">
      <c r="A1210" s="142">
        <v>45149</v>
      </c>
      <c r="B1210" s="81" t="s">
        <v>64</v>
      </c>
      <c r="C1210" s="129" t="str">
        <f t="shared" si="37"/>
        <v>11.08.2023_WITob</v>
      </c>
      <c r="D1210" s="143">
        <f t="shared" si="38"/>
        <v>0</v>
      </c>
      <c r="E1210" s="144">
        <v>3.0756438038603038E-2</v>
      </c>
      <c r="F1210" s="145">
        <v>1.1766918835617025E-2</v>
      </c>
      <c r="G1210" s="146">
        <v>2.377286144669976E-2</v>
      </c>
      <c r="H1210" s="146">
        <v>5.7306642402183805E-2</v>
      </c>
      <c r="I1210" s="147">
        <v>0.91200000000000003</v>
      </c>
      <c r="J1210" s="148">
        <v>0.24189983646409277</v>
      </c>
      <c r="K1210" s="149">
        <v>70</v>
      </c>
      <c r="L1210" s="149">
        <v>322</v>
      </c>
      <c r="M1210" s="157">
        <v>11.29</v>
      </c>
      <c r="N1210" s="135"/>
    </row>
    <row r="1211" spans="1:14" x14ac:dyDescent="0.25">
      <c r="A1211" s="142">
        <v>45163</v>
      </c>
      <c r="B1211" s="81" t="s">
        <v>22</v>
      </c>
      <c r="C1211" s="129" t="str">
        <f t="shared" si="37"/>
        <v>25.08.2023_BOYkl</v>
      </c>
      <c r="D1211" s="143">
        <f t="shared" si="38"/>
        <v>0</v>
      </c>
      <c r="E1211" s="144">
        <v>0.11396374997716104</v>
      </c>
      <c r="F1211" s="145">
        <v>8.1029772747152951E-2</v>
      </c>
      <c r="G1211" s="146">
        <v>0.14426457331730771</v>
      </c>
      <c r="H1211" s="146">
        <v>0.22212878093492205</v>
      </c>
      <c r="I1211" s="147">
        <v>27.853000000000002</v>
      </c>
      <c r="J1211" s="148">
        <v>6.4708042158907935</v>
      </c>
      <c r="K1211" s="149">
        <v>25.597999999999999</v>
      </c>
      <c r="L1211" s="149">
        <v>48.92</v>
      </c>
      <c r="M1211" s="157"/>
      <c r="N1211" s="135"/>
    </row>
    <row r="1212" spans="1:14" x14ac:dyDescent="0.25">
      <c r="A1212" s="142">
        <v>45163</v>
      </c>
      <c r="B1212" s="81" t="s">
        <v>25</v>
      </c>
      <c r="C1212" s="129" t="str">
        <f t="shared" si="37"/>
        <v>25.08.2023_BOYohB224</v>
      </c>
      <c r="D1212" s="143">
        <f t="shared" si="38"/>
        <v>0</v>
      </c>
      <c r="E1212" s="144">
        <v>4.6548573934333391E-2</v>
      </c>
      <c r="F1212" s="145">
        <v>1.8153376202753351E-2</v>
      </c>
      <c r="G1212" s="146">
        <v>0.1524151141826923</v>
      </c>
      <c r="H1212" s="146">
        <v>5.5218454017720742E-2</v>
      </c>
      <c r="I1212" s="147">
        <v>0.19500000000000001</v>
      </c>
      <c r="J1212" s="148">
        <v>0.17920472033741383</v>
      </c>
      <c r="K1212" s="149">
        <v>37.991</v>
      </c>
      <c r="L1212" s="149">
        <v>184.214</v>
      </c>
      <c r="M1212" s="157"/>
      <c r="N1212" s="135"/>
    </row>
    <row r="1213" spans="1:14" x14ac:dyDescent="0.25">
      <c r="A1213" s="142">
        <v>45163</v>
      </c>
      <c r="B1213" s="81" t="s">
        <v>28</v>
      </c>
      <c r="C1213" s="129" t="str">
        <f t="shared" si="37"/>
        <v>25.08.2023_BOYohBr</v>
      </c>
      <c r="D1213" s="143">
        <f t="shared" si="38"/>
        <v>0</v>
      </c>
      <c r="E1213" s="144">
        <v>5.1363943651678193E-2</v>
      </c>
      <c r="F1213" s="145">
        <v>3.6779574499644009E-2</v>
      </c>
      <c r="G1213" s="146">
        <v>9.5361328124999992E-2</v>
      </c>
      <c r="H1213" s="146">
        <v>2.1334402688664832E-2</v>
      </c>
      <c r="I1213" s="147">
        <v>4.0129999999999999</v>
      </c>
      <c r="J1213" s="148">
        <v>0.98695868657434516</v>
      </c>
      <c r="K1213" s="149">
        <v>20.396999999999998</v>
      </c>
      <c r="L1213" s="149">
        <v>76.697000000000003</v>
      </c>
      <c r="M1213" s="157"/>
      <c r="N1213" s="135"/>
    </row>
    <row r="1214" spans="1:14" x14ac:dyDescent="0.25">
      <c r="A1214" s="142">
        <v>45163</v>
      </c>
      <c r="B1214" s="81" t="s">
        <v>30</v>
      </c>
      <c r="C1214" s="129" t="str">
        <f t="shared" si="37"/>
        <v>25.08.2023_BOYohKi</v>
      </c>
      <c r="D1214" s="143">
        <f t="shared" si="38"/>
        <v>0</v>
      </c>
      <c r="E1214" s="144">
        <v>0</v>
      </c>
      <c r="F1214" s="145">
        <v>2.2480060319381191E-2</v>
      </c>
      <c r="G1214" s="146">
        <v>7.9060246394230788E-2</v>
      </c>
      <c r="H1214" s="146">
        <v>8.2827681026581099E-2</v>
      </c>
      <c r="I1214" s="147">
        <v>1.611</v>
      </c>
      <c r="J1214" s="148">
        <v>0.45048294821119883</v>
      </c>
      <c r="K1214" s="149">
        <v>32.142000000000003</v>
      </c>
      <c r="L1214" s="149">
        <v>128.06</v>
      </c>
      <c r="M1214" s="157"/>
      <c r="N1214" s="135"/>
    </row>
    <row r="1215" spans="1:14" x14ac:dyDescent="0.25">
      <c r="A1215" s="142">
        <v>45163</v>
      </c>
      <c r="B1215" s="81" t="s">
        <v>32</v>
      </c>
      <c r="C1215" s="129" t="str">
        <f t="shared" si="37"/>
        <v>25.08.2023_BOYohSp</v>
      </c>
      <c r="D1215" s="143">
        <f t="shared" si="38"/>
        <v>0</v>
      </c>
      <c r="E1215" s="144">
        <v>4.6548573934333357E-2</v>
      </c>
      <c r="F1215" s="145">
        <v>5.0038286033979085E-2</v>
      </c>
      <c r="G1215" s="146">
        <v>9.6176382211538472E-2</v>
      </c>
      <c r="H1215" s="146">
        <v>5.7728383745798993E-2</v>
      </c>
      <c r="I1215" s="147">
        <v>6.71</v>
      </c>
      <c r="J1215" s="148">
        <v>1.6078431054548459</v>
      </c>
      <c r="K1215" s="149">
        <v>28.65</v>
      </c>
      <c r="L1215" s="149">
        <v>94.715000000000003</v>
      </c>
      <c r="M1215" s="157"/>
      <c r="N1215" s="135"/>
    </row>
    <row r="1216" spans="1:14" x14ac:dyDescent="0.25">
      <c r="A1216" s="142">
        <v>45163</v>
      </c>
      <c r="B1216" s="81" t="s">
        <v>34</v>
      </c>
      <c r="C1216" s="129" t="str">
        <f t="shared" si="37"/>
        <v>25.08.2023_BOYuhHa</v>
      </c>
      <c r="D1216" s="143">
        <f t="shared" si="38"/>
        <v>0</v>
      </c>
      <c r="E1216" s="144">
        <v>3.049734154318395E-2</v>
      </c>
      <c r="F1216" s="145">
        <v>9.403599155959055E-3</v>
      </c>
      <c r="G1216" s="146">
        <v>6.6019381009615422E-2</v>
      </c>
      <c r="H1216" s="146">
        <v>2.8864191872899458E-2</v>
      </c>
      <c r="I1216" s="147">
        <v>8.7370000000000001</v>
      </c>
      <c r="J1216" s="148">
        <v>2.0334772823758605</v>
      </c>
      <c r="K1216" s="149">
        <v>43.527000000000001</v>
      </c>
      <c r="L1216" s="149">
        <v>211.321</v>
      </c>
      <c r="M1216" s="157"/>
      <c r="N1216" s="135"/>
    </row>
    <row r="1217" spans="1:14" x14ac:dyDescent="0.25">
      <c r="A1217" s="142">
        <v>45163</v>
      </c>
      <c r="B1217" s="81" t="s">
        <v>36</v>
      </c>
      <c r="C1217" s="129" t="str">
        <f t="shared" si="37"/>
        <v>25.08.2023_BOYuhSp</v>
      </c>
      <c r="D1217" s="143">
        <f t="shared" si="38"/>
        <v>0</v>
      </c>
      <c r="E1217" s="144">
        <v>8.1861285194862146E-2</v>
      </c>
      <c r="F1217" s="145">
        <v>3.8975150031350748E-2</v>
      </c>
      <c r="G1217" s="146">
        <v>0.10432692307692311</v>
      </c>
      <c r="H1217" s="146">
        <v>3.2629086465016784E-2</v>
      </c>
      <c r="I1217" s="147">
        <v>10.627000000000001</v>
      </c>
      <c r="J1217" s="148">
        <v>2.4912632278742741</v>
      </c>
      <c r="K1217" s="149">
        <v>28.695</v>
      </c>
      <c r="L1217" s="149">
        <v>96.307000000000002</v>
      </c>
      <c r="M1217" s="157"/>
      <c r="N1217" s="135"/>
    </row>
    <row r="1218" spans="1:14" x14ac:dyDescent="0.25">
      <c r="A1218" s="142">
        <v>45163</v>
      </c>
      <c r="B1218" s="81" t="s">
        <v>38</v>
      </c>
      <c r="C1218" s="129" t="str">
        <f t="shared" si="37"/>
        <v>25.08.2023_BRAob</v>
      </c>
      <c r="D1218" s="143">
        <f t="shared" si="38"/>
        <v>0</v>
      </c>
      <c r="E1218" s="144">
        <v>0</v>
      </c>
      <c r="F1218" s="145">
        <v>1.0085778252832894E-2</v>
      </c>
      <c r="G1218" s="146">
        <v>0.10595703125000001</v>
      </c>
      <c r="H1218" s="146">
        <v>9.0357470210815749E-2</v>
      </c>
      <c r="I1218" s="147">
        <v>2.6859999999999999</v>
      </c>
      <c r="J1218" s="148">
        <v>0.71647072700099534</v>
      </c>
      <c r="K1218" s="149">
        <v>34.67</v>
      </c>
      <c r="L1218" s="149">
        <v>121.238</v>
      </c>
      <c r="M1218" s="157"/>
      <c r="N1218" s="135"/>
    </row>
    <row r="1219" spans="1:14" x14ac:dyDescent="0.25">
      <c r="A1219" s="142">
        <v>45163</v>
      </c>
      <c r="B1219" s="81" t="s">
        <v>41</v>
      </c>
      <c r="C1219" s="129" t="str">
        <f t="shared" si="37"/>
        <v>25.08.2023_BRAohBo</v>
      </c>
      <c r="D1219" s="143">
        <f t="shared" si="38"/>
        <v>0</v>
      </c>
      <c r="E1219" s="144">
        <v>6.4204929564597737E-2</v>
      </c>
      <c r="F1219" s="145">
        <v>0.11184790755218089</v>
      </c>
      <c r="G1219" s="146">
        <v>4.0752704326923073E-2</v>
      </c>
      <c r="H1219" s="146">
        <v>1.8824472960586605E-2</v>
      </c>
      <c r="I1219" s="147">
        <v>2.0950000000000002</v>
      </c>
      <c r="J1219" s="148">
        <v>0.51057282817566307</v>
      </c>
      <c r="K1219" s="149">
        <v>28.774000000000001</v>
      </c>
      <c r="L1219" s="149">
        <v>108.3</v>
      </c>
      <c r="M1219" s="157"/>
      <c r="N1219" s="135"/>
    </row>
    <row r="1220" spans="1:14" x14ac:dyDescent="0.25">
      <c r="A1220" s="142">
        <v>45163</v>
      </c>
      <c r="B1220" s="81" t="s">
        <v>43</v>
      </c>
      <c r="C1220" s="129" t="str">
        <f t="shared" si="37"/>
        <v>25.08.2023_HAAob</v>
      </c>
      <c r="D1220" s="143">
        <f t="shared" si="38"/>
        <v>0</v>
      </c>
      <c r="E1220" s="144">
        <v>8.025616195574738E-3</v>
      </c>
      <c r="F1220" s="145">
        <v>1.7696319688862264E-2</v>
      </c>
      <c r="G1220" s="146">
        <v>2.1329965444711538</v>
      </c>
      <c r="H1220" s="146">
        <v>4.8943629697525214E-2</v>
      </c>
      <c r="I1220" s="147">
        <v>1.863</v>
      </c>
      <c r="J1220" s="148">
        <v>2.0919471848778177</v>
      </c>
      <c r="K1220" s="149">
        <v>22.821999999999999</v>
      </c>
      <c r="L1220" s="149">
        <v>125.199</v>
      </c>
      <c r="M1220" s="157"/>
      <c r="N1220" s="135"/>
    </row>
    <row r="1221" spans="1:14" x14ac:dyDescent="0.25">
      <c r="A1221" s="142">
        <v>45163</v>
      </c>
      <c r="B1221" s="81" t="s">
        <v>45</v>
      </c>
      <c r="C1221" s="129" t="str">
        <f t="shared" ref="C1221:C1284" si="39">CONCATENATE(TEXT(A1221,"TT.MM.JJJJ"),"_",B1221)</f>
        <v>25.08.2023_HAAun</v>
      </c>
      <c r="D1221" s="143">
        <f t="shared" ref="D1221:D1284" si="40">COUNTBLANK(E1221:L1221)</f>
        <v>0</v>
      </c>
      <c r="E1221" s="144">
        <v>0</v>
      </c>
      <c r="F1221" s="145">
        <v>5.3117200452219709E-2</v>
      </c>
      <c r="G1221" s="146">
        <v>0.13122370793269231</v>
      </c>
      <c r="H1221" s="146">
        <v>7.5297891842346521E-3</v>
      </c>
      <c r="I1221" s="147">
        <v>4.9219999999999997</v>
      </c>
      <c r="J1221" s="148">
        <v>1.2159184812897963</v>
      </c>
      <c r="K1221" s="149">
        <v>29.013999999999999</v>
      </c>
      <c r="L1221" s="149">
        <v>220.178</v>
      </c>
      <c r="M1221" s="157"/>
      <c r="N1221" s="135"/>
    </row>
    <row r="1222" spans="1:14" x14ac:dyDescent="0.25">
      <c r="A1222" s="142">
        <v>45163</v>
      </c>
      <c r="B1222" s="81" t="s">
        <v>47</v>
      </c>
      <c r="C1222" s="129" t="str">
        <f t="shared" si="39"/>
        <v>25.08.2023_KIRob</v>
      </c>
      <c r="D1222" s="143">
        <f t="shared" si="40"/>
        <v>0</v>
      </c>
      <c r="E1222" s="144">
        <v>0.10112276406424149</v>
      </c>
      <c r="F1222" s="145">
        <v>9.7386758942278155E-3</v>
      </c>
      <c r="G1222" s="146">
        <v>0.31624098557692315</v>
      </c>
      <c r="H1222" s="146">
        <v>0.3250358997861289</v>
      </c>
      <c r="I1222" s="147">
        <v>5.9279999999999999</v>
      </c>
      <c r="J1222" s="148">
        <v>1.683472502580512</v>
      </c>
      <c r="K1222" s="149">
        <v>76.278000000000006</v>
      </c>
      <c r="L1222" s="149">
        <v>160.73599999999999</v>
      </c>
      <c r="M1222" s="157"/>
      <c r="N1222" s="135"/>
    </row>
    <row r="1223" spans="1:14" x14ac:dyDescent="0.25">
      <c r="A1223" s="142">
        <v>45163</v>
      </c>
      <c r="B1223" s="81" t="s">
        <v>49</v>
      </c>
      <c r="C1223" s="129" t="str">
        <f t="shared" si="39"/>
        <v>25.08.2023_KIRun</v>
      </c>
      <c r="D1223" s="143">
        <f t="shared" si="40"/>
        <v>0</v>
      </c>
      <c r="E1223" s="144">
        <v>9.3097147868666782E-2</v>
      </c>
      <c r="F1223" s="145">
        <v>1.1049841783454561E-2</v>
      </c>
      <c r="G1223" s="146">
        <v>9.1286057692307701E-2</v>
      </c>
      <c r="H1223" s="146">
        <v>0.12800641613198901</v>
      </c>
      <c r="I1223" s="147">
        <v>4.5590000000000002</v>
      </c>
      <c r="J1223" s="148">
        <v>1.1395955943288842</v>
      </c>
      <c r="K1223" s="149">
        <v>61.518999999999998</v>
      </c>
      <c r="L1223" s="149">
        <v>149.94800000000001</v>
      </c>
      <c r="M1223" s="157"/>
      <c r="N1223" s="135"/>
    </row>
    <row r="1224" spans="1:14" x14ac:dyDescent="0.25">
      <c r="A1224" s="142">
        <v>45163</v>
      </c>
      <c r="B1224" s="81" t="s">
        <v>50</v>
      </c>
      <c r="C1224" s="129" t="str">
        <f t="shared" si="39"/>
        <v>25.08.2023_LIEohBo</v>
      </c>
      <c r="D1224" s="143">
        <f t="shared" si="40"/>
        <v>0</v>
      </c>
      <c r="E1224" s="144">
        <v>0</v>
      </c>
      <c r="F1224" s="145">
        <v>1.9778877148767911E-2</v>
      </c>
      <c r="G1224" s="146">
        <v>0.23229041466346156</v>
      </c>
      <c r="H1224" s="146">
        <v>9.0357470210815749E-2</v>
      </c>
      <c r="I1224" s="147">
        <v>3.6139999999999999</v>
      </c>
      <c r="J1224" s="148">
        <v>1.024174695887714</v>
      </c>
      <c r="K1224" s="149">
        <v>23.632999999999999</v>
      </c>
      <c r="L1224" s="149">
        <v>98.177000000000007</v>
      </c>
      <c r="M1224" s="157"/>
      <c r="N1224" s="135"/>
    </row>
    <row r="1225" spans="1:14" x14ac:dyDescent="0.25">
      <c r="A1225" s="142">
        <v>45163</v>
      </c>
      <c r="B1225" s="81" t="s">
        <v>53</v>
      </c>
      <c r="C1225" s="129" t="str">
        <f t="shared" si="39"/>
        <v>25.08.2023_NATohBo</v>
      </c>
      <c r="D1225" s="143">
        <f t="shared" si="40"/>
        <v>0</v>
      </c>
      <c r="E1225" s="144">
        <v>6.0994683086367865E-2</v>
      </c>
      <c r="F1225" s="145">
        <v>2.4297194377829963E-2</v>
      </c>
      <c r="G1225" s="146">
        <v>0.14915489783653849</v>
      </c>
      <c r="H1225" s="146">
        <v>5.2708524289642539E-2</v>
      </c>
      <c r="I1225" s="147">
        <v>2.0249999999999999</v>
      </c>
      <c r="J1225" s="148">
        <v>0.58925114684107538</v>
      </c>
      <c r="K1225" s="149">
        <v>98.924000000000007</v>
      </c>
      <c r="L1225" s="149">
        <v>491.202</v>
      </c>
      <c r="M1225" s="157"/>
      <c r="N1225" s="135"/>
    </row>
    <row r="1226" spans="1:14" x14ac:dyDescent="0.25">
      <c r="A1226" s="142">
        <v>45163</v>
      </c>
      <c r="B1226" s="81" t="s">
        <v>55</v>
      </c>
      <c r="C1226" s="129" t="str">
        <f t="shared" si="39"/>
        <v>25.08.2023_QUAohBo</v>
      </c>
      <c r="D1226" s="143">
        <f t="shared" si="40"/>
        <v>0</v>
      </c>
      <c r="E1226" s="144">
        <v>0.10593813378158633</v>
      </c>
      <c r="F1226" s="145">
        <v>1.406734725320348E-2</v>
      </c>
      <c r="G1226" s="146">
        <v>8.8840895432692302E-2</v>
      </c>
      <c r="H1226" s="146">
        <v>1.8824472960586605E-2</v>
      </c>
      <c r="I1226" s="147">
        <v>7.3710000000000004</v>
      </c>
      <c r="J1226" s="148">
        <v>1.7396029476873818</v>
      </c>
      <c r="K1226" s="149">
        <v>29.806000000000001</v>
      </c>
      <c r="L1226" s="149">
        <v>112.209</v>
      </c>
      <c r="M1226" s="157"/>
      <c r="N1226" s="135"/>
    </row>
    <row r="1227" spans="1:14" x14ac:dyDescent="0.25">
      <c r="A1227" s="142">
        <v>45163</v>
      </c>
      <c r="B1227" s="81" t="s">
        <v>57</v>
      </c>
      <c r="C1227" s="129" t="str">
        <f t="shared" si="39"/>
        <v>25.08.2023_SCHohVo</v>
      </c>
      <c r="D1227" s="143">
        <f t="shared" si="40"/>
        <v>0</v>
      </c>
      <c r="E1227" s="144">
        <v>0</v>
      </c>
      <c r="F1227" s="145">
        <v>2.3696741198261796E-2</v>
      </c>
      <c r="G1227" s="146">
        <v>7.3354867788461578E-2</v>
      </c>
      <c r="H1227" s="146">
        <v>2.3844332416743032E-2</v>
      </c>
      <c r="I1227" s="147">
        <v>1.204</v>
      </c>
      <c r="J1227" s="148">
        <v>0.33616620829333987</v>
      </c>
      <c r="K1227" s="149">
        <v>34.709000000000003</v>
      </c>
      <c r="L1227" s="149">
        <v>74.433000000000007</v>
      </c>
      <c r="M1227" s="67"/>
      <c r="N1227" s="135"/>
    </row>
    <row r="1228" spans="1:14" x14ac:dyDescent="0.25">
      <c r="A1228" s="142">
        <v>45163</v>
      </c>
      <c r="B1228" s="81" t="s">
        <v>60</v>
      </c>
      <c r="C1228" s="129" t="str">
        <f t="shared" si="39"/>
        <v>25.08.2023_VORohBo</v>
      </c>
      <c r="D1228" s="143">
        <f t="shared" si="40"/>
        <v>0</v>
      </c>
      <c r="E1228" s="144">
        <v>1.123586267380464E-2</v>
      </c>
      <c r="F1228" s="145">
        <v>1.0013640264166259E-2</v>
      </c>
      <c r="G1228" s="146">
        <v>0.24940655048076929</v>
      </c>
      <c r="H1228" s="146">
        <v>9.1612435074854823E-2</v>
      </c>
      <c r="I1228" s="147">
        <v>1.3460000000000001</v>
      </c>
      <c r="J1228" s="148">
        <v>0.52557411824135203</v>
      </c>
      <c r="K1228" s="149">
        <v>31.678000000000001</v>
      </c>
      <c r="L1228" s="149">
        <v>209.73099999999999</v>
      </c>
      <c r="M1228" s="67"/>
      <c r="N1228" s="135"/>
    </row>
    <row r="1229" spans="1:14" x14ac:dyDescent="0.25">
      <c r="A1229" s="142">
        <v>45163</v>
      </c>
      <c r="B1229" s="81" t="s">
        <v>62</v>
      </c>
      <c r="C1229" s="129" t="str">
        <f t="shared" si="39"/>
        <v>25.08.2023_VORuhSc</v>
      </c>
      <c r="D1229" s="143">
        <f t="shared" si="40"/>
        <v>0</v>
      </c>
      <c r="E1229" s="144">
        <v>1.2840985912919574E-2</v>
      </c>
      <c r="F1229" s="145">
        <v>8.6741716021675169E-3</v>
      </c>
      <c r="G1229" s="146">
        <v>0.21680438701923074</v>
      </c>
      <c r="H1229" s="146">
        <v>3.3884051329055913E-2</v>
      </c>
      <c r="I1229" s="147">
        <v>0.57499999999999996</v>
      </c>
      <c r="J1229" s="148">
        <v>0.30853768790369351</v>
      </c>
      <c r="K1229" s="149">
        <v>31.274999999999999</v>
      </c>
      <c r="L1229" s="149">
        <v>196.60900000000001</v>
      </c>
      <c r="M1229" s="67"/>
      <c r="N1229" s="135"/>
    </row>
    <row r="1230" spans="1:14" x14ac:dyDescent="0.25">
      <c r="A1230" s="142">
        <v>45163</v>
      </c>
      <c r="B1230" s="81" t="s">
        <v>64</v>
      </c>
      <c r="C1230" s="129" t="str">
        <f t="shared" si="39"/>
        <v>25.08.2023_WITob</v>
      </c>
      <c r="D1230" s="143">
        <f t="shared" si="40"/>
        <v>0</v>
      </c>
      <c r="E1230" s="144">
        <v>1.4446109152034542E-2</v>
      </c>
      <c r="F1230" s="145">
        <v>1.9481397373974176E-2</v>
      </c>
      <c r="G1230" s="146">
        <v>0.14752478966346153</v>
      </c>
      <c r="H1230" s="146">
        <v>0</v>
      </c>
      <c r="I1230" s="147">
        <v>1.7490000000000001</v>
      </c>
      <c r="J1230" s="148">
        <v>0.50959815392578123</v>
      </c>
      <c r="K1230" s="149">
        <v>54.573</v>
      </c>
      <c r="L1230" s="149">
        <v>222.72499999999999</v>
      </c>
      <c r="M1230" s="67"/>
      <c r="N1230" s="135"/>
    </row>
    <row r="1231" spans="1:14" x14ac:dyDescent="0.25">
      <c r="A1231" s="142">
        <v>45177</v>
      </c>
      <c r="B1231" s="81" t="s">
        <v>22</v>
      </c>
      <c r="C1231" s="129" t="str">
        <f t="shared" si="39"/>
        <v>08.09.2023_BOYkl</v>
      </c>
      <c r="D1231" s="143">
        <f t="shared" si="40"/>
        <v>0</v>
      </c>
      <c r="E1231" s="144">
        <v>8.6972224768539774E-2</v>
      </c>
      <c r="F1231" s="145">
        <v>5.4324679125844745E-2</v>
      </c>
      <c r="G1231" s="146">
        <v>0.13438922074253848</v>
      </c>
      <c r="H1231" s="146">
        <v>3.783333333333333E-2</v>
      </c>
      <c r="I1231" s="147">
        <v>27.882999999999999</v>
      </c>
      <c r="J1231" s="148">
        <v>6.4138034543477058</v>
      </c>
      <c r="K1231" s="149">
        <v>24.077000000000002</v>
      </c>
      <c r="L1231" s="149">
        <v>47.774999999999999</v>
      </c>
      <c r="M1231" s="67">
        <v>29.05</v>
      </c>
      <c r="N1231" s="135"/>
    </row>
    <row r="1232" spans="1:14" x14ac:dyDescent="0.25">
      <c r="A1232" s="142">
        <v>45177</v>
      </c>
      <c r="B1232" s="81" t="s">
        <v>25</v>
      </c>
      <c r="C1232" s="129" t="str">
        <f t="shared" si="39"/>
        <v>08.09.2023_BOYohB224</v>
      </c>
      <c r="D1232" s="143">
        <f t="shared" si="40"/>
        <v>0</v>
      </c>
      <c r="E1232" s="144">
        <v>3.8654322119350992E-2</v>
      </c>
      <c r="F1232" s="145">
        <v>3.952927180618856E-3</v>
      </c>
      <c r="G1232" s="146">
        <v>4.7217834314945938E-2</v>
      </c>
      <c r="H1232" s="146">
        <v>1.6394444444444451E-2</v>
      </c>
      <c r="I1232" s="147">
        <v>3.6360000000000001</v>
      </c>
      <c r="J1232" s="148">
        <v>0.86291878477832351</v>
      </c>
      <c r="K1232" s="149">
        <v>36.408000000000001</v>
      </c>
      <c r="L1232" s="149">
        <v>187.99</v>
      </c>
      <c r="M1232" s="67">
        <v>45.62</v>
      </c>
      <c r="N1232" s="135"/>
    </row>
    <row r="1233" spans="1:14" x14ac:dyDescent="0.25">
      <c r="A1233" s="142">
        <v>45177</v>
      </c>
      <c r="B1233" s="81" t="s">
        <v>28</v>
      </c>
      <c r="C1233" s="129" t="str">
        <f t="shared" si="39"/>
        <v>08.09.2023_BOYohBr</v>
      </c>
      <c r="D1233" s="143">
        <f t="shared" si="40"/>
        <v>0</v>
      </c>
      <c r="E1233" s="144">
        <v>0</v>
      </c>
      <c r="F1233" s="145">
        <v>2.1985182559539906E-2</v>
      </c>
      <c r="G1233" s="146">
        <v>6.9010680921844092E-2</v>
      </c>
      <c r="H1233" s="146">
        <v>3.2158333333333351E-2</v>
      </c>
      <c r="I1233" s="147">
        <v>8.99</v>
      </c>
      <c r="J1233" s="148">
        <v>2.0939480082123363</v>
      </c>
      <c r="K1233" s="149">
        <v>16.259</v>
      </c>
      <c r="L1233" s="149">
        <v>68.093000000000004</v>
      </c>
      <c r="M1233" s="67">
        <v>29.39</v>
      </c>
      <c r="N1233" s="135"/>
    </row>
    <row r="1234" spans="1:14" x14ac:dyDescent="0.25">
      <c r="A1234" s="142">
        <v>45177</v>
      </c>
      <c r="B1234" s="81" t="s">
        <v>30</v>
      </c>
      <c r="C1234" s="129" t="str">
        <f t="shared" si="39"/>
        <v>08.09.2023_BOYohKi</v>
      </c>
      <c r="D1234" s="143">
        <f t="shared" si="40"/>
        <v>0</v>
      </c>
      <c r="E1234" s="144">
        <v>0.31406636721972681</v>
      </c>
      <c r="F1234" s="145">
        <v>1.1338279486719574E-2</v>
      </c>
      <c r="G1234" s="146">
        <v>6.5378539820694428E-2</v>
      </c>
      <c r="H1234" s="146">
        <v>2.5222222222222334E-3</v>
      </c>
      <c r="I1234" s="147">
        <v>4.8650000000000002</v>
      </c>
      <c r="J1234" s="148">
        <v>1.1503912229409265</v>
      </c>
      <c r="K1234" s="149">
        <v>29.411999999999999</v>
      </c>
      <c r="L1234" s="149">
        <v>127.75</v>
      </c>
      <c r="M1234" s="67">
        <v>38.07</v>
      </c>
      <c r="N1234" s="135"/>
    </row>
    <row r="1235" spans="1:14" x14ac:dyDescent="0.25">
      <c r="A1235" s="142">
        <v>45177</v>
      </c>
      <c r="B1235" s="81" t="s">
        <v>32</v>
      </c>
      <c r="C1235" s="129" t="str">
        <f t="shared" si="39"/>
        <v>08.09.2023_BOYohSp</v>
      </c>
      <c r="D1235" s="143">
        <f t="shared" si="40"/>
        <v>0</v>
      </c>
      <c r="E1235" s="144">
        <v>8.0529837748648091E-3</v>
      </c>
      <c r="F1235" s="145">
        <v>7.1746613773386834E-3</v>
      </c>
      <c r="G1235" s="146">
        <v>7.6274963124143502E-2</v>
      </c>
      <c r="H1235" s="146">
        <v>1.9547222222222237E-2</v>
      </c>
      <c r="I1235" s="147">
        <v>7.5119999999999996</v>
      </c>
      <c r="J1235" s="148">
        <v>1.7619133379218215</v>
      </c>
      <c r="K1235" s="149">
        <v>24.596</v>
      </c>
      <c r="L1235" s="149">
        <v>93.34</v>
      </c>
      <c r="M1235" s="67">
        <v>28.43</v>
      </c>
      <c r="N1235" s="135"/>
    </row>
    <row r="1236" spans="1:14" x14ac:dyDescent="0.25">
      <c r="A1236" s="142">
        <v>45177</v>
      </c>
      <c r="B1236" s="81" t="s">
        <v>34</v>
      </c>
      <c r="C1236" s="129" t="str">
        <f t="shared" si="39"/>
        <v>08.09.2023_BOYuhHa</v>
      </c>
      <c r="D1236" s="143">
        <f t="shared" si="40"/>
        <v>0</v>
      </c>
      <c r="E1236" s="144">
        <v>0</v>
      </c>
      <c r="F1236" s="145">
        <v>3.3101914813578725E-3</v>
      </c>
      <c r="G1236" s="146">
        <v>4.5401763764371106E-2</v>
      </c>
      <c r="H1236" s="146">
        <v>0</v>
      </c>
      <c r="I1236" s="147">
        <v>3.7879999999999998</v>
      </c>
      <c r="J1236" s="148">
        <v>0.89084957554539645</v>
      </c>
      <c r="K1236" s="149">
        <v>37.61</v>
      </c>
      <c r="L1236" s="149">
        <v>198.946</v>
      </c>
      <c r="M1236" s="67">
        <v>43.6</v>
      </c>
      <c r="N1236" s="135"/>
    </row>
    <row r="1237" spans="1:14" x14ac:dyDescent="0.25">
      <c r="A1237" s="142">
        <v>45177</v>
      </c>
      <c r="B1237" s="81" t="s">
        <v>36</v>
      </c>
      <c r="C1237" s="129" t="str">
        <f t="shared" si="39"/>
        <v>08.09.2023_BOYuhSp</v>
      </c>
      <c r="D1237" s="143">
        <f t="shared" si="40"/>
        <v>0</v>
      </c>
      <c r="E1237" s="144">
        <v>4.9928499404161698E-2</v>
      </c>
      <c r="F1237" s="145">
        <v>1.1559241153062165E-2</v>
      </c>
      <c r="G1237" s="146">
        <v>5.9930328168969892E-2</v>
      </c>
      <c r="H1237" s="146">
        <v>1.0719444444444445E-2</v>
      </c>
      <c r="I1237" s="147">
        <v>7.16</v>
      </c>
      <c r="J1237" s="148">
        <v>1.6670280353810345</v>
      </c>
      <c r="K1237" s="149">
        <v>26.253</v>
      </c>
      <c r="L1237" s="149">
        <v>94.257999999999996</v>
      </c>
      <c r="M1237" s="67">
        <v>35.54</v>
      </c>
      <c r="N1237" s="135"/>
    </row>
    <row r="1238" spans="1:14" x14ac:dyDescent="0.25">
      <c r="A1238" s="142">
        <v>45177</v>
      </c>
      <c r="B1238" s="81" t="s">
        <v>38</v>
      </c>
      <c r="C1238" s="129" t="str">
        <f t="shared" si="39"/>
        <v>08.09.2023_BRAob</v>
      </c>
      <c r="D1238" s="143">
        <f t="shared" si="40"/>
        <v>0</v>
      </c>
      <c r="E1238" s="144">
        <v>0</v>
      </c>
      <c r="F1238" s="145">
        <v>3.3578565598463002E-3</v>
      </c>
      <c r="G1238" s="146">
        <v>6.9010680921844092E-2</v>
      </c>
      <c r="H1238" s="146">
        <v>0</v>
      </c>
      <c r="I1238" s="147">
        <v>1.6220000000000001</v>
      </c>
      <c r="J1238" s="148">
        <v>0.41994724362900276</v>
      </c>
      <c r="K1238" s="149">
        <v>29.510999999999999</v>
      </c>
      <c r="L1238" s="149">
        <v>111.11199999999999</v>
      </c>
      <c r="M1238" s="67">
        <v>28.85</v>
      </c>
      <c r="N1238" s="135"/>
    </row>
    <row r="1239" spans="1:14" x14ac:dyDescent="0.25">
      <c r="A1239" s="142">
        <v>45177</v>
      </c>
      <c r="B1239" s="81" t="s">
        <v>41</v>
      </c>
      <c r="C1239" s="129" t="str">
        <f t="shared" si="39"/>
        <v>08.09.2023_BRAohBo</v>
      </c>
      <c r="D1239" s="143">
        <f t="shared" si="40"/>
        <v>0</v>
      </c>
      <c r="E1239" s="144">
        <v>3.3822531854432111E-2</v>
      </c>
      <c r="F1239" s="145">
        <v>7.6791651505957445E-2</v>
      </c>
      <c r="G1239" s="146">
        <v>4.0861587387934002E-2</v>
      </c>
      <c r="H1239" s="146">
        <v>3.0266666666666681E-2</v>
      </c>
      <c r="I1239" s="147">
        <v>3.7709999999999999</v>
      </c>
      <c r="J1239" s="148">
        <v>0.89269907065752352</v>
      </c>
      <c r="K1239" s="149">
        <v>28.413</v>
      </c>
      <c r="L1239" s="149">
        <v>111.79</v>
      </c>
      <c r="M1239" s="67">
        <v>44</v>
      </c>
      <c r="N1239" s="135"/>
    </row>
    <row r="1240" spans="1:14" x14ac:dyDescent="0.25">
      <c r="A1240" s="142">
        <v>45177</v>
      </c>
      <c r="B1240" s="81" t="s">
        <v>43</v>
      </c>
      <c r="C1240" s="129" t="str">
        <f t="shared" si="39"/>
        <v>08.09.2023_HAAob</v>
      </c>
      <c r="D1240" s="143">
        <f t="shared" si="40"/>
        <v>0</v>
      </c>
      <c r="E1240" s="144">
        <v>0</v>
      </c>
      <c r="F1240" s="145">
        <v>1.8906996635760693E-2</v>
      </c>
      <c r="G1240" s="146">
        <v>9.9883880281616422E-3</v>
      </c>
      <c r="H1240" s="146">
        <v>0</v>
      </c>
      <c r="I1240" s="147">
        <v>0.63600000000000001</v>
      </c>
      <c r="J1240" s="148">
        <v>0.15140920341998723</v>
      </c>
      <c r="K1240" s="149">
        <v>28.265000000000001</v>
      </c>
      <c r="L1240" s="149">
        <v>132.03200000000001</v>
      </c>
      <c r="M1240" s="67">
        <v>31.1</v>
      </c>
      <c r="N1240" s="135"/>
    </row>
    <row r="1241" spans="1:14" x14ac:dyDescent="0.25">
      <c r="A1241" s="142">
        <v>45177</v>
      </c>
      <c r="B1241" s="81" t="s">
        <v>45</v>
      </c>
      <c r="C1241" s="129" t="str">
        <f t="shared" si="39"/>
        <v>08.09.2023_HAAun</v>
      </c>
      <c r="D1241" s="143">
        <f t="shared" si="40"/>
        <v>0</v>
      </c>
      <c r="E1241" s="144">
        <v>0</v>
      </c>
      <c r="F1241" s="145">
        <v>1.4579658716318465E-2</v>
      </c>
      <c r="G1241" s="146">
        <v>4.0861587387934002E-2</v>
      </c>
      <c r="H1241" s="146">
        <v>7.5666666666666738E-3</v>
      </c>
      <c r="I1241" s="147">
        <v>1.3420000000000001</v>
      </c>
      <c r="J1241" s="148">
        <v>0.33714982565752355</v>
      </c>
      <c r="K1241" s="149">
        <v>30.923999999999999</v>
      </c>
      <c r="L1241" s="149">
        <v>242.077</v>
      </c>
      <c r="M1241" s="67">
        <v>53.37</v>
      </c>
      <c r="N1241" s="135"/>
    </row>
    <row r="1242" spans="1:14" x14ac:dyDescent="0.25">
      <c r="A1242" s="142">
        <v>45177</v>
      </c>
      <c r="B1242" s="81" t="s">
        <v>47</v>
      </c>
      <c r="C1242" s="129" t="str">
        <f t="shared" si="39"/>
        <v>08.09.2023_KIRob</v>
      </c>
      <c r="D1242" s="143">
        <f t="shared" si="40"/>
        <v>0</v>
      </c>
      <c r="E1242" s="144">
        <v>6.1202676688972404E-2</v>
      </c>
      <c r="F1242" s="145">
        <v>5.1261112745860657E-3</v>
      </c>
      <c r="G1242" s="146">
        <v>0.40135159167704071</v>
      </c>
      <c r="H1242" s="146">
        <v>0.10971666666666667</v>
      </c>
      <c r="I1242" s="147">
        <v>6.218</v>
      </c>
      <c r="J1242" s="148">
        <v>1.7495083965879721</v>
      </c>
      <c r="K1242" s="149">
        <v>78.046000000000006</v>
      </c>
      <c r="L1242" s="149">
        <v>169.84200000000001</v>
      </c>
      <c r="M1242" s="67">
        <v>41.74</v>
      </c>
      <c r="N1242" s="135"/>
    </row>
    <row r="1243" spans="1:14" x14ac:dyDescent="0.25">
      <c r="A1243" s="142">
        <v>45177</v>
      </c>
      <c r="B1243" s="81" t="s">
        <v>49</v>
      </c>
      <c r="C1243" s="129" t="str">
        <f t="shared" si="39"/>
        <v>08.09.2023_KIRun</v>
      </c>
      <c r="D1243" s="143">
        <f t="shared" si="40"/>
        <v>0</v>
      </c>
      <c r="E1243" s="144">
        <v>6.1202676688972404E-2</v>
      </c>
      <c r="F1243" s="145">
        <v>5.207523523322273E-3</v>
      </c>
      <c r="G1243" s="146">
        <v>7.5366927848856069E-2</v>
      </c>
      <c r="H1243" s="146">
        <v>4.603055555555554E-2</v>
      </c>
      <c r="I1243" s="147">
        <v>4.3760000000000003</v>
      </c>
      <c r="J1243" s="148">
        <v>1.0609427884442471</v>
      </c>
      <c r="K1243" s="149">
        <v>58.098999999999997</v>
      </c>
      <c r="L1243" s="149">
        <v>144.215</v>
      </c>
      <c r="M1243" s="67">
        <v>32.06</v>
      </c>
      <c r="N1243" s="135"/>
    </row>
    <row r="1244" spans="1:14" x14ac:dyDescent="0.25">
      <c r="A1244" s="142">
        <v>45177</v>
      </c>
      <c r="B1244" s="81" t="s">
        <v>50</v>
      </c>
      <c r="C1244" s="129" t="str">
        <f t="shared" si="39"/>
        <v>08.09.2023_LIEohBo</v>
      </c>
      <c r="D1244" s="143">
        <f t="shared" si="40"/>
        <v>0</v>
      </c>
      <c r="E1244" s="144">
        <v>0</v>
      </c>
      <c r="F1244" s="145">
        <v>1.3273176977942966E-2</v>
      </c>
      <c r="G1244" s="146">
        <v>1.1804458578736514E-2</v>
      </c>
      <c r="H1244" s="146">
        <v>1.008888888888888E-2</v>
      </c>
      <c r="I1244" s="147">
        <v>9.3109999999999999</v>
      </c>
      <c r="J1244" s="148">
        <v>2.1153131762640252</v>
      </c>
      <c r="K1244" s="149">
        <v>21.631</v>
      </c>
      <c r="L1244" s="149">
        <v>93.665000000000006</v>
      </c>
      <c r="M1244" s="67">
        <v>38.64</v>
      </c>
      <c r="N1244" s="135"/>
    </row>
    <row r="1245" spans="1:14" x14ac:dyDescent="0.25">
      <c r="A1245" s="142">
        <v>45177</v>
      </c>
      <c r="B1245" s="81" t="s">
        <v>53</v>
      </c>
      <c r="C1245" s="129" t="str">
        <f t="shared" si="39"/>
        <v>08.09.2023_NATohBo</v>
      </c>
      <c r="D1245" s="143">
        <f t="shared" si="40"/>
        <v>0</v>
      </c>
      <c r="E1245" s="144">
        <v>3.3822531854432111E-2</v>
      </c>
      <c r="F1245" s="145">
        <v>1.8064808329211108E-2</v>
      </c>
      <c r="G1245" s="146">
        <v>9.8975845006329027E-2</v>
      </c>
      <c r="H1245" s="146">
        <v>0</v>
      </c>
      <c r="I1245" s="147">
        <v>2.1920000000000002</v>
      </c>
      <c r="J1245" s="148">
        <v>0.57196079388896437</v>
      </c>
      <c r="K1245" s="149">
        <v>79.010000000000005</v>
      </c>
      <c r="L1245" s="149">
        <v>483.666</v>
      </c>
      <c r="M1245" s="67">
        <v>60.55</v>
      </c>
      <c r="N1245" s="135"/>
    </row>
    <row r="1246" spans="1:14" x14ac:dyDescent="0.25">
      <c r="A1246" s="142">
        <v>45177</v>
      </c>
      <c r="B1246" s="81" t="s">
        <v>55</v>
      </c>
      <c r="C1246" s="129" t="str">
        <f t="shared" si="39"/>
        <v>08.09.2023_QUAohBo</v>
      </c>
      <c r="D1246" s="143">
        <f t="shared" si="40"/>
        <v>0</v>
      </c>
      <c r="E1246" s="144">
        <v>4.6707305894215803E-2</v>
      </c>
      <c r="F1246" s="145">
        <v>6.5251707712827272E-3</v>
      </c>
      <c r="G1246" s="146">
        <v>2.9057128809197492E-2</v>
      </c>
      <c r="H1246" s="146">
        <v>0</v>
      </c>
      <c r="I1246" s="147">
        <v>0.78900000000000003</v>
      </c>
      <c r="J1246" s="148">
        <v>0.20000610939349819</v>
      </c>
      <c r="K1246" s="149">
        <v>20.298999999999999</v>
      </c>
      <c r="L1246" s="149">
        <v>87.311000000000007</v>
      </c>
      <c r="M1246" s="67">
        <v>49.33</v>
      </c>
      <c r="N1246" s="135"/>
    </row>
    <row r="1247" spans="1:14" x14ac:dyDescent="0.25">
      <c r="A1247" s="142">
        <v>45177</v>
      </c>
      <c r="B1247" s="81" t="s">
        <v>57</v>
      </c>
      <c r="C1247" s="129" t="str">
        <f t="shared" si="39"/>
        <v>08.09.2023_SCHohVo</v>
      </c>
      <c r="D1247" s="143">
        <f t="shared" si="40"/>
        <v>0</v>
      </c>
      <c r="E1247" s="144">
        <v>0</v>
      </c>
      <c r="F1247" s="145">
        <v>1.5557816751810023E-2</v>
      </c>
      <c r="G1247" s="146">
        <v>6.81026456465567E-2</v>
      </c>
      <c r="H1247" s="146">
        <v>0</v>
      </c>
      <c r="I1247" s="147">
        <v>1.1619999999999999</v>
      </c>
      <c r="J1247" s="148">
        <v>0.31534196331809478</v>
      </c>
      <c r="K1247" s="149">
        <v>32.994</v>
      </c>
      <c r="L1247" s="149">
        <v>71.819000000000003</v>
      </c>
      <c r="M1247" s="67">
        <v>56.73</v>
      </c>
      <c r="N1247" s="135"/>
    </row>
    <row r="1248" spans="1:14" x14ac:dyDescent="0.25">
      <c r="A1248" s="142">
        <v>45177</v>
      </c>
      <c r="B1248" s="81" t="s">
        <v>60</v>
      </c>
      <c r="C1248" s="129" t="str">
        <f t="shared" si="39"/>
        <v>08.09.2023_VORohBo</v>
      </c>
      <c r="D1248" s="143">
        <f t="shared" si="40"/>
        <v>0</v>
      </c>
      <c r="E1248" s="144">
        <v>9.6635805298377567E-3</v>
      </c>
      <c r="F1248" s="145">
        <v>4.4463623176767665E-3</v>
      </c>
      <c r="G1248" s="146">
        <v>0.31418020524944806</v>
      </c>
      <c r="H1248" s="146">
        <v>2.9636111111111117E-2</v>
      </c>
      <c r="I1248" s="147">
        <v>1.282</v>
      </c>
      <c r="J1248" s="148">
        <v>0.54254584160192176</v>
      </c>
      <c r="K1248" s="149">
        <v>31.795999999999999</v>
      </c>
      <c r="L1248" s="149">
        <v>210.53100000000001</v>
      </c>
      <c r="M1248" s="67">
        <v>48.91</v>
      </c>
      <c r="N1248" s="135"/>
    </row>
    <row r="1249" spans="1:14" x14ac:dyDescent="0.25">
      <c r="A1249" s="142">
        <v>45177</v>
      </c>
      <c r="B1249" s="81" t="s">
        <v>62</v>
      </c>
      <c r="C1249" s="129" t="str">
        <f t="shared" si="39"/>
        <v>08.09.2023_VORuhSc</v>
      </c>
      <c r="D1249" s="143">
        <f t="shared" si="40"/>
        <v>0</v>
      </c>
      <c r="E1249" s="144">
        <v>6.4423870198918598E-3</v>
      </c>
      <c r="F1249" s="145">
        <v>3.4412948358830972E-3</v>
      </c>
      <c r="G1249" s="146">
        <v>0.19795169001265811</v>
      </c>
      <c r="H1249" s="146">
        <v>0</v>
      </c>
      <c r="I1249" s="147">
        <v>0.495</v>
      </c>
      <c r="J1249" s="148">
        <v>0.26551315777792889</v>
      </c>
      <c r="K1249" s="149">
        <v>29.963999999999999</v>
      </c>
      <c r="L1249" s="149">
        <v>206.95599999999999</v>
      </c>
      <c r="M1249" s="67">
        <v>57.6</v>
      </c>
      <c r="N1249" s="135"/>
    </row>
    <row r="1250" spans="1:14" x14ac:dyDescent="0.25">
      <c r="A1250" s="142">
        <v>45177</v>
      </c>
      <c r="B1250" s="81" t="s">
        <v>64</v>
      </c>
      <c r="C1250" s="129" t="str">
        <f t="shared" si="39"/>
        <v>08.09.2023_WITob</v>
      </c>
      <c r="D1250" s="143">
        <f t="shared" si="40"/>
        <v>0</v>
      </c>
      <c r="E1250" s="144">
        <v>0</v>
      </c>
      <c r="F1250" s="145">
        <v>2.5681792213052856E-3</v>
      </c>
      <c r="G1250" s="146">
        <v>2.1792846606898116E-2</v>
      </c>
      <c r="H1250" s="146">
        <v>1.7655555555555553E-2</v>
      </c>
      <c r="I1250" s="147">
        <v>0.71</v>
      </c>
      <c r="J1250" s="148">
        <v>0.18266486135067916</v>
      </c>
      <c r="K1250" s="149">
        <v>62.317</v>
      </c>
      <c r="L1250" s="149">
        <v>253.03700000000001</v>
      </c>
      <c r="M1250" s="67">
        <v>49.71</v>
      </c>
      <c r="N1250" s="135"/>
    </row>
    <row r="1251" spans="1:14" x14ac:dyDescent="0.25">
      <c r="A1251" s="142">
        <v>45195</v>
      </c>
      <c r="B1251" s="81" t="s">
        <v>22</v>
      </c>
      <c r="C1251" s="129" t="str">
        <f t="shared" si="39"/>
        <v>26.09.2023_BOYkl</v>
      </c>
      <c r="D1251" s="143">
        <f t="shared" si="40"/>
        <v>0</v>
      </c>
      <c r="E1251" s="144">
        <v>7.7001711351968052E-2</v>
      </c>
      <c r="F1251" s="145">
        <v>4.7912085993370233E-2</v>
      </c>
      <c r="G1251" s="146">
        <v>5.1183556566422365E-2</v>
      </c>
      <c r="H1251" s="146">
        <v>8.9193571326980539E-2</v>
      </c>
      <c r="I1251" s="147">
        <v>28.077000000000002</v>
      </c>
      <c r="J1251" s="148">
        <v>6.4086504926287597</v>
      </c>
      <c r="K1251" s="149">
        <v>21.88</v>
      </c>
      <c r="L1251" s="149">
        <v>45.283000000000001</v>
      </c>
      <c r="M1251" s="67">
        <v>15.06</v>
      </c>
      <c r="N1251" s="135"/>
    </row>
    <row r="1252" spans="1:14" x14ac:dyDescent="0.25">
      <c r="A1252" s="142">
        <v>45195</v>
      </c>
      <c r="B1252" s="81" t="s">
        <v>25</v>
      </c>
      <c r="C1252" s="129" t="str">
        <f t="shared" si="39"/>
        <v>26.09.2023_BOYohB224</v>
      </c>
      <c r="D1252" s="143">
        <f t="shared" si="40"/>
        <v>0</v>
      </c>
      <c r="E1252" s="144">
        <v>5.2426697090701635E-2</v>
      </c>
      <c r="F1252" s="145">
        <v>4.363530145626111E-3</v>
      </c>
      <c r="G1252" s="146">
        <v>4.8441580321792597E-2</v>
      </c>
      <c r="H1252" s="146">
        <v>6.9753946806997605E-2</v>
      </c>
      <c r="I1252" s="147">
        <v>4.056</v>
      </c>
      <c r="J1252" s="148">
        <v>0.97497971180945908</v>
      </c>
      <c r="K1252" s="149">
        <v>25.917000000000002</v>
      </c>
      <c r="L1252" s="149">
        <v>144.58600000000001</v>
      </c>
      <c r="M1252" s="67">
        <v>10.24</v>
      </c>
      <c r="N1252" s="135"/>
    </row>
    <row r="1253" spans="1:14" x14ac:dyDescent="0.25">
      <c r="A1253" s="142">
        <v>45195</v>
      </c>
      <c r="B1253" s="81" t="s">
        <v>28</v>
      </c>
      <c r="C1253" s="129" t="str">
        <f t="shared" si="39"/>
        <v>26.09.2023_BOYohBr</v>
      </c>
      <c r="D1253" s="143">
        <f t="shared" si="40"/>
        <v>0</v>
      </c>
      <c r="E1253" s="144">
        <v>2.1298345693097551E-2</v>
      </c>
      <c r="F1253" s="145">
        <v>2.208549761791918E-2</v>
      </c>
      <c r="G1253" s="146">
        <v>5.5753516974138641E-2</v>
      </c>
      <c r="H1253" s="146">
        <v>9.4911107950504864E-2</v>
      </c>
      <c r="I1253" s="147">
        <v>12.760999999999999</v>
      </c>
      <c r="J1253" s="148">
        <v>2.9545148052107795</v>
      </c>
      <c r="K1253" s="149">
        <v>19.338999999999999</v>
      </c>
      <c r="L1253" s="149">
        <v>68.295000000000002</v>
      </c>
      <c r="M1253" s="67">
        <v>12.72</v>
      </c>
      <c r="N1253" s="135"/>
    </row>
    <row r="1254" spans="1:14" x14ac:dyDescent="0.25">
      <c r="A1254" s="142">
        <v>45195</v>
      </c>
      <c r="B1254" s="81" t="s">
        <v>30</v>
      </c>
      <c r="C1254" s="129" t="str">
        <f t="shared" si="39"/>
        <v>26.09.2023_BOYohKi</v>
      </c>
      <c r="D1254" s="143">
        <f t="shared" si="40"/>
        <v>0</v>
      </c>
      <c r="E1254" s="144">
        <v>0</v>
      </c>
      <c r="F1254" s="145">
        <v>1.4454738333299386E-2</v>
      </c>
      <c r="G1254" s="146">
        <v>2.5591778283211145E-2</v>
      </c>
      <c r="H1254" s="146">
        <v>2.9731190442326843E-2</v>
      </c>
      <c r="I1254" s="147">
        <v>6.056</v>
      </c>
      <c r="J1254" s="148">
        <v>1.3967921408492971</v>
      </c>
      <c r="K1254" s="149">
        <v>26.373000000000001</v>
      </c>
      <c r="L1254" s="149">
        <v>109.855</v>
      </c>
      <c r="M1254" s="67">
        <v>15.72</v>
      </c>
      <c r="N1254" s="135"/>
    </row>
    <row r="1255" spans="1:14" x14ac:dyDescent="0.25">
      <c r="A1255" s="142">
        <v>45195</v>
      </c>
      <c r="B1255" s="81" t="s">
        <v>32</v>
      </c>
      <c r="C1255" s="129" t="str">
        <f t="shared" si="39"/>
        <v>26.09.2023_BOYohSp</v>
      </c>
      <c r="D1255" s="143">
        <f t="shared" si="40"/>
        <v>0</v>
      </c>
      <c r="E1255" s="144">
        <v>2.1298345693097551E-2</v>
      </c>
      <c r="F1255" s="145">
        <v>2.6679031292861002E-2</v>
      </c>
      <c r="G1255" s="146">
        <v>7.6775334849633586E-2</v>
      </c>
      <c r="H1255" s="146">
        <v>0.12006826909401222</v>
      </c>
      <c r="I1255" s="147">
        <v>9.0570000000000004</v>
      </c>
      <c r="J1255" s="148">
        <v>2.1418746542830642</v>
      </c>
      <c r="K1255" s="149">
        <v>25.741</v>
      </c>
      <c r="L1255" s="149">
        <v>85.67</v>
      </c>
      <c r="M1255" s="67">
        <v>14.13</v>
      </c>
      <c r="N1255" s="135"/>
    </row>
    <row r="1256" spans="1:14" x14ac:dyDescent="0.25">
      <c r="A1256" s="142">
        <v>45195</v>
      </c>
      <c r="B1256" s="81" t="s">
        <v>34</v>
      </c>
      <c r="C1256" s="129" t="str">
        <f t="shared" si="39"/>
        <v>26.09.2023_BOYuhHa</v>
      </c>
      <c r="D1256" s="143">
        <f t="shared" si="40"/>
        <v>0</v>
      </c>
      <c r="E1256" s="144">
        <v>1.9660011409013169E-2</v>
      </c>
      <c r="F1256" s="145">
        <v>1.5030300270626981E-2</v>
      </c>
      <c r="G1256" s="146">
        <v>6.9463398197287501E-2</v>
      </c>
      <c r="H1256" s="146">
        <v>0.10863319584696342</v>
      </c>
      <c r="I1256" s="147">
        <v>5.6349999999999998</v>
      </c>
      <c r="J1256" s="148">
        <v>1.3597884605418198</v>
      </c>
      <c r="K1256" s="149">
        <v>38.26</v>
      </c>
      <c r="L1256" s="149">
        <v>171.834</v>
      </c>
      <c r="M1256" s="67">
        <v>13.39</v>
      </c>
      <c r="N1256" s="135"/>
    </row>
    <row r="1257" spans="1:14" x14ac:dyDescent="0.25">
      <c r="A1257" s="142">
        <v>45195</v>
      </c>
      <c r="B1257" s="81" t="s">
        <v>36</v>
      </c>
      <c r="C1257" s="129" t="str">
        <f t="shared" si="39"/>
        <v>26.09.2023_BOYuhSp</v>
      </c>
      <c r="D1257" s="143">
        <f t="shared" si="40"/>
        <v>0</v>
      </c>
      <c r="E1257" s="144">
        <v>2.4575014261266386E-2</v>
      </c>
      <c r="F1257" s="145">
        <v>2.4211232154741667E-2</v>
      </c>
      <c r="G1257" s="146">
        <v>4.7527588240249323E-2</v>
      </c>
      <c r="H1257" s="146">
        <v>0.216122884369222</v>
      </c>
      <c r="I1257" s="147">
        <v>8.3109999999999999</v>
      </c>
      <c r="J1257" s="148">
        <v>1.9799088791388806</v>
      </c>
      <c r="K1257" s="149">
        <v>25.135999999999999</v>
      </c>
      <c r="L1257" s="149">
        <v>87.974000000000004</v>
      </c>
      <c r="M1257" s="67">
        <v>11.42</v>
      </c>
      <c r="N1257" s="135"/>
    </row>
    <row r="1258" spans="1:14" x14ac:dyDescent="0.25">
      <c r="A1258" s="142">
        <v>45195</v>
      </c>
      <c r="B1258" s="81" t="s">
        <v>38</v>
      </c>
      <c r="C1258" s="129" t="str">
        <f t="shared" si="39"/>
        <v>26.09.2023_BRAob</v>
      </c>
      <c r="D1258" s="143">
        <f t="shared" si="40"/>
        <v>0</v>
      </c>
      <c r="E1258" s="144">
        <v>0</v>
      </c>
      <c r="F1258" s="145">
        <v>1.3979716996760854E-2</v>
      </c>
      <c r="G1258" s="146">
        <v>0.10785106562210428</v>
      </c>
      <c r="H1258" s="146">
        <v>4.459678566349027E-2</v>
      </c>
      <c r="I1258" s="147">
        <v>1.835</v>
      </c>
      <c r="J1258" s="148">
        <v>0.51179421534015734</v>
      </c>
      <c r="K1258" s="149">
        <v>39.783000000000001</v>
      </c>
      <c r="L1258" s="149">
        <v>119.10599999999999</v>
      </c>
      <c r="M1258" s="67">
        <v>15.76</v>
      </c>
      <c r="N1258" s="135"/>
    </row>
    <row r="1259" spans="1:14" x14ac:dyDescent="0.25">
      <c r="A1259" s="142">
        <v>45195</v>
      </c>
      <c r="B1259" s="81" t="s">
        <v>41</v>
      </c>
      <c r="C1259" s="129" t="str">
        <f t="shared" si="39"/>
        <v>26.09.2023_BRAohBo</v>
      </c>
      <c r="D1259" s="143">
        <f t="shared" si="40"/>
        <v>0</v>
      </c>
      <c r="E1259" s="144">
        <v>8.1916714204221513E-3</v>
      </c>
      <c r="F1259" s="145">
        <v>5.2254007576668239E-2</v>
      </c>
      <c r="G1259" s="146">
        <v>3.5645691180187004E-2</v>
      </c>
      <c r="H1259" s="146">
        <v>0.28473332385151467</v>
      </c>
      <c r="I1259" s="147">
        <v>4.5110000000000001</v>
      </c>
      <c r="J1259" s="148">
        <v>1.1332651531910969</v>
      </c>
      <c r="K1259" s="149">
        <v>25.198</v>
      </c>
      <c r="L1259" s="149">
        <v>102.02200000000001</v>
      </c>
      <c r="M1259" s="67">
        <v>14.39</v>
      </c>
      <c r="N1259" s="135"/>
    </row>
    <row r="1260" spans="1:14" x14ac:dyDescent="0.25">
      <c r="A1260" s="142">
        <v>45195</v>
      </c>
      <c r="B1260" s="81" t="s">
        <v>43</v>
      </c>
      <c r="C1260" s="129" t="str">
        <f t="shared" si="39"/>
        <v>26.09.2023_HAAob</v>
      </c>
      <c r="D1260" s="143">
        <f t="shared" si="40"/>
        <v>0</v>
      </c>
      <c r="E1260" s="144">
        <v>2.6213348545350835E-2</v>
      </c>
      <c r="F1260" s="145">
        <v>1.4140718186848393E-2</v>
      </c>
      <c r="G1260" s="146">
        <v>9.1399208154327016E-4</v>
      </c>
      <c r="H1260" s="146">
        <v>3.4305219741146351E-2</v>
      </c>
      <c r="I1260" s="147">
        <v>0.41699999999999998</v>
      </c>
      <c r="J1260" s="148">
        <v>0.10534171986158952</v>
      </c>
      <c r="K1260" s="149">
        <v>27.457999999999998</v>
      </c>
      <c r="L1260" s="149">
        <v>134.583</v>
      </c>
      <c r="M1260" s="67">
        <v>13.33</v>
      </c>
      <c r="N1260" s="135"/>
    </row>
    <row r="1261" spans="1:14" x14ac:dyDescent="0.25">
      <c r="A1261" s="142">
        <v>45195</v>
      </c>
      <c r="B1261" s="81" t="s">
        <v>45</v>
      </c>
      <c r="C1261" s="129" t="str">
        <f t="shared" si="39"/>
        <v>26.09.2023_HAAun</v>
      </c>
      <c r="D1261" s="143">
        <f t="shared" si="40"/>
        <v>0</v>
      </c>
      <c r="E1261" s="144">
        <v>0</v>
      </c>
      <c r="F1261" s="145">
        <v>4.8269016441029582E-3</v>
      </c>
      <c r="G1261" s="146">
        <v>6.6721421952657733E-2</v>
      </c>
      <c r="H1261" s="146">
        <v>0</v>
      </c>
      <c r="I1261" s="147">
        <v>0.96399999999999997</v>
      </c>
      <c r="J1261" s="148">
        <v>0.268502774517</v>
      </c>
      <c r="K1261" s="149">
        <v>25.83</v>
      </c>
      <c r="L1261" s="149">
        <v>223.11199999999999</v>
      </c>
      <c r="M1261" s="67">
        <v>11.9</v>
      </c>
      <c r="N1261" s="135"/>
    </row>
    <row r="1262" spans="1:14" x14ac:dyDescent="0.25">
      <c r="A1262" s="142">
        <v>45195</v>
      </c>
      <c r="B1262" s="81" t="s">
        <v>47</v>
      </c>
      <c r="C1262" s="129" t="str">
        <f t="shared" si="39"/>
        <v>26.09.2023_KIRob</v>
      </c>
      <c r="D1262" s="143">
        <f t="shared" si="40"/>
        <v>0</v>
      </c>
      <c r="E1262" s="144">
        <v>0</v>
      </c>
      <c r="F1262" s="145">
        <v>5.7731504984642771E-3</v>
      </c>
      <c r="G1262" s="146">
        <v>0.33543509392637516</v>
      </c>
      <c r="H1262" s="146">
        <v>0.21497937704451714</v>
      </c>
      <c r="I1262" s="147">
        <v>5.9480000000000004</v>
      </c>
      <c r="J1262" s="148">
        <v>1.6693872274240944</v>
      </c>
      <c r="K1262" s="149">
        <v>79.036000000000001</v>
      </c>
      <c r="L1262" s="149">
        <v>165.77099999999999</v>
      </c>
      <c r="M1262" s="67">
        <v>13.45</v>
      </c>
      <c r="N1262" s="135"/>
    </row>
    <row r="1263" spans="1:14" x14ac:dyDescent="0.25">
      <c r="A1263" s="142">
        <v>45195</v>
      </c>
      <c r="B1263" s="81" t="s">
        <v>49</v>
      </c>
      <c r="C1263" s="129" t="str">
        <f t="shared" si="39"/>
        <v>26.09.2023_KIRun</v>
      </c>
      <c r="D1263" s="143">
        <f t="shared" si="40"/>
        <v>0</v>
      </c>
      <c r="E1263" s="144">
        <v>2.4575014261266452E-2</v>
      </c>
      <c r="F1263" s="145">
        <v>7.5213633849143492E-3</v>
      </c>
      <c r="G1263" s="146">
        <v>0.10693707354056101</v>
      </c>
      <c r="H1263" s="146">
        <v>0.21726639169392689</v>
      </c>
      <c r="I1263" s="147">
        <v>4.2530000000000001</v>
      </c>
      <c r="J1263" s="148">
        <v>1.1098074311847261</v>
      </c>
      <c r="K1263" s="149">
        <v>59.88</v>
      </c>
      <c r="L1263" s="149">
        <v>140.14699999999999</v>
      </c>
      <c r="M1263" s="67">
        <v>11.5</v>
      </c>
      <c r="N1263" s="135"/>
    </row>
    <row r="1264" spans="1:14" x14ac:dyDescent="0.25">
      <c r="A1264" s="142">
        <v>45195</v>
      </c>
      <c r="B1264" s="81" t="s">
        <v>50</v>
      </c>
      <c r="C1264" s="129" t="str">
        <f t="shared" si="39"/>
        <v>26.09.2023_LIEohBo</v>
      </c>
      <c r="D1264" s="143">
        <f t="shared" si="40"/>
        <v>0</v>
      </c>
      <c r="E1264" s="144">
        <v>4.9150028522533182E-3</v>
      </c>
      <c r="F1264" s="145">
        <v>1.0480609801931684E-2</v>
      </c>
      <c r="G1264" s="146">
        <v>1.8279841630865136E-2</v>
      </c>
      <c r="H1264" s="146">
        <v>1.8296117195278062E-2</v>
      </c>
      <c r="I1264" s="147">
        <v>7.8730000000000002</v>
      </c>
      <c r="J1264" s="148">
        <v>1.7980388771080529</v>
      </c>
      <c r="K1264" s="149">
        <v>18.074000000000002</v>
      </c>
      <c r="L1264" s="149">
        <v>85.259</v>
      </c>
      <c r="M1264" s="67">
        <v>13.77</v>
      </c>
      <c r="N1264" s="135"/>
    </row>
    <row r="1265" spans="1:14" x14ac:dyDescent="0.25">
      <c r="A1265" s="142">
        <v>45195</v>
      </c>
      <c r="B1265" s="81" t="s">
        <v>53</v>
      </c>
      <c r="C1265" s="129" t="str">
        <f t="shared" si="39"/>
        <v>26.09.2023_NATohBo</v>
      </c>
      <c r="D1265" s="143">
        <f t="shared" si="40"/>
        <v>0</v>
      </c>
      <c r="E1265" s="144">
        <v>1.3106674272675435E-2</v>
      </c>
      <c r="F1265" s="145">
        <v>1.5531169726478996E-2</v>
      </c>
      <c r="G1265" s="146">
        <v>7.9517311094263368E-2</v>
      </c>
      <c r="H1265" s="146">
        <v>4.4596785663490242E-2</v>
      </c>
      <c r="I1265" s="147">
        <v>1.4970000000000001</v>
      </c>
      <c r="J1265" s="148">
        <v>0.4134492782868342</v>
      </c>
      <c r="K1265" s="149">
        <v>69.655000000000001</v>
      </c>
      <c r="L1265" s="149">
        <v>440.14400000000001</v>
      </c>
      <c r="M1265" s="67">
        <v>12.99</v>
      </c>
      <c r="N1265" s="135"/>
    </row>
    <row r="1266" spans="1:14" x14ac:dyDescent="0.25">
      <c r="A1266" s="142">
        <v>45195</v>
      </c>
      <c r="B1266" s="81" t="s">
        <v>55</v>
      </c>
      <c r="C1266" s="129" t="str">
        <f t="shared" si="39"/>
        <v>26.09.2023_QUAohBo</v>
      </c>
      <c r="D1266" s="143">
        <f t="shared" si="40"/>
        <v>0</v>
      </c>
      <c r="E1266" s="144">
        <v>3.440501996577295E-2</v>
      </c>
      <c r="F1266" s="145">
        <v>6.4036959765870422E-3</v>
      </c>
      <c r="G1266" s="146">
        <v>1.8279841630865136E-2</v>
      </c>
      <c r="H1266" s="146">
        <v>5.2601336936424388E-2</v>
      </c>
      <c r="I1266" s="147">
        <v>1.1240000000000001</v>
      </c>
      <c r="J1266" s="148">
        <v>0.28408647125824488</v>
      </c>
      <c r="K1266" s="149">
        <v>26.183</v>
      </c>
      <c r="L1266" s="149">
        <v>105.851</v>
      </c>
      <c r="M1266" s="67">
        <v>12.23</v>
      </c>
      <c r="N1266" s="135"/>
    </row>
    <row r="1267" spans="1:14" x14ac:dyDescent="0.25">
      <c r="A1267" s="142">
        <v>45195</v>
      </c>
      <c r="B1267" s="81" t="s">
        <v>57</v>
      </c>
      <c r="C1267" s="129" t="str">
        <f t="shared" si="39"/>
        <v>26.09.2023_SCHohVo</v>
      </c>
      <c r="D1267" s="143">
        <f t="shared" si="40"/>
        <v>0</v>
      </c>
      <c r="E1267" s="144">
        <v>0</v>
      </c>
      <c r="F1267" s="145">
        <v>1.556693698929045E-2</v>
      </c>
      <c r="G1267" s="146">
        <v>2.4677786201667915E-2</v>
      </c>
      <c r="H1267" s="146">
        <v>0.13264684966576587</v>
      </c>
      <c r="I1267" s="147">
        <v>1.238</v>
      </c>
      <c r="J1267" s="148">
        <v>0.33917344758847556</v>
      </c>
      <c r="K1267" s="149">
        <v>20.218</v>
      </c>
      <c r="L1267" s="149">
        <v>65.694000000000003</v>
      </c>
      <c r="M1267" s="67">
        <v>22.13</v>
      </c>
      <c r="N1267" s="135"/>
    </row>
    <row r="1268" spans="1:14" x14ac:dyDescent="0.25">
      <c r="A1268" s="142">
        <v>45195</v>
      </c>
      <c r="B1268" s="81" t="s">
        <v>60</v>
      </c>
      <c r="C1268" s="129" t="str">
        <f t="shared" si="39"/>
        <v>26.09.2023_VORohBo</v>
      </c>
      <c r="D1268" s="143">
        <f t="shared" si="40"/>
        <v>0</v>
      </c>
      <c r="E1268" s="144">
        <v>1.4745008556759885E-2</v>
      </c>
      <c r="F1268" s="145">
        <v>4.9236846847843735E-3</v>
      </c>
      <c r="G1268" s="146">
        <v>0.29430545025692867</v>
      </c>
      <c r="H1268" s="146">
        <v>8.3476034703456159E-2</v>
      </c>
      <c r="I1268" s="147">
        <v>0.79100000000000004</v>
      </c>
      <c r="J1268" s="148">
        <v>0.43260268783546979</v>
      </c>
      <c r="K1268" s="149">
        <v>26.097000000000001</v>
      </c>
      <c r="L1268" s="149">
        <v>195.072</v>
      </c>
      <c r="M1268" s="67">
        <v>13.4</v>
      </c>
      <c r="N1268" s="135"/>
    </row>
    <row r="1269" spans="1:14" x14ac:dyDescent="0.25">
      <c r="A1269" s="142">
        <v>45195</v>
      </c>
      <c r="B1269" s="81" t="s">
        <v>62</v>
      </c>
      <c r="C1269" s="129" t="str">
        <f t="shared" si="39"/>
        <v>26.09.2023_VORuhSc</v>
      </c>
      <c r="D1269" s="143">
        <f t="shared" si="40"/>
        <v>0</v>
      </c>
      <c r="E1269" s="144">
        <v>0</v>
      </c>
      <c r="F1269" s="145">
        <v>1.0791642307581041E-2</v>
      </c>
      <c r="G1269" s="146">
        <v>0.25591778283211186</v>
      </c>
      <c r="H1269" s="146">
        <v>3.2018205091736612E-2</v>
      </c>
      <c r="I1269" s="147">
        <v>0.312</v>
      </c>
      <c r="J1269" s="148">
        <v>0.27893698173148573</v>
      </c>
      <c r="K1269" s="149">
        <v>31.257999999999999</v>
      </c>
      <c r="L1269" s="149">
        <v>208.684</v>
      </c>
      <c r="M1269" s="67">
        <v>12.54</v>
      </c>
      <c r="N1269" s="135"/>
    </row>
    <row r="1270" spans="1:14" x14ac:dyDescent="0.25">
      <c r="A1270" s="142">
        <v>45195</v>
      </c>
      <c r="B1270" s="81" t="s">
        <v>64</v>
      </c>
      <c r="C1270" s="129" t="str">
        <f t="shared" si="39"/>
        <v>26.09.2023_WITob</v>
      </c>
      <c r="D1270" s="143">
        <f t="shared" si="40"/>
        <v>0</v>
      </c>
      <c r="E1270" s="144">
        <v>0.11140673131774101</v>
      </c>
      <c r="F1270" s="145">
        <v>1.0729865042638433E-2</v>
      </c>
      <c r="G1270" s="146">
        <v>3.6559683261730237E-2</v>
      </c>
      <c r="H1270" s="146">
        <v>0</v>
      </c>
      <c r="I1270" s="147">
        <v>0.44800000000000001</v>
      </c>
      <c r="J1270" s="148">
        <v>0.12818542523587531</v>
      </c>
      <c r="K1270" s="149">
        <v>48.034999999999997</v>
      </c>
      <c r="L1270" s="149">
        <v>237.703</v>
      </c>
      <c r="M1270" s="67">
        <v>10.8</v>
      </c>
      <c r="N1270" s="135"/>
    </row>
    <row r="1271" spans="1:14" x14ac:dyDescent="0.25">
      <c r="A1271" s="142">
        <v>45205</v>
      </c>
      <c r="B1271" s="81" t="s">
        <v>22</v>
      </c>
      <c r="C1271" s="129" t="str">
        <f t="shared" si="39"/>
        <v>06.10.2023_BOYkl</v>
      </c>
      <c r="D1271" s="143">
        <f t="shared" si="40"/>
        <v>0</v>
      </c>
      <c r="E1271" s="144">
        <v>0.12083377891847573</v>
      </c>
      <c r="F1271" s="145">
        <v>3.5204525296354684E-2</v>
      </c>
      <c r="G1271" s="146">
        <v>1.7174345327014971E-2</v>
      </c>
      <c r="H1271" s="146">
        <v>4.6175329712955772E-2</v>
      </c>
      <c r="I1271" s="147">
        <v>19.341000000000001</v>
      </c>
      <c r="J1271" s="148">
        <v>4.3959454565340836</v>
      </c>
      <c r="K1271" s="149">
        <v>18.122</v>
      </c>
      <c r="L1271" s="149">
        <v>36.046999999999997</v>
      </c>
      <c r="M1271" s="67"/>
      <c r="N1271" s="135"/>
    </row>
    <row r="1272" spans="1:14" x14ac:dyDescent="0.25">
      <c r="A1272" s="142">
        <v>45205</v>
      </c>
      <c r="B1272" s="81" t="s">
        <v>25</v>
      </c>
      <c r="C1272" s="129" t="str">
        <f t="shared" si="39"/>
        <v>06.10.2023_BOYohB224</v>
      </c>
      <c r="D1272" s="143">
        <f t="shared" si="40"/>
        <v>0</v>
      </c>
      <c r="E1272" s="144">
        <v>8.3654154635867811E-2</v>
      </c>
      <c r="F1272" s="145">
        <v>7.40245137359295E-3</v>
      </c>
      <c r="G1272" s="146">
        <v>3.4348690654029942E-2</v>
      </c>
      <c r="H1272" s="146">
        <v>3.5593483320403393E-2</v>
      </c>
      <c r="I1272" s="147">
        <v>3.5019999999999998</v>
      </c>
      <c r="J1272" s="148">
        <v>0.82850459080284433</v>
      </c>
      <c r="K1272" s="149">
        <v>31.907</v>
      </c>
      <c r="L1272" s="149">
        <v>164.99700000000001</v>
      </c>
      <c r="M1272" s="67"/>
      <c r="N1272" s="135"/>
    </row>
    <row r="1273" spans="1:14" x14ac:dyDescent="0.25">
      <c r="A1273" s="142">
        <v>45205</v>
      </c>
      <c r="B1273" s="81" t="s">
        <v>28</v>
      </c>
      <c r="C1273" s="129" t="str">
        <f t="shared" si="39"/>
        <v>06.10.2023_BOYohBr</v>
      </c>
      <c r="D1273" s="143">
        <f t="shared" si="40"/>
        <v>0</v>
      </c>
      <c r="E1273" s="144">
        <v>7.9936192207607004E-2</v>
      </c>
      <c r="F1273" s="145">
        <v>1.5946017958526407E-2</v>
      </c>
      <c r="G1273" s="146">
        <v>3.6924842453082189E-2</v>
      </c>
      <c r="H1273" s="146">
        <v>5.2909231962761843E-2</v>
      </c>
      <c r="I1273" s="147">
        <v>8.1609999999999996</v>
      </c>
      <c r="J1273" s="148">
        <v>1.8881050565874564</v>
      </c>
      <c r="K1273" s="149">
        <v>15.722</v>
      </c>
      <c r="L1273" s="149">
        <v>68.129000000000005</v>
      </c>
      <c r="M1273" s="67"/>
      <c r="N1273" s="135"/>
    </row>
    <row r="1274" spans="1:14" x14ac:dyDescent="0.25">
      <c r="A1274" s="142">
        <v>45205</v>
      </c>
      <c r="B1274" s="81" t="s">
        <v>30</v>
      </c>
      <c r="C1274" s="129" t="str">
        <f t="shared" si="39"/>
        <v>06.10.2023_BOYohKi</v>
      </c>
      <c r="D1274" s="143">
        <f t="shared" si="40"/>
        <v>0</v>
      </c>
      <c r="E1274" s="144">
        <v>0</v>
      </c>
      <c r="F1274" s="145">
        <v>8.0209672835389219E-3</v>
      </c>
      <c r="G1274" s="146">
        <v>1.8891779859716459E-2</v>
      </c>
      <c r="H1274" s="146">
        <v>0</v>
      </c>
      <c r="I1274" s="147">
        <v>4.2590000000000003</v>
      </c>
      <c r="J1274" s="148">
        <v>0.97606385484614178</v>
      </c>
      <c r="K1274" s="149">
        <v>24.355</v>
      </c>
      <c r="L1274" s="149">
        <v>124.705</v>
      </c>
      <c r="M1274" s="67"/>
      <c r="N1274" s="135"/>
    </row>
    <row r="1275" spans="1:14" x14ac:dyDescent="0.25">
      <c r="A1275" s="142">
        <v>45205</v>
      </c>
      <c r="B1275" s="81" t="s">
        <v>32</v>
      </c>
      <c r="C1275" s="129" t="str">
        <f t="shared" si="39"/>
        <v>06.10.2023_BOYohSp</v>
      </c>
      <c r="D1275" s="143">
        <f t="shared" si="40"/>
        <v>0</v>
      </c>
      <c r="E1275" s="144">
        <v>5.2051473995651035E-2</v>
      </c>
      <c r="F1275" s="145">
        <v>1.8762960431935372E-2</v>
      </c>
      <c r="G1275" s="146">
        <v>3.6924842453082189E-2</v>
      </c>
      <c r="H1275" s="146">
        <v>3.9441427463149728E-2</v>
      </c>
      <c r="I1275" s="147">
        <v>6.6189999999999998</v>
      </c>
      <c r="J1275" s="148">
        <v>1.5357132435075496</v>
      </c>
      <c r="K1275" s="149">
        <v>22.286000000000001</v>
      </c>
      <c r="L1275" s="149">
        <v>89.688000000000002</v>
      </c>
      <c r="M1275" s="67"/>
      <c r="N1275" s="135"/>
    </row>
    <row r="1276" spans="1:14" x14ac:dyDescent="0.25">
      <c r="A1276" s="142">
        <v>45205</v>
      </c>
      <c r="B1276" s="81" t="s">
        <v>34</v>
      </c>
      <c r="C1276" s="129" t="str">
        <f t="shared" si="39"/>
        <v>06.10.2023_BOYuhHa</v>
      </c>
      <c r="D1276" s="143">
        <f t="shared" si="40"/>
        <v>0</v>
      </c>
      <c r="E1276" s="144">
        <v>2.0448793355434383E-2</v>
      </c>
      <c r="F1276" s="145">
        <v>6.5937998329054191E-3</v>
      </c>
      <c r="G1276" s="146">
        <v>1.7174345327014971E-2</v>
      </c>
      <c r="H1276" s="146">
        <v>3.7517455391776561E-2</v>
      </c>
      <c r="I1276" s="147">
        <v>3.702</v>
      </c>
      <c r="J1276" s="148">
        <v>0.86092863669700015</v>
      </c>
      <c r="K1276" s="149">
        <v>39.838999999999999</v>
      </c>
      <c r="L1276" s="149">
        <v>211.184</v>
      </c>
      <c r="M1276" s="67"/>
      <c r="N1276" s="135"/>
    </row>
    <row r="1277" spans="1:14" x14ac:dyDescent="0.25">
      <c r="A1277" s="142">
        <v>45205</v>
      </c>
      <c r="B1277" s="81" t="s">
        <v>36</v>
      </c>
      <c r="C1277" s="129" t="str">
        <f t="shared" si="39"/>
        <v>06.10.2023_BOYuhSp</v>
      </c>
      <c r="D1277" s="143">
        <f t="shared" si="40"/>
        <v>0</v>
      </c>
      <c r="E1277" s="144">
        <v>5.2051473995651035E-2</v>
      </c>
      <c r="F1277" s="145">
        <v>1.1666423471575553E-2</v>
      </c>
      <c r="G1277" s="146">
        <v>3.4348690654029942E-2</v>
      </c>
      <c r="H1277" s="146">
        <v>4.3289371605896035E-2</v>
      </c>
      <c r="I1277" s="147">
        <v>6.4850000000000003</v>
      </c>
      <c r="J1277" s="148">
        <v>1.5046178139913629</v>
      </c>
      <c r="K1277" s="149">
        <v>22.83</v>
      </c>
      <c r="L1277" s="149">
        <v>88.057000000000002</v>
      </c>
      <c r="M1277" s="67"/>
      <c r="N1277" s="135"/>
    </row>
    <row r="1278" spans="1:14" x14ac:dyDescent="0.25">
      <c r="A1278" s="142">
        <v>45205</v>
      </c>
      <c r="B1278" s="81" t="s">
        <v>38</v>
      </c>
      <c r="C1278" s="129" t="str">
        <f t="shared" si="39"/>
        <v>06.10.2023_BRAob</v>
      </c>
      <c r="D1278" s="143">
        <f t="shared" si="40"/>
        <v>0</v>
      </c>
      <c r="E1278" s="144">
        <v>0</v>
      </c>
      <c r="F1278" s="145">
        <v>1.1836162645077322E-2</v>
      </c>
      <c r="G1278" s="146">
        <v>6.5262512242656917E-2</v>
      </c>
      <c r="H1278" s="146">
        <v>1.5391776570985265E-2</v>
      </c>
      <c r="I1278" s="147">
        <v>1.407</v>
      </c>
      <c r="J1278" s="148">
        <v>0.37316080450833716</v>
      </c>
      <c r="K1278" s="149">
        <v>31.193000000000001</v>
      </c>
      <c r="L1278" s="149">
        <v>113.09099999999999</v>
      </c>
      <c r="M1278" s="67"/>
      <c r="N1278" s="135"/>
    </row>
    <row r="1279" spans="1:14" x14ac:dyDescent="0.25">
      <c r="A1279" s="142">
        <v>45205</v>
      </c>
      <c r="B1279" s="81" t="s">
        <v>41</v>
      </c>
      <c r="C1279" s="129" t="str">
        <f t="shared" si="39"/>
        <v>06.10.2023_BRAohBo</v>
      </c>
      <c r="D1279" s="143">
        <f t="shared" si="40"/>
        <v>0</v>
      </c>
      <c r="E1279" s="144">
        <v>1.8589812141304232E-3</v>
      </c>
      <c r="F1279" s="145">
        <v>4.0722405503631903E-2</v>
      </c>
      <c r="G1279" s="146">
        <v>6.7838664041709129E-2</v>
      </c>
      <c r="H1279" s="146">
        <v>9.0426687354538363E-2</v>
      </c>
      <c r="I1279" s="147">
        <v>3.532</v>
      </c>
      <c r="J1279" s="148">
        <v>0.87797928920683588</v>
      </c>
      <c r="K1279" s="149">
        <v>28.327000000000002</v>
      </c>
      <c r="L1279" s="149">
        <v>111.13200000000001</v>
      </c>
      <c r="M1279" s="67"/>
      <c r="N1279" s="135"/>
    </row>
    <row r="1280" spans="1:14" x14ac:dyDescent="0.25">
      <c r="A1280" s="142">
        <v>45205</v>
      </c>
      <c r="B1280" s="81" t="s">
        <v>43</v>
      </c>
      <c r="C1280" s="129" t="str">
        <f t="shared" si="39"/>
        <v>06.10.2023_HAAob</v>
      </c>
      <c r="D1280" s="143">
        <f t="shared" si="40"/>
        <v>0</v>
      </c>
      <c r="E1280" s="144">
        <v>3.9038605496738307E-2</v>
      </c>
      <c r="F1280" s="145">
        <v>1.9556100049321908E-2</v>
      </c>
      <c r="G1280" s="146">
        <v>0.16916730147109751</v>
      </c>
      <c r="H1280" s="146">
        <v>2.8859581070597583E-3</v>
      </c>
      <c r="I1280" s="147">
        <v>0.85399999999999998</v>
      </c>
      <c r="J1280" s="148">
        <v>0.32512832786498685</v>
      </c>
      <c r="K1280" s="149">
        <v>27.356999999999999</v>
      </c>
      <c r="L1280" s="149">
        <v>134.607</v>
      </c>
      <c r="M1280" s="67"/>
      <c r="N1280" s="135"/>
    </row>
    <row r="1281" spans="1:14" x14ac:dyDescent="0.25">
      <c r="A1281" s="142">
        <v>45205</v>
      </c>
      <c r="B1281" s="81" t="s">
        <v>45</v>
      </c>
      <c r="C1281" s="129" t="str">
        <f t="shared" si="39"/>
        <v>06.10.2023_HAAun</v>
      </c>
      <c r="D1281" s="143">
        <f t="shared" si="40"/>
        <v>0</v>
      </c>
      <c r="E1281" s="144">
        <v>0</v>
      </c>
      <c r="F1281" s="145">
        <v>1.2681271981756054E-2</v>
      </c>
      <c r="G1281" s="146">
        <v>8.1578140303321126E-2</v>
      </c>
      <c r="H1281" s="146">
        <v>0</v>
      </c>
      <c r="I1281" s="147">
        <v>1.276</v>
      </c>
      <c r="J1281" s="148">
        <v>0.35009034692130192</v>
      </c>
      <c r="K1281" s="149">
        <v>31.44</v>
      </c>
      <c r="L1281" s="149">
        <v>239.27799999999999</v>
      </c>
      <c r="M1281" s="67"/>
      <c r="N1281" s="135"/>
    </row>
    <row r="1282" spans="1:14" x14ac:dyDescent="0.25">
      <c r="A1282" s="142">
        <v>45205</v>
      </c>
      <c r="B1282" s="81" t="s">
        <v>47</v>
      </c>
      <c r="C1282" s="129" t="str">
        <f t="shared" si="39"/>
        <v>06.10.2023_KIRob</v>
      </c>
      <c r="D1282" s="143">
        <f t="shared" si="40"/>
        <v>0</v>
      </c>
      <c r="E1282" s="144">
        <v>4.8333511567390311E-2</v>
      </c>
      <c r="F1282" s="145">
        <v>3.6896689577205636E-3</v>
      </c>
      <c r="G1282" s="146">
        <v>0.29625745689100813</v>
      </c>
      <c r="H1282" s="146">
        <v>0.19239720713731576</v>
      </c>
      <c r="I1282" s="147">
        <v>5.6970000000000001</v>
      </c>
      <c r="J1282" s="148">
        <v>1.5753976724142549</v>
      </c>
      <c r="K1282" s="149">
        <v>77.417000000000002</v>
      </c>
      <c r="L1282" s="149">
        <v>163.636</v>
      </c>
      <c r="M1282" s="67"/>
      <c r="N1282" s="135"/>
    </row>
    <row r="1283" spans="1:14" x14ac:dyDescent="0.25">
      <c r="A1283" s="142">
        <v>45205</v>
      </c>
      <c r="B1283" s="81" t="s">
        <v>49</v>
      </c>
      <c r="C1283" s="129" t="str">
        <f t="shared" si="39"/>
        <v>06.10.2023_KIRun</v>
      </c>
      <c r="D1283" s="143">
        <f t="shared" si="40"/>
        <v>0</v>
      </c>
      <c r="E1283" s="144">
        <v>7.4359248565216158E-3</v>
      </c>
      <c r="F1283" s="145">
        <v>3.5508641374961385E-3</v>
      </c>
      <c r="G1283" s="146">
        <v>5.5816622312798686E-2</v>
      </c>
      <c r="H1283" s="146">
        <v>0.10581846392552365</v>
      </c>
      <c r="I1283" s="147">
        <v>4.0359999999999996</v>
      </c>
      <c r="J1283" s="148">
        <v>0.98716880040179067</v>
      </c>
      <c r="K1283" s="149">
        <v>59.183999999999997</v>
      </c>
      <c r="L1283" s="149">
        <v>143.905</v>
      </c>
      <c r="M1283" s="67"/>
      <c r="N1283" s="135"/>
    </row>
    <row r="1284" spans="1:14" x14ac:dyDescent="0.25">
      <c r="A1284" s="142">
        <v>45205</v>
      </c>
      <c r="B1284" s="81" t="s">
        <v>50</v>
      </c>
      <c r="C1284" s="129" t="str">
        <f t="shared" si="39"/>
        <v>06.10.2023_LIEohBo</v>
      </c>
      <c r="D1284" s="143">
        <f t="shared" si="40"/>
        <v>0</v>
      </c>
      <c r="E1284" s="144">
        <v>1.1153887284782346E-2</v>
      </c>
      <c r="F1284" s="145">
        <v>9.4137379263181664E-3</v>
      </c>
      <c r="G1284" s="146">
        <v>2.6620235256873202E-2</v>
      </c>
      <c r="H1284" s="146">
        <v>1.0581846392552361E-2</v>
      </c>
      <c r="I1284" s="147">
        <v>10.266999999999999</v>
      </c>
      <c r="J1284" s="148">
        <v>2.3428992796088215</v>
      </c>
      <c r="K1284" s="149">
        <v>24.367000000000001</v>
      </c>
      <c r="L1284" s="149">
        <v>95.087999999999994</v>
      </c>
      <c r="M1284" s="67"/>
      <c r="N1284" s="135"/>
    </row>
    <row r="1285" spans="1:14" x14ac:dyDescent="0.25">
      <c r="A1285" s="142">
        <v>45205</v>
      </c>
      <c r="B1285" s="81" t="s">
        <v>53</v>
      </c>
      <c r="C1285" s="129" t="str">
        <f t="shared" ref="C1285:C1348" si="41">CONCATENATE(TEXT(A1285,"TT.MM.JJJJ"),"_",B1285)</f>
        <v>06.10.2023_NATohBo</v>
      </c>
      <c r="D1285" s="143">
        <f t="shared" ref="D1285:D1348" si="42">COUNTBLANK(E1285:L1285)</f>
        <v>0</v>
      </c>
      <c r="E1285" s="144">
        <v>0.1022439667771718</v>
      </c>
      <c r="F1285" s="145">
        <v>1.4029377350435239E-2</v>
      </c>
      <c r="G1285" s="146">
        <v>4.980560144834343E-2</v>
      </c>
      <c r="H1285" s="146">
        <v>6.7339022498060499E-3</v>
      </c>
      <c r="I1285" s="147">
        <v>1.18</v>
      </c>
      <c r="J1285" s="148">
        <v>0.30725028800857757</v>
      </c>
      <c r="K1285" s="149">
        <v>65.701999999999998</v>
      </c>
      <c r="L1285" s="149">
        <v>393.62599999999998</v>
      </c>
      <c r="M1285" s="67"/>
      <c r="N1285" s="135"/>
    </row>
    <row r="1286" spans="1:14" x14ac:dyDescent="0.25">
      <c r="A1286" s="142">
        <v>45205</v>
      </c>
      <c r="B1286" s="81" t="s">
        <v>55</v>
      </c>
      <c r="C1286" s="129" t="str">
        <f t="shared" si="41"/>
        <v>06.10.2023_QUAohBo</v>
      </c>
      <c r="D1286" s="143">
        <f t="shared" si="42"/>
        <v>0</v>
      </c>
      <c r="E1286" s="144">
        <v>7.6218229779346225E-2</v>
      </c>
      <c r="F1286" s="145">
        <v>6.3602493515900246E-3</v>
      </c>
      <c r="G1286" s="146">
        <v>1.7174345327014971E-2</v>
      </c>
      <c r="H1286" s="146">
        <v>2.789759503491079E-2</v>
      </c>
      <c r="I1286" s="147">
        <v>0.32300000000000001</v>
      </c>
      <c r="J1286" s="148">
        <v>9.4785140211352439E-2</v>
      </c>
      <c r="K1286" s="149">
        <v>27.315999999999999</v>
      </c>
      <c r="L1286" s="149">
        <v>108.521</v>
      </c>
      <c r="M1286" s="67"/>
      <c r="N1286" s="135"/>
    </row>
    <row r="1287" spans="1:14" x14ac:dyDescent="0.25">
      <c r="A1287" s="142">
        <v>45205</v>
      </c>
      <c r="B1287" s="81" t="s">
        <v>57</v>
      </c>
      <c r="C1287" s="129" t="str">
        <f t="shared" si="41"/>
        <v>06.10.2023_SCHohVo</v>
      </c>
      <c r="D1287" s="143">
        <f t="shared" si="42"/>
        <v>0</v>
      </c>
      <c r="E1287" s="144">
        <v>9.2949060706520002E-3</v>
      </c>
      <c r="F1287" s="145">
        <v>1.3769973816338689E-2</v>
      </c>
      <c r="G1287" s="146">
        <v>3.1772538854977696E-2</v>
      </c>
      <c r="H1287" s="146">
        <v>5.7719162141194727E-2</v>
      </c>
      <c r="I1287" s="147">
        <v>0.97399999999999998</v>
      </c>
      <c r="J1287" s="148">
        <v>0.26224103760938838</v>
      </c>
      <c r="K1287" s="149">
        <v>32.756</v>
      </c>
      <c r="L1287" s="149">
        <v>65.917000000000002</v>
      </c>
      <c r="M1287" s="67"/>
      <c r="N1287" s="135"/>
    </row>
    <row r="1288" spans="1:14" x14ac:dyDescent="0.25">
      <c r="A1288" s="142">
        <v>45205</v>
      </c>
      <c r="B1288" s="81" t="s">
        <v>60</v>
      </c>
      <c r="C1288" s="129" t="str">
        <f t="shared" si="41"/>
        <v>06.10.2023_VORohBo</v>
      </c>
      <c r="D1288" s="143">
        <f t="shared" si="42"/>
        <v>0</v>
      </c>
      <c r="E1288" s="144">
        <v>0.13198766620325811</v>
      </c>
      <c r="F1288" s="145">
        <v>4.1125303944617927E-3</v>
      </c>
      <c r="G1288" s="146">
        <v>0.27221337343318719</v>
      </c>
      <c r="H1288" s="146">
        <v>5.0023273855702106E-2</v>
      </c>
      <c r="I1288" s="147">
        <v>0.78</v>
      </c>
      <c r="J1288" s="148">
        <v>0.40277914806250403</v>
      </c>
      <c r="K1288" s="149">
        <v>25.12</v>
      </c>
      <c r="L1288" s="149">
        <v>171.65700000000001</v>
      </c>
      <c r="M1288" s="67"/>
      <c r="N1288" s="135"/>
    </row>
    <row r="1289" spans="1:14" x14ac:dyDescent="0.25">
      <c r="A1289" s="142">
        <v>45205</v>
      </c>
      <c r="B1289" s="81" t="s">
        <v>62</v>
      </c>
      <c r="C1289" s="129" t="str">
        <f t="shared" si="41"/>
        <v>06.10.2023_VORuhSc</v>
      </c>
      <c r="D1289" s="143">
        <f t="shared" si="42"/>
        <v>0</v>
      </c>
      <c r="E1289" s="144">
        <v>3.7179624282608079E-3</v>
      </c>
      <c r="F1289" s="145">
        <v>3.4510886729500717E-3</v>
      </c>
      <c r="G1289" s="146">
        <v>0.1932113849289184</v>
      </c>
      <c r="H1289" s="146">
        <v>1.9239720713731576E-2</v>
      </c>
      <c r="I1289" s="147">
        <v>0.35499999999999998</v>
      </c>
      <c r="J1289" s="148">
        <v>0.23606809125475142</v>
      </c>
      <c r="K1289" s="149">
        <v>30.402999999999999</v>
      </c>
      <c r="L1289" s="149">
        <v>207.74600000000001</v>
      </c>
      <c r="M1289" s="67"/>
      <c r="N1289" s="135"/>
    </row>
    <row r="1290" spans="1:14" x14ac:dyDescent="0.25">
      <c r="A1290" s="142">
        <v>45205</v>
      </c>
      <c r="B1290" s="81" t="s">
        <v>64</v>
      </c>
      <c r="C1290" s="129" t="str">
        <f t="shared" si="41"/>
        <v>06.10.2023_WITob</v>
      </c>
      <c r="D1290" s="143">
        <f t="shared" si="42"/>
        <v>0</v>
      </c>
      <c r="E1290" s="144">
        <v>6.5064342494563845E-2</v>
      </c>
      <c r="F1290" s="145">
        <v>3.9264690780745678E-3</v>
      </c>
      <c r="G1290" s="146">
        <v>1.030460719620899E-2</v>
      </c>
      <c r="H1290" s="146">
        <v>0</v>
      </c>
      <c r="I1290" s="147">
        <v>0.51700000000000002</v>
      </c>
      <c r="J1290" s="148">
        <v>0.12477621444178433</v>
      </c>
      <c r="K1290" s="149">
        <v>62.616</v>
      </c>
      <c r="L1290" s="149">
        <v>239.43899999999999</v>
      </c>
      <c r="M1290" s="67"/>
      <c r="N1290" s="135"/>
    </row>
    <row r="1291" spans="1:14" x14ac:dyDescent="0.25">
      <c r="A1291" s="142">
        <v>45224</v>
      </c>
      <c r="B1291" s="81" t="s">
        <v>22</v>
      </c>
      <c r="C1291" s="129" t="str">
        <f t="shared" si="41"/>
        <v>25.10.2023_BOYkl</v>
      </c>
      <c r="D1291" s="143">
        <f t="shared" si="42"/>
        <v>0</v>
      </c>
      <c r="E1291" s="144">
        <v>7.338230597253273E-2</v>
      </c>
      <c r="F1291" s="145">
        <v>3.0088175077623298E-2</v>
      </c>
      <c r="G1291" s="146">
        <v>6.599489071813798E-2</v>
      </c>
      <c r="H1291" s="146">
        <v>9.7970041643358749E-2</v>
      </c>
      <c r="I1291" s="147">
        <v>27.827999999999999</v>
      </c>
      <c r="J1291" s="148">
        <v>6.3665817118720467</v>
      </c>
      <c r="K1291" s="149">
        <v>20.297000000000001</v>
      </c>
      <c r="L1291" s="149">
        <v>45.323999999999998</v>
      </c>
      <c r="M1291" s="67"/>
      <c r="N1291" s="135"/>
    </row>
    <row r="1292" spans="1:14" x14ac:dyDescent="0.25">
      <c r="A1292" s="142">
        <v>45224</v>
      </c>
      <c r="B1292" s="81" t="s">
        <v>25</v>
      </c>
      <c r="C1292" s="129" t="str">
        <f t="shared" si="41"/>
        <v>25.10.2023_BOYohB224</v>
      </c>
      <c r="D1292" s="143">
        <f t="shared" si="42"/>
        <v>0</v>
      </c>
      <c r="E1292" s="144">
        <v>5.9623123602682827E-2</v>
      </c>
      <c r="F1292" s="145">
        <v>9.9129789489019772E-3</v>
      </c>
      <c r="G1292" s="146">
        <v>6.4235026965654279E-2</v>
      </c>
      <c r="H1292" s="146">
        <v>9.4102803157436687E-2</v>
      </c>
      <c r="I1292" s="147">
        <v>6.0410000000000004</v>
      </c>
      <c r="J1292" s="148">
        <v>1.4430081245098425</v>
      </c>
      <c r="K1292" s="149">
        <v>29.271000000000001</v>
      </c>
      <c r="L1292" s="149">
        <v>129.351</v>
      </c>
      <c r="M1292" s="67"/>
      <c r="N1292" s="135"/>
    </row>
    <row r="1293" spans="1:14" x14ac:dyDescent="0.25">
      <c r="A1293" s="142">
        <v>45224</v>
      </c>
      <c r="B1293" s="81" t="s">
        <v>28</v>
      </c>
      <c r="C1293" s="129" t="str">
        <f t="shared" si="41"/>
        <v>25.10.2023_BOYohBr</v>
      </c>
      <c r="D1293" s="143">
        <f t="shared" si="42"/>
        <v>0</v>
      </c>
      <c r="E1293" s="144">
        <v>1.5287980410944353E-2</v>
      </c>
      <c r="F1293" s="145">
        <v>2.485547190399794E-2</v>
      </c>
      <c r="G1293" s="146">
        <v>6.7754754470621639E-2</v>
      </c>
      <c r="H1293" s="146">
        <v>7.4766610727826491E-2</v>
      </c>
      <c r="I1293" s="147">
        <v>12.24</v>
      </c>
      <c r="J1293" s="148">
        <v>2.8400223839349792</v>
      </c>
      <c r="K1293" s="149">
        <v>17.826000000000001</v>
      </c>
      <c r="L1293" s="149">
        <v>63.652999999999999</v>
      </c>
      <c r="M1293" s="67"/>
      <c r="N1293" s="135"/>
    </row>
    <row r="1294" spans="1:14" x14ac:dyDescent="0.25">
      <c r="A1294" s="142">
        <v>45224</v>
      </c>
      <c r="B1294" s="81" t="s">
        <v>30</v>
      </c>
      <c r="C1294" s="129" t="str">
        <f t="shared" si="41"/>
        <v>25.10.2023_BOYohKi</v>
      </c>
      <c r="D1294" s="143">
        <f t="shared" si="42"/>
        <v>0</v>
      </c>
      <c r="E1294" s="144">
        <v>0</v>
      </c>
      <c r="F1294" s="145">
        <v>1.2530620962289499E-2</v>
      </c>
      <c r="G1294" s="146">
        <v>4.9276185069543003E-2</v>
      </c>
      <c r="H1294" s="146">
        <v>5.9297656784138245E-2</v>
      </c>
      <c r="I1294" s="147">
        <v>7.1870000000000003</v>
      </c>
      <c r="J1294" s="148">
        <v>1.6796433265525803</v>
      </c>
      <c r="K1294" s="149">
        <v>26.303999999999998</v>
      </c>
      <c r="L1294" s="149">
        <v>97.59</v>
      </c>
      <c r="M1294" s="67"/>
      <c r="N1294" s="135"/>
    </row>
    <row r="1295" spans="1:14" x14ac:dyDescent="0.25">
      <c r="A1295" s="142">
        <v>45224</v>
      </c>
      <c r="B1295" s="81" t="s">
        <v>32</v>
      </c>
      <c r="C1295" s="129" t="str">
        <f t="shared" si="41"/>
        <v>25.10.2023_BOYohSp</v>
      </c>
      <c r="D1295" s="143">
        <f t="shared" si="42"/>
        <v>0</v>
      </c>
      <c r="E1295" s="144">
        <v>4.1277547109549666E-2</v>
      </c>
      <c r="F1295" s="145">
        <v>1.9150743956474911E-2</v>
      </c>
      <c r="G1295" s="146">
        <v>9.5912574510360518E-2</v>
      </c>
      <c r="H1295" s="146">
        <v>0.10312635962458819</v>
      </c>
      <c r="I1295" s="147">
        <v>9.0220000000000002</v>
      </c>
      <c r="J1295" s="148">
        <v>2.1436711151692553</v>
      </c>
      <c r="K1295" s="149">
        <v>24.600999999999999</v>
      </c>
      <c r="L1295" s="149">
        <v>78.706999999999994</v>
      </c>
      <c r="M1295" s="67"/>
      <c r="N1295" s="135"/>
    </row>
    <row r="1296" spans="1:14" x14ac:dyDescent="0.25">
      <c r="A1296" s="142">
        <v>45224</v>
      </c>
      <c r="B1296" s="81" t="s">
        <v>34</v>
      </c>
      <c r="C1296" s="129" t="str">
        <f t="shared" si="41"/>
        <v>25.10.2023_BOYuhHa</v>
      </c>
      <c r="D1296" s="143">
        <f t="shared" si="42"/>
        <v>0</v>
      </c>
      <c r="E1296" s="144">
        <v>1.0701586287661054E-2</v>
      </c>
      <c r="F1296" s="145">
        <v>1.0242455820988731E-2</v>
      </c>
      <c r="G1296" s="146">
        <v>4.9276185069543003E-2</v>
      </c>
      <c r="H1296" s="146">
        <v>3.7383305363913218E-2</v>
      </c>
      <c r="I1296" s="147">
        <v>3.4380000000000002</v>
      </c>
      <c r="J1296" s="148">
        <v>0.82618487226269288</v>
      </c>
      <c r="K1296" s="149">
        <v>19.393999999999998</v>
      </c>
      <c r="L1296" s="149">
        <v>118.04600000000001</v>
      </c>
      <c r="M1296" s="67"/>
      <c r="N1296" s="135"/>
    </row>
    <row r="1297" spans="1:14" x14ac:dyDescent="0.25">
      <c r="A1297" s="142">
        <v>45224</v>
      </c>
      <c r="B1297" s="81" t="s">
        <v>36</v>
      </c>
      <c r="C1297" s="129" t="str">
        <f t="shared" si="41"/>
        <v>25.10.2023_BOYuhSp</v>
      </c>
      <c r="D1297" s="143">
        <f t="shared" si="42"/>
        <v>0</v>
      </c>
      <c r="E1297" s="144">
        <v>7.6439902054721764E-3</v>
      </c>
      <c r="F1297" s="145">
        <v>1.5628653475877104E-2</v>
      </c>
      <c r="G1297" s="146">
        <v>0.11703093954016465</v>
      </c>
      <c r="H1297" s="146">
        <v>0.10957175710112493</v>
      </c>
      <c r="I1297" s="147">
        <v>8.1389999999999993</v>
      </c>
      <c r="J1297" s="148">
        <v>1.9625884056929799</v>
      </c>
      <c r="K1297" s="149">
        <v>24.036000000000001</v>
      </c>
      <c r="L1297" s="149">
        <v>81.501999999999995</v>
      </c>
      <c r="M1297" s="67"/>
      <c r="N1297" s="135"/>
    </row>
    <row r="1298" spans="1:14" x14ac:dyDescent="0.25">
      <c r="A1298" s="142">
        <v>45224</v>
      </c>
      <c r="B1298" s="81" t="s">
        <v>38</v>
      </c>
      <c r="C1298" s="129" t="str">
        <f t="shared" si="41"/>
        <v>25.10.2023_BRAob</v>
      </c>
      <c r="D1298" s="143">
        <f t="shared" si="42"/>
        <v>0</v>
      </c>
      <c r="E1298" s="144">
        <v>0</v>
      </c>
      <c r="F1298" s="145">
        <v>9.4377855609612815E-3</v>
      </c>
      <c r="G1298" s="146">
        <v>7.7434005109281875E-2</v>
      </c>
      <c r="H1298" s="146">
        <v>4.7695941326372032E-2</v>
      </c>
      <c r="I1298" s="147">
        <v>2.0099999999999998</v>
      </c>
      <c r="J1298" s="148">
        <v>0.52864645996412019</v>
      </c>
      <c r="K1298" s="149">
        <v>47.595999999999997</v>
      </c>
      <c r="L1298" s="149">
        <v>118.782</v>
      </c>
      <c r="M1298" s="67"/>
      <c r="N1298" s="135"/>
    </row>
    <row r="1299" spans="1:14" x14ac:dyDescent="0.25">
      <c r="A1299" s="142">
        <v>45224</v>
      </c>
      <c r="B1299" s="81" t="s">
        <v>41</v>
      </c>
      <c r="C1299" s="129" t="str">
        <f t="shared" si="41"/>
        <v>25.10.2023_BRAohBo</v>
      </c>
      <c r="D1299" s="143">
        <f t="shared" si="42"/>
        <v>0</v>
      </c>
      <c r="E1299" s="144">
        <v>0</v>
      </c>
      <c r="F1299" s="145">
        <v>2.994901529572486E-2</v>
      </c>
      <c r="G1299" s="146">
        <v>0.19974453590689761</v>
      </c>
      <c r="H1299" s="146">
        <v>0.29133196593946176</v>
      </c>
      <c r="I1299" s="147">
        <v>4.9880000000000004</v>
      </c>
      <c r="J1299" s="148">
        <v>1.3704352117166161</v>
      </c>
      <c r="K1299" s="149">
        <v>27.645</v>
      </c>
      <c r="L1299" s="149">
        <v>88.995999999999995</v>
      </c>
      <c r="M1299" s="67"/>
      <c r="N1299" s="135"/>
    </row>
    <row r="1300" spans="1:14" x14ac:dyDescent="0.25">
      <c r="A1300" s="142">
        <v>45224</v>
      </c>
      <c r="B1300" s="81" t="s">
        <v>43</v>
      </c>
      <c r="C1300" s="129" t="str">
        <f t="shared" si="41"/>
        <v>25.10.2023_HAAob</v>
      </c>
      <c r="D1300" s="143">
        <f t="shared" si="42"/>
        <v>0</v>
      </c>
      <c r="E1300" s="144">
        <v>3.0575960821888769E-3</v>
      </c>
      <c r="F1300" s="145">
        <v>7.426695927234701E-3</v>
      </c>
      <c r="G1300" s="146">
        <v>7.0394550099347093E-3</v>
      </c>
      <c r="H1300" s="146">
        <v>0</v>
      </c>
      <c r="I1300" s="147">
        <v>0.90700000000000003</v>
      </c>
      <c r="J1300" s="148">
        <v>0.20954523591597154</v>
      </c>
      <c r="K1300" s="149">
        <v>27.044</v>
      </c>
      <c r="L1300" s="149">
        <v>127.003</v>
      </c>
      <c r="M1300" s="67"/>
      <c r="N1300" s="135"/>
    </row>
    <row r="1301" spans="1:14" x14ac:dyDescent="0.25">
      <c r="A1301" s="142">
        <v>45224</v>
      </c>
      <c r="B1301" s="81" t="s">
        <v>45</v>
      </c>
      <c r="C1301" s="129" t="str">
        <f t="shared" si="41"/>
        <v>25.10.2023_HAAun</v>
      </c>
      <c r="D1301" s="143">
        <f t="shared" si="42"/>
        <v>0</v>
      </c>
      <c r="E1301" s="144">
        <v>1.5287980410944545E-3</v>
      </c>
      <c r="F1301" s="145">
        <v>3.5919312846892759E-2</v>
      </c>
      <c r="G1301" s="146">
        <v>0.15574794209480558</v>
      </c>
      <c r="H1301" s="146">
        <v>0</v>
      </c>
      <c r="I1301" s="147">
        <v>1.573</v>
      </c>
      <c r="J1301" s="148">
        <v>0.47505284880015664</v>
      </c>
      <c r="K1301" s="149">
        <v>26.916</v>
      </c>
      <c r="L1301" s="149">
        <v>191.62700000000001</v>
      </c>
      <c r="M1301" s="67"/>
      <c r="N1301" s="135"/>
    </row>
    <row r="1302" spans="1:14" x14ac:dyDescent="0.25">
      <c r="A1302" s="142">
        <v>45224</v>
      </c>
      <c r="B1302" s="81" t="s">
        <v>47</v>
      </c>
      <c r="C1302" s="129" t="str">
        <f t="shared" si="41"/>
        <v>25.10.2023_KIRob</v>
      </c>
      <c r="D1302" s="143">
        <f t="shared" si="42"/>
        <v>0</v>
      </c>
      <c r="E1302" s="144">
        <v>1.8345576493133165E-2</v>
      </c>
      <c r="F1302" s="145">
        <v>3.5400351713376892E-3</v>
      </c>
      <c r="G1302" s="146">
        <v>0.41796764121487379</v>
      </c>
      <c r="H1302" s="146">
        <v>0.35062962272360004</v>
      </c>
      <c r="I1302" s="147">
        <v>5.52</v>
      </c>
      <c r="J1302" s="148">
        <v>1.6780992823651371</v>
      </c>
      <c r="K1302" s="149">
        <v>75.227999999999994</v>
      </c>
      <c r="L1302" s="149">
        <v>159.05600000000001</v>
      </c>
      <c r="M1302" s="67"/>
      <c r="N1302" s="135"/>
    </row>
    <row r="1303" spans="1:14" x14ac:dyDescent="0.25">
      <c r="A1303" s="142">
        <v>45224</v>
      </c>
      <c r="B1303" s="81" t="s">
        <v>49</v>
      </c>
      <c r="C1303" s="129" t="str">
        <f t="shared" si="41"/>
        <v>25.10.2023_KIRun</v>
      </c>
      <c r="D1303" s="143">
        <f t="shared" si="42"/>
        <v>0</v>
      </c>
      <c r="E1303" s="144">
        <v>9.1727882465666311E-3</v>
      </c>
      <c r="F1303" s="145">
        <v>4.1277906064520319E-3</v>
      </c>
      <c r="G1303" s="146">
        <v>7.2154413851830829E-2</v>
      </c>
      <c r="H1303" s="146">
        <v>0.1637130959040338</v>
      </c>
      <c r="I1303" s="147">
        <v>4.0529999999999999</v>
      </c>
      <c r="J1303" s="148">
        <v>1.021320742859791</v>
      </c>
      <c r="K1303" s="149">
        <v>57.058</v>
      </c>
      <c r="L1303" s="149">
        <v>139.923</v>
      </c>
      <c r="M1303" s="67"/>
      <c r="N1303" s="135"/>
    </row>
    <row r="1304" spans="1:14" x14ac:dyDescent="0.25">
      <c r="A1304" s="142">
        <v>45224</v>
      </c>
      <c r="B1304" s="81" t="s">
        <v>50</v>
      </c>
      <c r="C1304" s="129" t="str">
        <f t="shared" si="41"/>
        <v>25.10.2023_LIEohBo</v>
      </c>
      <c r="D1304" s="143">
        <f t="shared" si="42"/>
        <v>0</v>
      </c>
      <c r="E1304" s="144">
        <v>0</v>
      </c>
      <c r="F1304" s="145">
        <v>8.4931351911634711E-3</v>
      </c>
      <c r="G1304" s="146">
        <v>3.9596934430882774E-2</v>
      </c>
      <c r="H1304" s="146">
        <v>3.0937907887376468E-2</v>
      </c>
      <c r="I1304" s="147">
        <v>10.016999999999999</v>
      </c>
      <c r="J1304" s="148">
        <v>2.302705459672548</v>
      </c>
      <c r="K1304" s="149">
        <v>22.811</v>
      </c>
      <c r="L1304" s="149">
        <v>87.388000000000005</v>
      </c>
      <c r="M1304" s="67"/>
      <c r="N1304" s="135"/>
    </row>
    <row r="1305" spans="1:14" x14ac:dyDescent="0.25">
      <c r="A1305" s="142">
        <v>45224</v>
      </c>
      <c r="B1305" s="81" t="s">
        <v>53</v>
      </c>
      <c r="C1305" s="129" t="str">
        <f t="shared" si="41"/>
        <v>25.10.2023_NATohBo</v>
      </c>
      <c r="D1305" s="143">
        <f t="shared" si="42"/>
        <v>0</v>
      </c>
      <c r="E1305" s="144">
        <v>9.9371872671138076E-2</v>
      </c>
      <c r="F1305" s="145">
        <v>1.5679954662250872E-2</v>
      </c>
      <c r="G1305" s="146">
        <v>5.8955435708203233E-2</v>
      </c>
      <c r="H1305" s="146">
        <v>2.9648828392069122E-2</v>
      </c>
      <c r="I1305" s="147">
        <v>1.599</v>
      </c>
      <c r="J1305" s="148">
        <v>0.41597102207702813</v>
      </c>
      <c r="K1305" s="149">
        <v>60.597999999999999</v>
      </c>
      <c r="L1305" s="149">
        <v>275.935</v>
      </c>
      <c r="M1305" s="67"/>
      <c r="N1305" s="135"/>
    </row>
    <row r="1306" spans="1:14" x14ac:dyDescent="0.25">
      <c r="A1306" s="142">
        <v>45224</v>
      </c>
      <c r="B1306" s="81" t="s">
        <v>55</v>
      </c>
      <c r="C1306" s="129" t="str">
        <f t="shared" si="41"/>
        <v>25.10.2023_QUAohBo</v>
      </c>
      <c r="D1306" s="143">
        <f t="shared" si="42"/>
        <v>0</v>
      </c>
      <c r="E1306" s="144">
        <v>3.6691152986266365E-2</v>
      </c>
      <c r="F1306" s="145">
        <v>5.4414614529320268E-3</v>
      </c>
      <c r="G1306" s="146">
        <v>2.1118365029804166E-2</v>
      </c>
      <c r="H1306" s="146">
        <v>5.8008577288830875E-2</v>
      </c>
      <c r="I1306" s="147">
        <v>4.0960000000000001</v>
      </c>
      <c r="J1306" s="148">
        <v>0.95922243061757717</v>
      </c>
      <c r="K1306" s="149">
        <v>26.178999999999998</v>
      </c>
      <c r="L1306" s="149">
        <v>101.95099999999999</v>
      </c>
      <c r="M1306" s="67"/>
      <c r="N1306" s="135"/>
    </row>
    <row r="1307" spans="1:14" x14ac:dyDescent="0.25">
      <c r="A1307" s="142">
        <v>45224</v>
      </c>
      <c r="B1307" s="81" t="s">
        <v>57</v>
      </c>
      <c r="C1307" s="129" t="str">
        <f t="shared" si="41"/>
        <v>25.10.2023_SCHohVo</v>
      </c>
      <c r="D1307" s="143">
        <f t="shared" si="42"/>
        <v>0</v>
      </c>
      <c r="E1307" s="144">
        <v>0</v>
      </c>
      <c r="F1307" s="145">
        <v>8.5393775278822144E-3</v>
      </c>
      <c r="G1307" s="146">
        <v>0.11263128015895546</v>
      </c>
      <c r="H1307" s="146">
        <v>6.4453974765367513E-3</v>
      </c>
      <c r="I1307" s="147">
        <v>1.5649999999999999</v>
      </c>
      <c r="J1307" s="148">
        <v>0.4429059139923589</v>
      </c>
      <c r="K1307" s="149">
        <v>20.058</v>
      </c>
      <c r="L1307" s="149">
        <v>66.915000000000006</v>
      </c>
      <c r="M1307" s="67"/>
      <c r="N1307" s="135"/>
    </row>
    <row r="1308" spans="1:14" x14ac:dyDescent="0.25">
      <c r="A1308" s="142">
        <v>45224</v>
      </c>
      <c r="B1308" s="81" t="s">
        <v>60</v>
      </c>
      <c r="C1308" s="129" t="str">
        <f t="shared" si="41"/>
        <v>25.10.2023_VORohBo</v>
      </c>
      <c r="D1308" s="143">
        <f t="shared" si="42"/>
        <v>0</v>
      </c>
      <c r="E1308" s="144">
        <v>2.4460768657510921E-2</v>
      </c>
      <c r="F1308" s="145">
        <v>4.2489543349447378E-3</v>
      </c>
      <c r="G1308" s="146">
        <v>0.29741697416974172</v>
      </c>
      <c r="H1308" s="146">
        <v>8.3790167194977935E-2</v>
      </c>
      <c r="I1308" s="147">
        <v>0.91900000000000004</v>
      </c>
      <c r="J1308" s="148">
        <v>0.46402575267557378</v>
      </c>
      <c r="K1308" s="149">
        <v>30.786999999999999</v>
      </c>
      <c r="L1308" s="149">
        <v>183.17099999999999</v>
      </c>
      <c r="M1308" s="67"/>
      <c r="N1308" s="135"/>
    </row>
    <row r="1309" spans="1:14" x14ac:dyDescent="0.25">
      <c r="A1309" s="142">
        <v>45224</v>
      </c>
      <c r="B1309" s="81" t="s">
        <v>62</v>
      </c>
      <c r="C1309" s="129" t="str">
        <f t="shared" si="41"/>
        <v>25.10.2023_VORuhSc</v>
      </c>
      <c r="D1309" s="143">
        <f t="shared" si="42"/>
        <v>0</v>
      </c>
      <c r="E1309" s="144">
        <v>0</v>
      </c>
      <c r="F1309" s="145">
        <v>4.2469552990502752E-3</v>
      </c>
      <c r="G1309" s="146">
        <v>0.13374964518875962</v>
      </c>
      <c r="H1309" s="146">
        <v>1.0312635962458813E-2</v>
      </c>
      <c r="I1309" s="147">
        <v>0.55600000000000005</v>
      </c>
      <c r="J1309" s="148">
        <v>0.23257866401139055</v>
      </c>
      <c r="K1309" s="149">
        <v>26.439</v>
      </c>
      <c r="L1309" s="149">
        <v>168.87899999999999</v>
      </c>
      <c r="M1309" s="67"/>
      <c r="N1309" s="135"/>
    </row>
    <row r="1310" spans="1:14" x14ac:dyDescent="0.25">
      <c r="A1310" s="142">
        <v>45224</v>
      </c>
      <c r="B1310" s="81" t="s">
        <v>64</v>
      </c>
      <c r="C1310" s="129" t="str">
        <f t="shared" si="41"/>
        <v>25.10.2023_WITob</v>
      </c>
      <c r="D1310" s="143">
        <f t="shared" si="42"/>
        <v>0</v>
      </c>
      <c r="E1310" s="144">
        <v>4.7392739273927356E-2</v>
      </c>
      <c r="F1310" s="145">
        <v>3.6399513027953511E-3</v>
      </c>
      <c r="G1310" s="146">
        <v>1.0559182514902083E-2</v>
      </c>
      <c r="H1310" s="146">
        <v>0</v>
      </c>
      <c r="I1310" s="147">
        <v>0.51300000000000001</v>
      </c>
      <c r="J1310" s="148">
        <v>0.1240704096309963</v>
      </c>
      <c r="K1310" s="149">
        <v>59.164999999999999</v>
      </c>
      <c r="L1310" s="149">
        <v>238.661</v>
      </c>
      <c r="M1310" s="67"/>
      <c r="N1310" s="135"/>
    </row>
    <row r="1311" spans="1:14" x14ac:dyDescent="0.25">
      <c r="A1311" s="142">
        <v>45236</v>
      </c>
      <c r="B1311" s="81" t="s">
        <v>22</v>
      </c>
      <c r="C1311" s="129" t="str">
        <f t="shared" si="41"/>
        <v>06.11.2023_BOYkl</v>
      </c>
      <c r="D1311" s="143">
        <f t="shared" si="42"/>
        <v>0</v>
      </c>
      <c r="E1311" s="144">
        <v>0.1029281583009429</v>
      </c>
      <c r="F1311" s="145">
        <v>3.3139556721878287E-2</v>
      </c>
      <c r="G1311" s="146">
        <v>0.10619937915204711</v>
      </c>
      <c r="H1311" s="146">
        <v>7.4831205857577895E-2</v>
      </c>
      <c r="I1311" s="147">
        <v>29.777999999999999</v>
      </c>
      <c r="J1311" s="148">
        <v>6.8312019765411121</v>
      </c>
      <c r="K1311" s="149">
        <v>22.93</v>
      </c>
      <c r="L1311" s="149">
        <v>42.784999999999997</v>
      </c>
      <c r="M1311" s="67"/>
      <c r="N1311" s="135"/>
    </row>
    <row r="1312" spans="1:14" x14ac:dyDescent="0.25">
      <c r="A1312" s="142">
        <v>45236</v>
      </c>
      <c r="B1312" s="81" t="s">
        <v>25</v>
      </c>
      <c r="C1312" s="129" t="str">
        <f t="shared" si="41"/>
        <v>06.11.2023_BOYohB224</v>
      </c>
      <c r="D1312" s="143">
        <f t="shared" si="42"/>
        <v>0</v>
      </c>
      <c r="E1312" s="144">
        <v>6.044987074817277E-2</v>
      </c>
      <c r="F1312" s="145">
        <v>1.5577188636198917E-2</v>
      </c>
      <c r="G1312" s="146">
        <v>7.5480550471702892E-2</v>
      </c>
      <c r="H1312" s="146">
        <v>7.9066934491025698E-2</v>
      </c>
      <c r="I1312" s="147">
        <v>7.0759999999999996</v>
      </c>
      <c r="J1312" s="148">
        <v>1.6809379408415652</v>
      </c>
      <c r="K1312" s="149">
        <v>27</v>
      </c>
      <c r="L1312" s="149">
        <v>115.836</v>
      </c>
      <c r="M1312" s="67"/>
      <c r="N1312" s="135"/>
    </row>
    <row r="1313" spans="1:14" x14ac:dyDescent="0.25">
      <c r="A1313" s="142">
        <v>45236</v>
      </c>
      <c r="B1313" s="81" t="s">
        <v>28</v>
      </c>
      <c r="C1313" s="129" t="str">
        <f t="shared" si="41"/>
        <v>06.11.2023_BOYohBr</v>
      </c>
      <c r="D1313" s="143">
        <f t="shared" si="42"/>
        <v>0</v>
      </c>
      <c r="E1313" s="144">
        <v>1.6337802904911606E-2</v>
      </c>
      <c r="F1313" s="145">
        <v>3.2238072193026122E-2</v>
      </c>
      <c r="G1313" s="146">
        <v>7.021446555507245E-2</v>
      </c>
      <c r="H1313" s="146">
        <v>8.1890753579990885E-2</v>
      </c>
      <c r="I1313" s="147">
        <v>12.997</v>
      </c>
      <c r="J1313" s="148">
        <v>3.0150848602862865</v>
      </c>
      <c r="K1313" s="149">
        <v>19.491</v>
      </c>
      <c r="L1313" s="149">
        <v>63.545000000000002</v>
      </c>
      <c r="M1313" s="67"/>
      <c r="N1313" s="135"/>
    </row>
    <row r="1314" spans="1:14" x14ac:dyDescent="0.25">
      <c r="A1314" s="142">
        <v>45236</v>
      </c>
      <c r="B1314" s="81" t="s">
        <v>30</v>
      </c>
      <c r="C1314" s="129" t="str">
        <f t="shared" si="41"/>
        <v>06.11.2023_BOYohKi</v>
      </c>
      <c r="D1314" s="143">
        <f t="shared" si="42"/>
        <v>0</v>
      </c>
      <c r="E1314" s="144">
        <v>0</v>
      </c>
      <c r="F1314" s="145">
        <v>1.8037171693406483E-2</v>
      </c>
      <c r="G1314" s="146">
        <v>7.9868954568894909E-2</v>
      </c>
      <c r="H1314" s="146">
        <v>0.24002462256204246</v>
      </c>
      <c r="I1314" s="147">
        <v>8.0869999999999997</v>
      </c>
      <c r="J1314" s="148">
        <v>1.9617036308722149</v>
      </c>
      <c r="K1314" s="149">
        <v>24</v>
      </c>
      <c r="L1314" s="149">
        <v>87.978999999999999</v>
      </c>
      <c r="M1314" s="67"/>
      <c r="N1314" s="135"/>
    </row>
    <row r="1315" spans="1:14" x14ac:dyDescent="0.25">
      <c r="A1315" s="142">
        <v>45236</v>
      </c>
      <c r="B1315" s="81" t="s">
        <v>32</v>
      </c>
      <c r="C1315" s="129" t="str">
        <f t="shared" si="41"/>
        <v>06.11.2023_BOYohSp</v>
      </c>
      <c r="D1315" s="143">
        <f t="shared" si="42"/>
        <v>0</v>
      </c>
      <c r="E1315" s="144">
        <v>6.044987074817277E-2</v>
      </c>
      <c r="F1315" s="145">
        <v>1.5836283490805889E-2</v>
      </c>
      <c r="G1315" s="146">
        <v>0.11848691062418482</v>
      </c>
      <c r="H1315" s="146">
        <v>0.10024557765826475</v>
      </c>
      <c r="I1315" s="147">
        <v>9.8849999999999998</v>
      </c>
      <c r="J1315" s="148">
        <v>2.3552486173486318</v>
      </c>
      <c r="K1315" s="149">
        <v>25</v>
      </c>
      <c r="L1315" s="149">
        <v>75.486000000000004</v>
      </c>
      <c r="M1315" s="67"/>
      <c r="N1315" s="135"/>
    </row>
    <row r="1316" spans="1:14" x14ac:dyDescent="0.25">
      <c r="A1316" s="142">
        <v>45236</v>
      </c>
      <c r="B1316" s="81" t="s">
        <v>34</v>
      </c>
      <c r="C1316" s="129" t="str">
        <f t="shared" si="41"/>
        <v>06.11.2023_BOYuhHa</v>
      </c>
      <c r="D1316" s="143">
        <f t="shared" si="42"/>
        <v>0</v>
      </c>
      <c r="E1316" s="144">
        <v>4.2478287552770055E-2</v>
      </c>
      <c r="F1316" s="145">
        <v>1.7611770731936541E-2</v>
      </c>
      <c r="G1316" s="146">
        <v>7.3725188832826097E-2</v>
      </c>
      <c r="H1316" s="146">
        <v>6.494783904619976E-2</v>
      </c>
      <c r="I1316" s="147">
        <v>6.4180000000000001</v>
      </c>
      <c r="J1316" s="148">
        <v>1.5266539014744165</v>
      </c>
      <c r="K1316" s="149">
        <v>28</v>
      </c>
      <c r="L1316" s="149">
        <v>116.297</v>
      </c>
      <c r="M1316" s="67"/>
      <c r="N1316" s="135"/>
    </row>
    <row r="1317" spans="1:14" x14ac:dyDescent="0.25">
      <c r="A1317" s="142">
        <v>45236</v>
      </c>
      <c r="B1317" s="81" t="s">
        <v>36</v>
      </c>
      <c r="C1317" s="129" t="str">
        <f t="shared" si="41"/>
        <v>06.11.2023_BOYuhSp</v>
      </c>
      <c r="D1317" s="143">
        <f t="shared" si="42"/>
        <v>0</v>
      </c>
      <c r="E1317" s="144">
        <v>1.7971583195402718E-2</v>
      </c>
      <c r="F1317" s="145">
        <v>2.3732169185270949E-2</v>
      </c>
      <c r="G1317" s="146">
        <v>0.11585386816586961</v>
      </c>
      <c r="H1317" s="146">
        <v>0.14260286399274286</v>
      </c>
      <c r="I1317" s="147">
        <v>9.3140000000000001</v>
      </c>
      <c r="J1317" s="148">
        <v>2.2371279920347065</v>
      </c>
      <c r="K1317" s="149">
        <v>23</v>
      </c>
      <c r="L1317" s="149">
        <v>77.632999999999996</v>
      </c>
      <c r="M1317" s="67"/>
      <c r="N1317" s="135"/>
    </row>
    <row r="1318" spans="1:14" x14ac:dyDescent="0.25">
      <c r="A1318" s="142">
        <v>45236</v>
      </c>
      <c r="B1318" s="81" t="s">
        <v>38</v>
      </c>
      <c r="C1318" s="129" t="str">
        <f t="shared" si="41"/>
        <v>06.11.2023_BRAob</v>
      </c>
      <c r="D1318" s="143">
        <f t="shared" si="42"/>
        <v>0</v>
      </c>
      <c r="E1318" s="144">
        <v>0</v>
      </c>
      <c r="F1318" s="145">
        <v>1.2350763713533872E-2</v>
      </c>
      <c r="G1318" s="146">
        <v>7.5480550471702892E-2</v>
      </c>
      <c r="H1318" s="146">
        <v>7.4831205857577895E-2</v>
      </c>
      <c r="I1318" s="147">
        <v>3.117</v>
      </c>
      <c r="J1318" s="148">
        <v>0.78542904325911211</v>
      </c>
      <c r="K1318" s="149">
        <v>47</v>
      </c>
      <c r="L1318" s="149">
        <v>111.529</v>
      </c>
      <c r="M1318" s="67"/>
      <c r="N1318" s="135"/>
    </row>
    <row r="1319" spans="1:14" x14ac:dyDescent="0.25">
      <c r="A1319" s="142">
        <v>45236</v>
      </c>
      <c r="B1319" s="81" t="s">
        <v>41</v>
      </c>
      <c r="C1319" s="129" t="str">
        <f t="shared" si="41"/>
        <v>06.11.2023_BRAohBo</v>
      </c>
      <c r="D1319" s="143">
        <f t="shared" si="42"/>
        <v>0</v>
      </c>
      <c r="E1319" s="144">
        <v>1.6337802904911808E-3</v>
      </c>
      <c r="F1319" s="145">
        <v>2.7859049681239454E-2</v>
      </c>
      <c r="G1319" s="146">
        <v>0.24487294862331518</v>
      </c>
      <c r="H1319" s="146">
        <v>0.16801723579342973</v>
      </c>
      <c r="I1319" s="147">
        <v>6.7519999999999998</v>
      </c>
      <c r="J1319" s="148">
        <v>1.7663684833138276</v>
      </c>
      <c r="K1319" s="149">
        <v>25</v>
      </c>
      <c r="L1319" s="149">
        <v>78.453000000000003</v>
      </c>
      <c r="M1319" s="67"/>
      <c r="N1319" s="135"/>
    </row>
    <row r="1320" spans="1:14" x14ac:dyDescent="0.25">
      <c r="A1320" s="142">
        <v>45236</v>
      </c>
      <c r="B1320" s="81" t="s">
        <v>43</v>
      </c>
      <c r="C1320" s="129" t="str">
        <f t="shared" si="41"/>
        <v>06.11.2023_HAAob</v>
      </c>
      <c r="D1320" s="143">
        <f t="shared" si="42"/>
        <v>0</v>
      </c>
      <c r="E1320" s="144">
        <v>2.7774264938349665E-2</v>
      </c>
      <c r="F1320" s="145">
        <v>1.0763086759065564E-2</v>
      </c>
      <c r="G1320" s="146">
        <v>3.6862594416413055E-2</v>
      </c>
      <c r="H1320" s="146">
        <v>0</v>
      </c>
      <c r="I1320" s="147">
        <v>1.3779999999999999</v>
      </c>
      <c r="J1320" s="148">
        <v>0.33987229593840051</v>
      </c>
      <c r="K1320" s="149">
        <v>25</v>
      </c>
      <c r="L1320" s="149">
        <v>140.494</v>
      </c>
      <c r="M1320" s="67"/>
      <c r="N1320" s="135"/>
    </row>
    <row r="1321" spans="1:14" x14ac:dyDescent="0.25">
      <c r="A1321" s="142">
        <v>45236</v>
      </c>
      <c r="B1321" s="81" t="s">
        <v>45</v>
      </c>
      <c r="C1321" s="129" t="str">
        <f t="shared" si="41"/>
        <v>06.11.2023_HAAun</v>
      </c>
      <c r="D1321" s="143">
        <f t="shared" si="42"/>
        <v>0</v>
      </c>
      <c r="E1321" s="144">
        <v>2.9408045228840812E-2</v>
      </c>
      <c r="F1321" s="145">
        <v>3.7589626934484824E-2</v>
      </c>
      <c r="G1321" s="146">
        <v>0.15534950504059783</v>
      </c>
      <c r="H1321" s="146">
        <v>1.835482407827381E-2</v>
      </c>
      <c r="I1321" s="147">
        <v>2.23</v>
      </c>
      <c r="J1321" s="148">
        <v>0.62990556335960413</v>
      </c>
      <c r="K1321" s="149">
        <v>26</v>
      </c>
      <c r="L1321" s="149">
        <v>190.92599999999999</v>
      </c>
      <c r="M1321" s="67"/>
      <c r="N1321" s="135"/>
    </row>
    <row r="1322" spans="1:14" x14ac:dyDescent="0.25">
      <c r="A1322" s="142">
        <v>45236</v>
      </c>
      <c r="B1322" s="81" t="s">
        <v>47</v>
      </c>
      <c r="C1322" s="129" t="str">
        <f t="shared" si="41"/>
        <v>06.11.2023_KIRob</v>
      </c>
      <c r="D1322" s="143">
        <f t="shared" si="42"/>
        <v>0</v>
      </c>
      <c r="E1322" s="144">
        <v>1.6337802904911808E-3</v>
      </c>
      <c r="F1322" s="145">
        <v>4.0065394797493782E-3</v>
      </c>
      <c r="G1322" s="146">
        <v>0.54767283132956524</v>
      </c>
      <c r="H1322" s="146">
        <v>0.33462256204237684</v>
      </c>
      <c r="I1322" s="147">
        <v>4.97</v>
      </c>
      <c r="J1322" s="148">
        <v>1.6497122158128956</v>
      </c>
      <c r="K1322" s="149">
        <v>70</v>
      </c>
      <c r="L1322" s="149">
        <v>151.90299999999999</v>
      </c>
      <c r="M1322" s="67"/>
      <c r="N1322" s="135"/>
    </row>
    <row r="1323" spans="1:14" x14ac:dyDescent="0.25">
      <c r="A1323" s="142">
        <v>45236</v>
      </c>
      <c r="B1323" s="81" t="s">
        <v>49</v>
      </c>
      <c r="C1323" s="129" t="str">
        <f t="shared" si="41"/>
        <v>06.11.2023_KIRun</v>
      </c>
      <c r="D1323" s="143">
        <f t="shared" si="42"/>
        <v>0</v>
      </c>
      <c r="E1323" s="144">
        <v>1.9605363485893864E-2</v>
      </c>
      <c r="F1323" s="145">
        <v>5.3099426849555183E-3</v>
      </c>
      <c r="G1323" s="146">
        <v>0.10181097505485509</v>
      </c>
      <c r="H1323" s="146">
        <v>4.6593014967925894E-2</v>
      </c>
      <c r="I1323" s="147">
        <v>4.0179999999999998</v>
      </c>
      <c r="J1323" s="148">
        <v>1.0007861074273294</v>
      </c>
      <c r="K1323" s="149">
        <v>58</v>
      </c>
      <c r="L1323" s="149">
        <v>141.72800000000001</v>
      </c>
      <c r="M1323" s="67"/>
      <c r="N1323" s="135"/>
    </row>
    <row r="1324" spans="1:14" x14ac:dyDescent="0.25">
      <c r="A1324" s="142">
        <v>45236</v>
      </c>
      <c r="B1324" s="81" t="s">
        <v>50</v>
      </c>
      <c r="C1324" s="129" t="str">
        <f t="shared" si="41"/>
        <v>06.11.2023_LIEohBo</v>
      </c>
      <c r="D1324" s="143">
        <f t="shared" si="42"/>
        <v>0</v>
      </c>
      <c r="E1324" s="144">
        <v>1.3070242323929277E-2</v>
      </c>
      <c r="F1324" s="145">
        <v>1.4115462031175575E-2</v>
      </c>
      <c r="G1324" s="146">
        <v>5.3538529985742718E-2</v>
      </c>
      <c r="H1324" s="146">
        <v>0</v>
      </c>
      <c r="I1324" s="147">
        <v>10.792</v>
      </c>
      <c r="J1324" s="148">
        <v>2.4791611731486292</v>
      </c>
      <c r="K1324" s="149">
        <v>25.158999999999999</v>
      </c>
      <c r="L1324" s="149">
        <v>86.486000000000004</v>
      </c>
      <c r="M1324" s="67"/>
      <c r="N1324" s="135"/>
    </row>
    <row r="1325" spans="1:14" x14ac:dyDescent="0.25">
      <c r="A1325" s="142">
        <v>45236</v>
      </c>
      <c r="B1325" s="81" t="s">
        <v>53</v>
      </c>
      <c r="C1325" s="129" t="str">
        <f t="shared" si="41"/>
        <v>06.11.2023_NATohBo</v>
      </c>
      <c r="D1325" s="143">
        <f t="shared" si="42"/>
        <v>0</v>
      </c>
      <c r="E1325" s="144">
        <v>3.2675605809823108E-2</v>
      </c>
      <c r="F1325" s="145">
        <v>1.6930792904160833E-2</v>
      </c>
      <c r="G1325" s="146">
        <v>5.1783168346865915E-2</v>
      </c>
      <c r="H1325" s="146">
        <v>0</v>
      </c>
      <c r="I1325" s="147">
        <v>2.7610000000000001</v>
      </c>
      <c r="J1325" s="148">
        <v>0.66383618238965791</v>
      </c>
      <c r="K1325" s="149">
        <v>43</v>
      </c>
      <c r="L1325" s="149">
        <v>200.94399999999999</v>
      </c>
      <c r="M1325" s="67"/>
      <c r="N1325" s="135"/>
    </row>
    <row r="1326" spans="1:14" x14ac:dyDescent="0.25">
      <c r="A1326" s="142">
        <v>45236</v>
      </c>
      <c r="B1326" s="81" t="s">
        <v>55</v>
      </c>
      <c r="C1326" s="129" t="str">
        <f t="shared" si="41"/>
        <v>06.11.2023_QUAohBo</v>
      </c>
      <c r="D1326" s="143">
        <f t="shared" si="42"/>
        <v>0</v>
      </c>
      <c r="E1326" s="144">
        <v>5.3914749586208149E-2</v>
      </c>
      <c r="F1326" s="145">
        <v>1.0207617056406319E-2</v>
      </c>
      <c r="G1326" s="146">
        <v>6.5826061457880433E-2</v>
      </c>
      <c r="H1326" s="146">
        <v>5.3652562690338891E-2</v>
      </c>
      <c r="I1326" s="147">
        <v>7.6230000000000002</v>
      </c>
      <c r="J1326" s="148">
        <v>1.7892548111725033</v>
      </c>
      <c r="K1326" s="149">
        <v>24</v>
      </c>
      <c r="L1326" s="149">
        <v>92.921000000000006</v>
      </c>
      <c r="M1326" s="67"/>
      <c r="N1326" s="135"/>
    </row>
    <row r="1327" spans="1:14" x14ac:dyDescent="0.25">
      <c r="A1327" s="142">
        <v>45236</v>
      </c>
      <c r="B1327" s="81" t="s">
        <v>57</v>
      </c>
      <c r="C1327" s="129" t="str">
        <f t="shared" si="41"/>
        <v>06.11.2023_SCHohVo</v>
      </c>
      <c r="D1327" s="143">
        <f t="shared" si="42"/>
        <v>0</v>
      </c>
      <c r="E1327" s="144">
        <v>4.0844507262278944E-2</v>
      </c>
      <c r="F1327" s="145">
        <v>1.0235331127196108E-2</v>
      </c>
      <c r="G1327" s="146">
        <v>9.3034166860471015E-2</v>
      </c>
      <c r="H1327" s="146">
        <v>8.4714572668956128E-2</v>
      </c>
      <c r="I1327" s="147">
        <v>1.462</v>
      </c>
      <c r="J1327" s="148">
        <v>0.42825339187455086</v>
      </c>
      <c r="K1327" s="149">
        <v>25.036999999999999</v>
      </c>
      <c r="L1327" s="149">
        <v>73.614999999999995</v>
      </c>
      <c r="M1327" s="67"/>
      <c r="N1327" s="135"/>
    </row>
    <row r="1328" spans="1:14" x14ac:dyDescent="0.25">
      <c r="A1328" s="142">
        <v>45236</v>
      </c>
      <c r="B1328" s="81" t="s">
        <v>60</v>
      </c>
      <c r="C1328" s="129" t="str">
        <f t="shared" si="41"/>
        <v>06.11.2023_VORohBo</v>
      </c>
      <c r="D1328" s="143">
        <f t="shared" si="42"/>
        <v>0</v>
      </c>
      <c r="E1328" s="144">
        <v>3.4009884294038607E-17</v>
      </c>
      <c r="F1328" s="145">
        <v>6.7384453421076998E-3</v>
      </c>
      <c r="G1328" s="146">
        <v>0.27120337320646737</v>
      </c>
      <c r="H1328" s="146">
        <v>3.1062009978617244E-2</v>
      </c>
      <c r="I1328" s="147">
        <v>1</v>
      </c>
      <c r="J1328" s="148">
        <v>0.44591353619907986</v>
      </c>
      <c r="K1328" s="149">
        <v>29</v>
      </c>
      <c r="L1328" s="149">
        <v>171.446</v>
      </c>
      <c r="M1328" s="67"/>
      <c r="N1328" s="135"/>
    </row>
    <row r="1329" spans="1:14" x14ac:dyDescent="0.25">
      <c r="A1329" s="142">
        <v>45236</v>
      </c>
      <c r="B1329" s="81" t="s">
        <v>62</v>
      </c>
      <c r="C1329" s="129" t="str">
        <f t="shared" si="41"/>
        <v>06.11.2023_VORuhSc</v>
      </c>
      <c r="D1329" s="143">
        <f t="shared" si="42"/>
        <v>0</v>
      </c>
      <c r="E1329" s="144">
        <v>0</v>
      </c>
      <c r="F1329" s="145">
        <v>4.513651100452769E-3</v>
      </c>
      <c r="G1329" s="146">
        <v>0.15359414340172101</v>
      </c>
      <c r="H1329" s="146">
        <v>3.9533467245512897E-2</v>
      </c>
      <c r="I1329" s="147">
        <v>0.81399999999999995</v>
      </c>
      <c r="J1329" s="148">
        <v>0.31515846051289875</v>
      </c>
      <c r="K1329" s="149">
        <v>26</v>
      </c>
      <c r="L1329" s="149">
        <v>155.33699999999999</v>
      </c>
      <c r="M1329" s="67"/>
      <c r="N1329" s="135"/>
    </row>
    <row r="1330" spans="1:14" x14ac:dyDescent="0.25">
      <c r="A1330" s="142">
        <v>45236</v>
      </c>
      <c r="B1330" s="81" t="s">
        <v>64</v>
      </c>
      <c r="C1330" s="129" t="str">
        <f t="shared" si="41"/>
        <v>06.11.2023_WITob</v>
      </c>
      <c r="D1330" s="143">
        <f t="shared" si="42"/>
        <v>0</v>
      </c>
      <c r="E1330" s="144">
        <v>3.4309386100314289E-2</v>
      </c>
      <c r="F1330" s="145">
        <v>5.0934725716317965E-3</v>
      </c>
      <c r="G1330" s="146">
        <v>5.8804614902373153E-2</v>
      </c>
      <c r="H1330" s="146">
        <v>0</v>
      </c>
      <c r="I1330" s="147">
        <v>0.63500000000000001</v>
      </c>
      <c r="J1330" s="148">
        <v>0.18908864542554371</v>
      </c>
      <c r="K1330" s="149">
        <v>54</v>
      </c>
      <c r="L1330" s="149">
        <v>236.66499999999999</v>
      </c>
      <c r="M1330" s="67"/>
      <c r="N1330" s="135"/>
    </row>
    <row r="1331" spans="1:14" x14ac:dyDescent="0.25">
      <c r="A1331" s="142">
        <v>45251</v>
      </c>
      <c r="B1331" s="81" t="s">
        <v>22</v>
      </c>
      <c r="C1331" s="129" t="str">
        <f t="shared" si="41"/>
        <v>21.11.2023_BOYkl</v>
      </c>
      <c r="D1331" s="143">
        <f t="shared" si="42"/>
        <v>0</v>
      </c>
      <c r="E1331" s="144">
        <v>8.4049750563794184E-2</v>
      </c>
      <c r="F1331" s="145">
        <v>2.5594630487043957E-2</v>
      </c>
      <c r="G1331" s="146">
        <v>0.16635078392850264</v>
      </c>
      <c r="H1331" s="146">
        <v>9.0486348122866878E-2</v>
      </c>
      <c r="I1331" s="147">
        <v>24.41</v>
      </c>
      <c r="J1331" s="148">
        <v>5.6702049888986501</v>
      </c>
      <c r="K1331" s="149">
        <v>20.835000000000001</v>
      </c>
      <c r="L1331" s="149">
        <v>44.828000000000003</v>
      </c>
      <c r="M1331" s="67"/>
      <c r="N1331" s="135"/>
    </row>
    <row r="1332" spans="1:14" x14ac:dyDescent="0.25">
      <c r="A1332" s="142">
        <v>45251</v>
      </c>
      <c r="B1332" s="81" t="s">
        <v>25</v>
      </c>
      <c r="C1332" s="129" t="str">
        <f t="shared" si="41"/>
        <v>21.11.2023_BOYohB224</v>
      </c>
      <c r="D1332" s="143">
        <f t="shared" si="42"/>
        <v>0</v>
      </c>
      <c r="E1332" s="144">
        <v>5.2531094102371376E-2</v>
      </c>
      <c r="F1332" s="145">
        <v>1.7190095500488507E-2</v>
      </c>
      <c r="G1332" s="146">
        <v>0.2624831465002504</v>
      </c>
      <c r="H1332" s="146">
        <v>7.3085127330007854E-2</v>
      </c>
      <c r="I1332" s="147">
        <v>6.3639999999999999</v>
      </c>
      <c r="J1332" s="148">
        <v>1.6635029854416001</v>
      </c>
      <c r="K1332" s="149">
        <v>21.503</v>
      </c>
      <c r="L1332" s="149">
        <v>110.94199999999999</v>
      </c>
      <c r="M1332" s="67"/>
      <c r="N1332" s="135"/>
    </row>
    <row r="1333" spans="1:14" x14ac:dyDescent="0.25">
      <c r="A1333" s="142">
        <v>45251</v>
      </c>
      <c r="B1333" s="81" t="s">
        <v>28</v>
      </c>
      <c r="C1333" s="129" t="str">
        <f t="shared" si="41"/>
        <v>21.11.2023_BOYohBr</v>
      </c>
      <c r="D1333" s="143">
        <f t="shared" si="42"/>
        <v>0</v>
      </c>
      <c r="E1333" s="144">
        <v>2.5515102849723258E-2</v>
      </c>
      <c r="F1333" s="145">
        <v>3.9041185189443203E-2</v>
      </c>
      <c r="G1333" s="146">
        <v>4.7648214492083667E-2</v>
      </c>
      <c r="H1333" s="146">
        <v>6.6124639012864236E-2</v>
      </c>
      <c r="I1333" s="147">
        <v>12.647</v>
      </c>
      <c r="J1333" s="148">
        <v>2.9137078984184246</v>
      </c>
      <c r="K1333" s="149">
        <v>14.395</v>
      </c>
      <c r="L1333" s="149">
        <v>63.808999999999997</v>
      </c>
      <c r="M1333" s="67"/>
      <c r="N1333" s="135"/>
    </row>
    <row r="1334" spans="1:14" x14ac:dyDescent="0.25">
      <c r="A1334" s="142">
        <v>45251</v>
      </c>
      <c r="B1334" s="81" t="s">
        <v>30</v>
      </c>
      <c r="C1334" s="129" t="str">
        <f t="shared" si="41"/>
        <v>21.11.2023_BOYohKi</v>
      </c>
      <c r="D1334" s="143">
        <f t="shared" si="42"/>
        <v>0</v>
      </c>
      <c r="E1334" s="144">
        <v>0</v>
      </c>
      <c r="F1334" s="145">
        <v>1.9557582573549441E-2</v>
      </c>
      <c r="G1334" s="146">
        <v>9.1116761046265274E-2</v>
      </c>
      <c r="H1334" s="146">
        <v>4.4083092675242831E-2</v>
      </c>
      <c r="I1334" s="147">
        <v>8.4809999999999999</v>
      </c>
      <c r="J1334" s="148">
        <v>1.9997758213497923</v>
      </c>
      <c r="K1334" s="149">
        <v>23.545000000000002</v>
      </c>
      <c r="L1334" s="149">
        <v>92.429000000000002</v>
      </c>
      <c r="M1334" s="67"/>
      <c r="N1334" s="135"/>
    </row>
    <row r="1335" spans="1:14" x14ac:dyDescent="0.25">
      <c r="A1335" s="142">
        <v>45251</v>
      </c>
      <c r="B1335" s="81" t="s">
        <v>32</v>
      </c>
      <c r="C1335" s="129" t="str">
        <f t="shared" si="41"/>
        <v>21.11.2023_BOYohSp</v>
      </c>
      <c r="D1335" s="143">
        <f t="shared" si="42"/>
        <v>0</v>
      </c>
      <c r="E1335" s="144">
        <v>2.8516879655573063E-2</v>
      </c>
      <c r="F1335" s="145">
        <v>2.3467195109010054E-2</v>
      </c>
      <c r="G1335" s="146">
        <v>0.14378057706383146</v>
      </c>
      <c r="H1335" s="146">
        <v>8.4685941191913888E-2</v>
      </c>
      <c r="I1335" s="147">
        <v>11.992000000000001</v>
      </c>
      <c r="J1335" s="148">
        <v>2.8460598550801728</v>
      </c>
      <c r="K1335" s="149">
        <v>23</v>
      </c>
      <c r="L1335" s="149">
        <v>80.123999999999995</v>
      </c>
      <c r="M1335" s="67"/>
      <c r="N1335" s="135"/>
    </row>
    <row r="1336" spans="1:14" x14ac:dyDescent="0.25">
      <c r="A1336" s="142">
        <v>45251</v>
      </c>
      <c r="B1336" s="81" t="s">
        <v>34</v>
      </c>
      <c r="C1336" s="129" t="str">
        <f t="shared" si="41"/>
        <v>21.11.2023_BOYuhHa</v>
      </c>
      <c r="D1336" s="143">
        <f t="shared" si="42"/>
        <v>0</v>
      </c>
      <c r="E1336" s="144">
        <v>2.8516879655573063E-2</v>
      </c>
      <c r="F1336" s="145">
        <v>2.478003358085934E-2</v>
      </c>
      <c r="G1336" s="146">
        <v>0.28756115412766281</v>
      </c>
      <c r="H1336" s="146">
        <v>6.4964557626673664E-2</v>
      </c>
      <c r="I1336" s="147">
        <v>7.4210000000000003</v>
      </c>
      <c r="J1336" s="148">
        <v>1.9192480901380298</v>
      </c>
      <c r="K1336" s="149">
        <v>22.81</v>
      </c>
      <c r="L1336" s="149">
        <v>117.64700000000001</v>
      </c>
      <c r="M1336" s="67"/>
      <c r="N1336" s="135"/>
    </row>
    <row r="1337" spans="1:14" x14ac:dyDescent="0.25">
      <c r="A1337" s="142">
        <v>45251</v>
      </c>
      <c r="B1337" s="81" t="s">
        <v>36</v>
      </c>
      <c r="C1337" s="129" t="str">
        <f t="shared" si="41"/>
        <v>21.11.2023_BOYuhSp</v>
      </c>
      <c r="D1337" s="143">
        <f t="shared" si="42"/>
        <v>0</v>
      </c>
      <c r="E1337" s="144">
        <v>2.8516879655573063E-2</v>
      </c>
      <c r="F1337" s="145">
        <v>2.1894488249193683E-2</v>
      </c>
      <c r="G1337" s="146">
        <v>0.12873377248738396</v>
      </c>
      <c r="H1337" s="146">
        <v>7.7725452874770257E-2</v>
      </c>
      <c r="I1337" s="147">
        <v>11.824</v>
      </c>
      <c r="J1337" s="148">
        <v>2.7943108811264525</v>
      </c>
      <c r="K1337" s="149">
        <v>23</v>
      </c>
      <c r="L1337" s="149">
        <v>85.254999999999995</v>
      </c>
      <c r="M1337" s="67"/>
      <c r="N1337" s="135"/>
    </row>
    <row r="1338" spans="1:14" x14ac:dyDescent="0.25">
      <c r="A1338" s="142">
        <v>45251</v>
      </c>
      <c r="B1338" s="81" t="s">
        <v>38</v>
      </c>
      <c r="C1338" s="129" t="str">
        <f t="shared" si="41"/>
        <v>21.11.2023_BRAob</v>
      </c>
      <c r="D1338" s="143">
        <f t="shared" si="42"/>
        <v>0</v>
      </c>
      <c r="E1338" s="144">
        <v>0</v>
      </c>
      <c r="F1338" s="145">
        <v>1.0190140059437559E-2</v>
      </c>
      <c r="G1338" s="146">
        <v>7.1054354944335291E-2</v>
      </c>
      <c r="H1338" s="146">
        <v>3.0162116040955634E-2</v>
      </c>
      <c r="I1338" s="147">
        <v>4.625</v>
      </c>
      <c r="J1338" s="148">
        <v>1.1090046022993958</v>
      </c>
      <c r="K1338" s="149">
        <v>33</v>
      </c>
      <c r="L1338" s="149">
        <v>127.129</v>
      </c>
      <c r="M1338" s="67"/>
      <c r="N1338" s="135"/>
    </row>
    <row r="1339" spans="1:14" x14ac:dyDescent="0.25">
      <c r="A1339" s="142">
        <v>45251</v>
      </c>
      <c r="B1339" s="81" t="s">
        <v>41</v>
      </c>
      <c r="C1339" s="129" t="str">
        <f t="shared" si="41"/>
        <v>21.11.2023_BRAohBo</v>
      </c>
      <c r="D1339" s="143">
        <f t="shared" si="42"/>
        <v>0</v>
      </c>
      <c r="E1339" s="144">
        <v>0</v>
      </c>
      <c r="F1339" s="145">
        <v>2.1221873966765181E-2</v>
      </c>
      <c r="G1339" s="146">
        <v>0.34189683732038995</v>
      </c>
      <c r="H1339" s="146">
        <v>8.4685941191913888E-2</v>
      </c>
      <c r="I1339" s="147">
        <v>9.4960000000000004</v>
      </c>
      <c r="J1339" s="148">
        <v>2.4361236300067879</v>
      </c>
      <c r="K1339" s="149">
        <v>27</v>
      </c>
      <c r="L1339" s="149">
        <v>91.635999999999996</v>
      </c>
      <c r="M1339" s="67"/>
      <c r="N1339" s="135"/>
    </row>
    <row r="1340" spans="1:14" x14ac:dyDescent="0.25">
      <c r="A1340" s="142">
        <v>45251</v>
      </c>
      <c r="B1340" s="81" t="s">
        <v>43</v>
      </c>
      <c r="C1340" s="129" t="str">
        <f t="shared" si="41"/>
        <v>21.11.2023_HAAob</v>
      </c>
      <c r="D1340" s="143">
        <f t="shared" si="42"/>
        <v>0</v>
      </c>
      <c r="E1340" s="144">
        <v>1.3507995626324104E-2</v>
      </c>
      <c r="F1340" s="145">
        <v>8.3901829619974916E-3</v>
      </c>
      <c r="G1340" s="146">
        <v>5.3499749605146557E-2</v>
      </c>
      <c r="H1340" s="146">
        <v>4.2923011289052238E-2</v>
      </c>
      <c r="I1340" s="147">
        <v>3.1749999999999998</v>
      </c>
      <c r="J1340" s="148">
        <v>0.77174718135785214</v>
      </c>
      <c r="K1340" s="149">
        <v>28.047999999999998</v>
      </c>
      <c r="L1340" s="149">
        <v>118.73399999999999</v>
      </c>
      <c r="M1340" s="67"/>
      <c r="N1340" s="135"/>
    </row>
    <row r="1341" spans="1:14" x14ac:dyDescent="0.25">
      <c r="A1341" s="142">
        <v>45251</v>
      </c>
      <c r="B1341" s="81" t="s">
        <v>45</v>
      </c>
      <c r="C1341" s="129" t="str">
        <f t="shared" si="41"/>
        <v>21.11.2023_HAAun</v>
      </c>
      <c r="D1341" s="143">
        <f t="shared" si="42"/>
        <v>0</v>
      </c>
      <c r="E1341" s="144">
        <v>0</v>
      </c>
      <c r="F1341" s="145">
        <v>1.4572765070938775E-2</v>
      </c>
      <c r="G1341" s="146">
        <v>0.11201510073577566</v>
      </c>
      <c r="H1341" s="146">
        <v>4.4083092675242831E-2</v>
      </c>
      <c r="I1341" s="147">
        <v>3.4359999999999999</v>
      </c>
      <c r="J1341" s="148">
        <v>0.87648902313530008</v>
      </c>
      <c r="K1341" s="149">
        <v>25.224</v>
      </c>
      <c r="L1341" s="149">
        <v>165.363</v>
      </c>
      <c r="M1341" s="67"/>
      <c r="N1341" s="135"/>
    </row>
    <row r="1342" spans="1:14" x14ac:dyDescent="0.25">
      <c r="A1342" s="142">
        <v>45251</v>
      </c>
      <c r="B1342" s="81" t="s">
        <v>47</v>
      </c>
      <c r="C1342" s="129" t="str">
        <f t="shared" si="41"/>
        <v>21.11.2023_KIRob</v>
      </c>
      <c r="D1342" s="143">
        <f t="shared" si="42"/>
        <v>0</v>
      </c>
      <c r="E1342" s="144">
        <v>1.500888402924918E-3</v>
      </c>
      <c r="F1342" s="145">
        <v>5.0061673802728338E-3</v>
      </c>
      <c r="G1342" s="146">
        <v>0.52329442582534003</v>
      </c>
      <c r="H1342" s="146">
        <v>0.12992911525334727</v>
      </c>
      <c r="I1342" s="147">
        <v>3.82</v>
      </c>
      <c r="J1342" s="148">
        <v>1.3087132078479997</v>
      </c>
      <c r="K1342" s="149">
        <v>48</v>
      </c>
      <c r="L1342" s="149">
        <v>138.947</v>
      </c>
      <c r="M1342" s="67"/>
      <c r="N1342" s="135"/>
    </row>
    <row r="1343" spans="1:14" x14ac:dyDescent="0.25">
      <c r="A1343" s="142">
        <v>45251</v>
      </c>
      <c r="B1343" s="81" t="s">
        <v>49</v>
      </c>
      <c r="C1343" s="129" t="str">
        <f t="shared" si="41"/>
        <v>21.11.2023_KIRun</v>
      </c>
      <c r="D1343" s="143">
        <f t="shared" si="42"/>
        <v>0</v>
      </c>
      <c r="E1343" s="144">
        <v>5.853464771407095E-2</v>
      </c>
      <c r="F1343" s="145">
        <v>4.3698812288071199E-3</v>
      </c>
      <c r="G1343" s="146">
        <v>0.14796024500173352</v>
      </c>
      <c r="H1343" s="146">
        <v>0.12064846416382247</v>
      </c>
      <c r="I1343" s="147">
        <v>4.3659999999999997</v>
      </c>
      <c r="J1343" s="148">
        <v>1.1377694955560718</v>
      </c>
      <c r="K1343" s="149">
        <v>55</v>
      </c>
      <c r="L1343" s="149">
        <v>141.51900000000001</v>
      </c>
      <c r="M1343" s="67"/>
      <c r="N1343" s="135"/>
    </row>
    <row r="1344" spans="1:14" x14ac:dyDescent="0.25">
      <c r="A1344" s="142">
        <v>45251</v>
      </c>
      <c r="B1344" s="81" t="s">
        <v>50</v>
      </c>
      <c r="C1344" s="129" t="str">
        <f t="shared" si="41"/>
        <v>21.11.2023_LIEohBo</v>
      </c>
      <c r="D1344" s="143">
        <f t="shared" si="42"/>
        <v>0</v>
      </c>
      <c r="E1344" s="144">
        <v>3.9023098476047305E-2</v>
      </c>
      <c r="F1344" s="145">
        <v>9.9464729581132307E-3</v>
      </c>
      <c r="G1344" s="146">
        <v>4.6812280904503234E-2</v>
      </c>
      <c r="H1344" s="146">
        <v>6.0324232081911268E-2</v>
      </c>
      <c r="I1344" s="147">
        <v>11.164999999999999</v>
      </c>
      <c r="J1344" s="148">
        <v>2.576553530456875</v>
      </c>
      <c r="K1344" s="149">
        <v>18.945</v>
      </c>
      <c r="L1344" s="149">
        <v>92.566999999999993</v>
      </c>
      <c r="M1344" s="67"/>
      <c r="N1344" s="135"/>
    </row>
    <row r="1345" spans="1:14" x14ac:dyDescent="0.25">
      <c r="A1345" s="142">
        <v>45251</v>
      </c>
      <c r="B1345" s="81" t="s">
        <v>53</v>
      </c>
      <c r="C1345" s="129" t="str">
        <f t="shared" si="41"/>
        <v>21.11.2023_NATohBo</v>
      </c>
      <c r="D1345" s="143">
        <f t="shared" si="42"/>
        <v>0</v>
      </c>
      <c r="E1345" s="144">
        <v>2.7015991252648176E-2</v>
      </c>
      <c r="F1345" s="145">
        <v>1.4563891703515479E-2</v>
      </c>
      <c r="G1345" s="146">
        <v>0.10867136638545402</v>
      </c>
      <c r="H1345" s="146">
        <v>5.4523825150958251E-2</v>
      </c>
      <c r="I1345" s="147">
        <v>5.8019999999999996</v>
      </c>
      <c r="J1345" s="148">
        <v>1.4114797478518502</v>
      </c>
      <c r="K1345" s="149">
        <v>39</v>
      </c>
      <c r="L1345" s="149">
        <v>215.42699999999999</v>
      </c>
      <c r="M1345" s="67"/>
      <c r="N1345" s="135"/>
    </row>
    <row r="1346" spans="1:14" x14ac:dyDescent="0.25">
      <c r="A1346" s="142">
        <v>45251</v>
      </c>
      <c r="B1346" s="81" t="s">
        <v>55</v>
      </c>
      <c r="C1346" s="129" t="str">
        <f t="shared" si="41"/>
        <v>21.11.2023_QUAohBo</v>
      </c>
      <c r="D1346" s="143">
        <f t="shared" si="42"/>
        <v>0</v>
      </c>
      <c r="E1346" s="144">
        <v>2.7015991252648176E-2</v>
      </c>
      <c r="F1346" s="145">
        <v>6.6351033542000632E-3</v>
      </c>
      <c r="G1346" s="146">
        <v>0.10365576485997152</v>
      </c>
      <c r="H1346" s="146">
        <v>9.1646429509057492E-2</v>
      </c>
      <c r="I1346" s="147">
        <v>7.7690000000000001</v>
      </c>
      <c r="J1346" s="148">
        <v>1.8631734503201518</v>
      </c>
      <c r="K1346" s="149">
        <v>29</v>
      </c>
      <c r="L1346" s="149">
        <v>102.252</v>
      </c>
      <c r="M1346" s="67"/>
      <c r="N1346" s="135"/>
    </row>
    <row r="1347" spans="1:14" x14ac:dyDescent="0.25">
      <c r="A1347" s="142">
        <v>45251</v>
      </c>
      <c r="B1347" s="81" t="s">
        <v>57</v>
      </c>
      <c r="C1347" s="129" t="str">
        <f t="shared" si="41"/>
        <v>21.11.2023_SCHohVo</v>
      </c>
      <c r="D1347" s="143">
        <f t="shared" si="42"/>
        <v>0</v>
      </c>
      <c r="E1347" s="144">
        <v>6.0035536116996085E-3</v>
      </c>
      <c r="F1347" s="145">
        <v>1.1185994264911564E-2</v>
      </c>
      <c r="G1347" s="146">
        <v>0.1069994992102932</v>
      </c>
      <c r="H1347" s="146">
        <v>3.5962522971908654E-2</v>
      </c>
      <c r="I1347" s="147">
        <v>2.2519999999999998</v>
      </c>
      <c r="J1347" s="148">
        <v>0.60269207126059809</v>
      </c>
      <c r="K1347" s="149">
        <v>15.733000000000001</v>
      </c>
      <c r="L1347" s="149">
        <v>67.587999999999994</v>
      </c>
      <c r="M1347" s="67"/>
      <c r="N1347" s="135"/>
    </row>
    <row r="1348" spans="1:14" x14ac:dyDescent="0.25">
      <c r="A1348" s="142">
        <v>45251</v>
      </c>
      <c r="B1348" s="81" t="s">
        <v>60</v>
      </c>
      <c r="C1348" s="129" t="str">
        <f t="shared" si="41"/>
        <v>21.11.2023_VORohBo</v>
      </c>
      <c r="D1348" s="143">
        <f t="shared" si="42"/>
        <v>0</v>
      </c>
      <c r="E1348" s="144">
        <v>2.7015991252648176E-2</v>
      </c>
      <c r="F1348" s="145">
        <v>5.1136373874088514E-3</v>
      </c>
      <c r="G1348" s="146">
        <v>0.24576447474864213</v>
      </c>
      <c r="H1348" s="146">
        <v>5.6843987923339466E-2</v>
      </c>
      <c r="I1348" s="147">
        <v>2.032</v>
      </c>
      <c r="J1348" s="148">
        <v>0.66710764912083376</v>
      </c>
      <c r="K1348" s="149">
        <v>24</v>
      </c>
      <c r="L1348" s="149">
        <v>155.74299999999999</v>
      </c>
      <c r="M1348" s="67"/>
      <c r="N1348" s="135"/>
    </row>
    <row r="1349" spans="1:14" x14ac:dyDescent="0.25">
      <c r="A1349" s="142">
        <v>45251</v>
      </c>
      <c r="B1349" s="81" t="s">
        <v>62</v>
      </c>
      <c r="C1349" s="129" t="str">
        <f t="shared" ref="C1349:C1552" si="43">CONCATENATE(TEXT(A1349,"TT.MM.JJJJ"),"_",B1349)</f>
        <v>21.11.2023_VORuhSc</v>
      </c>
      <c r="D1349" s="143">
        <f t="shared" ref="D1349:D1412" si="44">COUNTBLANK(E1349:L1349)</f>
        <v>0</v>
      </c>
      <c r="E1349" s="144">
        <v>1.500888402924918E-3</v>
      </c>
      <c r="F1349" s="145">
        <v>6.870472282871719E-3</v>
      </c>
      <c r="G1349" s="146">
        <v>0.10616356562271277</v>
      </c>
      <c r="H1349" s="146">
        <v>6.2644394854292462E-2</v>
      </c>
      <c r="I1349" s="147">
        <v>1.8620000000000001</v>
      </c>
      <c r="J1349" s="148">
        <v>0.52207697308376955</v>
      </c>
      <c r="K1349" s="149">
        <v>21.289000000000001</v>
      </c>
      <c r="L1349" s="149">
        <v>132.881</v>
      </c>
      <c r="M1349" s="67"/>
      <c r="N1349" s="135"/>
    </row>
    <row r="1350" spans="1:14" x14ac:dyDescent="0.25">
      <c r="A1350" s="142">
        <v>45251</v>
      </c>
      <c r="B1350" s="81" t="s">
        <v>64</v>
      </c>
      <c r="C1350" s="129" t="str">
        <f t="shared" si="43"/>
        <v>21.11.2023_WITob</v>
      </c>
      <c r="D1350" s="143">
        <f t="shared" si="44"/>
        <v>0</v>
      </c>
      <c r="E1350" s="144">
        <v>2.4014214446798372E-2</v>
      </c>
      <c r="F1350" s="145">
        <v>4.2700228966623451E-3</v>
      </c>
      <c r="G1350" s="146">
        <v>3.092954274047539E-2</v>
      </c>
      <c r="H1350" s="146">
        <v>2.4361709110002641E-2</v>
      </c>
      <c r="I1350" s="147">
        <v>1.6839999999999999</v>
      </c>
      <c r="J1350" s="148">
        <v>0.41179848298109201</v>
      </c>
      <c r="K1350" s="149">
        <v>46</v>
      </c>
      <c r="L1350" s="149">
        <v>273.464</v>
      </c>
      <c r="M1350" s="67"/>
      <c r="N1350" s="135"/>
    </row>
    <row r="1351" spans="1:14" x14ac:dyDescent="0.25">
      <c r="A1351" s="142">
        <v>45271</v>
      </c>
      <c r="B1351" s="81" t="s">
        <v>22</v>
      </c>
      <c r="C1351" s="129" t="str">
        <f t="shared" si="43"/>
        <v>11.12.2023_BOYkl</v>
      </c>
      <c r="D1351" s="143">
        <f t="shared" si="44"/>
        <v>0</v>
      </c>
      <c r="E1351" s="144">
        <v>0.13235589531834163</v>
      </c>
      <c r="F1351" s="145">
        <v>2.6634297283024879E-2</v>
      </c>
      <c r="G1351" s="146">
        <v>7.9886900582575873E-2</v>
      </c>
      <c r="H1351" s="146">
        <v>8.9004970243934306E-2</v>
      </c>
      <c r="I1351" s="147">
        <v>19.48</v>
      </c>
      <c r="J1351" s="148">
        <v>4.4890765426241295</v>
      </c>
      <c r="K1351" s="149">
        <v>19.379000000000001</v>
      </c>
      <c r="L1351" s="149">
        <v>39.222000000000001</v>
      </c>
      <c r="M1351" s="67">
        <v>16.350000000000001</v>
      </c>
      <c r="N1351" s="135"/>
    </row>
    <row r="1352" spans="1:14" x14ac:dyDescent="0.25">
      <c r="A1352" s="142">
        <v>45271</v>
      </c>
      <c r="B1352" s="81" t="s">
        <v>25</v>
      </c>
      <c r="C1352" s="129" t="str">
        <f t="shared" si="43"/>
        <v>11.12.2023_BOYohB224</v>
      </c>
      <c r="D1352" s="143">
        <f t="shared" si="44"/>
        <v>0</v>
      </c>
      <c r="E1352" s="144">
        <v>0.11601566132842292</v>
      </c>
      <c r="F1352" s="145">
        <v>1.8875859448243784E-2</v>
      </c>
      <c r="G1352" s="146">
        <v>9.5534850181224776E-2</v>
      </c>
      <c r="H1352" s="146">
        <v>8.2069518017134233E-2</v>
      </c>
      <c r="I1352" s="147">
        <v>8.6859999999999999</v>
      </c>
      <c r="J1352" s="148">
        <v>2.0610747405775358</v>
      </c>
      <c r="K1352" s="149">
        <v>29.484000000000002</v>
      </c>
      <c r="L1352" s="149">
        <v>101.41</v>
      </c>
      <c r="M1352" s="67">
        <v>19.7</v>
      </c>
      <c r="N1352" s="135"/>
    </row>
    <row r="1353" spans="1:14" x14ac:dyDescent="0.25">
      <c r="A1353" s="142">
        <v>45271</v>
      </c>
      <c r="B1353" s="81" t="s">
        <v>28</v>
      </c>
      <c r="C1353" s="129" t="str">
        <f t="shared" si="43"/>
        <v>11.12.2023_BOYohBr</v>
      </c>
      <c r="D1353" s="143">
        <f t="shared" si="44"/>
        <v>0</v>
      </c>
      <c r="E1353" s="144">
        <v>8.3335193348585482E-2</v>
      </c>
      <c r="F1353" s="145">
        <v>3.8329437407171492E-2</v>
      </c>
      <c r="G1353" s="146">
        <v>5.4356035447938225E-2</v>
      </c>
      <c r="H1353" s="146">
        <v>5.2015891701000572E-2</v>
      </c>
      <c r="I1353" s="147">
        <v>14.135</v>
      </c>
      <c r="J1353" s="148">
        <v>3.2507156061933391</v>
      </c>
      <c r="K1353" s="149">
        <v>16.228000000000002</v>
      </c>
      <c r="L1353" s="149">
        <v>56.61</v>
      </c>
      <c r="M1353" s="67">
        <v>13.25</v>
      </c>
      <c r="N1353" s="135"/>
    </row>
    <row r="1354" spans="1:14" x14ac:dyDescent="0.25">
      <c r="A1354" s="142">
        <v>45271</v>
      </c>
      <c r="B1354" s="81" t="s">
        <v>30</v>
      </c>
      <c r="C1354" s="129" t="str">
        <f t="shared" si="43"/>
        <v>11.12.2023_BOYohKi</v>
      </c>
      <c r="D1354" s="143">
        <f t="shared" si="44"/>
        <v>0</v>
      </c>
      <c r="E1354" s="144">
        <v>3.4314491378829338E-2</v>
      </c>
      <c r="F1354" s="145">
        <v>2.1790940343625654E-2</v>
      </c>
      <c r="G1354" s="146">
        <v>7.2474713930584286E-2</v>
      </c>
      <c r="H1354" s="146">
        <v>3.1209535020600372E-2</v>
      </c>
      <c r="I1354" s="147">
        <v>9.2710000000000008</v>
      </c>
      <c r="J1354" s="148">
        <v>2.1598184035569812</v>
      </c>
      <c r="K1354" s="149">
        <v>28.038</v>
      </c>
      <c r="L1354" s="149">
        <v>83.506</v>
      </c>
      <c r="M1354" s="67">
        <v>18.079999999999998</v>
      </c>
      <c r="N1354" s="135"/>
    </row>
    <row r="1355" spans="1:14" x14ac:dyDescent="0.25">
      <c r="A1355" s="142">
        <v>45271</v>
      </c>
      <c r="B1355" s="81" t="s">
        <v>32</v>
      </c>
      <c r="C1355" s="129" t="str">
        <f t="shared" si="43"/>
        <v>11.12.2023_BOYohSp</v>
      </c>
      <c r="D1355" s="143">
        <f t="shared" si="44"/>
        <v>0</v>
      </c>
      <c r="E1355" s="144">
        <v>4.4118631772780581E-2</v>
      </c>
      <c r="F1355" s="145">
        <v>2.9901491484431889E-2</v>
      </c>
      <c r="G1355" s="146">
        <v>5.0238153974609547E-2</v>
      </c>
      <c r="H1355" s="146">
        <v>6.5886796154600719E-2</v>
      </c>
      <c r="I1355" s="147">
        <v>10.375999999999999</v>
      </c>
      <c r="J1355" s="148">
        <v>2.4026957792690129</v>
      </c>
      <c r="K1355" s="149">
        <v>26.920999999999999</v>
      </c>
      <c r="L1355" s="149">
        <v>69.516000000000005</v>
      </c>
      <c r="M1355" s="67">
        <v>16.690000000000001</v>
      </c>
      <c r="N1355" s="135"/>
    </row>
    <row r="1356" spans="1:14" x14ac:dyDescent="0.25">
      <c r="A1356" s="142">
        <v>45271</v>
      </c>
      <c r="B1356" s="81" t="s">
        <v>34</v>
      </c>
      <c r="C1356" s="129" t="str">
        <f t="shared" si="43"/>
        <v>11.12.2023_BOYuhHa</v>
      </c>
      <c r="D1356" s="143">
        <f t="shared" si="44"/>
        <v>0</v>
      </c>
      <c r="E1356" s="144">
        <v>6.8628982757658621E-2</v>
      </c>
      <c r="F1356" s="145">
        <v>1.9207135478043608E-2</v>
      </c>
      <c r="G1356" s="146">
        <v>0.10129988424388484</v>
      </c>
      <c r="H1356" s="146">
        <v>6.2419070041200675E-2</v>
      </c>
      <c r="I1356" s="147">
        <v>8.0350000000000001</v>
      </c>
      <c r="J1356" s="148">
        <v>1.9125272829905775</v>
      </c>
      <c r="K1356" s="149">
        <v>25</v>
      </c>
      <c r="L1356" s="149">
        <v>110.75700000000001</v>
      </c>
      <c r="M1356" s="67">
        <v>16.11</v>
      </c>
      <c r="N1356" s="135"/>
    </row>
    <row r="1357" spans="1:14" x14ac:dyDescent="0.25">
      <c r="A1357" s="142">
        <v>45271</v>
      </c>
      <c r="B1357" s="81" t="s">
        <v>36</v>
      </c>
      <c r="C1357" s="129" t="str">
        <f t="shared" si="43"/>
        <v>11.12.2023_BOYuhSp</v>
      </c>
      <c r="D1357" s="143">
        <f t="shared" si="44"/>
        <v>0</v>
      </c>
      <c r="E1357" s="144">
        <v>4.9020701969756199E-2</v>
      </c>
      <c r="F1357" s="145">
        <v>2.53963090051555E-2</v>
      </c>
      <c r="G1357" s="146">
        <v>9.9652731654553378E-2</v>
      </c>
      <c r="H1357" s="146">
        <v>5.3171800405467269E-2</v>
      </c>
      <c r="I1357" s="147">
        <v>9.98</v>
      </c>
      <c r="J1357" s="148">
        <v>2.3477501042358884</v>
      </c>
      <c r="K1357" s="149">
        <v>29.116</v>
      </c>
      <c r="L1357" s="149">
        <v>76.712999999999994</v>
      </c>
      <c r="M1357" s="67">
        <v>17.91</v>
      </c>
      <c r="N1357" s="135"/>
    </row>
    <row r="1358" spans="1:14" x14ac:dyDescent="0.25">
      <c r="A1358" s="142">
        <v>45271</v>
      </c>
      <c r="B1358" s="81" t="s">
        <v>38</v>
      </c>
      <c r="C1358" s="129" t="str">
        <f t="shared" si="43"/>
        <v>11.12.2023_BRAob</v>
      </c>
      <c r="D1358" s="143">
        <f t="shared" si="44"/>
        <v>0</v>
      </c>
      <c r="E1358" s="144">
        <v>4.9020701969756204E-3</v>
      </c>
      <c r="F1358" s="145">
        <v>1.3029852393995307E-2</v>
      </c>
      <c r="G1358" s="146">
        <v>5.1885306563941032E-2</v>
      </c>
      <c r="H1358" s="146">
        <v>3.1209535020600324E-2</v>
      </c>
      <c r="I1358" s="147">
        <v>6.617</v>
      </c>
      <c r="J1358" s="148">
        <v>1.5443719546308563</v>
      </c>
      <c r="K1358" s="149">
        <v>35</v>
      </c>
      <c r="L1358" s="149">
        <v>102.422</v>
      </c>
      <c r="M1358" s="67">
        <v>14.59</v>
      </c>
      <c r="N1358" s="135"/>
    </row>
    <row r="1359" spans="1:14" x14ac:dyDescent="0.25">
      <c r="A1359" s="142">
        <v>45271</v>
      </c>
      <c r="B1359" s="81" t="s">
        <v>41</v>
      </c>
      <c r="C1359" s="129" t="str">
        <f t="shared" si="43"/>
        <v>11.12.2023_BRAohBo</v>
      </c>
      <c r="D1359" s="143">
        <f t="shared" si="44"/>
        <v>0</v>
      </c>
      <c r="E1359" s="144">
        <v>4.5752655171772447E-2</v>
      </c>
      <c r="F1359" s="145">
        <v>2.373818060823675E-2</v>
      </c>
      <c r="G1359" s="146">
        <v>0.21001195513976126</v>
      </c>
      <c r="H1359" s="146">
        <v>6.1263161336733998E-2</v>
      </c>
      <c r="I1359" s="147">
        <v>7.9870000000000001</v>
      </c>
      <c r="J1359" s="148">
        <v>1.9857474425154418</v>
      </c>
      <c r="K1359" s="149">
        <v>27.35</v>
      </c>
      <c r="L1359" s="149">
        <v>73.141999999999996</v>
      </c>
      <c r="M1359" s="67">
        <v>17.59</v>
      </c>
      <c r="N1359" s="135"/>
    </row>
    <row r="1360" spans="1:14" x14ac:dyDescent="0.25">
      <c r="A1360" s="142">
        <v>45271</v>
      </c>
      <c r="B1360" s="81" t="s">
        <v>43</v>
      </c>
      <c r="C1360" s="129" t="str">
        <f t="shared" si="43"/>
        <v>11.12.2023_HAAob</v>
      </c>
      <c r="D1360" s="143">
        <f t="shared" si="44"/>
        <v>0</v>
      </c>
      <c r="E1360" s="144">
        <v>5.7190818964715548E-2</v>
      </c>
      <c r="F1360" s="145">
        <v>8.0317028161322346E-3</v>
      </c>
      <c r="G1360" s="146">
        <v>5.3532459153272482E-2</v>
      </c>
      <c r="H1360" s="146">
        <v>4.8548165587600535E-2</v>
      </c>
      <c r="I1360" s="147">
        <v>4.4950000000000001</v>
      </c>
      <c r="J1360" s="148">
        <v>1.0716335582210694</v>
      </c>
      <c r="K1360" s="149">
        <v>24.117999999999999</v>
      </c>
      <c r="L1360" s="149">
        <v>105.759</v>
      </c>
      <c r="M1360" s="67">
        <v>13.23</v>
      </c>
      <c r="N1360" s="135"/>
    </row>
    <row r="1361" spans="1:14" x14ac:dyDescent="0.25">
      <c r="A1361" s="142">
        <v>45271</v>
      </c>
      <c r="B1361" s="81" t="s">
        <v>45</v>
      </c>
      <c r="C1361" s="129" t="str">
        <f t="shared" si="43"/>
        <v>11.12.2023_HAAun</v>
      </c>
      <c r="D1361" s="143">
        <f t="shared" si="44"/>
        <v>0</v>
      </c>
      <c r="E1361" s="144">
        <v>6.8628982757658621E-2</v>
      </c>
      <c r="F1361" s="145">
        <v>4.7000363401061201E-2</v>
      </c>
      <c r="G1361" s="146">
        <v>0.2833102453650112</v>
      </c>
      <c r="H1361" s="146">
        <v>4.7392256883133858E-2</v>
      </c>
      <c r="I1361" s="147">
        <v>4.8259999999999996</v>
      </c>
      <c r="J1361" s="148">
        <v>1.3244647650315478</v>
      </c>
      <c r="K1361" s="149">
        <v>25.321999999999999</v>
      </c>
      <c r="L1361" s="149">
        <v>154.02199999999999</v>
      </c>
      <c r="M1361" s="67">
        <v>16.5</v>
      </c>
      <c r="N1361" s="135"/>
    </row>
    <row r="1362" spans="1:14" x14ac:dyDescent="0.25">
      <c r="A1362" s="142">
        <v>45271</v>
      </c>
      <c r="B1362" s="81" t="s">
        <v>47</v>
      </c>
      <c r="C1362" s="129" t="str">
        <f t="shared" si="43"/>
        <v>11.12.2023_KIRob</v>
      </c>
      <c r="D1362" s="143">
        <f t="shared" si="44"/>
        <v>0</v>
      </c>
      <c r="E1362" s="144">
        <v>3.2680467979837445E-2</v>
      </c>
      <c r="F1362" s="145">
        <v>4.3362801920622113E-3</v>
      </c>
      <c r="G1362" s="146">
        <v>0.60450500028464627</v>
      </c>
      <c r="H1362" s="146">
        <v>0.18032175789680202</v>
      </c>
      <c r="I1362" s="147">
        <v>5.4119999999999999</v>
      </c>
      <c r="J1362" s="148">
        <v>1.7466994868627062</v>
      </c>
      <c r="K1362" s="149">
        <v>60</v>
      </c>
      <c r="L1362" s="149">
        <v>144.916</v>
      </c>
      <c r="M1362" s="67">
        <v>13.61</v>
      </c>
      <c r="N1362" s="135"/>
    </row>
    <row r="1363" spans="1:14" x14ac:dyDescent="0.25">
      <c r="A1363" s="142">
        <v>45271</v>
      </c>
      <c r="B1363" s="81" t="s">
        <v>49</v>
      </c>
      <c r="C1363" s="129" t="str">
        <f t="shared" si="43"/>
        <v>11.12.2023_KIRun</v>
      </c>
      <c r="D1363" s="143">
        <f t="shared" si="44"/>
        <v>0</v>
      </c>
      <c r="E1363" s="144">
        <v>0.2075209716719677</v>
      </c>
      <c r="F1363" s="145">
        <v>4.8986891969476434E-3</v>
      </c>
      <c r="G1363" s="146">
        <v>0.11777141013719948</v>
      </c>
      <c r="H1363" s="146">
        <v>0.1155908704466679</v>
      </c>
      <c r="I1363" s="147">
        <v>4.2320000000000002</v>
      </c>
      <c r="J1363" s="148">
        <v>1.0825218027649219</v>
      </c>
      <c r="K1363" s="149">
        <v>43</v>
      </c>
      <c r="L1363" s="149">
        <v>130.75399999999999</v>
      </c>
      <c r="M1363" s="67">
        <v>13.21</v>
      </c>
      <c r="N1363" s="135"/>
    </row>
    <row r="1364" spans="1:14" x14ac:dyDescent="0.25">
      <c r="A1364" s="142">
        <v>45271</v>
      </c>
      <c r="B1364" s="81" t="s">
        <v>50</v>
      </c>
      <c r="C1364" s="129" t="str">
        <f t="shared" si="43"/>
        <v>11.12.2023_LIEohBo</v>
      </c>
      <c r="D1364" s="143">
        <f t="shared" si="44"/>
        <v>0</v>
      </c>
      <c r="E1364" s="144">
        <v>3.4314491378829338E-2</v>
      </c>
      <c r="F1364" s="145">
        <v>1.4153095936034636E-2</v>
      </c>
      <c r="G1364" s="146">
        <v>5.3532459153272482E-2</v>
      </c>
      <c r="H1364" s="146">
        <v>7.9757700608200879E-2</v>
      </c>
      <c r="I1364" s="147">
        <v>13.637</v>
      </c>
      <c r="J1364" s="148">
        <v>3.1460388411580911</v>
      </c>
      <c r="K1364" s="149">
        <v>21.588999999999999</v>
      </c>
      <c r="L1364" s="149">
        <v>92.375</v>
      </c>
      <c r="M1364" s="67">
        <v>11.55</v>
      </c>
      <c r="N1364" s="135"/>
    </row>
    <row r="1365" spans="1:14" x14ac:dyDescent="0.25">
      <c r="A1365" s="142">
        <v>45271</v>
      </c>
      <c r="B1365" s="81" t="s">
        <v>53</v>
      </c>
      <c r="C1365" s="129" t="str">
        <f t="shared" si="43"/>
        <v>11.12.2023_NATohBo</v>
      </c>
      <c r="D1365" s="143">
        <f t="shared" si="44"/>
        <v>0</v>
      </c>
      <c r="E1365" s="144">
        <v>9.1505310343544824E-2</v>
      </c>
      <c r="F1365" s="145">
        <v>2.3014480223183004E-2</v>
      </c>
      <c r="G1365" s="146">
        <v>0.23801354915839609</v>
      </c>
      <c r="H1365" s="146">
        <v>8.7849061539467657E-2</v>
      </c>
      <c r="I1365" s="147">
        <v>4.9790000000000001</v>
      </c>
      <c r="J1365" s="148">
        <v>1.3361675175716941</v>
      </c>
      <c r="K1365" s="149">
        <v>31</v>
      </c>
      <c r="L1365" s="149">
        <v>176.869</v>
      </c>
      <c r="M1365" s="67">
        <v>12.01</v>
      </c>
      <c r="N1365" s="135"/>
    </row>
    <row r="1366" spans="1:14" x14ac:dyDescent="0.25">
      <c r="A1366" s="142">
        <v>45271</v>
      </c>
      <c r="B1366" s="81" t="s">
        <v>55</v>
      </c>
      <c r="C1366" s="129" t="str">
        <f t="shared" si="43"/>
        <v>11.12.2023_QUAohBo</v>
      </c>
      <c r="D1366" s="143">
        <f t="shared" si="44"/>
        <v>0</v>
      </c>
      <c r="E1366" s="144">
        <v>5.7190818964715548E-2</v>
      </c>
      <c r="F1366" s="145">
        <v>8.6104037844313731E-3</v>
      </c>
      <c r="G1366" s="146">
        <v>0.11365352866387081</v>
      </c>
      <c r="H1366" s="146">
        <v>0.10518769210646786</v>
      </c>
      <c r="I1366" s="147">
        <v>6.7779999999999996</v>
      </c>
      <c r="J1366" s="148">
        <v>1.651222081334023</v>
      </c>
      <c r="K1366" s="149">
        <v>36</v>
      </c>
      <c r="L1366" s="149">
        <v>87.445999999999998</v>
      </c>
      <c r="M1366" s="67"/>
      <c r="N1366" s="135"/>
    </row>
    <row r="1367" spans="1:14" x14ac:dyDescent="0.25">
      <c r="A1367" s="142">
        <v>45271</v>
      </c>
      <c r="B1367" s="81" t="s">
        <v>57</v>
      </c>
      <c r="C1367" s="129" t="str">
        <f t="shared" si="43"/>
        <v>11.12.2023_SCHohVo</v>
      </c>
      <c r="D1367" s="143">
        <f t="shared" si="44"/>
        <v>0</v>
      </c>
      <c r="E1367" s="144">
        <v>1.9608280787902482E-2</v>
      </c>
      <c r="F1367" s="145">
        <v>1.5953652100438757E-2</v>
      </c>
      <c r="G1367" s="146">
        <v>0.11282995236920509</v>
      </c>
      <c r="H1367" s="146">
        <v>4.6236348178667189E-2</v>
      </c>
      <c r="I1367" s="147">
        <v>3.6429999999999998</v>
      </c>
      <c r="J1367" s="148">
        <v>0.92453239591815917</v>
      </c>
      <c r="K1367" s="149">
        <v>18.385999999999999</v>
      </c>
      <c r="L1367" s="149">
        <v>69.156999999999996</v>
      </c>
      <c r="M1367" s="67">
        <v>18.98</v>
      </c>
      <c r="N1367" s="135"/>
    </row>
    <row r="1368" spans="1:14" x14ac:dyDescent="0.25">
      <c r="A1368" s="142">
        <v>45271</v>
      </c>
      <c r="B1368" s="81" t="s">
        <v>60</v>
      </c>
      <c r="C1368" s="129" t="str">
        <f t="shared" si="43"/>
        <v>11.12.2023_VORohBo</v>
      </c>
      <c r="D1368" s="143">
        <f t="shared" si="44"/>
        <v>0</v>
      </c>
      <c r="E1368" s="144">
        <v>4.7386678570764305E-2</v>
      </c>
      <c r="F1368" s="145">
        <v>8.1133361831582443E-3</v>
      </c>
      <c r="G1368" s="146">
        <v>0.24295500692639047</v>
      </c>
      <c r="H1368" s="146">
        <v>5.2015891701000572E-2</v>
      </c>
      <c r="I1368" s="147">
        <v>2.661</v>
      </c>
      <c r="J1368" s="148">
        <v>0.80552844155664249</v>
      </c>
      <c r="K1368" s="149">
        <v>26.518000000000001</v>
      </c>
      <c r="L1368" s="149">
        <v>139.24199999999999</v>
      </c>
      <c r="M1368" s="67">
        <v>16.22</v>
      </c>
      <c r="N1368" s="135"/>
    </row>
    <row r="1369" spans="1:14" x14ac:dyDescent="0.25">
      <c r="A1369" s="142">
        <v>45271</v>
      </c>
      <c r="B1369" s="81" t="s">
        <v>62</v>
      </c>
      <c r="C1369" s="129" t="str">
        <f t="shared" si="43"/>
        <v>11.12.2023_VORuhSc</v>
      </c>
      <c r="D1369" s="143">
        <f t="shared" si="44"/>
        <v>0</v>
      </c>
      <c r="E1369" s="144">
        <v>3.1046444580845583E-2</v>
      </c>
      <c r="F1369" s="145">
        <v>7.6952174440472207E-3</v>
      </c>
      <c r="G1369" s="146">
        <v>0.12436002049452533</v>
      </c>
      <c r="H1369" s="146">
        <v>4.6236348178667189E-2</v>
      </c>
      <c r="I1369" s="147">
        <v>3.0190000000000001</v>
      </c>
      <c r="J1369" s="148">
        <v>0.79254249851678926</v>
      </c>
      <c r="K1369" s="149">
        <v>24.096</v>
      </c>
      <c r="L1369" s="149">
        <v>126.113</v>
      </c>
      <c r="M1369" s="67">
        <v>17.489999999999998</v>
      </c>
      <c r="N1369" s="135"/>
    </row>
    <row r="1370" spans="1:14" x14ac:dyDescent="0.25">
      <c r="A1370" s="142">
        <v>45271</v>
      </c>
      <c r="B1370" s="81" t="s">
        <v>64</v>
      </c>
      <c r="C1370" s="129" t="str">
        <f t="shared" si="43"/>
        <v>11.12.2023_WITob</v>
      </c>
      <c r="D1370" s="143">
        <f t="shared" si="44"/>
        <v>0</v>
      </c>
      <c r="E1370" s="144">
        <v>8.6603240146569227E-2</v>
      </c>
      <c r="F1370" s="145">
        <v>5.7515676853510207E-3</v>
      </c>
      <c r="G1370" s="146">
        <v>8.235762946657306E-2</v>
      </c>
      <c r="H1370" s="146">
        <v>8.0913609312667552E-3</v>
      </c>
      <c r="I1370" s="147">
        <v>1.948</v>
      </c>
      <c r="J1370" s="148">
        <v>0.50640805054002347</v>
      </c>
      <c r="K1370" s="149">
        <v>46</v>
      </c>
      <c r="L1370" s="149">
        <v>236.08</v>
      </c>
      <c r="M1370" s="67">
        <v>15.6</v>
      </c>
      <c r="N1370" s="135"/>
    </row>
    <row r="1371" spans="1:14" x14ac:dyDescent="0.25">
      <c r="A1371" s="142">
        <v>45278</v>
      </c>
      <c r="B1371" s="81" t="s">
        <v>22</v>
      </c>
      <c r="C1371" s="129" t="str">
        <f t="shared" si="43"/>
        <v>18.12.2023_BOYkl</v>
      </c>
      <c r="D1371" s="143">
        <f t="shared" si="44"/>
        <v>0</v>
      </c>
      <c r="E1371" s="144">
        <v>6.1304954640614064E-2</v>
      </c>
      <c r="F1371" s="145">
        <v>2.7509645731104464E-2</v>
      </c>
      <c r="G1371" s="146">
        <v>0.12332719869551537</v>
      </c>
      <c r="H1371" s="146">
        <v>9.7144032921810702E-2</v>
      </c>
      <c r="I1371" s="147">
        <v>27.094000000000001</v>
      </c>
      <c r="J1371" s="148">
        <v>6.2450596173381259</v>
      </c>
      <c r="K1371" s="149">
        <v>22</v>
      </c>
      <c r="L1371" s="149">
        <v>48.643000000000001</v>
      </c>
      <c r="M1371" s="67"/>
      <c r="N1371" s="135"/>
    </row>
    <row r="1372" spans="1:14" x14ac:dyDescent="0.25">
      <c r="A1372" s="142">
        <v>45278</v>
      </c>
      <c r="B1372" s="81" t="s">
        <v>25</v>
      </c>
      <c r="C1372" s="129" t="str">
        <f t="shared" si="43"/>
        <v>18.12.2023_BOYohB224</v>
      </c>
      <c r="D1372" s="143">
        <f t="shared" si="44"/>
        <v>0</v>
      </c>
      <c r="E1372" s="144">
        <v>3.8315596650383761E-2</v>
      </c>
      <c r="F1372" s="145">
        <v>1.2955208893316559E-2</v>
      </c>
      <c r="G1372" s="146">
        <v>0.16305676606051356</v>
      </c>
      <c r="H1372" s="146">
        <v>8.6641975308641997E-2</v>
      </c>
      <c r="I1372" s="147">
        <v>9.0969999999999995</v>
      </c>
      <c r="J1372" s="148">
        <v>2.2077294876610445</v>
      </c>
      <c r="K1372" s="149">
        <v>37.667999999999999</v>
      </c>
      <c r="L1372" s="149">
        <v>134.761</v>
      </c>
      <c r="M1372" s="67"/>
      <c r="N1372" s="135"/>
    </row>
    <row r="1373" spans="1:14" x14ac:dyDescent="0.25">
      <c r="A1373" s="142">
        <v>45278</v>
      </c>
      <c r="B1373" s="81" t="s">
        <v>28</v>
      </c>
      <c r="C1373" s="129" t="str">
        <f t="shared" si="43"/>
        <v>18.12.2023_BOYohBr</v>
      </c>
      <c r="D1373" s="143">
        <f t="shared" si="44"/>
        <v>0</v>
      </c>
      <c r="E1373" s="144">
        <v>0</v>
      </c>
      <c r="F1373" s="145">
        <v>3.0565241176007139E-2</v>
      </c>
      <c r="G1373" s="146">
        <v>7.2837540169163426E-2</v>
      </c>
      <c r="H1373" s="146">
        <v>7.7015089163237335E-2</v>
      </c>
      <c r="I1373" s="147">
        <v>16.678000000000001</v>
      </c>
      <c r="J1373" s="148">
        <v>3.847064725461701</v>
      </c>
      <c r="K1373" s="149">
        <v>17</v>
      </c>
      <c r="L1373" s="149">
        <v>69.69</v>
      </c>
      <c r="M1373" s="67"/>
      <c r="N1373" s="135"/>
    </row>
    <row r="1374" spans="1:14" x14ac:dyDescent="0.25">
      <c r="A1374" s="142">
        <v>45278</v>
      </c>
      <c r="B1374" s="81" t="s">
        <v>30</v>
      </c>
      <c r="C1374" s="129" t="str">
        <f t="shared" si="43"/>
        <v>18.12.2023_BOYohKi</v>
      </c>
      <c r="D1374" s="143">
        <f t="shared" si="44"/>
        <v>0</v>
      </c>
      <c r="E1374" s="144">
        <v>0</v>
      </c>
      <c r="F1374" s="145">
        <v>1.3930436296861914E-2</v>
      </c>
      <c r="G1374" s="146">
        <v>0.13905348577749382</v>
      </c>
      <c r="H1374" s="146">
        <v>5.3385459533607668E-2</v>
      </c>
      <c r="I1374" s="147">
        <v>9.5980000000000008</v>
      </c>
      <c r="J1374" s="148">
        <v>2.2921271043263731</v>
      </c>
      <c r="K1374" s="149">
        <v>27</v>
      </c>
      <c r="L1374" s="149">
        <v>104.401</v>
      </c>
      <c r="M1374" s="67"/>
      <c r="N1374" s="135"/>
    </row>
    <row r="1375" spans="1:14" x14ac:dyDescent="0.25">
      <c r="A1375" s="142">
        <v>45278</v>
      </c>
      <c r="B1375" s="81" t="s">
        <v>32</v>
      </c>
      <c r="C1375" s="129" t="str">
        <f t="shared" si="43"/>
        <v>18.12.2023_BOYohSp</v>
      </c>
      <c r="D1375" s="143">
        <f t="shared" si="44"/>
        <v>0</v>
      </c>
      <c r="E1375" s="144">
        <v>4.5978715980460917E-3</v>
      </c>
      <c r="F1375" s="145">
        <v>1.9919873314755476E-2</v>
      </c>
      <c r="G1375" s="146">
        <v>0.13491498917697317</v>
      </c>
      <c r="H1375" s="146">
        <v>6.7388203017832646E-2</v>
      </c>
      <c r="I1375" s="147">
        <v>12.286</v>
      </c>
      <c r="J1375" s="148">
        <v>2.9003152983548066</v>
      </c>
      <c r="K1375" s="149">
        <v>25</v>
      </c>
      <c r="L1375" s="149">
        <v>82.418999999999997</v>
      </c>
      <c r="M1375" s="67"/>
      <c r="N1375" s="135"/>
    </row>
    <row r="1376" spans="1:14" x14ac:dyDescent="0.25">
      <c r="A1376" s="142">
        <v>45278</v>
      </c>
      <c r="B1376" s="81" t="s">
        <v>34</v>
      </c>
      <c r="C1376" s="129" t="str">
        <f t="shared" si="43"/>
        <v>18.12.2023_BOYuhHa</v>
      </c>
      <c r="D1376" s="143">
        <f t="shared" si="44"/>
        <v>0</v>
      </c>
      <c r="E1376" s="144">
        <v>6.1304954640614348E-3</v>
      </c>
      <c r="F1376" s="145">
        <v>1.2208347543115467E-2</v>
      </c>
      <c r="G1376" s="146">
        <v>0.16140136742030534</v>
      </c>
      <c r="H1376" s="146">
        <v>8.7517146776405999E-2</v>
      </c>
      <c r="I1376" s="147">
        <v>8.5690000000000008</v>
      </c>
      <c r="J1376" s="148">
        <v>2.0874511731242698</v>
      </c>
      <c r="K1376" s="149">
        <v>31</v>
      </c>
      <c r="L1376" s="149">
        <v>152.298</v>
      </c>
      <c r="M1376" s="67"/>
      <c r="N1376" s="135"/>
    </row>
    <row r="1377" spans="1:14" x14ac:dyDescent="0.25">
      <c r="A1377" s="142">
        <v>45278</v>
      </c>
      <c r="B1377" s="81" t="s">
        <v>36</v>
      </c>
      <c r="C1377" s="129" t="str">
        <f t="shared" si="43"/>
        <v>18.12.2023_BOYuhSp</v>
      </c>
      <c r="D1377" s="143">
        <f t="shared" si="44"/>
        <v>0</v>
      </c>
      <c r="E1377" s="144">
        <v>0</v>
      </c>
      <c r="F1377" s="145">
        <v>1.7322036699238156E-2</v>
      </c>
      <c r="G1377" s="146">
        <v>0.13739808713728557</v>
      </c>
      <c r="H1377" s="146">
        <v>5.7761316872427984E-2</v>
      </c>
      <c r="I1377" s="147">
        <v>10.993</v>
      </c>
      <c r="J1377" s="148">
        <v>2.6072625836030419</v>
      </c>
      <c r="K1377" s="149">
        <v>25</v>
      </c>
      <c r="L1377" s="149">
        <v>91.878</v>
      </c>
      <c r="M1377" s="67"/>
      <c r="N1377" s="135"/>
    </row>
    <row r="1378" spans="1:14" x14ac:dyDescent="0.25">
      <c r="A1378" s="142">
        <v>45278</v>
      </c>
      <c r="B1378" s="81" t="s">
        <v>38</v>
      </c>
      <c r="C1378" s="129" t="str">
        <f t="shared" si="43"/>
        <v>18.12.2023_BRAob</v>
      </c>
      <c r="D1378" s="143">
        <f t="shared" si="44"/>
        <v>0</v>
      </c>
      <c r="E1378" s="144">
        <v>0</v>
      </c>
      <c r="F1378" s="145">
        <v>9.868814822608353E-3</v>
      </c>
      <c r="G1378" s="146">
        <v>8.6908428610933661E-2</v>
      </c>
      <c r="H1378" s="146">
        <v>3.9382716049382718E-2</v>
      </c>
      <c r="I1378" s="147">
        <v>5.6429999999999998</v>
      </c>
      <c r="J1378" s="148">
        <v>1.3540580036333383</v>
      </c>
      <c r="K1378" s="149">
        <v>44</v>
      </c>
      <c r="L1378" s="149">
        <v>120.977</v>
      </c>
      <c r="M1378" s="67"/>
      <c r="N1378" s="135"/>
    </row>
    <row r="1379" spans="1:14" x14ac:dyDescent="0.25">
      <c r="A1379" s="142">
        <v>45278</v>
      </c>
      <c r="B1379" s="81" t="s">
        <v>41</v>
      </c>
      <c r="C1379" s="129" t="str">
        <f t="shared" si="43"/>
        <v>18.12.2023_BRAohBo</v>
      </c>
      <c r="D1379" s="143">
        <f t="shared" si="44"/>
        <v>0</v>
      </c>
      <c r="E1379" s="144">
        <v>0</v>
      </c>
      <c r="F1379" s="145">
        <v>1.4526313196841178E-2</v>
      </c>
      <c r="G1379" s="146">
        <v>0.23589430622967703</v>
      </c>
      <c r="H1379" s="146">
        <v>8.3141289437585711E-2</v>
      </c>
      <c r="I1379" s="147">
        <v>8.2949999999999999</v>
      </c>
      <c r="J1379" s="148">
        <v>2.0820735854135548</v>
      </c>
      <c r="K1379" s="149">
        <v>29</v>
      </c>
      <c r="L1379" s="149">
        <v>94.965999999999994</v>
      </c>
      <c r="M1379" s="67"/>
      <c r="N1379" s="135"/>
    </row>
    <row r="1380" spans="1:14" x14ac:dyDescent="0.25">
      <c r="A1380" s="142">
        <v>45278</v>
      </c>
      <c r="B1380" s="81" t="s">
        <v>43</v>
      </c>
      <c r="C1380" s="129" t="str">
        <f t="shared" si="43"/>
        <v>18.12.2023_HAAob</v>
      </c>
      <c r="D1380" s="143">
        <f t="shared" si="44"/>
        <v>0</v>
      </c>
      <c r="E1380" s="144">
        <v>1.2260990928122838E-2</v>
      </c>
      <c r="F1380" s="145">
        <v>7.3110370601498316E-3</v>
      </c>
      <c r="G1380" s="146">
        <v>6.7871344248538634E-2</v>
      </c>
      <c r="H1380" s="146">
        <v>3.7632373113854603E-2</v>
      </c>
      <c r="I1380" s="147">
        <v>5.2329999999999997</v>
      </c>
      <c r="J1380" s="148">
        <v>1.2461363060900608</v>
      </c>
      <c r="K1380" s="149">
        <v>21</v>
      </c>
      <c r="L1380" s="149">
        <v>114.67700000000001</v>
      </c>
      <c r="M1380" s="67"/>
      <c r="N1380" s="135"/>
    </row>
    <row r="1381" spans="1:14" x14ac:dyDescent="0.25">
      <c r="A1381" s="142">
        <v>45278</v>
      </c>
      <c r="B1381" s="81" t="s">
        <v>45</v>
      </c>
      <c r="C1381" s="129" t="str">
        <f t="shared" si="43"/>
        <v>18.12.2023_HAAun</v>
      </c>
      <c r="D1381" s="143">
        <f t="shared" si="44"/>
        <v>0</v>
      </c>
      <c r="E1381" s="144">
        <v>0</v>
      </c>
      <c r="F1381" s="145">
        <v>2.7212053274241317E-2</v>
      </c>
      <c r="G1381" s="146">
        <v>0.23175580962915635</v>
      </c>
      <c r="H1381" s="146">
        <v>3.5006858710562423E-2</v>
      </c>
      <c r="I1381" s="147">
        <v>5.617</v>
      </c>
      <c r="J1381" s="148">
        <v>1.4593256967533743</v>
      </c>
      <c r="K1381" s="149">
        <v>23</v>
      </c>
      <c r="L1381" s="149">
        <v>182.90299999999999</v>
      </c>
      <c r="M1381" s="67"/>
      <c r="N1381" s="135"/>
    </row>
    <row r="1382" spans="1:14" x14ac:dyDescent="0.25">
      <c r="A1382" s="142">
        <v>45278</v>
      </c>
      <c r="B1382" s="81" t="s">
        <v>47</v>
      </c>
      <c r="C1382" s="129" t="str">
        <f t="shared" si="43"/>
        <v>18.12.2023_KIRob</v>
      </c>
      <c r="D1382" s="143">
        <f t="shared" si="44"/>
        <v>0</v>
      </c>
      <c r="E1382" s="144">
        <v>0</v>
      </c>
      <c r="F1382" s="145">
        <v>4.2433694653989671E-3</v>
      </c>
      <c r="G1382" s="146">
        <v>0.61580829415747262</v>
      </c>
      <c r="H1382" s="146">
        <v>0.16190672153635116</v>
      </c>
      <c r="I1382" s="147">
        <v>6.1950000000000003</v>
      </c>
      <c r="J1382" s="148">
        <v>1.9267261337020778</v>
      </c>
      <c r="K1382" s="149">
        <v>66</v>
      </c>
      <c r="L1382" s="149">
        <v>156.91999999999999</v>
      </c>
      <c r="M1382" s="67"/>
      <c r="N1382" s="135"/>
    </row>
    <row r="1383" spans="1:14" x14ac:dyDescent="0.25">
      <c r="A1383" s="142">
        <v>45278</v>
      </c>
      <c r="B1383" s="81" t="s">
        <v>49</v>
      </c>
      <c r="C1383" s="129" t="str">
        <f t="shared" si="43"/>
        <v>18.12.2023_KIRun</v>
      </c>
      <c r="D1383" s="143">
        <f t="shared" si="44"/>
        <v>0</v>
      </c>
      <c r="E1383" s="144">
        <v>1.0728367062107495E-2</v>
      </c>
      <c r="F1383" s="145">
        <v>4.9725542226178865E-3</v>
      </c>
      <c r="G1383" s="146">
        <v>0.1324318912166608</v>
      </c>
      <c r="H1383" s="146">
        <v>6.2137174211248272E-2</v>
      </c>
      <c r="I1383" s="147">
        <v>5.4390000000000001</v>
      </c>
      <c r="J1383" s="148">
        <v>1.3502566318994393</v>
      </c>
      <c r="K1383" s="149">
        <v>54</v>
      </c>
      <c r="L1383" s="149">
        <v>144.62700000000001</v>
      </c>
      <c r="M1383" s="67"/>
      <c r="N1383" s="135"/>
    </row>
    <row r="1384" spans="1:14" x14ac:dyDescent="0.25">
      <c r="A1384" s="142">
        <v>45278</v>
      </c>
      <c r="B1384" s="81" t="s">
        <v>50</v>
      </c>
      <c r="C1384" s="129" t="str">
        <f t="shared" si="43"/>
        <v>18.12.2023_LIEohBo</v>
      </c>
      <c r="D1384" s="143">
        <f t="shared" si="44"/>
        <v>0</v>
      </c>
      <c r="E1384" s="144">
        <v>3.6782972784368449E-2</v>
      </c>
      <c r="F1384" s="145">
        <v>1.2821244307010173E-2</v>
      </c>
      <c r="G1384" s="146">
        <v>4.5523462605727108E-2</v>
      </c>
      <c r="H1384" s="146">
        <v>5.4260631001371747E-2</v>
      </c>
      <c r="I1384" s="147">
        <v>16.376999999999999</v>
      </c>
      <c r="J1384" s="148">
        <v>3.7509411525870884</v>
      </c>
      <c r="K1384" s="149">
        <v>25.731000000000002</v>
      </c>
      <c r="L1384" s="149">
        <v>100.627</v>
      </c>
      <c r="M1384" s="67"/>
      <c r="N1384" s="135"/>
    </row>
    <row r="1385" spans="1:14" x14ac:dyDescent="0.25">
      <c r="A1385" s="142">
        <v>45278</v>
      </c>
      <c r="B1385" s="81" t="s">
        <v>53</v>
      </c>
      <c r="C1385" s="129" t="str">
        <f t="shared" si="43"/>
        <v>18.12.2023_NATohBo</v>
      </c>
      <c r="D1385" s="143">
        <f t="shared" si="44"/>
        <v>0</v>
      </c>
      <c r="E1385" s="144">
        <v>1.9924110258199616E-2</v>
      </c>
      <c r="F1385" s="145">
        <v>1.1362849943989383E-2</v>
      </c>
      <c r="G1385" s="146">
        <v>0.21189102594665729</v>
      </c>
      <c r="H1385" s="146">
        <v>8.1390946502057637E-2</v>
      </c>
      <c r="I1385" s="147">
        <v>7.2729999999999997</v>
      </c>
      <c r="J1385" s="148">
        <v>1.8320632463998712</v>
      </c>
      <c r="K1385" s="149">
        <v>53</v>
      </c>
      <c r="L1385" s="149">
        <v>306</v>
      </c>
      <c r="M1385" s="67"/>
      <c r="N1385" s="135"/>
    </row>
    <row r="1386" spans="1:14" x14ac:dyDescent="0.25">
      <c r="A1386" s="142">
        <v>45278</v>
      </c>
      <c r="B1386" s="81" t="s">
        <v>55</v>
      </c>
      <c r="C1386" s="129" t="str">
        <f t="shared" si="43"/>
        <v>18.12.2023_QUAohBo</v>
      </c>
      <c r="D1386" s="143">
        <f t="shared" si="44"/>
        <v>0</v>
      </c>
      <c r="E1386" s="144">
        <v>1.5326238660153523E-2</v>
      </c>
      <c r="F1386" s="145">
        <v>8.0235212097323934E-3</v>
      </c>
      <c r="G1386" s="146">
        <v>0.12912109393624427</v>
      </c>
      <c r="H1386" s="146">
        <v>5.9511659807956092E-2</v>
      </c>
      <c r="I1386" s="147">
        <v>5.444</v>
      </c>
      <c r="J1386" s="148">
        <v>1.3480158430590865</v>
      </c>
      <c r="K1386" s="149">
        <v>35</v>
      </c>
      <c r="L1386" s="149">
        <v>110.729</v>
      </c>
      <c r="M1386" s="67"/>
      <c r="N1386" s="135"/>
    </row>
    <row r="1387" spans="1:14" x14ac:dyDescent="0.25">
      <c r="A1387" s="142">
        <v>45278</v>
      </c>
      <c r="B1387" s="81" t="s">
        <v>57</v>
      </c>
      <c r="C1387" s="129" t="str">
        <f t="shared" si="43"/>
        <v>18.12.2023_SCHohVo</v>
      </c>
      <c r="D1387" s="143">
        <f t="shared" si="44"/>
        <v>0</v>
      </c>
      <c r="E1387" s="144">
        <v>0</v>
      </c>
      <c r="F1387" s="145">
        <v>9.5680674938653752E-3</v>
      </c>
      <c r="G1387" s="146">
        <v>0.12084410073520298</v>
      </c>
      <c r="H1387" s="146">
        <v>2.8005486968449927E-2</v>
      </c>
      <c r="I1387" s="147">
        <v>3.8180000000000001</v>
      </c>
      <c r="J1387" s="148">
        <v>0.96473216628742242</v>
      </c>
      <c r="K1387" s="149">
        <v>19.372</v>
      </c>
      <c r="L1387" s="149">
        <v>71.349000000000004</v>
      </c>
      <c r="M1387" s="67"/>
      <c r="N1387" s="135"/>
    </row>
    <row r="1388" spans="1:14" x14ac:dyDescent="0.25">
      <c r="A1388" s="142">
        <v>45278</v>
      </c>
      <c r="B1388" s="81" t="s">
        <v>60</v>
      </c>
      <c r="C1388" s="129" t="str">
        <f t="shared" si="43"/>
        <v>18.12.2023_VORohBo</v>
      </c>
      <c r="D1388" s="143">
        <f t="shared" si="44"/>
        <v>0</v>
      </c>
      <c r="E1388" s="144">
        <v>0</v>
      </c>
      <c r="F1388" s="145">
        <v>6.9948251703809382E-3</v>
      </c>
      <c r="G1388" s="146">
        <v>0.2797623701951959</v>
      </c>
      <c r="H1388" s="146">
        <v>5.163511659807956E-2</v>
      </c>
      <c r="I1388" s="147">
        <v>3.0720000000000001</v>
      </c>
      <c r="J1388" s="148">
        <v>0.92682563408115293</v>
      </c>
      <c r="K1388" s="149">
        <v>25</v>
      </c>
      <c r="L1388" s="149">
        <v>157.893</v>
      </c>
      <c r="M1388" s="67"/>
      <c r="N1388" s="135"/>
    </row>
    <row r="1389" spans="1:14" x14ac:dyDescent="0.25">
      <c r="A1389" s="142">
        <v>45278</v>
      </c>
      <c r="B1389" s="81" t="s">
        <v>62</v>
      </c>
      <c r="C1389" s="129" t="str">
        <f t="shared" si="43"/>
        <v>18.12.2023_VORuhSc</v>
      </c>
      <c r="D1389" s="143">
        <f t="shared" si="44"/>
        <v>0</v>
      </c>
      <c r="E1389" s="144">
        <v>0</v>
      </c>
      <c r="F1389" s="145">
        <v>6.8208082809120127E-3</v>
      </c>
      <c r="G1389" s="146">
        <v>0.14981357693884753</v>
      </c>
      <c r="H1389" s="146">
        <v>3.5006858710562423E-2</v>
      </c>
      <c r="I1389" s="147">
        <v>3.4660000000000002</v>
      </c>
      <c r="J1389" s="148">
        <v>0.90985200249167653</v>
      </c>
      <c r="K1389" s="149">
        <v>28.228999999999999</v>
      </c>
      <c r="L1389" s="149">
        <v>140.66900000000001</v>
      </c>
      <c r="M1389" s="67"/>
      <c r="N1389" s="135"/>
    </row>
    <row r="1390" spans="1:14" x14ac:dyDescent="0.25">
      <c r="A1390" s="142">
        <v>45278</v>
      </c>
      <c r="B1390" s="81" t="s">
        <v>64</v>
      </c>
      <c r="C1390" s="129" t="str">
        <f t="shared" si="43"/>
        <v>18.12.2023_WITob</v>
      </c>
      <c r="D1390" s="143">
        <f t="shared" si="44"/>
        <v>0</v>
      </c>
      <c r="E1390" s="144">
        <v>0</v>
      </c>
      <c r="F1390" s="145">
        <v>4.429997450289074E-3</v>
      </c>
      <c r="G1390" s="146">
        <v>6.7043644928434523E-2</v>
      </c>
      <c r="H1390" s="146">
        <v>5.2510288065843666E-3</v>
      </c>
      <c r="I1390" s="147">
        <v>2.2599999999999998</v>
      </c>
      <c r="J1390" s="148">
        <v>0.56412359557064462</v>
      </c>
      <c r="K1390" s="149">
        <v>57</v>
      </c>
      <c r="L1390" s="149">
        <v>259</v>
      </c>
      <c r="M1390" s="67"/>
      <c r="N1390" s="135"/>
    </row>
    <row r="1391" spans="1:14" x14ac:dyDescent="0.25">
      <c r="A1391" s="142">
        <v>45289</v>
      </c>
      <c r="B1391" s="81" t="s">
        <v>22</v>
      </c>
      <c r="C1391" s="129" t="str">
        <f t="shared" si="43"/>
        <v>29.12.2023_BOYkl</v>
      </c>
      <c r="D1391" s="143">
        <f t="shared" si="44"/>
        <v>0</v>
      </c>
      <c r="E1391" s="144">
        <v>9.0583850301729191E-2</v>
      </c>
      <c r="F1391" s="145">
        <v>3.3121899917006974E-2</v>
      </c>
      <c r="G1391" s="146">
        <v>6.9596167008898022E-2</v>
      </c>
      <c r="H1391" s="146">
        <v>6.837592745259688E-2</v>
      </c>
      <c r="I1391" s="147">
        <v>20.843</v>
      </c>
      <c r="J1391" s="148">
        <v>4.7826661888336828</v>
      </c>
      <c r="K1391" s="149">
        <v>18.306999999999999</v>
      </c>
      <c r="L1391" s="149">
        <v>38.210999999999999</v>
      </c>
      <c r="M1391" s="67"/>
      <c r="N1391" s="135"/>
    </row>
    <row r="1392" spans="1:14" x14ac:dyDescent="0.25">
      <c r="A1392" s="142">
        <v>45289</v>
      </c>
      <c r="B1392" s="81" t="s">
        <v>25</v>
      </c>
      <c r="C1392" s="129" t="str">
        <f t="shared" si="43"/>
        <v>29.12.2023_BOYohB224</v>
      </c>
      <c r="D1392" s="143">
        <f t="shared" si="44"/>
        <v>0</v>
      </c>
      <c r="E1392" s="144">
        <v>0.1173135110465018</v>
      </c>
      <c r="F1392" s="145">
        <v>4.3040917263721917E-2</v>
      </c>
      <c r="G1392" s="146">
        <v>0.34034223134839164</v>
      </c>
      <c r="H1392" s="146">
        <v>9.2044517724649624E-2</v>
      </c>
      <c r="I1392" s="147">
        <v>10.372</v>
      </c>
      <c r="J1392" s="148">
        <v>2.6350189326409823</v>
      </c>
      <c r="K1392" s="149">
        <v>29.803000000000001</v>
      </c>
      <c r="L1392" s="149">
        <v>129.886</v>
      </c>
      <c r="M1392" s="67"/>
      <c r="N1392" s="135"/>
    </row>
    <row r="1393" spans="1:14" x14ac:dyDescent="0.25">
      <c r="A1393" s="142">
        <v>45289</v>
      </c>
      <c r="B1393" s="81" t="s">
        <v>28</v>
      </c>
      <c r="C1393" s="129" t="str">
        <f t="shared" si="43"/>
        <v>29.12.2023_BOYohBr</v>
      </c>
      <c r="D1393" s="143">
        <f t="shared" si="44"/>
        <v>0</v>
      </c>
      <c r="E1393" s="144">
        <v>5.1974340337057771E-2</v>
      </c>
      <c r="F1393" s="145">
        <v>4.887155294660904E-2</v>
      </c>
      <c r="G1393" s="146">
        <v>6.7049965776865159E-2</v>
      </c>
      <c r="H1393" s="146">
        <v>4.7337180544105517E-2</v>
      </c>
      <c r="I1393" s="147">
        <v>17.05</v>
      </c>
      <c r="J1393" s="148">
        <v>3.9175589325427311</v>
      </c>
      <c r="K1393" s="149">
        <v>15.510999999999999</v>
      </c>
      <c r="L1393" s="149">
        <v>61.247999999999998</v>
      </c>
      <c r="M1393" s="67"/>
      <c r="N1393" s="135"/>
    </row>
    <row r="1394" spans="1:14" x14ac:dyDescent="0.25">
      <c r="A1394" s="142">
        <v>45289</v>
      </c>
      <c r="B1394" s="81" t="s">
        <v>30</v>
      </c>
      <c r="C1394" s="129" t="str">
        <f t="shared" si="43"/>
        <v>29.12.2023_BOYohKi</v>
      </c>
      <c r="D1394" s="143">
        <f t="shared" si="44"/>
        <v>0</v>
      </c>
      <c r="E1394" s="144">
        <v>0</v>
      </c>
      <c r="F1394" s="145">
        <v>2.6029479091510026E-2</v>
      </c>
      <c r="G1394" s="146">
        <v>0.11457905544147852</v>
      </c>
      <c r="H1394" s="146">
        <v>4.0324264907941762E-2</v>
      </c>
      <c r="I1394" s="147">
        <v>10.837</v>
      </c>
      <c r="J1394" s="148">
        <v>2.5489994032109764</v>
      </c>
      <c r="K1394" s="149">
        <v>25.491</v>
      </c>
      <c r="L1394" s="149">
        <v>90.447999999999993</v>
      </c>
      <c r="M1394" s="67"/>
      <c r="N1394" s="135"/>
    </row>
    <row r="1395" spans="1:14" x14ac:dyDescent="0.25">
      <c r="A1395" s="142">
        <v>45289</v>
      </c>
      <c r="B1395" s="81" t="s">
        <v>32</v>
      </c>
      <c r="C1395" s="129" t="str">
        <f t="shared" si="43"/>
        <v>29.12.2023_BOYohSp</v>
      </c>
      <c r="D1395" s="143">
        <f t="shared" si="44"/>
        <v>0</v>
      </c>
      <c r="E1395" s="144">
        <v>6.8309133014418766E-2</v>
      </c>
      <c r="F1395" s="145">
        <v>3.044142556448368E-2</v>
      </c>
      <c r="G1395" s="146">
        <v>0.11457905544147852</v>
      </c>
      <c r="H1395" s="146">
        <v>5.8733168452871666E-2</v>
      </c>
      <c r="I1395" s="147">
        <v>11.236000000000001</v>
      </c>
      <c r="J1395" s="148">
        <v>2.6447261238952304</v>
      </c>
      <c r="K1395" s="149">
        <v>21.585999999999999</v>
      </c>
      <c r="L1395" s="149">
        <v>65.781999999999996</v>
      </c>
      <c r="M1395" s="67"/>
      <c r="N1395" s="135"/>
    </row>
    <row r="1396" spans="1:14" x14ac:dyDescent="0.25">
      <c r="A1396" s="142">
        <v>45289</v>
      </c>
      <c r="B1396" s="81" t="s">
        <v>34</v>
      </c>
      <c r="C1396" s="129" t="str">
        <f t="shared" si="43"/>
        <v>29.12.2023_BOYuhHa</v>
      </c>
      <c r="D1396" s="143">
        <f t="shared" si="44"/>
        <v>0</v>
      </c>
      <c r="E1396" s="144">
        <v>8.1673963386804993E-2</v>
      </c>
      <c r="F1396" s="145">
        <v>5.8910789076733874E-2</v>
      </c>
      <c r="G1396" s="146">
        <v>0.64928131416837798</v>
      </c>
      <c r="H1396" s="146">
        <v>0.10344050563341577</v>
      </c>
      <c r="I1396" s="147">
        <v>9.5440000000000005</v>
      </c>
      <c r="J1396" s="148">
        <v>2.691356189578697</v>
      </c>
      <c r="K1396" s="149">
        <v>27</v>
      </c>
      <c r="L1396" s="149">
        <v>154.464</v>
      </c>
      <c r="M1396" s="67"/>
      <c r="N1396" s="135"/>
    </row>
    <row r="1397" spans="1:14" x14ac:dyDescent="0.25">
      <c r="A1397" s="142">
        <v>45289</v>
      </c>
      <c r="B1397" s="81" t="s">
        <v>36</v>
      </c>
      <c r="C1397" s="129" t="str">
        <f t="shared" si="43"/>
        <v>29.12.2023_BOYuhSp</v>
      </c>
      <c r="D1397" s="143">
        <f t="shared" si="44"/>
        <v>0</v>
      </c>
      <c r="E1397" s="144">
        <v>5.6429283794519836E-2</v>
      </c>
      <c r="F1397" s="145">
        <v>2.8453095574261147E-2</v>
      </c>
      <c r="G1397" s="146">
        <v>0.11882272416153324</v>
      </c>
      <c r="H1397" s="146">
        <v>4.9090409453146473E-2</v>
      </c>
      <c r="I1397" s="147">
        <v>11.632</v>
      </c>
      <c r="J1397" s="148">
        <v>2.7345300722421992</v>
      </c>
      <c r="K1397" s="149">
        <v>25.669</v>
      </c>
      <c r="L1397" s="149">
        <v>80.509</v>
      </c>
      <c r="M1397" s="67"/>
      <c r="N1397" s="135"/>
    </row>
    <row r="1398" spans="1:14" x14ac:dyDescent="0.25">
      <c r="A1398" s="142">
        <v>45289</v>
      </c>
      <c r="B1398" s="81" t="s">
        <v>38</v>
      </c>
      <c r="C1398" s="129" t="str">
        <f t="shared" si="43"/>
        <v>29.12.2023_BRAob</v>
      </c>
      <c r="D1398" s="143">
        <f t="shared" si="44"/>
        <v>0</v>
      </c>
      <c r="E1398" s="144">
        <v>0</v>
      </c>
      <c r="F1398" s="145">
        <v>1.3853335605224599E-2</v>
      </c>
      <c r="G1398" s="146">
        <v>9.4209445585215656E-2</v>
      </c>
      <c r="H1398" s="146">
        <v>2.7175048090134657E-2</v>
      </c>
      <c r="I1398" s="147">
        <v>7.673</v>
      </c>
      <c r="J1398" s="148">
        <v>1.8145266457935054</v>
      </c>
      <c r="K1398" s="149">
        <v>30</v>
      </c>
      <c r="L1398" s="149">
        <v>91.364999999999995</v>
      </c>
      <c r="M1398" s="67"/>
      <c r="N1398" s="135"/>
    </row>
    <row r="1399" spans="1:14" x14ac:dyDescent="0.25">
      <c r="A1399" s="142">
        <v>45289</v>
      </c>
      <c r="B1399" s="81" t="s">
        <v>41</v>
      </c>
      <c r="C1399" s="129" t="str">
        <f t="shared" si="43"/>
        <v>29.12.2023_BRAohBo</v>
      </c>
      <c r="D1399" s="143">
        <f t="shared" si="44"/>
        <v>0</v>
      </c>
      <c r="E1399" s="144">
        <v>2.9699623049747105E-3</v>
      </c>
      <c r="F1399" s="145">
        <v>2.9003118633742758E-2</v>
      </c>
      <c r="G1399" s="146">
        <v>0.18162902121834365</v>
      </c>
      <c r="H1399" s="146">
        <v>4.6460566089585049E-2</v>
      </c>
      <c r="I1399" s="147">
        <v>8.6760000000000002</v>
      </c>
      <c r="J1399" s="148">
        <v>2.1148261580318057</v>
      </c>
      <c r="K1399" s="149">
        <v>25.189</v>
      </c>
      <c r="L1399" s="149">
        <v>70.843999999999994</v>
      </c>
      <c r="M1399" s="67"/>
      <c r="N1399" s="135"/>
    </row>
    <row r="1400" spans="1:14" x14ac:dyDescent="0.25">
      <c r="A1400" s="142">
        <v>45289</v>
      </c>
      <c r="B1400" s="81" t="s">
        <v>43</v>
      </c>
      <c r="C1400" s="129" t="str">
        <f t="shared" si="43"/>
        <v>29.12.2023_HAAob</v>
      </c>
      <c r="D1400" s="143">
        <f t="shared" si="44"/>
        <v>0</v>
      </c>
      <c r="E1400" s="144">
        <v>4.1579472269646221E-2</v>
      </c>
      <c r="F1400" s="145">
        <v>1.2471830816568431E-2</v>
      </c>
      <c r="G1400" s="146">
        <v>0.1298562628336756</v>
      </c>
      <c r="H1400" s="146">
        <v>4.7337180544105517E-2</v>
      </c>
      <c r="I1400" s="147">
        <v>6.3559999999999999</v>
      </c>
      <c r="J1400" s="148">
        <v>1.5508736141443737</v>
      </c>
      <c r="K1400" s="149">
        <v>18.454999999999998</v>
      </c>
      <c r="L1400" s="149">
        <v>98.525000000000006</v>
      </c>
      <c r="M1400" s="67"/>
      <c r="N1400" s="135"/>
    </row>
    <row r="1401" spans="1:14" x14ac:dyDescent="0.25">
      <c r="A1401" s="142">
        <v>45289</v>
      </c>
      <c r="B1401" s="81" t="s">
        <v>45</v>
      </c>
      <c r="C1401" s="129" t="str">
        <f t="shared" si="43"/>
        <v>29.12.2023_HAAun</v>
      </c>
      <c r="D1401" s="143">
        <f t="shared" si="44"/>
        <v>0</v>
      </c>
      <c r="E1401" s="144">
        <v>2.9699623049747105E-3</v>
      </c>
      <c r="F1401" s="145">
        <v>2.8021452374415268E-2</v>
      </c>
      <c r="G1401" s="146">
        <v>0.20284736481861751</v>
      </c>
      <c r="H1401" s="146">
        <v>5.4350096180269314E-2</v>
      </c>
      <c r="I1401" s="147">
        <v>9.9090000000000007</v>
      </c>
      <c r="J1401" s="148">
        <v>2.4122016670900912</v>
      </c>
      <c r="K1401" s="149">
        <v>23.459</v>
      </c>
      <c r="L1401" s="149">
        <v>173.316</v>
      </c>
      <c r="M1401" s="67"/>
      <c r="N1401" s="135"/>
    </row>
    <row r="1402" spans="1:14" x14ac:dyDescent="0.25">
      <c r="A1402" s="142">
        <v>45289</v>
      </c>
      <c r="B1402" s="81" t="s">
        <v>47</v>
      </c>
      <c r="C1402" s="129" t="str">
        <f t="shared" si="43"/>
        <v>29.12.2023_KIRob</v>
      </c>
      <c r="D1402" s="143">
        <f t="shared" si="44"/>
        <v>0</v>
      </c>
      <c r="E1402" s="144">
        <v>7.4249057624368071E-3</v>
      </c>
      <c r="F1402" s="145">
        <v>4.515427637152329E-3</v>
      </c>
      <c r="G1402" s="146">
        <v>0.4769883641341548</v>
      </c>
      <c r="H1402" s="146">
        <v>0.11658972245122287</v>
      </c>
      <c r="I1402" s="147">
        <v>5.7359999999999998</v>
      </c>
      <c r="J1402" s="148">
        <v>1.7014627558668045</v>
      </c>
      <c r="K1402" s="149">
        <v>43</v>
      </c>
      <c r="L1402" s="149">
        <v>126.756</v>
      </c>
      <c r="M1402" s="67"/>
      <c r="N1402" s="135"/>
    </row>
    <row r="1403" spans="1:14" x14ac:dyDescent="0.25">
      <c r="A1403" s="142">
        <v>45289</v>
      </c>
      <c r="B1403" s="81" t="s">
        <v>49</v>
      </c>
      <c r="C1403" s="129" t="str">
        <f t="shared" si="43"/>
        <v>29.12.2023_KIRun</v>
      </c>
      <c r="D1403" s="143">
        <f t="shared" si="44"/>
        <v>0</v>
      </c>
      <c r="E1403" s="144">
        <v>6.6824151861931386E-2</v>
      </c>
      <c r="F1403" s="145">
        <v>6.0534205363022738E-3</v>
      </c>
      <c r="G1403" s="146">
        <v>0.14088980150581798</v>
      </c>
      <c r="H1403" s="146">
        <v>7.7142071997801626E-2</v>
      </c>
      <c r="I1403" s="147">
        <v>6.07</v>
      </c>
      <c r="J1403" s="148">
        <v>1.5039163257909836</v>
      </c>
      <c r="K1403" s="149">
        <v>43</v>
      </c>
      <c r="L1403" s="149">
        <v>138.15100000000001</v>
      </c>
      <c r="M1403" s="67"/>
      <c r="N1403" s="135"/>
    </row>
    <row r="1404" spans="1:14" x14ac:dyDescent="0.25">
      <c r="A1404" s="142">
        <v>45289</v>
      </c>
      <c r="B1404" s="81" t="s">
        <v>50</v>
      </c>
      <c r="C1404" s="129" t="str">
        <f t="shared" si="43"/>
        <v>29.12.2023_LIEohBo</v>
      </c>
      <c r="D1404" s="143">
        <f t="shared" si="44"/>
        <v>0</v>
      </c>
      <c r="E1404" s="144">
        <v>6.830913301441871E-2</v>
      </c>
      <c r="F1404" s="145">
        <v>1.7498923579489928E-2</v>
      </c>
      <c r="G1404" s="146">
        <v>7.0444900752908976E-2</v>
      </c>
      <c r="H1404" s="146">
        <v>7.0129156361637815E-2</v>
      </c>
      <c r="I1404" s="147">
        <v>14.14</v>
      </c>
      <c r="J1404" s="148">
        <v>3.2698523826399271</v>
      </c>
      <c r="K1404" s="149">
        <v>18.466999999999999</v>
      </c>
      <c r="L1404" s="149">
        <v>86.504000000000005</v>
      </c>
      <c r="M1404" s="67"/>
      <c r="N1404" s="135"/>
    </row>
    <row r="1405" spans="1:14" x14ac:dyDescent="0.25">
      <c r="A1405" s="142">
        <v>45289</v>
      </c>
      <c r="B1405" s="81" t="s">
        <v>53</v>
      </c>
      <c r="C1405" s="129" t="str">
        <f t="shared" si="43"/>
        <v>29.12.2023_NATohBo</v>
      </c>
      <c r="D1405" s="143">
        <f t="shared" si="44"/>
        <v>0</v>
      </c>
      <c r="E1405" s="144">
        <v>8.3158944539292415E-2</v>
      </c>
      <c r="F1405" s="145">
        <v>3.1936953476358158E-2</v>
      </c>
      <c r="G1405" s="146">
        <v>0.18247775496235463</v>
      </c>
      <c r="H1405" s="146">
        <v>7.3635614179719727E-2</v>
      </c>
      <c r="I1405" s="147">
        <v>6.8550000000000004</v>
      </c>
      <c r="J1405" s="148">
        <v>1.7124493646877343</v>
      </c>
      <c r="K1405" s="149">
        <v>27</v>
      </c>
      <c r="L1405" s="149">
        <v>202.05600000000001</v>
      </c>
      <c r="M1405" s="67"/>
      <c r="N1405" s="135"/>
    </row>
    <row r="1406" spans="1:14" x14ac:dyDescent="0.25">
      <c r="A1406" s="142">
        <v>45289</v>
      </c>
      <c r="B1406" s="81" t="s">
        <v>55</v>
      </c>
      <c r="C1406" s="129" t="str">
        <f t="shared" si="43"/>
        <v>29.12.2023_QUAohBo</v>
      </c>
      <c r="D1406" s="143">
        <f t="shared" si="44"/>
        <v>0</v>
      </c>
      <c r="E1406" s="144">
        <v>6.3854189556956681E-2</v>
      </c>
      <c r="F1406" s="145">
        <v>1.2055339180024842E-2</v>
      </c>
      <c r="G1406" s="146">
        <v>0.15446954140999317</v>
      </c>
      <c r="H1406" s="146">
        <v>5.2596867271228358E-2</v>
      </c>
      <c r="I1406" s="147">
        <v>8.2260000000000009</v>
      </c>
      <c r="J1406" s="148">
        <v>1.9939637904501712</v>
      </c>
      <c r="K1406" s="149">
        <v>26</v>
      </c>
      <c r="L1406" s="149">
        <v>91.578999999999994</v>
      </c>
      <c r="M1406" s="67"/>
      <c r="N1406" s="135"/>
    </row>
    <row r="1407" spans="1:14" x14ac:dyDescent="0.25">
      <c r="A1407" s="142">
        <v>45289</v>
      </c>
      <c r="B1407" s="81" t="s">
        <v>57</v>
      </c>
      <c r="C1407" s="129" t="str">
        <f t="shared" si="43"/>
        <v>29.12.2023_SCHohVo</v>
      </c>
      <c r="D1407" s="143">
        <f t="shared" si="44"/>
        <v>0</v>
      </c>
      <c r="E1407" s="144">
        <v>7.4249057624368071E-3</v>
      </c>
      <c r="F1407" s="145">
        <v>1.4696796427664539E-2</v>
      </c>
      <c r="G1407" s="146">
        <v>7.8083504449007551E-2</v>
      </c>
      <c r="H1407" s="146">
        <v>2.7175048090134657E-2</v>
      </c>
      <c r="I1407" s="147">
        <v>7.9420000000000002</v>
      </c>
      <c r="J1407" s="148">
        <v>1.8627640437606512</v>
      </c>
      <c r="K1407" s="149">
        <v>16.204000000000001</v>
      </c>
      <c r="L1407" s="149">
        <v>64.686000000000007</v>
      </c>
      <c r="M1407" s="67"/>
      <c r="N1407" s="135"/>
    </row>
    <row r="1408" spans="1:14" x14ac:dyDescent="0.25">
      <c r="A1408" s="142">
        <v>45289</v>
      </c>
      <c r="B1408" s="81" t="s">
        <v>60</v>
      </c>
      <c r="C1408" s="129" t="str">
        <f t="shared" si="43"/>
        <v>29.12.2023_VORohBo</v>
      </c>
      <c r="D1408" s="143">
        <f t="shared" si="44"/>
        <v>0</v>
      </c>
      <c r="E1408" s="144">
        <v>4.3064453422133581E-2</v>
      </c>
      <c r="F1408" s="145">
        <v>6.9942042048815661E-3</v>
      </c>
      <c r="G1408" s="146">
        <v>0.29535934291581123</v>
      </c>
      <c r="H1408" s="146">
        <v>6.0486397361912622E-2</v>
      </c>
      <c r="I1408" s="147">
        <v>8.9809999999999999</v>
      </c>
      <c r="J1408" s="148">
        <v>2.2762971298575327</v>
      </c>
      <c r="K1408" s="149">
        <v>27.318999999999999</v>
      </c>
      <c r="L1408" s="149">
        <v>135.51300000000001</v>
      </c>
      <c r="M1408" s="67"/>
      <c r="N1408" s="135"/>
    </row>
    <row r="1409" spans="1:14" x14ac:dyDescent="0.25">
      <c r="A1409" s="142">
        <v>45289</v>
      </c>
      <c r="B1409" s="81" t="s">
        <v>62</v>
      </c>
      <c r="C1409" s="129" t="str">
        <f t="shared" si="43"/>
        <v>29.12.2023_VORuhSc</v>
      </c>
      <c r="D1409" s="143">
        <f t="shared" si="44"/>
        <v>0</v>
      </c>
      <c r="E1409" s="144">
        <v>1.6334792677361001E-2</v>
      </c>
      <c r="F1409" s="145">
        <v>8.9336796671311992E-3</v>
      </c>
      <c r="G1409" s="146">
        <v>0.13664613278576324</v>
      </c>
      <c r="H1409" s="146">
        <v>4.3830722726023626E-2</v>
      </c>
      <c r="I1409" s="147">
        <v>8.7140000000000004</v>
      </c>
      <c r="J1409" s="148">
        <v>2.087679799180755</v>
      </c>
      <c r="K1409" s="149">
        <v>21.937999999999999</v>
      </c>
      <c r="L1409" s="149">
        <v>110.71</v>
      </c>
      <c r="M1409" s="67"/>
      <c r="N1409" s="135"/>
    </row>
    <row r="1410" spans="1:14" x14ac:dyDescent="0.25">
      <c r="A1410" s="142">
        <v>45289</v>
      </c>
      <c r="B1410" s="81" t="s">
        <v>64</v>
      </c>
      <c r="C1410" s="129" t="str">
        <f t="shared" si="43"/>
        <v>29.12.2023_WITob</v>
      </c>
      <c r="D1410" s="143">
        <f t="shared" si="44"/>
        <v>0</v>
      </c>
      <c r="E1410" s="144">
        <v>3.7124528812184129E-2</v>
      </c>
      <c r="F1410" s="145">
        <v>8.0134302484126136E-3</v>
      </c>
      <c r="G1410" s="146">
        <v>0.1391923340177961</v>
      </c>
      <c r="H1410" s="146">
        <v>2.4545204726573237E-2</v>
      </c>
      <c r="I1410" s="147">
        <v>6.0620000000000003</v>
      </c>
      <c r="J1410" s="148">
        <v>1.4847781830204836</v>
      </c>
      <c r="K1410" s="149">
        <v>65</v>
      </c>
      <c r="L1410" s="149">
        <v>289.08199999999999</v>
      </c>
      <c r="M1410" s="67"/>
      <c r="N1410" s="135"/>
    </row>
    <row r="1411" spans="1:14" x14ac:dyDescent="0.25">
      <c r="A1411" s="142">
        <v>45306</v>
      </c>
      <c r="B1411" s="81" t="s">
        <v>22</v>
      </c>
      <c r="C1411" s="129" t="str">
        <f t="shared" si="43"/>
        <v>15.01.2024_BOYkl</v>
      </c>
      <c r="D1411" s="143">
        <f t="shared" si="44"/>
        <v>0</v>
      </c>
      <c r="E1411" s="144">
        <v>2.3825344091124828E-2</v>
      </c>
      <c r="F1411" s="145">
        <v>2.14214491881962E-2</v>
      </c>
      <c r="G1411" s="146">
        <v>0.20928525409500015</v>
      </c>
      <c r="H1411" s="146">
        <v>7.3471656904596408E-2</v>
      </c>
      <c r="I1411" s="147">
        <v>18.789000000000001</v>
      </c>
      <c r="J1411" s="148">
        <v>4.4287477828968314</v>
      </c>
      <c r="K1411" s="149">
        <v>21.481999999999999</v>
      </c>
      <c r="L1411" s="149">
        <v>38.344000000000001</v>
      </c>
      <c r="M1411" s="67"/>
      <c r="N1411" s="135"/>
    </row>
    <row r="1412" spans="1:14" x14ac:dyDescent="0.25">
      <c r="A1412" s="142">
        <v>45306</v>
      </c>
      <c r="B1412" s="81" t="s">
        <v>25</v>
      </c>
      <c r="C1412" s="129" t="str">
        <f t="shared" si="43"/>
        <v>15.01.2024_BOYohB224</v>
      </c>
      <c r="D1412" s="143">
        <f t="shared" si="44"/>
        <v>0</v>
      </c>
      <c r="E1412" s="144">
        <v>1.4890840056952983E-2</v>
      </c>
      <c r="F1412" s="145">
        <v>1.1149054889973694E-2</v>
      </c>
      <c r="G1412" s="146">
        <v>0.35841158899670073</v>
      </c>
      <c r="H1412" s="146">
        <v>6.2070882557331439E-2</v>
      </c>
      <c r="I1412" s="147">
        <v>7.5720000000000001</v>
      </c>
      <c r="J1412" s="148">
        <v>2.0074881349346279</v>
      </c>
      <c r="K1412" s="149">
        <v>29</v>
      </c>
      <c r="L1412" s="149">
        <v>141.59</v>
      </c>
      <c r="M1412" s="67"/>
      <c r="N1412" s="135"/>
    </row>
    <row r="1413" spans="1:14" x14ac:dyDescent="0.25">
      <c r="A1413" s="142">
        <v>45306</v>
      </c>
      <c r="B1413" s="81" t="s">
        <v>28</v>
      </c>
      <c r="C1413" s="129" t="str">
        <f t="shared" si="43"/>
        <v>15.01.2024_BOYohBr</v>
      </c>
      <c r="D1413" s="143">
        <f t="shared" ref="D1413:D1476" si="45">COUNTBLANK(E1413:L1413)</f>
        <v>0</v>
      </c>
      <c r="E1413" s="144">
        <v>5.2117940199335536E-2</v>
      </c>
      <c r="F1413" s="145">
        <v>1.3944297915643862E-2</v>
      </c>
      <c r="G1413" s="146">
        <v>0.1550574959489272</v>
      </c>
      <c r="H1413" s="146">
        <v>3.2935570336543242E-2</v>
      </c>
      <c r="I1413" s="147">
        <v>10.981</v>
      </c>
      <c r="J1413" s="148">
        <v>2.610706299418343</v>
      </c>
      <c r="K1413" s="149">
        <v>18.126999999999999</v>
      </c>
      <c r="L1413" s="149">
        <v>59.893999999999998</v>
      </c>
      <c r="M1413" s="67"/>
      <c r="N1413" s="135"/>
    </row>
    <row r="1414" spans="1:14" x14ac:dyDescent="0.25">
      <c r="A1414" s="142">
        <v>45306</v>
      </c>
      <c r="B1414" s="81" t="s">
        <v>30</v>
      </c>
      <c r="C1414" s="129" t="str">
        <f t="shared" si="43"/>
        <v>15.01.2024_BOYohKi</v>
      </c>
      <c r="D1414" s="143">
        <f t="shared" si="45"/>
        <v>0</v>
      </c>
      <c r="E1414" s="144">
        <v>0</v>
      </c>
      <c r="F1414" s="145">
        <v>1.0538743902686309E-2</v>
      </c>
      <c r="G1414" s="146">
        <v>0.2203002674684211</v>
      </c>
      <c r="H1414" s="146">
        <v>6.3337635262583278E-3</v>
      </c>
      <c r="I1414" s="147">
        <v>7.2910000000000004</v>
      </c>
      <c r="J1414" s="148">
        <v>1.8198074389921235</v>
      </c>
      <c r="K1414" s="149">
        <v>28.068000000000001</v>
      </c>
      <c r="L1414" s="149">
        <v>90.135000000000005</v>
      </c>
      <c r="M1414" s="67"/>
      <c r="N1414" s="135"/>
    </row>
    <row r="1415" spans="1:14" x14ac:dyDescent="0.25">
      <c r="A1415" s="142">
        <v>45306</v>
      </c>
      <c r="B1415" s="81" t="s">
        <v>32</v>
      </c>
      <c r="C1415" s="129" t="str">
        <f t="shared" si="43"/>
        <v>15.01.2024_BOYohSp</v>
      </c>
      <c r="D1415" s="143">
        <f t="shared" si="45"/>
        <v>0</v>
      </c>
      <c r="E1415" s="144">
        <v>0</v>
      </c>
      <c r="F1415" s="145">
        <v>1.4461691950154561E-2</v>
      </c>
      <c r="G1415" s="146">
        <v>0.30333652212959528</v>
      </c>
      <c r="H1415" s="146">
        <v>9.247294748337137E-2</v>
      </c>
      <c r="I1415" s="147">
        <v>9.6059999999999999</v>
      </c>
      <c r="J1415" s="148">
        <v>2.4333983849297218</v>
      </c>
      <c r="K1415" s="149">
        <v>37</v>
      </c>
      <c r="L1415" s="149">
        <v>75.046999999999997</v>
      </c>
      <c r="M1415" s="67"/>
      <c r="N1415" s="135"/>
    </row>
    <row r="1416" spans="1:14" x14ac:dyDescent="0.25">
      <c r="A1416" s="142">
        <v>45306</v>
      </c>
      <c r="B1416" s="81" t="s">
        <v>34</v>
      </c>
      <c r="C1416" s="129" t="str">
        <f t="shared" si="43"/>
        <v>15.01.2024_BOYuhHa</v>
      </c>
      <c r="D1416" s="143">
        <f t="shared" si="45"/>
        <v>0</v>
      </c>
      <c r="E1416" s="144">
        <v>1.4890840056952612E-3</v>
      </c>
      <c r="F1416" s="145">
        <v>1.2170850453957356E-2</v>
      </c>
      <c r="G1416" s="146">
        <v>0.33045040120263169</v>
      </c>
      <c r="H1416" s="146">
        <v>5.8270624441576442E-2</v>
      </c>
      <c r="I1416" s="147">
        <v>7.0609999999999999</v>
      </c>
      <c r="J1416" s="148">
        <v>1.8691999936410695</v>
      </c>
      <c r="K1416" s="149">
        <v>29</v>
      </c>
      <c r="L1416" s="149">
        <v>162.86199999999999</v>
      </c>
      <c r="M1416" s="67"/>
      <c r="N1416" s="135"/>
    </row>
    <row r="1417" spans="1:14" x14ac:dyDescent="0.25">
      <c r="A1417" s="142">
        <v>45306</v>
      </c>
      <c r="B1417" s="81" t="s">
        <v>36</v>
      </c>
      <c r="C1417" s="129" t="str">
        <f t="shared" si="43"/>
        <v>15.01.2024_BOYuhSp</v>
      </c>
      <c r="D1417" s="143">
        <f t="shared" si="45"/>
        <v>0</v>
      </c>
      <c r="E1417" s="144">
        <v>0</v>
      </c>
      <c r="F1417" s="145">
        <v>1.2657078479754582E-2</v>
      </c>
      <c r="G1417" s="146">
        <v>0.26097108607797581</v>
      </c>
      <c r="H1417" s="146">
        <v>5.8270624441576442E-2</v>
      </c>
      <c r="I1417" s="147">
        <v>7.8310000000000004</v>
      </c>
      <c r="J1417" s="148">
        <v>1.9891699002399255</v>
      </c>
      <c r="K1417" s="149">
        <v>29</v>
      </c>
      <c r="L1417" s="149">
        <v>88.822999999999993</v>
      </c>
      <c r="M1417" s="67"/>
      <c r="N1417" s="135"/>
    </row>
    <row r="1418" spans="1:14" x14ac:dyDescent="0.25">
      <c r="A1418" s="142">
        <v>45306</v>
      </c>
      <c r="B1418" s="81" t="s">
        <v>38</v>
      </c>
      <c r="C1418" s="129" t="str">
        <f t="shared" si="43"/>
        <v>15.01.2024_BRAob</v>
      </c>
      <c r="D1418" s="143">
        <f t="shared" si="45"/>
        <v>0</v>
      </c>
      <c r="E1418" s="144">
        <v>0</v>
      </c>
      <c r="F1418" s="145">
        <v>9.1603356539748035E-3</v>
      </c>
      <c r="G1418" s="146">
        <v>0.17030905292751022</v>
      </c>
      <c r="H1418" s="146">
        <v>0.1836791422614911</v>
      </c>
      <c r="I1418" s="147">
        <v>4.9989999999999997</v>
      </c>
      <c r="J1418" s="148">
        <v>1.3172885213691932</v>
      </c>
      <c r="K1418" s="149">
        <v>29</v>
      </c>
      <c r="L1418" s="149">
        <v>90.236999999999995</v>
      </c>
      <c r="M1418" s="67"/>
      <c r="N1418" s="135"/>
    </row>
    <row r="1419" spans="1:14" x14ac:dyDescent="0.25">
      <c r="A1419" s="142">
        <v>45306</v>
      </c>
      <c r="B1419" s="81" t="s">
        <v>41</v>
      </c>
      <c r="C1419" s="129" t="str">
        <f t="shared" si="43"/>
        <v>15.01.2024_BRAohBo</v>
      </c>
      <c r="D1419" s="143">
        <f t="shared" si="45"/>
        <v>0</v>
      </c>
      <c r="E1419" s="144">
        <v>0</v>
      </c>
      <c r="F1419" s="145">
        <v>2.0945966833987192E-2</v>
      </c>
      <c r="G1419" s="146">
        <v>0.36688467620702453</v>
      </c>
      <c r="H1419" s="146">
        <v>7.2204904199344777E-2</v>
      </c>
      <c r="I1419" s="147">
        <v>5.5469999999999997</v>
      </c>
      <c r="J1419" s="148">
        <v>1.5597659553114829</v>
      </c>
      <c r="K1419" s="149">
        <v>21.356000000000002</v>
      </c>
      <c r="L1419" s="149">
        <v>71.164000000000001</v>
      </c>
      <c r="M1419" s="67"/>
      <c r="N1419" s="135"/>
    </row>
    <row r="1420" spans="1:14" x14ac:dyDescent="0.25">
      <c r="A1420" s="142">
        <v>45306</v>
      </c>
      <c r="B1420" s="81" t="s">
        <v>43</v>
      </c>
      <c r="C1420" s="129" t="str">
        <f t="shared" si="43"/>
        <v>15.01.2024_HAAob</v>
      </c>
      <c r="D1420" s="143">
        <f t="shared" si="45"/>
        <v>0</v>
      </c>
      <c r="E1420" s="144">
        <v>0</v>
      </c>
      <c r="F1420" s="145">
        <v>6.9250175481374715E-3</v>
      </c>
      <c r="G1420" s="146">
        <v>0.15166826106479764</v>
      </c>
      <c r="H1420" s="146">
        <v>4.4336344683808211E-2</v>
      </c>
      <c r="I1420" s="147">
        <v>6.2279999999999998</v>
      </c>
      <c r="J1420" s="148">
        <v>1.5379854481731901</v>
      </c>
      <c r="K1420" s="149">
        <v>20.739000000000001</v>
      </c>
      <c r="L1420" s="149">
        <v>98.45</v>
      </c>
      <c r="M1420" s="67"/>
      <c r="N1420" s="135"/>
    </row>
    <row r="1421" spans="1:14" x14ac:dyDescent="0.25">
      <c r="A1421" s="142">
        <v>45306</v>
      </c>
      <c r="B1421" s="81" t="s">
        <v>45</v>
      </c>
      <c r="C1421" s="129" t="str">
        <f t="shared" si="43"/>
        <v>15.01.2024_HAAun</v>
      </c>
      <c r="D1421" s="143">
        <f t="shared" si="45"/>
        <v>0</v>
      </c>
      <c r="E1421" s="144">
        <v>0</v>
      </c>
      <c r="F1421" s="145">
        <v>8.7671716515622371E-3</v>
      </c>
      <c r="G1421" s="146">
        <v>0.28554303898791517</v>
      </c>
      <c r="H1421" s="146">
        <v>3.5469075747046601E-2</v>
      </c>
      <c r="I1421" s="147">
        <v>6.2789999999999999</v>
      </c>
      <c r="J1421" s="148">
        <v>1.6507576044549146</v>
      </c>
      <c r="K1421" s="149">
        <v>22.073</v>
      </c>
      <c r="L1421" s="149">
        <v>170.77600000000001</v>
      </c>
      <c r="M1421" s="67"/>
      <c r="N1421" s="135"/>
    </row>
    <row r="1422" spans="1:14" x14ac:dyDescent="0.25">
      <c r="A1422" s="142">
        <v>45306</v>
      </c>
      <c r="B1422" s="81" t="s">
        <v>47</v>
      </c>
      <c r="C1422" s="129" t="str">
        <f t="shared" si="43"/>
        <v>15.01.2024_KIRob</v>
      </c>
      <c r="D1422" s="143">
        <f t="shared" si="45"/>
        <v>0</v>
      </c>
      <c r="E1422" s="144">
        <v>0</v>
      </c>
      <c r="F1422" s="145">
        <v>7.9490839170687153E-3</v>
      </c>
      <c r="G1422" s="146">
        <v>0.69987700357275351</v>
      </c>
      <c r="H1422" s="146">
        <v>9.8806711009629719E-2</v>
      </c>
      <c r="I1422" s="147">
        <v>6.4729999999999999</v>
      </c>
      <c r="J1422" s="148">
        <v>2.035585707671089</v>
      </c>
      <c r="K1422" s="149">
        <v>52</v>
      </c>
      <c r="L1422" s="149">
        <v>138.84100000000001</v>
      </c>
      <c r="M1422" s="67"/>
      <c r="N1422" s="135"/>
    </row>
    <row r="1423" spans="1:14" x14ac:dyDescent="0.25">
      <c r="A1423" s="142">
        <v>45306</v>
      </c>
      <c r="B1423" s="81" t="s">
        <v>49</v>
      </c>
      <c r="C1423" s="129" t="str">
        <f t="shared" si="43"/>
        <v>15.01.2024_KIRun</v>
      </c>
      <c r="D1423" s="143">
        <f t="shared" si="45"/>
        <v>0</v>
      </c>
      <c r="E1423" s="144">
        <v>0</v>
      </c>
      <c r="F1423" s="145">
        <v>8.4759635514323525E-3</v>
      </c>
      <c r="G1423" s="146">
        <v>0.18556060990609324</v>
      </c>
      <c r="H1423" s="146">
        <v>0.12540851781991466</v>
      </c>
      <c r="I1423" s="147">
        <v>5.2530000000000001</v>
      </c>
      <c r="J1423" s="148">
        <v>1.3687616912362552</v>
      </c>
      <c r="K1423" s="149">
        <v>40</v>
      </c>
      <c r="L1423" s="149">
        <v>125.08199999999999</v>
      </c>
      <c r="M1423" s="67"/>
      <c r="N1423" s="135"/>
    </row>
    <row r="1424" spans="1:14" x14ac:dyDescent="0.25">
      <c r="A1424" s="142">
        <v>45306</v>
      </c>
      <c r="B1424" s="81" t="s">
        <v>50</v>
      </c>
      <c r="C1424" s="129" t="str">
        <f t="shared" si="43"/>
        <v>15.01.2024_LIEohBo</v>
      </c>
      <c r="D1424" s="143">
        <f t="shared" si="45"/>
        <v>0</v>
      </c>
      <c r="E1424" s="144">
        <v>0</v>
      </c>
      <c r="F1424" s="145">
        <v>1.1217534823081904E-2</v>
      </c>
      <c r="G1424" s="146">
        <v>5.9311610472267233E-2</v>
      </c>
      <c r="H1424" s="146">
        <v>8.1072173136106387E-2</v>
      </c>
      <c r="I1424" s="147">
        <v>19.279</v>
      </c>
      <c r="J1424" s="148">
        <v>4.4252850255268985</v>
      </c>
      <c r="K1424" s="149">
        <v>25.533999999999999</v>
      </c>
      <c r="L1424" s="149">
        <v>92.537000000000006</v>
      </c>
      <c r="M1424" s="67"/>
      <c r="N1424" s="135"/>
    </row>
    <row r="1425" spans="1:14" x14ac:dyDescent="0.25">
      <c r="A1425" s="142">
        <v>45306</v>
      </c>
      <c r="B1425" s="81" t="s">
        <v>53</v>
      </c>
      <c r="C1425" s="129" t="str">
        <f t="shared" si="43"/>
        <v>15.01.2024_NATohBo</v>
      </c>
      <c r="D1425" s="143">
        <f t="shared" si="45"/>
        <v>0</v>
      </c>
      <c r="E1425" s="144">
        <v>1.3401756051257692E-2</v>
      </c>
      <c r="F1425" s="145">
        <v>1.0904527993084044E-2</v>
      </c>
      <c r="G1425" s="146">
        <v>0.29825266980340093</v>
      </c>
      <c r="H1425" s="146">
        <v>0.116541248883153</v>
      </c>
      <c r="I1425" s="147">
        <v>7.19</v>
      </c>
      <c r="J1425" s="148">
        <v>1.8910764987981188</v>
      </c>
      <c r="K1425" s="149">
        <v>58</v>
      </c>
      <c r="L1425" s="149">
        <v>343.55500000000001</v>
      </c>
      <c r="M1425" s="67"/>
      <c r="N1425" s="135"/>
    </row>
    <row r="1426" spans="1:14" x14ac:dyDescent="0.25">
      <c r="A1426" s="142">
        <v>45306</v>
      </c>
      <c r="B1426" s="81" t="s">
        <v>55</v>
      </c>
      <c r="C1426" s="129" t="str">
        <f t="shared" si="43"/>
        <v>15.01.2024_QUAohBo</v>
      </c>
      <c r="D1426" s="143">
        <f t="shared" si="45"/>
        <v>0</v>
      </c>
      <c r="E1426" s="144">
        <v>1.1912672045562398E-2</v>
      </c>
      <c r="F1426" s="145">
        <v>6.3124918501286176E-3</v>
      </c>
      <c r="G1426" s="146">
        <v>0.22199488491048591</v>
      </c>
      <c r="H1426" s="146">
        <v>5.3203613620569828E-2</v>
      </c>
      <c r="I1426" s="147">
        <v>4.4720000000000004</v>
      </c>
      <c r="J1426" s="148">
        <v>1.1986652883509257</v>
      </c>
      <c r="K1426" s="149">
        <v>50</v>
      </c>
      <c r="L1426" s="149">
        <v>91.501999999999995</v>
      </c>
      <c r="M1426" s="67"/>
      <c r="N1426" s="135"/>
    </row>
    <row r="1427" spans="1:14" x14ac:dyDescent="0.25">
      <c r="A1427" s="142">
        <v>45306</v>
      </c>
      <c r="B1427" s="81" t="s">
        <v>57</v>
      </c>
      <c r="C1427" s="129" t="str">
        <f t="shared" si="43"/>
        <v>15.01.2024_SCHohVo</v>
      </c>
      <c r="D1427" s="143">
        <f t="shared" si="45"/>
        <v>0</v>
      </c>
      <c r="E1427" s="144">
        <v>0</v>
      </c>
      <c r="F1427" s="145">
        <v>1.30907054901831E-2</v>
      </c>
      <c r="G1427" s="146">
        <v>0.21521641514222678</v>
      </c>
      <c r="H1427" s="146">
        <v>3.0402064926039932E-2</v>
      </c>
      <c r="I1427" s="147">
        <v>4.3120000000000003</v>
      </c>
      <c r="J1427" s="148">
        <v>1.1503207428605204</v>
      </c>
      <c r="K1427" s="149">
        <v>14.545999999999999</v>
      </c>
      <c r="L1427" s="149">
        <v>52.863</v>
      </c>
      <c r="M1427" s="67"/>
      <c r="N1427" s="135"/>
    </row>
    <row r="1428" spans="1:14" x14ac:dyDescent="0.25">
      <c r="A1428" s="142">
        <v>45306</v>
      </c>
      <c r="B1428" s="81" t="s">
        <v>60</v>
      </c>
      <c r="C1428" s="129" t="str">
        <f t="shared" si="43"/>
        <v>15.01.2024_VORohBo</v>
      </c>
      <c r="D1428" s="143">
        <f t="shared" si="45"/>
        <v>0</v>
      </c>
      <c r="E1428" s="144">
        <v>7.4454200284764915E-3</v>
      </c>
      <c r="F1428" s="145">
        <v>1.0126856889479336E-2</v>
      </c>
      <c r="G1428" s="146">
        <v>0.35163311922844159</v>
      </c>
      <c r="H1428" s="146">
        <v>7.980542043085477E-2</v>
      </c>
      <c r="I1428" s="147">
        <v>4.2270000000000003</v>
      </c>
      <c r="J1428" s="148">
        <v>1.2520888509998664</v>
      </c>
      <c r="K1428" s="149">
        <v>24.088000000000001</v>
      </c>
      <c r="L1428" s="149">
        <v>133.369</v>
      </c>
      <c r="M1428" s="67"/>
      <c r="N1428" s="135"/>
    </row>
    <row r="1429" spans="1:14" x14ac:dyDescent="0.25">
      <c r="A1429" s="142">
        <v>45306</v>
      </c>
      <c r="B1429" s="81" t="s">
        <v>62</v>
      </c>
      <c r="C1429" s="129" t="str">
        <f t="shared" si="43"/>
        <v>15.01.2024_VORuhSc</v>
      </c>
      <c r="D1429" s="143">
        <f t="shared" si="45"/>
        <v>0</v>
      </c>
      <c r="E1429" s="144">
        <v>0</v>
      </c>
      <c r="F1429" s="145">
        <v>8.9143269797284236E-3</v>
      </c>
      <c r="G1429" s="146">
        <v>0.22453681107358309</v>
      </c>
      <c r="H1429" s="146">
        <v>4.1802839273304901E-2</v>
      </c>
      <c r="I1429" s="147">
        <v>4.1310000000000002</v>
      </c>
      <c r="J1429" s="148">
        <v>1.1201464328472843</v>
      </c>
      <c r="K1429" s="149">
        <v>18.789000000000001</v>
      </c>
      <c r="L1429" s="149">
        <v>109.05</v>
      </c>
      <c r="M1429" s="67"/>
      <c r="N1429" s="135"/>
    </row>
    <row r="1430" spans="1:14" x14ac:dyDescent="0.25">
      <c r="A1430" s="142">
        <v>45306</v>
      </c>
      <c r="B1430" s="81" t="s">
        <v>64</v>
      </c>
      <c r="C1430" s="129" t="str">
        <f t="shared" si="43"/>
        <v>15.01.2024_WITob</v>
      </c>
      <c r="D1430" s="143">
        <f t="shared" si="45"/>
        <v>0</v>
      </c>
      <c r="E1430" s="144">
        <v>0</v>
      </c>
      <c r="F1430" s="145">
        <v>6.8646004867468332E-3</v>
      </c>
      <c r="G1430" s="146">
        <v>0.10252435524491912</v>
      </c>
      <c r="H1430" s="146">
        <v>2.1534795989278266E-2</v>
      </c>
      <c r="I1430" s="147">
        <v>3.89</v>
      </c>
      <c r="J1430" s="148">
        <v>0.96479970524306302</v>
      </c>
      <c r="K1430" s="149">
        <v>53</v>
      </c>
      <c r="L1430" s="149">
        <v>253.62799999999999</v>
      </c>
      <c r="M1430" s="67"/>
      <c r="N1430" s="135"/>
    </row>
    <row r="1431" spans="1:14" x14ac:dyDescent="0.25">
      <c r="A1431" s="142">
        <v>45322</v>
      </c>
      <c r="B1431" s="81" t="s">
        <v>22</v>
      </c>
      <c r="C1431" s="129" t="str">
        <f t="shared" si="43"/>
        <v>31.01.2024_BOYkl</v>
      </c>
      <c r="D1431" s="143">
        <f t="shared" si="45"/>
        <v>0</v>
      </c>
      <c r="E1431" s="144">
        <v>5.6426525475219209E-2</v>
      </c>
      <c r="F1431" s="145">
        <v>6.5775131184816205E-3</v>
      </c>
      <c r="G1431" s="146">
        <v>0.13134475160066961</v>
      </c>
      <c r="H1431" s="146">
        <v>8.0037735849056629E-2</v>
      </c>
      <c r="I1431" s="147">
        <v>18.905999999999999</v>
      </c>
      <c r="J1431" s="148">
        <v>4.3966535948496492</v>
      </c>
      <c r="K1431" s="149">
        <v>18.478999999999999</v>
      </c>
      <c r="L1431" s="149">
        <v>37.722000000000001</v>
      </c>
      <c r="M1431" s="67"/>
      <c r="N1431" s="135"/>
    </row>
    <row r="1432" spans="1:14" x14ac:dyDescent="0.25">
      <c r="A1432" s="142">
        <v>45322</v>
      </c>
      <c r="B1432" s="81" t="s">
        <v>25</v>
      </c>
      <c r="C1432" s="129" t="str">
        <f t="shared" si="43"/>
        <v>31.01.2024_BOYohB224</v>
      </c>
      <c r="D1432" s="143">
        <f t="shared" si="45"/>
        <v>0</v>
      </c>
      <c r="E1432" s="144">
        <v>3.9651071955559399E-2</v>
      </c>
      <c r="F1432" s="145">
        <v>5.6047872869981405E-3</v>
      </c>
      <c r="G1432" s="146">
        <v>0.24380869515874296</v>
      </c>
      <c r="H1432" s="146">
        <v>8.0037735849056629E-2</v>
      </c>
      <c r="I1432" s="147">
        <v>6.0869999999999997</v>
      </c>
      <c r="J1432" s="148">
        <v>1.5885531923830576</v>
      </c>
      <c r="K1432" s="149">
        <v>25</v>
      </c>
      <c r="L1432" s="149">
        <v>144.738</v>
      </c>
      <c r="M1432" s="67"/>
      <c r="N1432" s="135"/>
    </row>
    <row r="1433" spans="1:14" x14ac:dyDescent="0.25">
      <c r="A1433" s="142">
        <v>45322</v>
      </c>
      <c r="B1433" s="81" t="s">
        <v>28</v>
      </c>
      <c r="C1433" s="129" t="str">
        <f t="shared" si="43"/>
        <v>31.01.2024_BOYohBr</v>
      </c>
      <c r="D1433" s="143">
        <f t="shared" si="45"/>
        <v>0</v>
      </c>
      <c r="E1433" s="144">
        <v>1.2200329832479841E-2</v>
      </c>
      <c r="F1433" s="145">
        <v>1.4983923555889565E-2</v>
      </c>
      <c r="G1433" s="146">
        <v>7.962775565790596E-2</v>
      </c>
      <c r="H1433" s="146">
        <v>2.2677358490566041E-2</v>
      </c>
      <c r="I1433" s="147">
        <v>8.5559999999999992</v>
      </c>
      <c r="J1433" s="148">
        <v>2.00127799778326</v>
      </c>
      <c r="K1433" s="149">
        <v>9.9960000000000004</v>
      </c>
      <c r="L1433" s="149">
        <v>56.557000000000002</v>
      </c>
      <c r="M1433" s="67"/>
      <c r="N1433" s="135"/>
    </row>
    <row r="1434" spans="1:14" x14ac:dyDescent="0.25">
      <c r="A1434" s="142">
        <v>45322</v>
      </c>
      <c r="B1434" s="81" t="s">
        <v>30</v>
      </c>
      <c r="C1434" s="129" t="str">
        <f t="shared" si="43"/>
        <v>31.01.2024_BOYohKi</v>
      </c>
      <c r="D1434" s="143">
        <f t="shared" si="45"/>
        <v>0</v>
      </c>
      <c r="E1434" s="144">
        <v>0</v>
      </c>
      <c r="F1434" s="145">
        <v>8.2683293629209464E-3</v>
      </c>
      <c r="G1434" s="146">
        <v>0.19127079451847515</v>
      </c>
      <c r="H1434" s="146">
        <v>2.5345283018867966E-2</v>
      </c>
      <c r="I1434" s="147">
        <v>5.548</v>
      </c>
      <c r="J1434" s="148">
        <v>1.409362990650745</v>
      </c>
      <c r="K1434" s="149">
        <v>25.408000000000001</v>
      </c>
      <c r="L1434" s="149">
        <v>102.521</v>
      </c>
      <c r="M1434" s="67"/>
      <c r="N1434" s="135"/>
    </row>
    <row r="1435" spans="1:14" x14ac:dyDescent="0.25">
      <c r="A1435" s="142">
        <v>45322</v>
      </c>
      <c r="B1435" s="81" t="s">
        <v>32</v>
      </c>
      <c r="C1435" s="129" t="str">
        <f t="shared" si="43"/>
        <v>31.01.2024_BOYohSp</v>
      </c>
      <c r="D1435" s="143">
        <f t="shared" si="45"/>
        <v>0</v>
      </c>
      <c r="E1435" s="144">
        <v>1.8300494748719715E-2</v>
      </c>
      <c r="F1435" s="145">
        <v>8.0494206533438355E-3</v>
      </c>
      <c r="G1435" s="146">
        <v>0.18716627103095421</v>
      </c>
      <c r="H1435" s="146">
        <v>9.2043396226415122E-2</v>
      </c>
      <c r="I1435" s="147">
        <v>7.2039999999999997</v>
      </c>
      <c r="J1435" s="148">
        <v>1.8005228297739575</v>
      </c>
      <c r="K1435" s="149">
        <v>25.699000000000002</v>
      </c>
      <c r="L1435" s="149">
        <v>74.918999999999997</v>
      </c>
      <c r="M1435" s="67"/>
      <c r="N1435" s="135"/>
    </row>
    <row r="1436" spans="1:14" x14ac:dyDescent="0.25">
      <c r="A1436" s="142">
        <v>45322</v>
      </c>
      <c r="B1436" s="81" t="s">
        <v>34</v>
      </c>
      <c r="C1436" s="129" t="str">
        <f t="shared" si="43"/>
        <v>31.01.2024_BOYuhHa</v>
      </c>
      <c r="D1436" s="143">
        <f t="shared" si="45"/>
        <v>0</v>
      </c>
      <c r="E1436" s="144">
        <v>0</v>
      </c>
      <c r="F1436" s="145">
        <v>1.5230828813024908E-2</v>
      </c>
      <c r="G1436" s="146">
        <v>0.26761493138636422</v>
      </c>
      <c r="H1436" s="146">
        <v>9.7379245283018862E-2</v>
      </c>
      <c r="I1436" s="147">
        <v>6.63</v>
      </c>
      <c r="J1436" s="148">
        <v>1.734965529298613</v>
      </c>
      <c r="K1436" s="149">
        <v>29</v>
      </c>
      <c r="L1436" s="149">
        <v>165.89400000000001</v>
      </c>
      <c r="M1436" s="67"/>
      <c r="N1436" s="135"/>
    </row>
    <row r="1437" spans="1:14" x14ac:dyDescent="0.25">
      <c r="A1437" s="142">
        <v>45322</v>
      </c>
      <c r="B1437" s="81" t="s">
        <v>36</v>
      </c>
      <c r="C1437" s="129" t="str">
        <f t="shared" si="43"/>
        <v>31.01.2024_BOYuhSp</v>
      </c>
      <c r="D1437" s="143">
        <f t="shared" si="45"/>
        <v>0</v>
      </c>
      <c r="E1437" s="144">
        <v>4.5751236871799366E-3</v>
      </c>
      <c r="F1437" s="145">
        <v>1.0522578958319088E-2</v>
      </c>
      <c r="G1437" s="146">
        <v>0.13791198918070305</v>
      </c>
      <c r="H1437" s="146">
        <v>6.1362264150943362E-2</v>
      </c>
      <c r="I1437" s="147">
        <v>5.0259999999999998</v>
      </c>
      <c r="J1437" s="148">
        <v>1.2609916417996787</v>
      </c>
      <c r="K1437" s="149">
        <v>21.431000000000001</v>
      </c>
      <c r="L1437" s="149">
        <v>87.67</v>
      </c>
      <c r="M1437" s="67"/>
      <c r="N1437" s="135"/>
    </row>
    <row r="1438" spans="1:14" x14ac:dyDescent="0.25">
      <c r="A1438" s="142">
        <v>45322</v>
      </c>
      <c r="B1438" s="81" t="s">
        <v>38</v>
      </c>
      <c r="C1438" s="129" t="str">
        <f t="shared" si="43"/>
        <v>31.01.2024_BRAob</v>
      </c>
      <c r="D1438" s="143">
        <f t="shared" si="45"/>
        <v>0</v>
      </c>
      <c r="E1438" s="144">
        <v>0</v>
      </c>
      <c r="F1438" s="145">
        <v>1.5640956301735624E-2</v>
      </c>
      <c r="G1438" s="146">
        <v>0.13216565629817376</v>
      </c>
      <c r="H1438" s="146">
        <v>0.19742641509433967</v>
      </c>
      <c r="I1438" s="147">
        <v>3.6829999999999998</v>
      </c>
      <c r="J1438" s="148">
        <v>0.99461099253444052</v>
      </c>
      <c r="K1438" s="149">
        <v>28</v>
      </c>
      <c r="L1438" s="149">
        <v>97.427999999999997</v>
      </c>
      <c r="M1438" s="67"/>
      <c r="N1438" s="135"/>
    </row>
    <row r="1439" spans="1:14" x14ac:dyDescent="0.25">
      <c r="A1439" s="142">
        <v>45322</v>
      </c>
      <c r="B1439" s="81" t="s">
        <v>41</v>
      </c>
      <c r="C1439" s="129" t="str">
        <f t="shared" si="43"/>
        <v>31.01.2024_BRAohBo</v>
      </c>
      <c r="D1439" s="143">
        <f t="shared" si="45"/>
        <v>0</v>
      </c>
      <c r="E1439" s="144">
        <v>0</v>
      </c>
      <c r="F1439" s="145">
        <v>1.8919074327662263E-2</v>
      </c>
      <c r="G1439" s="146">
        <v>0.22821150590616338</v>
      </c>
      <c r="H1439" s="146">
        <v>9.7379245283018862E-2</v>
      </c>
      <c r="I1439" s="147">
        <v>4.835</v>
      </c>
      <c r="J1439" s="148">
        <v>1.2989325134474921</v>
      </c>
      <c r="K1439" s="149">
        <v>22.411000000000001</v>
      </c>
      <c r="L1439" s="149">
        <v>74.489999999999995</v>
      </c>
      <c r="M1439" s="67"/>
      <c r="N1439" s="135"/>
    </row>
    <row r="1440" spans="1:14" x14ac:dyDescent="0.25">
      <c r="A1440" s="142">
        <v>45322</v>
      </c>
      <c r="B1440" s="81" t="s">
        <v>43</v>
      </c>
      <c r="C1440" s="129" t="str">
        <f t="shared" si="43"/>
        <v>31.01.2024_HAAob</v>
      </c>
      <c r="D1440" s="143">
        <f t="shared" si="45"/>
        <v>0</v>
      </c>
      <c r="E1440" s="144">
        <v>1.372537106153981E-2</v>
      </c>
      <c r="F1440" s="145">
        <v>1.3622061960000601E-2</v>
      </c>
      <c r="G1440" s="146">
        <v>5.5000614732780381E-2</v>
      </c>
      <c r="H1440" s="146">
        <v>1.4673584905660373E-2</v>
      </c>
      <c r="I1440" s="147">
        <v>3.282</v>
      </c>
      <c r="J1440" s="148">
        <v>0.78848014025838487</v>
      </c>
      <c r="K1440" s="149">
        <v>12.085000000000001</v>
      </c>
      <c r="L1440" s="149">
        <v>87.6</v>
      </c>
      <c r="M1440" s="67"/>
      <c r="N1440" s="135"/>
    </row>
    <row r="1441" spans="1:14" x14ac:dyDescent="0.25">
      <c r="A1441" s="142">
        <v>45322</v>
      </c>
      <c r="B1441" s="81" t="s">
        <v>45</v>
      </c>
      <c r="C1441" s="129" t="str">
        <f t="shared" si="43"/>
        <v>31.01.2024_HAAun</v>
      </c>
      <c r="D1441" s="143">
        <f t="shared" si="45"/>
        <v>0</v>
      </c>
      <c r="E1441" s="144">
        <v>0</v>
      </c>
      <c r="F1441" s="145">
        <v>1.3423878240400157E-2</v>
      </c>
      <c r="G1441" s="146">
        <v>0.14119560797071981</v>
      </c>
      <c r="H1441" s="146">
        <v>0</v>
      </c>
      <c r="I1441" s="147">
        <v>3.1280000000000001</v>
      </c>
      <c r="J1441" s="148">
        <v>0.81615833763318424</v>
      </c>
      <c r="K1441" s="149">
        <v>14.385999999999999</v>
      </c>
      <c r="L1441" s="149">
        <v>156.286</v>
      </c>
      <c r="M1441" s="67"/>
      <c r="N1441" s="135"/>
    </row>
    <row r="1442" spans="1:14" x14ac:dyDescent="0.25">
      <c r="A1442" s="142">
        <v>45322</v>
      </c>
      <c r="B1442" s="81" t="s">
        <v>47</v>
      </c>
      <c r="C1442" s="129" t="str">
        <f t="shared" si="43"/>
        <v>31.01.2024_KIRob</v>
      </c>
      <c r="D1442" s="143">
        <f t="shared" si="45"/>
        <v>0</v>
      </c>
      <c r="E1442" s="144">
        <v>0</v>
      </c>
      <c r="F1442" s="145">
        <v>6.5181836467762449E-3</v>
      </c>
      <c r="G1442" s="146">
        <v>0.59351409629552565</v>
      </c>
      <c r="H1442" s="146">
        <v>0.14940377358490564</v>
      </c>
      <c r="I1442" s="147">
        <v>5.3639999999999999</v>
      </c>
      <c r="J1442" s="148">
        <v>1.7179104195004373</v>
      </c>
      <c r="K1442" s="149">
        <v>49</v>
      </c>
      <c r="L1442" s="149">
        <v>147.17500000000001</v>
      </c>
      <c r="M1442" s="67"/>
      <c r="N1442" s="135"/>
    </row>
    <row r="1443" spans="1:14" x14ac:dyDescent="0.25">
      <c r="A1443" s="142">
        <v>45322</v>
      </c>
      <c r="B1443" s="81" t="s">
        <v>49</v>
      </c>
      <c r="C1443" s="129" t="str">
        <f t="shared" si="43"/>
        <v>31.01.2024_KIRun</v>
      </c>
      <c r="D1443" s="143">
        <f t="shared" si="45"/>
        <v>0</v>
      </c>
      <c r="E1443" s="144">
        <v>1.8300494748719715E-2</v>
      </c>
      <c r="F1443" s="145">
        <v>1.0193865152445193E-2</v>
      </c>
      <c r="G1443" s="146">
        <v>0.12970294220566125</v>
      </c>
      <c r="H1443" s="146">
        <v>0.13473018867924533</v>
      </c>
      <c r="I1443" s="147">
        <v>4.5449999999999999</v>
      </c>
      <c r="J1443" s="148">
        <v>1.1683107935366701</v>
      </c>
      <c r="K1443" s="149">
        <v>41</v>
      </c>
      <c r="L1443" s="149">
        <v>133.60300000000001</v>
      </c>
      <c r="M1443" s="67"/>
      <c r="N1443" s="135"/>
    </row>
    <row r="1444" spans="1:14" x14ac:dyDescent="0.25">
      <c r="A1444" s="142">
        <v>45322</v>
      </c>
      <c r="B1444" s="81" t="s">
        <v>50</v>
      </c>
      <c r="C1444" s="129" t="str">
        <f t="shared" si="43"/>
        <v>31.01.2024_LIEohBo</v>
      </c>
      <c r="D1444" s="143">
        <f t="shared" si="45"/>
        <v>0</v>
      </c>
      <c r="E1444" s="144">
        <v>1.9825535977779682E-2</v>
      </c>
      <c r="F1444" s="145">
        <v>1.3095304112445479E-2</v>
      </c>
      <c r="G1444" s="146">
        <v>4.6791567757738552E-2</v>
      </c>
      <c r="H1444" s="146">
        <v>5.335849056603769E-2</v>
      </c>
      <c r="I1444" s="147">
        <v>17.004000000000001</v>
      </c>
      <c r="J1444" s="148">
        <v>3.8932716569010366</v>
      </c>
      <c r="K1444" s="149">
        <v>23.06</v>
      </c>
      <c r="L1444" s="149">
        <v>90.159000000000006</v>
      </c>
      <c r="M1444" s="67"/>
      <c r="N1444" s="135"/>
    </row>
    <row r="1445" spans="1:14" x14ac:dyDescent="0.25">
      <c r="A1445" s="142">
        <v>45322</v>
      </c>
      <c r="B1445" s="81" t="s">
        <v>53</v>
      </c>
      <c r="C1445" s="129" t="str">
        <f t="shared" si="43"/>
        <v>31.01.2024_NATohBo</v>
      </c>
      <c r="D1445" s="143">
        <f t="shared" si="45"/>
        <v>0</v>
      </c>
      <c r="E1445" s="144">
        <v>5.7951566704279145E-2</v>
      </c>
      <c r="F1445" s="145">
        <v>7.033912583628078E-3</v>
      </c>
      <c r="G1445" s="146">
        <v>0.20112165088852524</v>
      </c>
      <c r="H1445" s="146">
        <v>0.1120528301886793</v>
      </c>
      <c r="I1445" s="147">
        <v>5.22</v>
      </c>
      <c r="J1445" s="148">
        <v>1.3693248348493741</v>
      </c>
      <c r="K1445" s="149">
        <v>48</v>
      </c>
      <c r="L1445" s="149">
        <v>341.28500000000003</v>
      </c>
      <c r="M1445" s="67"/>
      <c r="N1445" s="135"/>
    </row>
    <row r="1446" spans="1:14" x14ac:dyDescent="0.25">
      <c r="A1446" s="142">
        <v>45322</v>
      </c>
      <c r="B1446" s="81" t="s">
        <v>55</v>
      </c>
      <c r="C1446" s="129" t="str">
        <f t="shared" si="43"/>
        <v>31.01.2024_QUAohBo</v>
      </c>
      <c r="D1446" s="143">
        <f t="shared" si="45"/>
        <v>0</v>
      </c>
      <c r="E1446" s="144">
        <v>2.8975783352139555E-2</v>
      </c>
      <c r="F1446" s="145">
        <v>5.401018661563858E-3</v>
      </c>
      <c r="G1446" s="146">
        <v>0.13955379857571143</v>
      </c>
      <c r="H1446" s="146">
        <v>5.2024528301886787E-2</v>
      </c>
      <c r="I1446" s="147">
        <v>2.8759999999999999</v>
      </c>
      <c r="J1446" s="148">
        <v>0.77380311669756352</v>
      </c>
      <c r="K1446" s="149">
        <v>29</v>
      </c>
      <c r="L1446" s="149">
        <v>92.034999999999997</v>
      </c>
      <c r="M1446" s="67"/>
      <c r="N1446" s="135"/>
    </row>
    <row r="1447" spans="1:14" x14ac:dyDescent="0.25">
      <c r="A1447" s="142">
        <v>45322</v>
      </c>
      <c r="B1447" s="81" t="s">
        <v>57</v>
      </c>
      <c r="C1447" s="129" t="str">
        <f t="shared" si="43"/>
        <v>31.01.2024_SCHohVo</v>
      </c>
      <c r="D1447" s="143">
        <f t="shared" si="45"/>
        <v>0</v>
      </c>
      <c r="E1447" s="144">
        <v>0</v>
      </c>
      <c r="F1447" s="145">
        <v>1.1038078470745253E-2</v>
      </c>
      <c r="G1447" s="146">
        <v>0.30455564277405262</v>
      </c>
      <c r="H1447" s="146">
        <v>2.1343396226415134E-2</v>
      </c>
      <c r="I1447" s="147">
        <v>1.722</v>
      </c>
      <c r="J1447" s="148">
        <v>0.63193054803875615</v>
      </c>
      <c r="K1447" s="149">
        <v>11.247</v>
      </c>
      <c r="L1447" s="149">
        <v>51.59</v>
      </c>
      <c r="M1447" s="67"/>
      <c r="N1447" s="135"/>
    </row>
    <row r="1448" spans="1:14" x14ac:dyDescent="0.25">
      <c r="A1448" s="142">
        <v>45322</v>
      </c>
      <c r="B1448" s="81" t="s">
        <v>60</v>
      </c>
      <c r="C1448" s="129" t="str">
        <f t="shared" si="43"/>
        <v>31.01.2024_VORohBo</v>
      </c>
      <c r="D1448" s="143">
        <f t="shared" si="45"/>
        <v>0</v>
      </c>
      <c r="E1448" s="144">
        <v>2.5925700894019618E-2</v>
      </c>
      <c r="F1448" s="145">
        <v>9.6948254210757426E-3</v>
      </c>
      <c r="G1448" s="146">
        <v>0.35709354341432042</v>
      </c>
      <c r="H1448" s="146">
        <v>8.1371698113207533E-2</v>
      </c>
      <c r="I1448" s="147">
        <v>2.4550000000000001</v>
      </c>
      <c r="J1448" s="148">
        <v>0.85656402901635176</v>
      </c>
      <c r="K1448" s="149">
        <v>24.231999999999999</v>
      </c>
      <c r="L1448" s="149">
        <v>142.44999999999999</v>
      </c>
      <c r="M1448" s="67"/>
      <c r="N1448" s="135"/>
    </row>
    <row r="1449" spans="1:14" x14ac:dyDescent="0.25">
      <c r="A1449" s="142">
        <v>45322</v>
      </c>
      <c r="B1449" s="81" t="s">
        <v>62</v>
      </c>
      <c r="C1449" s="129" t="str">
        <f t="shared" si="43"/>
        <v>31.01.2024_VORuhSc</v>
      </c>
      <c r="D1449" s="143">
        <f t="shared" si="45"/>
        <v>0</v>
      </c>
      <c r="E1449" s="144">
        <v>0</v>
      </c>
      <c r="F1449" s="145">
        <v>1.1785308444938206E-2</v>
      </c>
      <c r="G1449" s="146">
        <v>0.25612226562130574</v>
      </c>
      <c r="H1449" s="146">
        <v>5.2024528301886787E-2</v>
      </c>
      <c r="I1449" s="147">
        <v>2.4649999999999999</v>
      </c>
      <c r="J1449" s="148">
        <v>0.77148479567379713</v>
      </c>
      <c r="K1449" s="149">
        <v>20.911999999999999</v>
      </c>
      <c r="L1449" s="149">
        <v>117.88500000000001</v>
      </c>
      <c r="M1449" s="67"/>
      <c r="N1449" s="135"/>
    </row>
    <row r="1450" spans="1:14" x14ac:dyDescent="0.25">
      <c r="A1450" s="142">
        <v>45322</v>
      </c>
      <c r="B1450" s="81" t="s">
        <v>64</v>
      </c>
      <c r="C1450" s="129" t="str">
        <f t="shared" si="43"/>
        <v>31.01.2024_WITob</v>
      </c>
      <c r="D1450" s="143">
        <f t="shared" si="45"/>
        <v>0</v>
      </c>
      <c r="E1450" s="144">
        <v>0</v>
      </c>
      <c r="F1450" s="145">
        <v>9.1271709753328704E-3</v>
      </c>
      <c r="G1450" s="146">
        <v>7.4702327472880845E-2</v>
      </c>
      <c r="H1450" s="146">
        <v>1.3339622641509464E-2</v>
      </c>
      <c r="I1450" s="147">
        <v>2.109</v>
      </c>
      <c r="J1450" s="148">
        <v>0.53842668837262475</v>
      </c>
      <c r="K1450" s="149">
        <v>51</v>
      </c>
      <c r="L1450" s="149">
        <v>246.48500000000001</v>
      </c>
      <c r="M1450" s="67"/>
      <c r="N1450" s="135"/>
    </row>
    <row r="1451" spans="1:14" x14ac:dyDescent="0.25">
      <c r="A1451" s="142">
        <v>45338</v>
      </c>
      <c r="B1451" s="81" t="s">
        <v>22</v>
      </c>
      <c r="C1451" s="129" t="str">
        <f t="shared" si="43"/>
        <v>16.02.2024_BOYkl</v>
      </c>
      <c r="D1451" s="143">
        <f t="shared" si="45"/>
        <v>0</v>
      </c>
      <c r="E1451" s="144">
        <v>6.3982917583963697E-2</v>
      </c>
      <c r="F1451" s="145">
        <v>2.8740111211430476E-2</v>
      </c>
      <c r="G1451" s="146">
        <v>5.8056442564943481E-2</v>
      </c>
      <c r="H1451" s="146">
        <v>4.3031034727647105E-2</v>
      </c>
      <c r="I1451" s="147">
        <v>17.044</v>
      </c>
      <c r="J1451" s="148">
        <v>3.9079093256100847</v>
      </c>
      <c r="K1451" s="149">
        <v>16.347000000000001</v>
      </c>
      <c r="L1451" s="149">
        <v>34.765000000000001</v>
      </c>
      <c r="M1451" s="67"/>
      <c r="N1451" s="135"/>
    </row>
    <row r="1452" spans="1:14" x14ac:dyDescent="0.25">
      <c r="A1452" s="142">
        <v>45338</v>
      </c>
      <c r="B1452" s="81" t="s">
        <v>25</v>
      </c>
      <c r="C1452" s="129" t="str">
        <f t="shared" si="43"/>
        <v>16.02.2024_BOYohB224</v>
      </c>
      <c r="D1452" s="143">
        <f t="shared" si="45"/>
        <v>0</v>
      </c>
      <c r="E1452" s="144">
        <v>7.1253703673050534E-2</v>
      </c>
      <c r="F1452" s="145">
        <v>2.5595335106578028E-2</v>
      </c>
      <c r="G1452" s="146">
        <v>0.18446966427893335</v>
      </c>
      <c r="H1452" s="146">
        <v>7.8377956111071651E-2</v>
      </c>
      <c r="I1452" s="147">
        <v>6.234</v>
      </c>
      <c r="J1452" s="148">
        <v>1.5751745983539647</v>
      </c>
      <c r="K1452" s="149">
        <v>24.408000000000001</v>
      </c>
      <c r="L1452" s="149">
        <v>109.73</v>
      </c>
      <c r="M1452" s="67"/>
      <c r="N1452" s="135"/>
    </row>
    <row r="1453" spans="1:14" x14ac:dyDescent="0.25">
      <c r="A1453" s="142">
        <v>45338</v>
      </c>
      <c r="B1453" s="81" t="s">
        <v>28</v>
      </c>
      <c r="C1453" s="129" t="str">
        <f t="shared" si="43"/>
        <v>16.02.2024_BOYohBr</v>
      </c>
      <c r="D1453" s="143">
        <f t="shared" si="45"/>
        <v>0</v>
      </c>
      <c r="E1453" s="144">
        <v>3.0537301574164469E-2</v>
      </c>
      <c r="F1453" s="145">
        <v>3.3550604410499778E-2</v>
      </c>
      <c r="G1453" s="146">
        <v>6.3674807974454142E-2</v>
      </c>
      <c r="H1453" s="146">
        <v>3.0736453376890845E-2</v>
      </c>
      <c r="I1453" s="147">
        <v>10.852</v>
      </c>
      <c r="J1453" s="148">
        <v>2.509941804874678</v>
      </c>
      <c r="K1453" s="149">
        <v>12.24</v>
      </c>
      <c r="L1453" s="149">
        <v>53.213999999999999</v>
      </c>
      <c r="M1453" s="67"/>
      <c r="N1453" s="135"/>
    </row>
    <row r="1454" spans="1:14" x14ac:dyDescent="0.25">
      <c r="A1454" s="142">
        <v>45338</v>
      </c>
      <c r="B1454" s="81" t="s">
        <v>30</v>
      </c>
      <c r="C1454" s="129" t="str">
        <f t="shared" si="43"/>
        <v>16.02.2024_BOYohKi</v>
      </c>
      <c r="D1454" s="143">
        <f t="shared" si="45"/>
        <v>0</v>
      </c>
      <c r="E1454" s="144">
        <v>0</v>
      </c>
      <c r="F1454" s="145">
        <v>2.5966267141035698E-2</v>
      </c>
      <c r="G1454" s="146">
        <v>0.14514110641235867</v>
      </c>
      <c r="H1454" s="146">
        <v>1.6905049357289956E-2</v>
      </c>
      <c r="I1454" s="147">
        <v>6.8819999999999997</v>
      </c>
      <c r="J1454" s="148">
        <v>1.6722846999949592</v>
      </c>
      <c r="K1454" s="149">
        <v>23.417000000000002</v>
      </c>
      <c r="L1454" s="149">
        <v>83.084999999999994</v>
      </c>
      <c r="M1454" s="67"/>
      <c r="N1454" s="135"/>
    </row>
    <row r="1455" spans="1:14" x14ac:dyDescent="0.25">
      <c r="A1455" s="142">
        <v>45338</v>
      </c>
      <c r="B1455" s="81" t="s">
        <v>32</v>
      </c>
      <c r="C1455" s="129" t="str">
        <f t="shared" si="43"/>
        <v>16.02.2024_BOYohSp</v>
      </c>
      <c r="D1455" s="143">
        <f t="shared" si="45"/>
        <v>0</v>
      </c>
      <c r="E1455" s="144">
        <v>4.3624716534520699E-2</v>
      </c>
      <c r="F1455" s="145">
        <v>2.8004441002321964E-2</v>
      </c>
      <c r="G1455" s="146">
        <v>0.1339043755933374</v>
      </c>
      <c r="H1455" s="146">
        <v>9.2209360130672532E-2</v>
      </c>
      <c r="I1455" s="147">
        <v>8.4640000000000004</v>
      </c>
      <c r="J1455" s="148">
        <v>2.0438122282962539</v>
      </c>
      <c r="K1455" s="149">
        <v>21.332000000000001</v>
      </c>
      <c r="L1455" s="149">
        <v>62.226999999999997</v>
      </c>
      <c r="M1455" s="67"/>
      <c r="N1455" s="135"/>
    </row>
    <row r="1456" spans="1:14" x14ac:dyDescent="0.25">
      <c r="A1456" s="142">
        <v>45338</v>
      </c>
      <c r="B1456" s="81" t="s">
        <v>34</v>
      </c>
      <c r="C1456" s="129" t="str">
        <f t="shared" si="43"/>
        <v>16.02.2024_BOYuhHa</v>
      </c>
      <c r="D1456" s="143">
        <f t="shared" si="45"/>
        <v>0</v>
      </c>
      <c r="E1456" s="144">
        <v>2.6174829920712427E-2</v>
      </c>
      <c r="F1456" s="145">
        <v>2.3937435570128313E-2</v>
      </c>
      <c r="G1456" s="146">
        <v>0.18821524121860711</v>
      </c>
      <c r="H1456" s="146">
        <v>9.3746182799517033E-2</v>
      </c>
      <c r="I1456" s="147">
        <v>6.2270000000000003</v>
      </c>
      <c r="J1456" s="148">
        <v>1.5811807680071492</v>
      </c>
      <c r="K1456" s="149">
        <v>26.242000000000001</v>
      </c>
      <c r="L1456" s="149">
        <v>123.464</v>
      </c>
      <c r="M1456" s="67"/>
      <c r="N1456" s="135"/>
    </row>
    <row r="1457" spans="1:14" x14ac:dyDescent="0.25">
      <c r="A1457" s="142">
        <v>45338</v>
      </c>
      <c r="B1457" s="81" t="s">
        <v>36</v>
      </c>
      <c r="C1457" s="129" t="str">
        <f t="shared" si="43"/>
        <v>16.02.2024_BOYuhSp</v>
      </c>
      <c r="D1457" s="143">
        <f t="shared" si="45"/>
        <v>0</v>
      </c>
      <c r="E1457" s="144">
        <v>2.4720672702895078E-2</v>
      </c>
      <c r="F1457" s="145">
        <v>2.6012057250802606E-2</v>
      </c>
      <c r="G1457" s="146">
        <v>0.11143091395529475</v>
      </c>
      <c r="H1457" s="146">
        <v>4.9178325403025303E-2</v>
      </c>
      <c r="I1457" s="147">
        <v>7.7469999999999999</v>
      </c>
      <c r="J1457" s="148">
        <v>1.8513122215460978</v>
      </c>
      <c r="K1457" s="149">
        <v>24.492999999999999</v>
      </c>
      <c r="L1457" s="149">
        <v>75.992000000000004</v>
      </c>
      <c r="M1457" s="67"/>
      <c r="N1457" s="135"/>
    </row>
    <row r="1458" spans="1:14" x14ac:dyDescent="0.25">
      <c r="A1458" s="142">
        <v>45338</v>
      </c>
      <c r="B1458" s="81" t="s">
        <v>38</v>
      </c>
      <c r="C1458" s="129" t="str">
        <f t="shared" si="43"/>
        <v>16.02.2024_BRAob</v>
      </c>
      <c r="D1458" s="143">
        <f t="shared" si="45"/>
        <v>0</v>
      </c>
      <c r="E1458" s="144">
        <v>0</v>
      </c>
      <c r="F1458" s="145">
        <v>2.3043397450058661E-2</v>
      </c>
      <c r="G1458" s="146">
        <v>0.11704927936480541</v>
      </c>
      <c r="H1458" s="146">
        <v>0.23820751367090395</v>
      </c>
      <c r="I1458" s="147">
        <v>4.9980000000000002</v>
      </c>
      <c r="J1458" s="148">
        <v>1.2923081324710843</v>
      </c>
      <c r="K1458" s="149">
        <v>27</v>
      </c>
      <c r="L1458" s="149">
        <v>83.46</v>
      </c>
      <c r="M1458" s="67"/>
      <c r="N1458" s="135"/>
    </row>
    <row r="1459" spans="1:14" x14ac:dyDescent="0.25">
      <c r="A1459" s="142">
        <v>45338</v>
      </c>
      <c r="B1459" s="81" t="s">
        <v>41</v>
      </c>
      <c r="C1459" s="129" t="str">
        <f t="shared" si="43"/>
        <v>16.02.2024_BRAohBo</v>
      </c>
      <c r="D1459" s="143">
        <f t="shared" si="45"/>
        <v>0</v>
      </c>
      <c r="E1459" s="144">
        <v>0</v>
      </c>
      <c r="F1459" s="145">
        <v>3.1903099840247334E-2</v>
      </c>
      <c r="G1459" s="146">
        <v>0.20226115474238376</v>
      </c>
      <c r="H1459" s="146">
        <v>0.10604076415027343</v>
      </c>
      <c r="I1459" s="147">
        <v>6.5759999999999996</v>
      </c>
      <c r="J1459" s="148">
        <v>1.6746589946914641</v>
      </c>
      <c r="K1459" s="149">
        <v>23.913</v>
      </c>
      <c r="L1459" s="149">
        <v>64.236999999999995</v>
      </c>
      <c r="M1459" s="67"/>
      <c r="N1459" s="135"/>
    </row>
    <row r="1460" spans="1:14" x14ac:dyDescent="0.25">
      <c r="A1460" s="142">
        <v>45338</v>
      </c>
      <c r="B1460" s="81" t="s">
        <v>43</v>
      </c>
      <c r="C1460" s="129" t="str">
        <f t="shared" si="43"/>
        <v>16.02.2024_HAAob</v>
      </c>
      <c r="D1460" s="143">
        <f t="shared" si="45"/>
        <v>0</v>
      </c>
      <c r="E1460" s="144">
        <v>1.4541572178173576E-2</v>
      </c>
      <c r="F1460" s="145">
        <v>1.6954027012942234E-2</v>
      </c>
      <c r="G1460" s="146">
        <v>7.6784327263312344E-2</v>
      </c>
      <c r="H1460" s="146">
        <v>7.8377956111071651E-2</v>
      </c>
      <c r="I1460" s="147">
        <v>4.5350000000000001</v>
      </c>
      <c r="J1460" s="148">
        <v>1.1078048810147052</v>
      </c>
      <c r="K1460" s="149">
        <v>19.748999999999999</v>
      </c>
      <c r="L1460" s="149">
        <v>98.418999999999997</v>
      </c>
      <c r="M1460" s="67"/>
      <c r="N1460" s="135"/>
    </row>
    <row r="1461" spans="1:14" x14ac:dyDescent="0.25">
      <c r="A1461" s="142">
        <v>45338</v>
      </c>
      <c r="B1461" s="81" t="s">
        <v>45</v>
      </c>
      <c r="C1461" s="129" t="str">
        <f t="shared" si="43"/>
        <v>16.02.2024_HAAun</v>
      </c>
      <c r="D1461" s="143">
        <f t="shared" si="45"/>
        <v>0</v>
      </c>
      <c r="E1461" s="144">
        <v>2.9083144356346971E-3</v>
      </c>
      <c r="F1461" s="145">
        <v>3.2939409220990201E-2</v>
      </c>
      <c r="G1461" s="146">
        <v>0.22473461638042633</v>
      </c>
      <c r="H1461" s="146">
        <v>5.8399261416092564E-2</v>
      </c>
      <c r="I1461" s="147">
        <v>4.5090000000000003</v>
      </c>
      <c r="J1461" s="148">
        <v>1.2107316674113664</v>
      </c>
      <c r="K1461" s="149">
        <v>20.922999999999998</v>
      </c>
      <c r="L1461" s="149">
        <v>152.46899999999999</v>
      </c>
      <c r="M1461" s="67"/>
      <c r="N1461" s="135"/>
    </row>
    <row r="1462" spans="1:14" x14ac:dyDescent="0.25">
      <c r="A1462" s="142">
        <v>45338</v>
      </c>
      <c r="B1462" s="81" t="s">
        <v>47</v>
      </c>
      <c r="C1462" s="129" t="str">
        <f t="shared" si="43"/>
        <v>16.02.2024_KIRob</v>
      </c>
      <c r="D1462" s="143">
        <f t="shared" si="45"/>
        <v>0</v>
      </c>
      <c r="E1462" s="144">
        <v>0</v>
      </c>
      <c r="F1462" s="145">
        <v>1.7133674524611016E-2</v>
      </c>
      <c r="G1462" s="146">
        <v>0.73132389747130411</v>
      </c>
      <c r="H1462" s="146">
        <v>0.19978694694979046</v>
      </c>
      <c r="I1462" s="147">
        <v>5.2549999999999999</v>
      </c>
      <c r="J1462" s="148">
        <v>1.8156376791463567</v>
      </c>
      <c r="K1462" s="149">
        <v>50</v>
      </c>
      <c r="L1462" s="149">
        <v>142.91</v>
      </c>
      <c r="M1462" s="67"/>
      <c r="N1462" s="135"/>
    </row>
    <row r="1463" spans="1:14" x14ac:dyDescent="0.25">
      <c r="A1463" s="142">
        <v>45338</v>
      </c>
      <c r="B1463" s="81" t="s">
        <v>49</v>
      </c>
      <c r="C1463" s="129" t="str">
        <f t="shared" si="43"/>
        <v>16.02.2024_KIRun</v>
      </c>
      <c r="D1463" s="143">
        <f t="shared" si="45"/>
        <v>0</v>
      </c>
      <c r="E1463" s="144">
        <v>4.5078873752338045E-2</v>
      </c>
      <c r="F1463" s="145">
        <v>1.8165229822534115E-2</v>
      </c>
      <c r="G1463" s="146">
        <v>0.19477000086303617</v>
      </c>
      <c r="H1463" s="146">
        <v>0.20132376961863505</v>
      </c>
      <c r="I1463" s="147">
        <v>4.6349999999999998</v>
      </c>
      <c r="J1463" s="148">
        <v>1.2594374296305324</v>
      </c>
      <c r="K1463" s="149">
        <v>44</v>
      </c>
      <c r="L1463" s="149">
        <v>134.63399999999999</v>
      </c>
      <c r="M1463" s="67"/>
      <c r="N1463" s="135"/>
    </row>
    <row r="1464" spans="1:14" x14ac:dyDescent="0.25">
      <c r="A1464" s="142">
        <v>45338</v>
      </c>
      <c r="B1464" s="81" t="s">
        <v>50</v>
      </c>
      <c r="C1464" s="129" t="str">
        <f t="shared" si="43"/>
        <v>16.02.2024_LIEohBo</v>
      </c>
      <c r="D1464" s="143">
        <f t="shared" si="45"/>
        <v>0</v>
      </c>
      <c r="E1464" s="144">
        <v>3.9262244881068623E-2</v>
      </c>
      <c r="F1464" s="145">
        <v>2.8481268060006497E-2</v>
      </c>
      <c r="G1464" s="146">
        <v>4.307413480624836E-2</v>
      </c>
      <c r="H1464" s="146">
        <v>8.7598892124138905E-2</v>
      </c>
      <c r="I1464" s="147">
        <v>15.647</v>
      </c>
      <c r="J1464" s="148">
        <v>3.5943040076428976</v>
      </c>
      <c r="K1464" s="149">
        <v>21.175000000000001</v>
      </c>
      <c r="L1464" s="149">
        <v>85.415000000000006</v>
      </c>
      <c r="M1464" s="67"/>
      <c r="N1464" s="135"/>
    </row>
    <row r="1465" spans="1:14" x14ac:dyDescent="0.25">
      <c r="A1465" s="142">
        <v>45338</v>
      </c>
      <c r="B1465" s="81" t="s">
        <v>53</v>
      </c>
      <c r="C1465" s="129" t="str">
        <f t="shared" si="43"/>
        <v>16.02.2024_NATohBo</v>
      </c>
      <c r="D1465" s="143">
        <f t="shared" si="45"/>
        <v>0</v>
      </c>
      <c r="E1465" s="144">
        <v>5.2349659841424853E-2</v>
      </c>
      <c r="F1465" s="145">
        <v>2.0753093247761201E-2</v>
      </c>
      <c r="G1465" s="146">
        <v>0.13577716406317428</v>
      </c>
      <c r="H1465" s="146">
        <v>0.1152617001633407</v>
      </c>
      <c r="I1465" s="147">
        <v>5.2160000000000002</v>
      </c>
      <c r="J1465" s="148">
        <v>1.3186589547381433</v>
      </c>
      <c r="K1465" s="149">
        <v>35</v>
      </c>
      <c r="L1465" s="149">
        <v>239.721</v>
      </c>
      <c r="M1465" s="67"/>
      <c r="N1465" s="135"/>
    </row>
    <row r="1466" spans="1:14" x14ac:dyDescent="0.25">
      <c r="A1466" s="142">
        <v>45338</v>
      </c>
      <c r="B1466" s="81" t="s">
        <v>55</v>
      </c>
      <c r="C1466" s="129" t="str">
        <f t="shared" si="43"/>
        <v>16.02.2024_QUAohBo</v>
      </c>
      <c r="D1466" s="143">
        <f t="shared" si="45"/>
        <v>0</v>
      </c>
      <c r="E1466" s="144">
        <v>4.9441345405790121E-2</v>
      </c>
      <c r="F1466" s="145">
        <v>1.8156719039924503E-2</v>
      </c>
      <c r="G1466" s="146">
        <v>0.11611288512988696</v>
      </c>
      <c r="H1466" s="146">
        <v>3.5346921383424414E-2</v>
      </c>
      <c r="I1466" s="147">
        <v>4.2270000000000003</v>
      </c>
      <c r="J1466" s="148">
        <v>1.0556743543896896</v>
      </c>
      <c r="K1466" s="149">
        <v>24</v>
      </c>
      <c r="L1466" s="149">
        <v>78.447000000000003</v>
      </c>
      <c r="M1466" s="67"/>
      <c r="N1466" s="135"/>
    </row>
    <row r="1467" spans="1:14" x14ac:dyDescent="0.25">
      <c r="A1467" s="142">
        <v>45338</v>
      </c>
      <c r="B1467" s="81" t="s">
        <v>57</v>
      </c>
      <c r="C1467" s="129" t="str">
        <f t="shared" si="43"/>
        <v>16.02.2024_SCHohVo</v>
      </c>
      <c r="D1467" s="143">
        <f t="shared" si="45"/>
        <v>0</v>
      </c>
      <c r="E1467" s="144">
        <v>0</v>
      </c>
      <c r="F1467" s="145">
        <v>2.2837608140063231E-2</v>
      </c>
      <c r="G1467" s="146">
        <v>0.23128937602485541</v>
      </c>
      <c r="H1467" s="146">
        <v>2.4589162701512717E-2</v>
      </c>
      <c r="I1467" s="147">
        <v>3.2930000000000001</v>
      </c>
      <c r="J1467" s="148">
        <v>0.93086996817401546</v>
      </c>
      <c r="K1467" s="149">
        <v>13.069000000000001</v>
      </c>
      <c r="L1467" s="149">
        <v>51.99</v>
      </c>
      <c r="M1467" s="67"/>
      <c r="N1467" s="135"/>
    </row>
    <row r="1468" spans="1:14" x14ac:dyDescent="0.25">
      <c r="A1468" s="142">
        <v>45338</v>
      </c>
      <c r="B1468" s="81" t="s">
        <v>60</v>
      </c>
      <c r="C1468" s="129" t="str">
        <f t="shared" si="43"/>
        <v>16.02.2024_VORohBo</v>
      </c>
      <c r="D1468" s="143">
        <f t="shared" si="45"/>
        <v>0</v>
      </c>
      <c r="E1468" s="144">
        <v>4.2170559316703347E-2</v>
      </c>
      <c r="F1468" s="145">
        <v>1.9062644924716737E-2</v>
      </c>
      <c r="G1468" s="146">
        <v>0.3080737032881678</v>
      </c>
      <c r="H1468" s="146">
        <v>0.12601945884525245</v>
      </c>
      <c r="I1468" s="147">
        <v>3.8340000000000001</v>
      </c>
      <c r="J1468" s="148">
        <v>1.1435683541116664</v>
      </c>
      <c r="K1468" s="149">
        <v>22.920999999999999</v>
      </c>
      <c r="L1468" s="149">
        <v>128.96600000000001</v>
      </c>
      <c r="M1468" s="67"/>
      <c r="N1468" s="135"/>
    </row>
    <row r="1469" spans="1:14" x14ac:dyDescent="0.25">
      <c r="A1469" s="142">
        <v>45338</v>
      </c>
      <c r="B1469" s="81" t="s">
        <v>62</v>
      </c>
      <c r="C1469" s="129" t="str">
        <f t="shared" si="43"/>
        <v>16.02.2024_VORuhSc</v>
      </c>
      <c r="D1469" s="143">
        <f t="shared" si="45"/>
        <v>0</v>
      </c>
      <c r="E1469" s="144">
        <v>0</v>
      </c>
      <c r="F1469" s="145">
        <v>1.918964288565455E-2</v>
      </c>
      <c r="G1469" s="146">
        <v>0.20038836627254683</v>
      </c>
      <c r="H1469" s="146">
        <v>5.9936084084937127E-2</v>
      </c>
      <c r="I1469" s="147">
        <v>3.9340000000000002</v>
      </c>
      <c r="J1469" s="148">
        <v>1.0624196833266288</v>
      </c>
      <c r="K1469" s="149">
        <v>20.376999999999999</v>
      </c>
      <c r="L1469" s="149">
        <v>105.215</v>
      </c>
      <c r="M1469" s="67"/>
      <c r="N1469" s="135"/>
    </row>
    <row r="1470" spans="1:14" x14ac:dyDescent="0.25">
      <c r="A1470" s="142">
        <v>45338</v>
      </c>
      <c r="B1470" s="81" t="s">
        <v>64</v>
      </c>
      <c r="C1470" s="129" t="str">
        <f t="shared" si="43"/>
        <v>16.02.2024_WITob</v>
      </c>
      <c r="D1470" s="143">
        <f t="shared" si="45"/>
        <v>0</v>
      </c>
      <c r="E1470" s="144">
        <v>4.0716402098885968E-2</v>
      </c>
      <c r="F1470" s="145">
        <v>3.258608662599978E-2</v>
      </c>
      <c r="G1470" s="146">
        <v>8.0529904202986141E-2</v>
      </c>
      <c r="H1470" s="146">
        <v>6.1472906753781949E-3</v>
      </c>
      <c r="I1470" s="147">
        <v>2.81</v>
      </c>
      <c r="J1470" s="148">
        <v>0.69909690796069557</v>
      </c>
      <c r="K1470" s="149">
        <v>52</v>
      </c>
      <c r="L1470" s="149">
        <v>267.74299999999999</v>
      </c>
      <c r="M1470" s="67"/>
      <c r="N1470" s="135"/>
    </row>
    <row r="1471" spans="1:14" x14ac:dyDescent="0.25">
      <c r="A1471" s="142">
        <v>45348</v>
      </c>
      <c r="B1471" s="81" t="s">
        <v>22</v>
      </c>
      <c r="C1471" s="129" t="str">
        <f t="shared" si="43"/>
        <v>26.02.2024_BOYkl</v>
      </c>
      <c r="D1471" s="143">
        <f t="shared" si="45"/>
        <v>0</v>
      </c>
      <c r="E1471" s="144">
        <v>0.21525068215989462</v>
      </c>
      <c r="F1471" s="145">
        <v>3.9553480116413325E-2</v>
      </c>
      <c r="G1471" s="146">
        <v>0.14917344099514435</v>
      </c>
      <c r="H1471" s="146">
        <v>3.3789537712895362E-2</v>
      </c>
      <c r="I1471" s="147">
        <v>13.765000000000001</v>
      </c>
      <c r="J1471" s="148">
        <v>3.2352194599550104</v>
      </c>
      <c r="K1471" s="149">
        <v>13.429</v>
      </c>
      <c r="L1471" s="149">
        <v>31.994</v>
      </c>
      <c r="M1471" s="67"/>
      <c r="N1471" s="135"/>
    </row>
    <row r="1472" spans="1:14" x14ac:dyDescent="0.25">
      <c r="A1472" s="142">
        <v>45348</v>
      </c>
      <c r="B1472" s="81" t="s">
        <v>25</v>
      </c>
      <c r="C1472" s="129" t="str">
        <f t="shared" si="43"/>
        <v>26.02.2024_BOYohB224</v>
      </c>
      <c r="D1472" s="143">
        <f t="shared" si="45"/>
        <v>0</v>
      </c>
      <c r="E1472" s="144">
        <v>1.9568243832717668E-2</v>
      </c>
      <c r="F1472" s="145">
        <v>2.0817670701558471E-2</v>
      </c>
      <c r="G1472" s="146">
        <v>0.16180188044446867</v>
      </c>
      <c r="H1472" s="146">
        <v>2.6622060016220608E-2</v>
      </c>
      <c r="I1472" s="147">
        <v>6.4909999999999997</v>
      </c>
      <c r="J1472" s="148">
        <v>1.5998647983182634</v>
      </c>
      <c r="K1472" s="149">
        <v>24.731999999999999</v>
      </c>
      <c r="L1472" s="149">
        <v>110.98699999999999</v>
      </c>
      <c r="M1472" s="67"/>
      <c r="N1472" s="135"/>
    </row>
    <row r="1473" spans="1:14" x14ac:dyDescent="0.25">
      <c r="A1473" s="142">
        <v>45348</v>
      </c>
      <c r="B1473" s="81" t="s">
        <v>28</v>
      </c>
      <c r="C1473" s="129" t="str">
        <f t="shared" si="43"/>
        <v>26.02.2024_BOYohBr</v>
      </c>
      <c r="D1473" s="143">
        <f t="shared" si="45"/>
        <v>0</v>
      </c>
      <c r="E1473" s="144">
        <v>9.7841219163588185E-3</v>
      </c>
      <c r="F1473" s="145">
        <v>2.7338898737770494E-2</v>
      </c>
      <c r="G1473" s="146">
        <v>6.5510029643370271E-2</v>
      </c>
      <c r="H1473" s="146">
        <v>3.0717761557177641E-2</v>
      </c>
      <c r="I1473" s="147">
        <v>13.173</v>
      </c>
      <c r="J1473" s="148">
        <v>3.0356054154238628</v>
      </c>
      <c r="K1473" s="149">
        <v>14.553000000000001</v>
      </c>
      <c r="L1473" s="149">
        <v>55.581000000000003</v>
      </c>
      <c r="M1473" s="67"/>
      <c r="N1473" s="135"/>
    </row>
    <row r="1474" spans="1:14" x14ac:dyDescent="0.25">
      <c r="A1474" s="142">
        <v>45348</v>
      </c>
      <c r="B1474" s="81" t="s">
        <v>30</v>
      </c>
      <c r="C1474" s="129" t="str">
        <f t="shared" si="43"/>
        <v>26.02.2024_BOYohKi</v>
      </c>
      <c r="D1474" s="143">
        <f t="shared" si="45"/>
        <v>0</v>
      </c>
      <c r="E1474" s="144">
        <v>4.8920609581794228E-2</v>
      </c>
      <c r="F1474" s="145">
        <v>1.9974121614673504E-2</v>
      </c>
      <c r="G1474" s="146">
        <v>0.14206994380489937</v>
      </c>
      <c r="H1474" s="146">
        <v>6.1435523114355284E-3</v>
      </c>
      <c r="I1474" s="147">
        <v>6.5659999999999998</v>
      </c>
      <c r="J1474" s="148">
        <v>1.5952487151662826</v>
      </c>
      <c r="K1474" s="149">
        <v>22.716999999999999</v>
      </c>
      <c r="L1474" s="149">
        <v>83.063000000000002</v>
      </c>
      <c r="M1474" s="67"/>
      <c r="N1474" s="135"/>
    </row>
    <row r="1475" spans="1:14" x14ac:dyDescent="0.25">
      <c r="A1475" s="142">
        <v>45348</v>
      </c>
      <c r="B1475" s="81" t="s">
        <v>32</v>
      </c>
      <c r="C1475" s="129" t="str">
        <f t="shared" si="43"/>
        <v>26.02.2024_BOYohSp</v>
      </c>
      <c r="D1475" s="143">
        <f t="shared" si="45"/>
        <v>0</v>
      </c>
      <c r="E1475" s="144">
        <v>4.4028548623614799E-2</v>
      </c>
      <c r="F1475" s="145">
        <v>2.3335125074772149E-2</v>
      </c>
      <c r="G1475" s="146">
        <v>0.15469838325422375</v>
      </c>
      <c r="H1475" s="146">
        <v>6.348337388483373E-2</v>
      </c>
      <c r="I1475" s="147">
        <v>7.7460000000000004</v>
      </c>
      <c r="J1475" s="148">
        <v>1.8890382807923098</v>
      </c>
      <c r="K1475" s="149">
        <v>20.135000000000002</v>
      </c>
      <c r="L1475" s="149">
        <v>60.628999999999998</v>
      </c>
      <c r="M1475" s="67"/>
      <c r="N1475" s="135"/>
    </row>
    <row r="1476" spans="1:14" x14ac:dyDescent="0.25">
      <c r="A1476" s="142">
        <v>45348</v>
      </c>
      <c r="B1476" s="81" t="s">
        <v>34</v>
      </c>
      <c r="C1476" s="129" t="str">
        <f t="shared" si="43"/>
        <v>26.02.2024_BOYuhHa</v>
      </c>
      <c r="D1476" s="143">
        <f t="shared" si="45"/>
        <v>0</v>
      </c>
      <c r="E1476" s="144">
        <v>2.2829617804837297E-2</v>
      </c>
      <c r="F1476" s="145">
        <v>2.0016069525329951E-2</v>
      </c>
      <c r="G1476" s="146">
        <v>0.18705875934311747</v>
      </c>
      <c r="H1476" s="146">
        <v>4.0957015409570328E-3</v>
      </c>
      <c r="I1476" s="147">
        <v>4.891</v>
      </c>
      <c r="J1476" s="148">
        <v>1.2512263623764814</v>
      </c>
      <c r="K1476" s="149">
        <v>28.099</v>
      </c>
      <c r="L1476" s="149">
        <v>129.505</v>
      </c>
      <c r="M1476" s="67"/>
      <c r="N1476" s="135"/>
    </row>
    <row r="1477" spans="1:14" x14ac:dyDescent="0.25">
      <c r="A1477" s="142">
        <v>45348</v>
      </c>
      <c r="B1477" s="81" t="s">
        <v>36</v>
      </c>
      <c r="C1477" s="129" t="str">
        <f t="shared" si="43"/>
        <v>26.02.2024_BOYuhSp</v>
      </c>
      <c r="D1477" s="143">
        <f t="shared" ref="D1477:D1540" si="46">COUNTBLANK(E1477:L1477)</f>
        <v>0</v>
      </c>
      <c r="E1477" s="144">
        <v>0</v>
      </c>
      <c r="F1477" s="145">
        <v>2.2139956202642429E-2</v>
      </c>
      <c r="G1477" s="146">
        <v>0.15154127339189269</v>
      </c>
      <c r="H1477" s="146">
        <v>3.6861313868613126E-2</v>
      </c>
      <c r="I1477" s="147">
        <v>7.46</v>
      </c>
      <c r="J1477" s="148">
        <v>1.81388291038337</v>
      </c>
      <c r="K1477" s="149">
        <v>23.759</v>
      </c>
      <c r="L1477" s="149">
        <v>75.813999999999993</v>
      </c>
      <c r="M1477" s="67"/>
      <c r="N1477" s="135"/>
    </row>
    <row r="1478" spans="1:14" x14ac:dyDescent="0.25">
      <c r="A1478" s="142">
        <v>45348</v>
      </c>
      <c r="B1478" s="81" t="s">
        <v>38</v>
      </c>
      <c r="C1478" s="129" t="str">
        <f t="shared" si="43"/>
        <v>26.02.2024_BRAob</v>
      </c>
      <c r="D1478" s="143">
        <f t="shared" si="46"/>
        <v>0</v>
      </c>
      <c r="E1478" s="144">
        <v>0</v>
      </c>
      <c r="F1478" s="145">
        <v>1.8733068964359501E-2</v>
      </c>
      <c r="G1478" s="146">
        <v>0.14680560859839603</v>
      </c>
      <c r="H1478" s="146">
        <v>0.15666058394160584</v>
      </c>
      <c r="I1478" s="147">
        <v>4.6550000000000002</v>
      </c>
      <c r="J1478" s="148">
        <v>1.2131132518015906</v>
      </c>
      <c r="K1478" s="149">
        <v>26</v>
      </c>
      <c r="L1478" s="149">
        <v>77.483999999999995</v>
      </c>
      <c r="M1478" s="67"/>
      <c r="N1478" s="135"/>
    </row>
    <row r="1479" spans="1:14" x14ac:dyDescent="0.25">
      <c r="A1479" s="142">
        <v>45348</v>
      </c>
      <c r="B1479" s="81" t="s">
        <v>41</v>
      </c>
      <c r="C1479" s="129" t="str">
        <f t="shared" si="43"/>
        <v>26.02.2024_BRAohBo</v>
      </c>
      <c r="D1479" s="143">
        <f t="shared" si="46"/>
        <v>0</v>
      </c>
      <c r="E1479" s="144">
        <v>0</v>
      </c>
      <c r="F1479" s="145">
        <v>2.6968618341017089E-2</v>
      </c>
      <c r="G1479" s="146">
        <v>0.29518977212795761</v>
      </c>
      <c r="H1479" s="146">
        <v>6.65551500405515E-2</v>
      </c>
      <c r="I1479" s="147">
        <v>6.0289999999999999</v>
      </c>
      <c r="J1479" s="148">
        <v>1.6112448515894835</v>
      </c>
      <c r="K1479" s="149">
        <v>22.056999999999999</v>
      </c>
      <c r="L1479" s="149">
        <v>62.152000000000001</v>
      </c>
      <c r="M1479" s="67"/>
      <c r="N1479" s="135"/>
    </row>
    <row r="1480" spans="1:14" x14ac:dyDescent="0.25">
      <c r="A1480" s="142">
        <v>45348</v>
      </c>
      <c r="B1480" s="81" t="s">
        <v>43</v>
      </c>
      <c r="C1480" s="129" t="str">
        <f t="shared" si="43"/>
        <v>26.02.2024_HAAob</v>
      </c>
      <c r="D1480" s="143">
        <f t="shared" si="46"/>
        <v>0</v>
      </c>
      <c r="E1480" s="144">
        <v>0</v>
      </c>
      <c r="F1480" s="145">
        <v>1.5362478234189327E-2</v>
      </c>
      <c r="G1480" s="146">
        <v>6.3142197246621984E-2</v>
      </c>
      <c r="H1480" s="146">
        <v>4.095701540957012E-2</v>
      </c>
      <c r="I1480" s="147">
        <v>4.3719999999999999</v>
      </c>
      <c r="J1480" s="148">
        <v>1.0490022880814731</v>
      </c>
      <c r="K1480" s="149">
        <v>20.581</v>
      </c>
      <c r="L1480" s="149">
        <v>101.88200000000001</v>
      </c>
      <c r="M1480" s="67"/>
      <c r="N1480" s="135"/>
    </row>
    <row r="1481" spans="1:14" x14ac:dyDescent="0.25">
      <c r="A1481" s="142">
        <v>45348</v>
      </c>
      <c r="B1481" s="81" t="s">
        <v>45</v>
      </c>
      <c r="C1481" s="129" t="str">
        <f t="shared" si="43"/>
        <v>26.02.2024_HAAun</v>
      </c>
      <c r="D1481" s="143">
        <f t="shared" si="46"/>
        <v>0</v>
      </c>
      <c r="E1481" s="144">
        <v>2.1198930818777467E-2</v>
      </c>
      <c r="F1481" s="145">
        <v>2.2645872637659915E-2</v>
      </c>
      <c r="G1481" s="146">
        <v>0.19337297906777964</v>
      </c>
      <c r="H1481" s="146">
        <v>2.5598134630981383E-2</v>
      </c>
      <c r="I1481" s="147">
        <v>4.4630000000000001</v>
      </c>
      <c r="J1481" s="148">
        <v>1.1660033466047426</v>
      </c>
      <c r="K1481" s="149">
        <v>22.917000000000002</v>
      </c>
      <c r="L1481" s="149">
        <v>162.16399999999999</v>
      </c>
      <c r="M1481" s="67"/>
      <c r="N1481" s="135"/>
    </row>
    <row r="1482" spans="1:14" x14ac:dyDescent="0.25">
      <c r="A1482" s="142">
        <v>45348</v>
      </c>
      <c r="B1482" s="81" t="s">
        <v>47</v>
      </c>
      <c r="C1482" s="129" t="str">
        <f t="shared" si="43"/>
        <v>26.02.2024_KIRob</v>
      </c>
      <c r="D1482" s="143">
        <f t="shared" si="46"/>
        <v>0</v>
      </c>
      <c r="E1482" s="144">
        <v>0</v>
      </c>
      <c r="F1482" s="145">
        <v>1.6635002852953367E-2</v>
      </c>
      <c r="G1482" s="146">
        <v>0.5619655554949351</v>
      </c>
      <c r="H1482" s="146">
        <v>7.3722627737226293E-2</v>
      </c>
      <c r="I1482" s="147">
        <v>4.9279999999999999</v>
      </c>
      <c r="J1482" s="148">
        <v>1.5718928482008607</v>
      </c>
      <c r="K1482" s="149">
        <v>41</v>
      </c>
      <c r="L1482" s="149">
        <v>118.60599999999999</v>
      </c>
      <c r="M1482" s="67"/>
      <c r="N1482" s="135"/>
    </row>
    <row r="1483" spans="1:14" x14ac:dyDescent="0.25">
      <c r="A1483" s="142">
        <v>45348</v>
      </c>
      <c r="B1483" s="81" t="s">
        <v>49</v>
      </c>
      <c r="C1483" s="129" t="str">
        <f t="shared" si="43"/>
        <v>26.02.2024_KIRun</v>
      </c>
      <c r="D1483" s="143">
        <f t="shared" si="46"/>
        <v>0</v>
      </c>
      <c r="E1483" s="144">
        <v>7.6642288344810947E-2</v>
      </c>
      <c r="F1483" s="145">
        <v>1.6623928819690586E-2</v>
      </c>
      <c r="G1483" s="146">
        <v>0.27940422281630212</v>
      </c>
      <c r="H1483" s="146">
        <v>0.11160786699107869</v>
      </c>
      <c r="I1483" s="147">
        <v>4.4980000000000002</v>
      </c>
      <c r="J1483" s="148">
        <v>1.2668968600800643</v>
      </c>
      <c r="K1483" s="149">
        <v>44</v>
      </c>
      <c r="L1483" s="149">
        <v>131.75200000000001</v>
      </c>
      <c r="M1483" s="67"/>
      <c r="N1483" s="135"/>
    </row>
    <row r="1484" spans="1:14" x14ac:dyDescent="0.25">
      <c r="A1484" s="142">
        <v>45348</v>
      </c>
      <c r="B1484" s="81" t="s">
        <v>50</v>
      </c>
      <c r="C1484" s="129" t="str">
        <f t="shared" si="43"/>
        <v>26.02.2024_LIEohBo</v>
      </c>
      <c r="D1484" s="143">
        <f t="shared" si="46"/>
        <v>0</v>
      </c>
      <c r="E1484" s="144">
        <v>9.4579845191468753E-2</v>
      </c>
      <c r="F1484" s="145">
        <v>2.0953815904438598E-2</v>
      </c>
      <c r="G1484" s="146">
        <v>4.1042428210304273E-2</v>
      </c>
      <c r="H1484" s="146">
        <v>3.6861313868613126E-2</v>
      </c>
      <c r="I1484" s="147">
        <v>16.062999999999999</v>
      </c>
      <c r="J1484" s="148">
        <v>3.6712412720883183</v>
      </c>
      <c r="K1484" s="149">
        <v>22.111999999999998</v>
      </c>
      <c r="L1484" s="149">
        <v>80.325000000000003</v>
      </c>
      <c r="M1484" s="67"/>
      <c r="N1484" s="135"/>
    </row>
    <row r="1485" spans="1:14" x14ac:dyDescent="0.25">
      <c r="A1485" s="142">
        <v>45348</v>
      </c>
      <c r="B1485" s="81" t="s">
        <v>53</v>
      </c>
      <c r="C1485" s="129" t="str">
        <f t="shared" si="43"/>
        <v>26.02.2024_NATohBo</v>
      </c>
      <c r="D1485" s="143">
        <f t="shared" si="46"/>
        <v>0</v>
      </c>
      <c r="E1485" s="144">
        <v>2.2829617804837297E-2</v>
      </c>
      <c r="F1485" s="145">
        <v>2.0278731063297934E-2</v>
      </c>
      <c r="G1485" s="146">
        <v>0.13970211140815106</v>
      </c>
      <c r="H1485" s="146">
        <v>6.348337388483373E-2</v>
      </c>
      <c r="I1485" s="147">
        <v>4.9550000000000001</v>
      </c>
      <c r="J1485" s="148">
        <v>1.2469906556665529</v>
      </c>
      <c r="K1485" s="149">
        <v>37</v>
      </c>
      <c r="L1485" s="149">
        <v>251.286</v>
      </c>
      <c r="M1485" s="67"/>
      <c r="N1485" s="135"/>
    </row>
    <row r="1486" spans="1:14" x14ac:dyDescent="0.25">
      <c r="A1486" s="142">
        <v>45348</v>
      </c>
      <c r="B1486" s="81" t="s">
        <v>55</v>
      </c>
      <c r="C1486" s="129" t="str">
        <f t="shared" si="43"/>
        <v>26.02.2024_QUAohBo</v>
      </c>
      <c r="D1486" s="143">
        <f t="shared" si="46"/>
        <v>0</v>
      </c>
      <c r="E1486" s="144">
        <v>9.7841219163588185E-3</v>
      </c>
      <c r="F1486" s="145">
        <v>1.7336217225299516E-2</v>
      </c>
      <c r="G1486" s="146">
        <v>0.13259861421790609</v>
      </c>
      <c r="H1486" s="146">
        <v>3.1741686942416823E-2</v>
      </c>
      <c r="I1486" s="147">
        <v>3.7490000000000001</v>
      </c>
      <c r="J1486" s="148">
        <v>0.95941188454368076</v>
      </c>
      <c r="K1486" s="149">
        <v>28.271999999999998</v>
      </c>
      <c r="L1486" s="149">
        <v>73.301000000000002</v>
      </c>
      <c r="M1486" s="67"/>
      <c r="N1486" s="135"/>
    </row>
    <row r="1487" spans="1:14" x14ac:dyDescent="0.25">
      <c r="A1487" s="142">
        <v>45348</v>
      </c>
      <c r="B1487" s="81" t="s">
        <v>57</v>
      </c>
      <c r="C1487" s="129" t="str">
        <f t="shared" si="43"/>
        <v>26.02.2024_SCHohVo</v>
      </c>
      <c r="D1487" s="143">
        <f t="shared" si="46"/>
        <v>0</v>
      </c>
      <c r="E1487" s="144">
        <v>0</v>
      </c>
      <c r="F1487" s="145">
        <v>2.2036807668978631E-2</v>
      </c>
      <c r="G1487" s="146">
        <v>0.21626202556968013</v>
      </c>
      <c r="H1487" s="146">
        <v>1.3311030008110326E-2</v>
      </c>
      <c r="I1487" s="147">
        <v>3.1419999999999999</v>
      </c>
      <c r="J1487" s="148">
        <v>0.88166138332056998</v>
      </c>
      <c r="K1487" s="149">
        <v>13.196</v>
      </c>
      <c r="L1487" s="149">
        <v>52.372999999999998</v>
      </c>
      <c r="M1487" s="67"/>
      <c r="N1487" s="135"/>
    </row>
    <row r="1488" spans="1:14" x14ac:dyDescent="0.25">
      <c r="A1488" s="142">
        <v>45348</v>
      </c>
      <c r="B1488" s="81" t="s">
        <v>60</v>
      </c>
      <c r="C1488" s="129" t="str">
        <f t="shared" si="43"/>
        <v>26.02.2024_VORohBo</v>
      </c>
      <c r="D1488" s="143">
        <f t="shared" si="46"/>
        <v>0</v>
      </c>
      <c r="E1488" s="144">
        <v>3.0983052735136317E-2</v>
      </c>
      <c r="F1488" s="145">
        <v>1.7103680861499038E-2</v>
      </c>
      <c r="G1488" s="146">
        <v>0.27624711295397097</v>
      </c>
      <c r="H1488" s="146">
        <v>5.4268045417680447E-2</v>
      </c>
      <c r="I1488" s="147">
        <v>3.5219999999999998</v>
      </c>
      <c r="J1488" s="148">
        <v>1.0265391671650417</v>
      </c>
      <c r="K1488" s="149">
        <v>22.341999999999999</v>
      </c>
      <c r="L1488" s="149">
        <v>120.995</v>
      </c>
      <c r="M1488" s="67"/>
      <c r="N1488" s="135"/>
    </row>
    <row r="1489" spans="1:14" x14ac:dyDescent="0.25">
      <c r="A1489" s="142">
        <v>45348</v>
      </c>
      <c r="B1489" s="81" t="s">
        <v>62</v>
      </c>
      <c r="C1489" s="129" t="str">
        <f t="shared" si="43"/>
        <v>26.02.2024_VORuhSc</v>
      </c>
      <c r="D1489" s="143">
        <f t="shared" si="46"/>
        <v>0</v>
      </c>
      <c r="E1489" s="144">
        <v>3.2613739721196284E-3</v>
      </c>
      <c r="F1489" s="145">
        <v>1.9362194844592794E-2</v>
      </c>
      <c r="G1489" s="146">
        <v>0.18311237201520358</v>
      </c>
      <c r="H1489" s="146">
        <v>7.3722627737226293E-2</v>
      </c>
      <c r="I1489" s="147">
        <v>3.3279999999999998</v>
      </c>
      <c r="J1489" s="148">
        <v>0.91632513976068386</v>
      </c>
      <c r="K1489" s="149">
        <v>18.045000000000002</v>
      </c>
      <c r="L1489" s="149">
        <v>106.122</v>
      </c>
      <c r="M1489" s="67"/>
      <c r="N1489" s="135"/>
    </row>
    <row r="1490" spans="1:14" x14ac:dyDescent="0.25">
      <c r="A1490" s="142">
        <v>45348</v>
      </c>
      <c r="B1490" s="81" t="s">
        <v>64</v>
      </c>
      <c r="C1490" s="129" t="str">
        <f t="shared" si="43"/>
        <v>26.02.2024_WITob</v>
      </c>
      <c r="D1490" s="143">
        <f t="shared" si="46"/>
        <v>0</v>
      </c>
      <c r="E1490" s="144">
        <v>1.7937556846657873E-2</v>
      </c>
      <c r="F1490" s="145">
        <v>1.5146452237635789E-2</v>
      </c>
      <c r="G1490" s="146">
        <v>2.9992543692145435E-2</v>
      </c>
      <c r="H1490" s="146">
        <v>7.1674776966747971E-3</v>
      </c>
      <c r="I1490" s="147">
        <v>2.5150000000000001</v>
      </c>
      <c r="J1490" s="148">
        <v>0.59353409883626673</v>
      </c>
      <c r="K1490" s="149">
        <v>50</v>
      </c>
      <c r="L1490" s="149">
        <v>266.53199999999998</v>
      </c>
      <c r="M1490" s="67"/>
      <c r="N1490" s="135"/>
    </row>
    <row r="1491" spans="1:14" x14ac:dyDescent="0.25">
      <c r="A1491" s="142">
        <v>45363</v>
      </c>
      <c r="B1491" s="81" t="s">
        <v>22</v>
      </c>
      <c r="C1491" s="129" t="str">
        <f t="shared" si="43"/>
        <v>12.03.2024_BOYkl</v>
      </c>
      <c r="D1491" s="143">
        <f t="shared" si="46"/>
        <v>0</v>
      </c>
      <c r="E1491" s="144">
        <v>0.21525068215989462</v>
      </c>
      <c r="F1491" s="145">
        <v>6.8446452722469173E-2</v>
      </c>
      <c r="G1491" s="146">
        <v>0.40104281671846731</v>
      </c>
      <c r="H1491" s="146">
        <v>0.18805667822169683</v>
      </c>
      <c r="I1491" s="147">
        <v>16.428000000000001</v>
      </c>
      <c r="J1491" s="148">
        <v>4.0792519524383186</v>
      </c>
      <c r="K1491" s="149">
        <v>17.329000000000001</v>
      </c>
      <c r="L1491" s="149">
        <v>32.338999999999999</v>
      </c>
      <c r="M1491" s="67"/>
      <c r="N1491" s="135"/>
    </row>
    <row r="1492" spans="1:14" x14ac:dyDescent="0.25">
      <c r="A1492" s="142">
        <v>45363</v>
      </c>
      <c r="B1492" s="81" t="s">
        <v>25</v>
      </c>
      <c r="C1492" s="129" t="str">
        <f t="shared" si="43"/>
        <v>12.03.2024_BOYohB224</v>
      </c>
      <c r="D1492" s="143">
        <f t="shared" si="46"/>
        <v>0</v>
      </c>
      <c r="E1492" s="144">
        <v>1.9568243832717668E-2</v>
      </c>
      <c r="F1492" s="145">
        <v>9.3885524089904488E-3</v>
      </c>
      <c r="G1492" s="146">
        <v>0.22226469360300599</v>
      </c>
      <c r="H1492" s="146">
        <v>8.4348951261202232E-2</v>
      </c>
      <c r="I1492" s="147">
        <v>5.7850000000000001</v>
      </c>
      <c r="J1492" s="148">
        <v>1.5049243001472712</v>
      </c>
      <c r="K1492" s="149">
        <v>24</v>
      </c>
      <c r="L1492" s="149">
        <v>120.712</v>
      </c>
      <c r="M1492" s="67"/>
      <c r="N1492" s="135"/>
    </row>
    <row r="1493" spans="1:14" x14ac:dyDescent="0.25">
      <c r="A1493" s="142">
        <v>45363</v>
      </c>
      <c r="B1493" s="81" t="s">
        <v>28</v>
      </c>
      <c r="C1493" s="129" t="str">
        <f t="shared" si="43"/>
        <v>12.03.2024_BOYohBr</v>
      </c>
      <c r="D1493" s="143">
        <f t="shared" si="46"/>
        <v>0</v>
      </c>
      <c r="E1493" s="144">
        <v>9.7841219163588185E-3</v>
      </c>
      <c r="F1493" s="145">
        <v>2.2910857109051278E-2</v>
      </c>
      <c r="G1493" s="146">
        <v>0.25689288862086557</v>
      </c>
      <c r="H1493" s="146">
        <v>7.3286793718749479E-2</v>
      </c>
      <c r="I1493" s="147">
        <v>11.773</v>
      </c>
      <c r="J1493" s="148">
        <v>2.8809544334328887</v>
      </c>
      <c r="K1493" s="149">
        <v>15.72</v>
      </c>
      <c r="L1493" s="149">
        <v>54.558999999999997</v>
      </c>
      <c r="M1493" s="67"/>
      <c r="N1493" s="135"/>
    </row>
    <row r="1494" spans="1:14" x14ac:dyDescent="0.25">
      <c r="A1494" s="142">
        <v>45363</v>
      </c>
      <c r="B1494" s="81" t="s">
        <v>30</v>
      </c>
      <c r="C1494" s="129" t="str">
        <f t="shared" si="43"/>
        <v>12.03.2024_BOYohKi</v>
      </c>
      <c r="D1494" s="143">
        <f t="shared" si="46"/>
        <v>0</v>
      </c>
      <c r="E1494" s="144">
        <v>4.8920609581794228E-2</v>
      </c>
      <c r="F1494" s="145">
        <v>1.2112218100742065E-2</v>
      </c>
      <c r="G1494" s="146">
        <v>0.21340631813332095</v>
      </c>
      <c r="H1494" s="146">
        <v>6.4990175561909905E-2</v>
      </c>
      <c r="I1494" s="147">
        <v>5.9909999999999997</v>
      </c>
      <c r="J1494" s="148">
        <v>1.5386813009171656</v>
      </c>
      <c r="K1494" s="149">
        <v>28.472999999999999</v>
      </c>
      <c r="L1494" s="149">
        <v>88.340999999999994</v>
      </c>
      <c r="M1494" s="67"/>
      <c r="N1494" s="135"/>
    </row>
    <row r="1495" spans="1:14" x14ac:dyDescent="0.25">
      <c r="A1495" s="142">
        <v>45363</v>
      </c>
      <c r="B1495" s="81" t="s">
        <v>32</v>
      </c>
      <c r="C1495" s="129" t="str">
        <f t="shared" si="43"/>
        <v>12.03.2024_BOYohSp</v>
      </c>
      <c r="D1495" s="143">
        <f t="shared" si="46"/>
        <v>0</v>
      </c>
      <c r="E1495" s="144">
        <v>4.4028548623614799E-2</v>
      </c>
      <c r="F1495" s="145">
        <v>1.5124284160759251E-2</v>
      </c>
      <c r="G1495" s="146">
        <v>0.21662754557684274</v>
      </c>
      <c r="H1495" s="146">
        <v>6.6372945254716528E-2</v>
      </c>
      <c r="I1495" s="147">
        <v>8.1999999999999993</v>
      </c>
      <c r="J1495" s="148">
        <v>2.0405503660477606</v>
      </c>
      <c r="K1495" s="149">
        <v>25.286999999999999</v>
      </c>
      <c r="L1495" s="149">
        <v>64.33</v>
      </c>
      <c r="M1495" s="67"/>
      <c r="N1495" s="135"/>
    </row>
    <row r="1496" spans="1:14" x14ac:dyDescent="0.25">
      <c r="A1496" s="142">
        <v>45363</v>
      </c>
      <c r="B1496" s="81" t="s">
        <v>34</v>
      </c>
      <c r="C1496" s="129" t="str">
        <f t="shared" si="43"/>
        <v>12.03.2024_BOYuhHa</v>
      </c>
      <c r="D1496" s="143">
        <f t="shared" si="46"/>
        <v>0</v>
      </c>
      <c r="E1496" s="144">
        <v>2.2829617804837297E-2</v>
      </c>
      <c r="F1496" s="145">
        <v>1.1791787862286652E-2</v>
      </c>
      <c r="G1496" s="146">
        <v>0.25850350234262642</v>
      </c>
      <c r="H1496" s="146">
        <v>0.1037077269604946</v>
      </c>
      <c r="I1496" s="147">
        <v>5.6669999999999998</v>
      </c>
      <c r="J1496" s="148">
        <v>1.5123044920071484</v>
      </c>
      <c r="K1496" s="149">
        <v>26</v>
      </c>
      <c r="L1496" s="149">
        <v>127.423</v>
      </c>
      <c r="M1496" s="67"/>
      <c r="N1496" s="135"/>
    </row>
    <row r="1497" spans="1:14" x14ac:dyDescent="0.25">
      <c r="A1497" s="142">
        <v>45363</v>
      </c>
      <c r="B1497" s="81" t="s">
        <v>36</v>
      </c>
      <c r="C1497" s="129" t="str">
        <f t="shared" si="43"/>
        <v>12.03.2024_BOYuhSp</v>
      </c>
      <c r="D1497" s="143">
        <f t="shared" si="46"/>
        <v>0</v>
      </c>
      <c r="E1497" s="144">
        <v>0</v>
      </c>
      <c r="F1497" s="145">
        <v>1.5220414285182391E-2</v>
      </c>
      <c r="G1497" s="146">
        <v>0.18602588486338542</v>
      </c>
      <c r="H1497" s="146">
        <v>5.6693557405070337E-2</v>
      </c>
      <c r="I1497" s="147">
        <v>7.0140000000000002</v>
      </c>
      <c r="J1497" s="148">
        <v>1.745959772889544</v>
      </c>
      <c r="K1497" s="149">
        <v>23</v>
      </c>
      <c r="L1497" s="149">
        <v>83.628</v>
      </c>
      <c r="M1497" s="67"/>
      <c r="N1497" s="135"/>
    </row>
    <row r="1498" spans="1:14" x14ac:dyDescent="0.25">
      <c r="A1498" s="142">
        <v>45363</v>
      </c>
      <c r="B1498" s="81" t="s">
        <v>38</v>
      </c>
      <c r="C1498" s="129" t="str">
        <f t="shared" si="43"/>
        <v>12.03.2024_BRAob</v>
      </c>
      <c r="D1498" s="143">
        <f t="shared" si="46"/>
        <v>0</v>
      </c>
      <c r="E1498" s="144">
        <v>0</v>
      </c>
      <c r="F1498" s="145">
        <v>8.106831567296708E-3</v>
      </c>
      <c r="G1498" s="146">
        <v>0.24722920629030015</v>
      </c>
      <c r="H1498" s="146">
        <v>1.6593236313679087E-2</v>
      </c>
      <c r="I1498" s="147">
        <v>4.3150000000000004</v>
      </c>
      <c r="J1498" s="148">
        <v>1.1716518671880547</v>
      </c>
      <c r="K1498" s="149">
        <v>28</v>
      </c>
      <c r="L1498" s="149">
        <v>81.369</v>
      </c>
      <c r="M1498" s="67"/>
      <c r="N1498" s="135"/>
    </row>
    <row r="1499" spans="1:14" x14ac:dyDescent="0.25">
      <c r="A1499" s="142">
        <v>45363</v>
      </c>
      <c r="B1499" s="81" t="s">
        <v>41</v>
      </c>
      <c r="C1499" s="129" t="str">
        <f t="shared" si="43"/>
        <v>12.03.2024_BRAohBo</v>
      </c>
      <c r="D1499" s="143">
        <f t="shared" si="46"/>
        <v>0</v>
      </c>
      <c r="E1499" s="144">
        <v>0</v>
      </c>
      <c r="F1499" s="145">
        <v>1.3842552233962106E-2</v>
      </c>
      <c r="G1499" s="146">
        <v>0.21662754557684274</v>
      </c>
      <c r="H1499" s="146">
        <v>7.4669563411556103E-2</v>
      </c>
      <c r="I1499" s="147">
        <v>5.8659999999999997</v>
      </c>
      <c r="J1499" s="148">
        <v>1.515895691445611</v>
      </c>
      <c r="K1499" s="149">
        <v>25.61</v>
      </c>
      <c r="L1499" s="149">
        <v>65.625</v>
      </c>
      <c r="M1499" s="67"/>
      <c r="N1499" s="135"/>
    </row>
    <row r="1500" spans="1:14" x14ac:dyDescent="0.25">
      <c r="A1500" s="142">
        <v>45363</v>
      </c>
      <c r="B1500" s="81" t="s">
        <v>43</v>
      </c>
      <c r="C1500" s="129" t="str">
        <f t="shared" si="43"/>
        <v>12.03.2024_HAAob</v>
      </c>
      <c r="D1500" s="143">
        <f t="shared" si="46"/>
        <v>0</v>
      </c>
      <c r="E1500" s="144">
        <v>0</v>
      </c>
      <c r="F1500" s="145">
        <v>5.5113533966724805E-3</v>
      </c>
      <c r="G1500" s="146">
        <v>0.10066335761005707</v>
      </c>
      <c r="H1500" s="146">
        <v>6.9138484640329692E-2</v>
      </c>
      <c r="I1500" s="147">
        <v>4.1669999999999998</v>
      </c>
      <c r="J1500" s="148">
        <v>1.0404135921993816</v>
      </c>
      <c r="K1500" s="149">
        <v>21.684999999999999</v>
      </c>
      <c r="L1500" s="149">
        <v>104.07599999999999</v>
      </c>
      <c r="M1500" s="67"/>
      <c r="N1500" s="135"/>
    </row>
    <row r="1501" spans="1:14" x14ac:dyDescent="0.25">
      <c r="A1501" s="142">
        <v>45363</v>
      </c>
      <c r="B1501" s="81" t="s">
        <v>45</v>
      </c>
      <c r="C1501" s="129" t="str">
        <f t="shared" si="43"/>
        <v>12.03.2024_HAAun</v>
      </c>
      <c r="D1501" s="143">
        <f t="shared" si="46"/>
        <v>0</v>
      </c>
      <c r="E1501" s="144">
        <v>2.1198930818777467E-2</v>
      </c>
      <c r="F1501" s="145">
        <v>3.7587029749906069E-2</v>
      </c>
      <c r="G1501" s="146">
        <v>0.55888296145103666</v>
      </c>
      <c r="H1501" s="146">
        <v>4.0100321091391194E-2</v>
      </c>
      <c r="I1501" s="147">
        <v>4.665</v>
      </c>
      <c r="J1501" s="148">
        <v>1.4998591234933896</v>
      </c>
      <c r="K1501" s="149">
        <v>22.891999999999999</v>
      </c>
      <c r="L1501" s="149">
        <v>153.452</v>
      </c>
      <c r="M1501" s="67"/>
      <c r="N1501" s="135"/>
    </row>
    <row r="1502" spans="1:14" x14ac:dyDescent="0.25">
      <c r="A1502" s="142">
        <v>45363</v>
      </c>
      <c r="B1502" s="81" t="s">
        <v>47</v>
      </c>
      <c r="C1502" s="129" t="str">
        <f t="shared" si="43"/>
        <v>12.03.2024_KIRob</v>
      </c>
      <c r="D1502" s="143">
        <f t="shared" si="46"/>
        <v>0</v>
      </c>
      <c r="E1502" s="144">
        <v>0</v>
      </c>
      <c r="F1502" s="145">
        <v>3.204269730896366E-3</v>
      </c>
      <c r="G1502" s="146">
        <v>0.47835227536299119</v>
      </c>
      <c r="H1502" s="146">
        <v>0.132745890509433</v>
      </c>
      <c r="I1502" s="147">
        <v>4.4249999999999998</v>
      </c>
      <c r="J1502" s="148">
        <v>1.4113249946622057</v>
      </c>
      <c r="K1502" s="149">
        <v>41</v>
      </c>
      <c r="L1502" s="149">
        <v>109.419</v>
      </c>
      <c r="M1502" s="67"/>
      <c r="N1502" s="135"/>
    </row>
    <row r="1503" spans="1:14" x14ac:dyDescent="0.25">
      <c r="A1503" s="142">
        <v>45363</v>
      </c>
      <c r="B1503" s="81" t="s">
        <v>49</v>
      </c>
      <c r="C1503" s="129" t="str">
        <f t="shared" si="43"/>
        <v>12.03.2024_KIRun</v>
      </c>
      <c r="D1503" s="143">
        <f t="shared" si="46"/>
        <v>0</v>
      </c>
      <c r="E1503" s="144">
        <v>7.6642288344810947E-2</v>
      </c>
      <c r="F1503" s="145">
        <v>3.9732968015392519E-3</v>
      </c>
      <c r="G1503" s="146">
        <v>0.22145938674212548</v>
      </c>
      <c r="H1503" s="146">
        <v>0.18390836914327705</v>
      </c>
      <c r="I1503" s="147">
        <v>4.4320000000000004</v>
      </c>
      <c r="J1503" s="148">
        <v>1.2290077421970638</v>
      </c>
      <c r="K1503" s="149">
        <v>45</v>
      </c>
      <c r="L1503" s="149">
        <v>127.136</v>
      </c>
      <c r="M1503" s="67"/>
      <c r="N1503" s="135"/>
    </row>
    <row r="1504" spans="1:14" x14ac:dyDescent="0.25">
      <c r="A1504" s="142">
        <v>45363</v>
      </c>
      <c r="B1504" s="81" t="s">
        <v>50</v>
      </c>
      <c r="C1504" s="129" t="str">
        <f t="shared" si="43"/>
        <v>12.03.2024_LIEohBo</v>
      </c>
      <c r="D1504" s="143">
        <f t="shared" si="46"/>
        <v>0</v>
      </c>
      <c r="E1504" s="144">
        <v>9.4579845191468753E-2</v>
      </c>
      <c r="F1504" s="145">
        <v>1.9001543869924378E-2</v>
      </c>
      <c r="G1504" s="146">
        <v>6.0398014566034261E-2</v>
      </c>
      <c r="H1504" s="146">
        <v>5.3928018019457166E-2</v>
      </c>
      <c r="I1504" s="147">
        <v>17.471</v>
      </c>
      <c r="J1504" s="148">
        <v>4.0094916094164033</v>
      </c>
      <c r="K1504" s="149">
        <v>24.300999999999998</v>
      </c>
      <c r="L1504" s="149">
        <v>83.293999999999997</v>
      </c>
      <c r="M1504" s="67"/>
      <c r="N1504" s="135"/>
    </row>
    <row r="1505" spans="1:14" x14ac:dyDescent="0.25">
      <c r="A1505" s="142">
        <v>45363</v>
      </c>
      <c r="B1505" s="81" t="s">
        <v>53</v>
      </c>
      <c r="C1505" s="129" t="str">
        <f t="shared" si="43"/>
        <v>12.03.2024_NATohBo</v>
      </c>
      <c r="D1505" s="143">
        <f t="shared" si="46"/>
        <v>0</v>
      </c>
      <c r="E1505" s="144">
        <v>2.2829617804837297E-2</v>
      </c>
      <c r="F1505" s="145">
        <v>5.2229682855572113E-3</v>
      </c>
      <c r="G1505" s="146">
        <v>0.19246833975042904</v>
      </c>
      <c r="H1505" s="146">
        <v>3.180370293455162E-2</v>
      </c>
      <c r="I1505" s="147">
        <v>3.8130000000000002</v>
      </c>
      <c r="J1505" s="148">
        <v>1.0203746884912348</v>
      </c>
      <c r="K1505" s="149">
        <v>43</v>
      </c>
      <c r="L1505" s="149">
        <v>274.02800000000002</v>
      </c>
      <c r="M1505" s="67"/>
      <c r="N1505" s="135"/>
    </row>
    <row r="1506" spans="1:14" x14ac:dyDescent="0.25">
      <c r="A1506" s="142">
        <v>45363</v>
      </c>
      <c r="B1506" s="81" t="s">
        <v>55</v>
      </c>
      <c r="C1506" s="129" t="str">
        <f t="shared" si="43"/>
        <v>12.03.2024_QUAohBo</v>
      </c>
      <c r="D1506" s="143">
        <f t="shared" si="46"/>
        <v>0</v>
      </c>
      <c r="E1506" s="144">
        <v>9.7841219163588185E-3</v>
      </c>
      <c r="F1506" s="145">
        <v>6.2162971300744694E-3</v>
      </c>
      <c r="G1506" s="146">
        <v>0.1151588811059053</v>
      </c>
      <c r="H1506" s="146">
        <v>0</v>
      </c>
      <c r="I1506" s="147">
        <v>2.9319999999999999</v>
      </c>
      <c r="J1506" s="148">
        <v>0.75167055958992435</v>
      </c>
      <c r="K1506" s="149">
        <v>28</v>
      </c>
      <c r="L1506" s="149">
        <v>84.867999999999995</v>
      </c>
      <c r="M1506" s="67"/>
      <c r="N1506" s="135"/>
    </row>
    <row r="1507" spans="1:14" x14ac:dyDescent="0.25">
      <c r="A1507" s="142">
        <v>45363</v>
      </c>
      <c r="B1507" s="81" t="s">
        <v>57</v>
      </c>
      <c r="C1507" s="129" t="str">
        <f t="shared" si="43"/>
        <v>12.03.2024_SCHohVo</v>
      </c>
      <c r="D1507" s="143">
        <f t="shared" si="46"/>
        <v>0</v>
      </c>
      <c r="E1507" s="144">
        <v>0</v>
      </c>
      <c r="F1507" s="145">
        <v>9.4846818156373389E-3</v>
      </c>
      <c r="G1507" s="146">
        <v>0.3277598923783458</v>
      </c>
      <c r="H1507" s="146">
        <v>1.6593236313679087E-2</v>
      </c>
      <c r="I1507" s="147">
        <v>1.9430000000000001</v>
      </c>
      <c r="J1507" s="148">
        <v>0.69841949962856131</v>
      </c>
      <c r="K1507" s="149">
        <v>13.618</v>
      </c>
      <c r="L1507" s="149">
        <v>47.5</v>
      </c>
      <c r="M1507" s="67"/>
      <c r="N1507" s="135"/>
    </row>
    <row r="1508" spans="1:14" x14ac:dyDescent="0.25">
      <c r="A1508" s="142">
        <v>45363</v>
      </c>
      <c r="B1508" s="81" t="s">
        <v>60</v>
      </c>
      <c r="C1508" s="129" t="str">
        <f t="shared" si="43"/>
        <v>12.03.2024_VORohBo</v>
      </c>
      <c r="D1508" s="143">
        <f t="shared" si="46"/>
        <v>0</v>
      </c>
      <c r="E1508" s="144">
        <v>3.0983052735136317E-2</v>
      </c>
      <c r="F1508" s="145">
        <v>5.2229674915314286E-3</v>
      </c>
      <c r="G1508" s="146">
        <v>0.32614927865658483</v>
      </c>
      <c r="H1508" s="146">
        <v>8.4348951261202232E-2</v>
      </c>
      <c r="I1508" s="147">
        <v>2.415</v>
      </c>
      <c r="J1508" s="148">
        <v>0.82440774159552455</v>
      </c>
      <c r="K1508" s="149">
        <v>23.359000000000002</v>
      </c>
      <c r="L1508" s="149">
        <v>124.968</v>
      </c>
      <c r="M1508" s="67"/>
      <c r="N1508" s="135"/>
    </row>
    <row r="1509" spans="1:14" x14ac:dyDescent="0.25">
      <c r="A1509" s="142">
        <v>45363</v>
      </c>
      <c r="B1509" s="81" t="s">
        <v>62</v>
      </c>
      <c r="C1509" s="129" t="str">
        <f t="shared" si="43"/>
        <v>12.03.2024_VORuhSc</v>
      </c>
      <c r="D1509" s="143">
        <f t="shared" si="46"/>
        <v>0</v>
      </c>
      <c r="E1509" s="144">
        <v>3.2613739721196284E-3</v>
      </c>
      <c r="F1509" s="145">
        <v>5.4793103014991592E-3</v>
      </c>
      <c r="G1509" s="146">
        <v>0.24159205826413696</v>
      </c>
      <c r="H1509" s="146">
        <v>3.5952012012971407E-2</v>
      </c>
      <c r="I1509" s="147">
        <v>2.2010000000000001</v>
      </c>
      <c r="J1509" s="148">
        <v>0.69567927737886881</v>
      </c>
      <c r="K1509" s="149">
        <v>20.100999999999999</v>
      </c>
      <c r="L1509" s="149">
        <v>105.15</v>
      </c>
      <c r="M1509" s="67"/>
      <c r="N1509" s="135"/>
    </row>
    <row r="1510" spans="1:14" x14ac:dyDescent="0.25">
      <c r="A1510" s="142">
        <v>45363</v>
      </c>
      <c r="B1510" s="81" t="s">
        <v>64</v>
      </c>
      <c r="C1510" s="129" t="str">
        <f t="shared" si="43"/>
        <v>12.03.2024_WITob</v>
      </c>
      <c r="D1510" s="143">
        <f t="shared" si="46"/>
        <v>0</v>
      </c>
      <c r="E1510" s="144">
        <v>1.7937556846657873E-2</v>
      </c>
      <c r="F1510" s="145">
        <v>4.8704958222156201E-3</v>
      </c>
      <c r="G1510" s="146">
        <v>4.99290253745883E-2</v>
      </c>
      <c r="H1510" s="146">
        <v>0</v>
      </c>
      <c r="I1510" s="147">
        <v>1.9890000000000001</v>
      </c>
      <c r="J1510" s="148">
        <v>0.48802481891311411</v>
      </c>
      <c r="K1510" s="149">
        <v>52</v>
      </c>
      <c r="L1510" s="149">
        <v>272.35899999999998</v>
      </c>
      <c r="M1510" s="67"/>
      <c r="N1510" s="135"/>
    </row>
    <row r="1511" spans="1:14" x14ac:dyDescent="0.25">
      <c r="A1511" s="142">
        <v>45372</v>
      </c>
      <c r="B1511" s="81" t="s">
        <v>22</v>
      </c>
      <c r="C1511" s="129" t="str">
        <f t="shared" si="43"/>
        <v>21.03.2024_BOYkl</v>
      </c>
      <c r="D1511" s="143">
        <f t="shared" si="46"/>
        <v>0</v>
      </c>
      <c r="E1511" s="144">
        <v>0.20941324488161961</v>
      </c>
      <c r="F1511" s="145">
        <v>2.2237941536606617E-2</v>
      </c>
      <c r="G1511" s="146">
        <v>7.1045079207202766E-2</v>
      </c>
      <c r="H1511" s="146">
        <v>5.7639137475496448E-2</v>
      </c>
      <c r="I1511" s="147">
        <v>19.164999999999999</v>
      </c>
      <c r="J1511" s="148">
        <v>4.4015125789580152</v>
      </c>
      <c r="K1511" s="149">
        <v>19.407</v>
      </c>
      <c r="L1511" s="149">
        <v>39.835999999999999</v>
      </c>
      <c r="M1511" s="67"/>
      <c r="N1511" s="135"/>
    </row>
    <row r="1512" spans="1:14" x14ac:dyDescent="0.25">
      <c r="A1512" s="142">
        <v>45372</v>
      </c>
      <c r="B1512" s="81" t="s">
        <v>25</v>
      </c>
      <c r="C1512" s="129" t="str">
        <f t="shared" si="43"/>
        <v>21.03.2024_BOYohB224</v>
      </c>
      <c r="D1512" s="143">
        <f t="shared" si="46"/>
        <v>0</v>
      </c>
      <c r="E1512" s="144">
        <v>7.3910557017042217E-2</v>
      </c>
      <c r="F1512" s="145">
        <v>1.2272434464858799E-2</v>
      </c>
      <c r="G1512" s="146">
        <v>0.17806235041805246</v>
      </c>
      <c r="H1512" s="146">
        <v>0.10984062047217254</v>
      </c>
      <c r="I1512" s="147">
        <v>5.4989999999999997</v>
      </c>
      <c r="J1512" s="148">
        <v>1.4137637413788662</v>
      </c>
      <c r="K1512" s="149">
        <v>26</v>
      </c>
      <c r="L1512" s="149">
        <v>146.892</v>
      </c>
      <c r="M1512" s="67"/>
      <c r="N1512" s="135"/>
    </row>
    <row r="1513" spans="1:14" x14ac:dyDescent="0.25">
      <c r="A1513" s="142">
        <v>45372</v>
      </c>
      <c r="B1513" s="81" t="s">
        <v>28</v>
      </c>
      <c r="C1513" s="129" t="str">
        <f t="shared" si="43"/>
        <v>21.03.2024_BOYohBr</v>
      </c>
      <c r="D1513" s="143">
        <f t="shared" si="46"/>
        <v>0</v>
      </c>
      <c r="E1513" s="144">
        <v>8.2122841130047239E-3</v>
      </c>
      <c r="F1513" s="145">
        <v>1.5348588738460088E-2</v>
      </c>
      <c r="G1513" s="146">
        <v>7.0145774407111616E-2</v>
      </c>
      <c r="H1513" s="146">
        <v>4.1326174039035171E-2</v>
      </c>
      <c r="I1513" s="147">
        <v>10.183</v>
      </c>
      <c r="J1513" s="148">
        <v>2.3670834560555618</v>
      </c>
      <c r="K1513" s="149">
        <v>18.885999999999999</v>
      </c>
      <c r="L1513" s="149">
        <v>65.745999999999995</v>
      </c>
      <c r="M1513" s="67"/>
      <c r="N1513" s="135"/>
    </row>
    <row r="1514" spans="1:14" x14ac:dyDescent="0.25">
      <c r="A1514" s="142">
        <v>45372</v>
      </c>
      <c r="B1514" s="81" t="s">
        <v>30</v>
      </c>
      <c r="C1514" s="129" t="str">
        <f t="shared" si="43"/>
        <v>21.03.2024_BOYohKi</v>
      </c>
      <c r="D1514" s="143">
        <f t="shared" si="46"/>
        <v>0</v>
      </c>
      <c r="E1514" s="144">
        <v>0</v>
      </c>
      <c r="F1514" s="145">
        <v>1.1311139492197116E-2</v>
      </c>
      <c r="G1514" s="146">
        <v>0.13129850081331138</v>
      </c>
      <c r="H1514" s="146">
        <v>5.8726668371260553E-2</v>
      </c>
      <c r="I1514" s="147">
        <v>5.8029999999999999</v>
      </c>
      <c r="J1514" s="148">
        <v>1.4305549170821583</v>
      </c>
      <c r="K1514" s="149">
        <v>25</v>
      </c>
      <c r="L1514" s="149">
        <v>106.587</v>
      </c>
      <c r="M1514" s="67"/>
      <c r="N1514" s="135"/>
    </row>
    <row r="1515" spans="1:14" x14ac:dyDescent="0.25">
      <c r="A1515" s="142">
        <v>45372</v>
      </c>
      <c r="B1515" s="81" t="s">
        <v>32</v>
      </c>
      <c r="C1515" s="129" t="str">
        <f t="shared" si="43"/>
        <v>21.03.2024_BOYohSp</v>
      </c>
      <c r="D1515" s="143">
        <f t="shared" si="46"/>
        <v>0</v>
      </c>
      <c r="E1515" s="144">
        <v>4.1061420565023446E-2</v>
      </c>
      <c r="F1515" s="145">
        <v>2.0379410618106133E-2</v>
      </c>
      <c r="G1515" s="146">
        <v>0.15018390161522607</v>
      </c>
      <c r="H1515" s="146">
        <v>6.6339384641609114E-2</v>
      </c>
      <c r="I1515" s="147">
        <v>9.4480000000000004</v>
      </c>
      <c r="J1515" s="148">
        <v>2.2708330834193449</v>
      </c>
      <c r="K1515" s="149">
        <v>24.32</v>
      </c>
      <c r="L1515" s="149">
        <v>69.525000000000006</v>
      </c>
      <c r="M1515" s="67"/>
      <c r="N1515" s="135"/>
    </row>
    <row r="1516" spans="1:14" x14ac:dyDescent="0.25">
      <c r="A1516" s="142">
        <v>45372</v>
      </c>
      <c r="B1516" s="81" t="s">
        <v>34</v>
      </c>
      <c r="C1516" s="129" t="str">
        <f t="shared" si="43"/>
        <v>21.03.2024_BOYuhHa</v>
      </c>
      <c r="D1516" s="143">
        <f t="shared" si="46"/>
        <v>0</v>
      </c>
      <c r="E1516" s="144">
        <v>3.9008349536772242E-2</v>
      </c>
      <c r="F1516" s="145">
        <v>1.2208348261052092E-2</v>
      </c>
      <c r="G1516" s="146">
        <v>0.19604844641987584</v>
      </c>
      <c r="H1516" s="146">
        <v>8.8090002556890853E-2</v>
      </c>
      <c r="I1516" s="147">
        <v>5.78</v>
      </c>
      <c r="J1516" s="148">
        <v>1.4845772594390148</v>
      </c>
      <c r="K1516" s="149">
        <v>28</v>
      </c>
      <c r="L1516" s="149">
        <v>153.09100000000001</v>
      </c>
      <c r="M1516" s="67"/>
      <c r="N1516" s="135"/>
    </row>
    <row r="1517" spans="1:14" x14ac:dyDescent="0.25">
      <c r="A1517" s="142">
        <v>45372</v>
      </c>
      <c r="B1517" s="81" t="s">
        <v>36</v>
      </c>
      <c r="C1517" s="129" t="str">
        <f t="shared" si="43"/>
        <v>21.03.2024_BOYuhSp</v>
      </c>
      <c r="D1517" s="143">
        <f t="shared" si="46"/>
        <v>0</v>
      </c>
      <c r="E1517" s="144">
        <v>0</v>
      </c>
      <c r="F1517" s="145">
        <v>1.3201688984652158E-2</v>
      </c>
      <c r="G1517" s="146">
        <v>0.14029154881422312</v>
      </c>
      <c r="H1517" s="146">
        <v>8.0477286286542243E-2</v>
      </c>
      <c r="I1517" s="147">
        <v>4.4320000000000004</v>
      </c>
      <c r="J1517" s="148">
        <v>1.134492134548694</v>
      </c>
      <c r="K1517" s="149">
        <v>29</v>
      </c>
      <c r="L1517" s="149">
        <v>108.075</v>
      </c>
      <c r="M1517" s="67"/>
      <c r="N1517" s="135"/>
    </row>
    <row r="1518" spans="1:14" x14ac:dyDescent="0.25">
      <c r="A1518" s="142">
        <v>45372</v>
      </c>
      <c r="B1518" s="81" t="s">
        <v>38</v>
      </c>
      <c r="C1518" s="129" t="str">
        <f t="shared" si="43"/>
        <v>21.03.2024_BRAob</v>
      </c>
      <c r="D1518" s="143">
        <f t="shared" si="46"/>
        <v>0</v>
      </c>
      <c r="E1518" s="144">
        <v>0</v>
      </c>
      <c r="F1518" s="145">
        <v>1.083049224811383E-2</v>
      </c>
      <c r="G1518" s="146">
        <v>0.20953801842124345</v>
      </c>
      <c r="H1518" s="146">
        <v>7.7214693599249984E-2</v>
      </c>
      <c r="I1518" s="147">
        <v>3.9</v>
      </c>
      <c r="J1518" s="148">
        <v>1.0671051893902028</v>
      </c>
      <c r="K1518" s="149">
        <v>32</v>
      </c>
      <c r="L1518" s="149">
        <v>94.668000000000006</v>
      </c>
      <c r="M1518" s="67"/>
      <c r="N1518" s="135"/>
    </row>
    <row r="1519" spans="1:14" x14ac:dyDescent="0.25">
      <c r="A1519" s="142">
        <v>45372</v>
      </c>
      <c r="B1519" s="81" t="s">
        <v>41</v>
      </c>
      <c r="C1519" s="129" t="str">
        <f t="shared" si="43"/>
        <v>21.03.2024_BRAohBo</v>
      </c>
      <c r="D1519" s="143">
        <f t="shared" si="46"/>
        <v>0</v>
      </c>
      <c r="E1519" s="144">
        <v>2.0530710282511768E-2</v>
      </c>
      <c r="F1519" s="145">
        <v>2.4609180281435078E-2</v>
      </c>
      <c r="G1519" s="146">
        <v>0.25540256322589339</v>
      </c>
      <c r="H1519" s="146">
        <v>7.2864570016193633E-2</v>
      </c>
      <c r="I1519" s="147">
        <v>6.2850000000000001</v>
      </c>
      <c r="J1519" s="148">
        <v>1.640094104660704</v>
      </c>
      <c r="K1519" s="149">
        <v>29.556000000000001</v>
      </c>
      <c r="L1519" s="149">
        <v>76.594999999999999</v>
      </c>
      <c r="M1519" s="67"/>
      <c r="N1519" s="135"/>
    </row>
    <row r="1520" spans="1:14" x14ac:dyDescent="0.25">
      <c r="A1520" s="142">
        <v>45372</v>
      </c>
      <c r="B1520" s="81" t="s">
        <v>43</v>
      </c>
      <c r="C1520" s="129" t="str">
        <f t="shared" si="43"/>
        <v>21.03.2024_HAAob</v>
      </c>
      <c r="D1520" s="143">
        <f t="shared" si="46"/>
        <v>0</v>
      </c>
      <c r="E1520" s="144">
        <v>1.6424568226009406E-2</v>
      </c>
      <c r="F1520" s="145">
        <v>7.9145742388850703E-3</v>
      </c>
      <c r="G1520" s="146">
        <v>7.4642298407567489E-2</v>
      </c>
      <c r="H1520" s="146">
        <v>3.1538395977158455E-2</v>
      </c>
      <c r="I1520" s="147">
        <v>3.399</v>
      </c>
      <c r="J1520" s="148">
        <v>0.835292992945738</v>
      </c>
      <c r="K1520" s="149">
        <v>21.93</v>
      </c>
      <c r="L1520" s="149">
        <v>114.685</v>
      </c>
      <c r="M1520" s="67"/>
      <c r="N1520" s="135"/>
    </row>
    <row r="1521" spans="1:14" x14ac:dyDescent="0.25">
      <c r="A1521" s="142">
        <v>45372</v>
      </c>
      <c r="B1521" s="81" t="s">
        <v>45</v>
      </c>
      <c r="C1521" s="129" t="str">
        <f t="shared" si="43"/>
        <v>21.03.2024_HAAun</v>
      </c>
      <c r="D1521" s="143">
        <f t="shared" si="46"/>
        <v>0</v>
      </c>
      <c r="E1521" s="144">
        <v>3.4902207480269926E-2</v>
      </c>
      <c r="F1521" s="145">
        <v>2.3359468713914533E-2</v>
      </c>
      <c r="G1521" s="146">
        <v>0.19874636082014935</v>
      </c>
      <c r="H1521" s="146">
        <v>4.4588766726327431E-2</v>
      </c>
      <c r="I1521" s="147">
        <v>3.6030000000000002</v>
      </c>
      <c r="J1521" s="148">
        <v>0.98170922174306807</v>
      </c>
      <c r="K1521" s="149">
        <v>24.931000000000001</v>
      </c>
      <c r="L1521" s="149">
        <v>180.28299999999999</v>
      </c>
      <c r="M1521" s="67"/>
      <c r="N1521" s="135"/>
    </row>
    <row r="1522" spans="1:14" x14ac:dyDescent="0.25">
      <c r="A1522" s="142">
        <v>45372</v>
      </c>
      <c r="B1522" s="81" t="s">
        <v>47</v>
      </c>
      <c r="C1522" s="129" t="str">
        <f t="shared" si="43"/>
        <v>21.03.2024_KIRob</v>
      </c>
      <c r="D1522" s="143">
        <f t="shared" si="46"/>
        <v>0</v>
      </c>
      <c r="E1522" s="144">
        <v>0</v>
      </c>
      <c r="F1522" s="145">
        <v>4.646196080504629E-3</v>
      </c>
      <c r="G1522" s="146">
        <v>0.51889886965260734</v>
      </c>
      <c r="H1522" s="146">
        <v>0.18161765959260212</v>
      </c>
      <c r="I1522" s="147">
        <v>5.3639999999999999</v>
      </c>
      <c r="J1522" s="148">
        <v>1.6697799597595209</v>
      </c>
      <c r="K1522" s="149">
        <v>56</v>
      </c>
      <c r="L1522" s="149">
        <v>152.39099999999999</v>
      </c>
      <c r="M1522" s="67"/>
      <c r="N1522" s="135"/>
    </row>
    <row r="1523" spans="1:14" x14ac:dyDescent="0.25">
      <c r="A1523" s="142">
        <v>45372</v>
      </c>
      <c r="B1523" s="81" t="s">
        <v>49</v>
      </c>
      <c r="C1523" s="129" t="str">
        <f t="shared" si="43"/>
        <v>21.03.2024_KIRun</v>
      </c>
      <c r="D1523" s="143">
        <f t="shared" si="46"/>
        <v>0</v>
      </c>
      <c r="E1523" s="144">
        <v>0.10060048038430751</v>
      </c>
      <c r="F1523" s="145">
        <v>6.4405973203870443E-3</v>
      </c>
      <c r="G1523" s="146">
        <v>0.25450325842580224</v>
      </c>
      <c r="H1523" s="146">
        <v>0.11419074405522889</v>
      </c>
      <c r="I1523" s="147">
        <v>4.1319999999999997</v>
      </c>
      <c r="J1523" s="148">
        <v>1.1656794471626655</v>
      </c>
      <c r="K1523" s="149">
        <v>44</v>
      </c>
      <c r="L1523" s="149">
        <v>134.994</v>
      </c>
      <c r="M1523" s="67"/>
      <c r="N1523" s="135"/>
    </row>
    <row r="1524" spans="1:14" x14ac:dyDescent="0.25">
      <c r="A1524" s="142">
        <v>45372</v>
      </c>
      <c r="B1524" s="81" t="s">
        <v>50</v>
      </c>
      <c r="C1524" s="129" t="str">
        <f t="shared" si="43"/>
        <v>21.03.2024_LIEohBo</v>
      </c>
      <c r="D1524" s="143">
        <f t="shared" si="46"/>
        <v>0</v>
      </c>
      <c r="E1524" s="144">
        <v>8.8282054214800454E-2</v>
      </c>
      <c r="F1524" s="145">
        <v>2.0571672046808723E-2</v>
      </c>
      <c r="G1524" s="146">
        <v>4.9461764005014584E-2</v>
      </c>
      <c r="H1524" s="146">
        <v>4.0238643143271073E-2</v>
      </c>
      <c r="I1524" s="147">
        <v>17.562999999999999</v>
      </c>
      <c r="J1524" s="148">
        <v>4.0176120300372222</v>
      </c>
      <c r="K1524" s="149">
        <v>25.631</v>
      </c>
      <c r="L1524" s="149">
        <v>90.9</v>
      </c>
      <c r="M1524" s="67"/>
      <c r="N1524" s="135"/>
    </row>
    <row r="1525" spans="1:14" x14ac:dyDescent="0.25">
      <c r="A1525" s="142">
        <v>45372</v>
      </c>
      <c r="B1525" s="81" t="s">
        <v>53</v>
      </c>
      <c r="C1525" s="129" t="str">
        <f t="shared" si="43"/>
        <v>21.03.2024_NATohBo</v>
      </c>
      <c r="D1525" s="143">
        <f t="shared" si="46"/>
        <v>0</v>
      </c>
      <c r="E1525" s="144">
        <v>4.516756262152577E-2</v>
      </c>
      <c r="F1525" s="145">
        <v>1.0189629424980482E-2</v>
      </c>
      <c r="G1525" s="146">
        <v>0.26709352562707867</v>
      </c>
      <c r="H1525" s="146">
        <v>3.1538395977158455E-2</v>
      </c>
      <c r="I1525" s="147">
        <v>3.427</v>
      </c>
      <c r="J1525" s="148">
        <v>0.9910538063694162</v>
      </c>
      <c r="K1525" s="149">
        <v>61</v>
      </c>
      <c r="L1525" s="149">
        <v>399.68599999999998</v>
      </c>
      <c r="M1525" s="67"/>
      <c r="N1525" s="135"/>
    </row>
    <row r="1526" spans="1:14" x14ac:dyDescent="0.25">
      <c r="A1526" s="142">
        <v>45372</v>
      </c>
      <c r="B1526" s="81" t="s">
        <v>55</v>
      </c>
      <c r="C1526" s="129" t="str">
        <f t="shared" si="43"/>
        <v>21.03.2024_QUAohBo</v>
      </c>
      <c r="D1526" s="143">
        <f t="shared" si="46"/>
        <v>0</v>
      </c>
      <c r="E1526" s="144">
        <v>3.4902207480269926E-2</v>
      </c>
      <c r="F1526" s="145">
        <v>9.3885534811579806E-3</v>
      </c>
      <c r="G1526" s="146">
        <v>0.12410406241258198</v>
      </c>
      <c r="H1526" s="146">
        <v>1.7400494332225378E-2</v>
      </c>
      <c r="I1526" s="147">
        <v>1.9159999999999999</v>
      </c>
      <c r="J1526" s="148">
        <v>0.53443006392219172</v>
      </c>
      <c r="K1526" s="149">
        <v>29</v>
      </c>
      <c r="L1526" s="149">
        <v>96.022000000000006</v>
      </c>
      <c r="M1526" s="67"/>
      <c r="N1526" s="135"/>
    </row>
    <row r="1527" spans="1:14" x14ac:dyDescent="0.25">
      <c r="A1527" s="142">
        <v>45372</v>
      </c>
      <c r="B1527" s="81" t="s">
        <v>57</v>
      </c>
      <c r="C1527" s="129" t="str">
        <f t="shared" si="43"/>
        <v>21.03.2024_SCHohVo</v>
      </c>
      <c r="D1527" s="143">
        <f t="shared" si="46"/>
        <v>0</v>
      </c>
      <c r="E1527" s="144">
        <v>1.0265355141255884E-2</v>
      </c>
      <c r="F1527" s="145">
        <v>1.0894579591384932E-2</v>
      </c>
      <c r="G1527" s="146">
        <v>0.42806908484339878</v>
      </c>
      <c r="H1527" s="146">
        <v>4.4588766726327431E-2</v>
      </c>
      <c r="I1527" s="147">
        <v>1.694</v>
      </c>
      <c r="J1527" s="148">
        <v>0.7285901937198811</v>
      </c>
      <c r="K1527" s="149">
        <v>14.430999999999999</v>
      </c>
      <c r="L1527" s="149">
        <v>53.137</v>
      </c>
      <c r="M1527" s="67"/>
      <c r="N1527" s="135"/>
    </row>
    <row r="1528" spans="1:14" x14ac:dyDescent="0.25">
      <c r="A1528" s="142">
        <v>45372</v>
      </c>
      <c r="B1528" s="81" t="s">
        <v>60</v>
      </c>
      <c r="C1528" s="129" t="str">
        <f t="shared" si="43"/>
        <v>21.03.2024_VORohBo</v>
      </c>
      <c r="D1528" s="143">
        <f t="shared" si="46"/>
        <v>0</v>
      </c>
      <c r="E1528" s="144">
        <v>5.3379846734530494E-2</v>
      </c>
      <c r="F1528" s="145">
        <v>6.0881254447142192E-3</v>
      </c>
      <c r="G1528" s="146">
        <v>0.33454138563391678</v>
      </c>
      <c r="H1528" s="146">
        <v>5.2201482996676041E-2</v>
      </c>
      <c r="I1528" s="147">
        <v>2.2109999999999999</v>
      </c>
      <c r="J1528" s="148">
        <v>0.77505935202921794</v>
      </c>
      <c r="K1528" s="149">
        <v>25.541</v>
      </c>
      <c r="L1528" s="149">
        <v>139.24600000000001</v>
      </c>
      <c r="M1528" s="67"/>
      <c r="N1528" s="135"/>
    </row>
    <row r="1529" spans="1:14" x14ac:dyDescent="0.25">
      <c r="A1529" s="142">
        <v>45372</v>
      </c>
      <c r="B1529" s="81" t="s">
        <v>62</v>
      </c>
      <c r="C1529" s="129" t="str">
        <f t="shared" si="43"/>
        <v>21.03.2024_VORuhSc</v>
      </c>
      <c r="D1529" s="143">
        <f t="shared" si="46"/>
        <v>0</v>
      </c>
      <c r="E1529" s="144">
        <v>3.0796065423767609E-2</v>
      </c>
      <c r="F1529" s="145">
        <v>8.4913476775971553E-3</v>
      </c>
      <c r="G1529" s="146">
        <v>0.35612470083610487</v>
      </c>
      <c r="H1529" s="146">
        <v>5.0026421205147838E-2</v>
      </c>
      <c r="I1529" s="147">
        <v>2.0099999999999998</v>
      </c>
      <c r="J1529" s="148">
        <v>0.74575651288813427</v>
      </c>
      <c r="K1529" s="149">
        <v>21.748999999999999</v>
      </c>
      <c r="L1529" s="149">
        <v>116.306</v>
      </c>
      <c r="M1529" s="67"/>
      <c r="N1529" s="135"/>
    </row>
    <row r="1530" spans="1:14" x14ac:dyDescent="0.25">
      <c r="A1530" s="142">
        <v>45372</v>
      </c>
      <c r="B1530" s="81" t="s">
        <v>64</v>
      </c>
      <c r="C1530" s="129" t="str">
        <f t="shared" si="43"/>
        <v>21.03.2024_WITob</v>
      </c>
      <c r="D1530" s="143">
        <f t="shared" si="46"/>
        <v>0</v>
      </c>
      <c r="E1530" s="144">
        <v>5.9539059819284014E-2</v>
      </c>
      <c r="F1530" s="145">
        <v>5.6074817491002082E-3</v>
      </c>
      <c r="G1530" s="146">
        <v>0.16547208321677601</v>
      </c>
      <c r="H1530" s="146">
        <v>0</v>
      </c>
      <c r="I1530" s="147">
        <v>1.44</v>
      </c>
      <c r="J1530" s="148">
        <v>0.45374021789699437</v>
      </c>
      <c r="K1530" s="149">
        <v>53</v>
      </c>
      <c r="L1530" s="149">
        <v>277.17200000000003</v>
      </c>
      <c r="M1530" s="67"/>
      <c r="N1530" s="135"/>
    </row>
    <row r="1531" spans="1:14" x14ac:dyDescent="0.25">
      <c r="A1531" s="142">
        <v>45390</v>
      </c>
      <c r="B1531" s="81" t="s">
        <v>22</v>
      </c>
      <c r="C1531" s="129" t="str">
        <f t="shared" si="43"/>
        <v>08.04.2024_BOYkl</v>
      </c>
      <c r="D1531" s="143">
        <f t="shared" si="46"/>
        <v>0</v>
      </c>
      <c r="E1531" s="144">
        <v>8.8924879721812067E-2</v>
      </c>
      <c r="F1531" s="145">
        <v>3.503742812812944E-2</v>
      </c>
      <c r="G1531" s="146">
        <v>8.7239585874454809E-2</v>
      </c>
      <c r="H1531" s="146">
        <v>0.13237379513151448</v>
      </c>
      <c r="I1531" s="147">
        <v>20.468</v>
      </c>
      <c r="J1531" s="148">
        <v>4.7311490279634452</v>
      </c>
      <c r="K1531" s="149">
        <v>20.945</v>
      </c>
      <c r="L1531" s="149">
        <v>43.603000000000002</v>
      </c>
      <c r="M1531" s="67"/>
      <c r="N1531" s="135"/>
    </row>
    <row r="1532" spans="1:14" x14ac:dyDescent="0.25">
      <c r="A1532" s="142">
        <v>45390</v>
      </c>
      <c r="B1532" s="81" t="s">
        <v>25</v>
      </c>
      <c r="C1532" s="129" t="str">
        <f t="shared" si="43"/>
        <v>08.04.2024_BOYohB224</v>
      </c>
      <c r="D1532" s="143">
        <f t="shared" si="46"/>
        <v>0</v>
      </c>
      <c r="E1532" s="144">
        <v>4.7882627542514135E-2</v>
      </c>
      <c r="F1532" s="145">
        <v>1.9868799168917959E-2</v>
      </c>
      <c r="G1532" s="146">
        <v>0.13551780330012397</v>
      </c>
      <c r="H1532" s="146">
        <v>0.15113543538637481</v>
      </c>
      <c r="I1532" s="147">
        <v>6.9329999999999998</v>
      </c>
      <c r="J1532" s="148">
        <v>1.717198112387895</v>
      </c>
      <c r="K1532" s="149">
        <v>36</v>
      </c>
      <c r="L1532" s="149">
        <v>175.16300000000001</v>
      </c>
      <c r="M1532" s="67"/>
      <c r="N1532" s="135"/>
    </row>
    <row r="1533" spans="1:14" x14ac:dyDescent="0.25">
      <c r="A1533" s="142">
        <v>45390</v>
      </c>
      <c r="B1533" s="81" t="s">
        <v>28</v>
      </c>
      <c r="C1533" s="129" t="str">
        <f t="shared" si="43"/>
        <v>08.04.2024_BOYohBr</v>
      </c>
      <c r="D1533" s="143">
        <f t="shared" si="46"/>
        <v>0</v>
      </c>
      <c r="E1533" s="144">
        <v>7.6954222836183486E-2</v>
      </c>
      <c r="F1533" s="145">
        <v>2.9131804431999052E-2</v>
      </c>
      <c r="G1533" s="146">
        <v>4.9125203696294951E-2</v>
      </c>
      <c r="H1533" s="146">
        <v>9.4850514621793808E-2</v>
      </c>
      <c r="I1533" s="147">
        <v>13.481</v>
      </c>
      <c r="J1533" s="148">
        <v>3.1119759385947412</v>
      </c>
      <c r="K1533" s="149">
        <v>22.577000000000002</v>
      </c>
      <c r="L1533" s="149">
        <v>78.447000000000003</v>
      </c>
      <c r="M1533" s="67"/>
      <c r="N1533" s="135"/>
    </row>
    <row r="1534" spans="1:14" x14ac:dyDescent="0.25">
      <c r="A1534" s="142">
        <v>45390</v>
      </c>
      <c r="B1534" s="81" t="s">
        <v>30</v>
      </c>
      <c r="C1534" s="129" t="str">
        <f t="shared" si="43"/>
        <v>08.04.2024_BOYohKi</v>
      </c>
      <c r="D1534" s="143">
        <f t="shared" si="46"/>
        <v>0</v>
      </c>
      <c r="E1534" s="144">
        <v>1.1970656885628542E-2</v>
      </c>
      <c r="F1534" s="145">
        <v>2.0247582384276253E-2</v>
      </c>
      <c r="G1534" s="146">
        <v>0.10756725636947342</v>
      </c>
      <c r="H1534" s="146">
        <v>8.3385067799379167E-2</v>
      </c>
      <c r="I1534" s="147">
        <v>7.109</v>
      </c>
      <c r="J1534" s="148">
        <v>1.7146213127898533</v>
      </c>
      <c r="K1534" s="149">
        <v>31</v>
      </c>
      <c r="L1534" s="149">
        <v>125.726</v>
      </c>
      <c r="M1534" s="67"/>
      <c r="N1534" s="135"/>
    </row>
    <row r="1535" spans="1:14" x14ac:dyDescent="0.25">
      <c r="A1535" s="142">
        <v>45390</v>
      </c>
      <c r="B1535" s="81" t="s">
        <v>32</v>
      </c>
      <c r="C1535" s="129" t="str">
        <f t="shared" si="43"/>
        <v>08.04.2024_BOYohSp</v>
      </c>
      <c r="D1535" s="143">
        <f t="shared" si="46"/>
        <v>0</v>
      </c>
      <c r="E1535" s="144">
        <v>1.5390844567236677E-2</v>
      </c>
      <c r="F1535" s="145">
        <v>2.3312289042528772E-2</v>
      </c>
      <c r="G1535" s="146">
        <v>0.11095520145197653</v>
      </c>
      <c r="H1535" s="146">
        <v>0.12716222839405331</v>
      </c>
      <c r="I1535" s="147">
        <v>9.5640000000000001</v>
      </c>
      <c r="J1535" s="148">
        <v>2.2850908248100148</v>
      </c>
      <c r="K1535" s="149">
        <v>29</v>
      </c>
      <c r="L1535" s="149">
        <v>90.825000000000003</v>
      </c>
      <c r="M1535" s="67"/>
      <c r="N1535" s="135"/>
    </row>
    <row r="1536" spans="1:14" x14ac:dyDescent="0.25">
      <c r="A1536" s="142">
        <v>45390</v>
      </c>
      <c r="B1536" s="81" t="s">
        <v>34</v>
      </c>
      <c r="C1536" s="129" t="str">
        <f t="shared" si="43"/>
        <v>08.04.2024_BOYuhHa</v>
      </c>
      <c r="D1536" s="143">
        <f t="shared" si="46"/>
        <v>0</v>
      </c>
      <c r="E1536" s="144">
        <v>1.8811032248844884E-2</v>
      </c>
      <c r="F1536" s="145">
        <v>1.5495577027063371E-2</v>
      </c>
      <c r="G1536" s="146">
        <v>0.1168841053463569</v>
      </c>
      <c r="H1536" s="146">
        <v>0.12299297500408432</v>
      </c>
      <c r="I1536" s="147">
        <v>6.2050000000000001</v>
      </c>
      <c r="J1536" s="148">
        <v>1.5297279002003861</v>
      </c>
      <c r="K1536" s="149">
        <v>33</v>
      </c>
      <c r="L1536" s="149">
        <v>190.26499999999999</v>
      </c>
      <c r="M1536" s="67"/>
      <c r="N1536" s="135"/>
    </row>
    <row r="1537" spans="1:14" x14ac:dyDescent="0.25">
      <c r="A1537" s="142">
        <v>45390</v>
      </c>
      <c r="B1537" s="81" t="s">
        <v>36</v>
      </c>
      <c r="C1537" s="129" t="str">
        <f t="shared" si="43"/>
        <v>08.04.2024_BOYuhSp</v>
      </c>
      <c r="D1537" s="143">
        <f t="shared" si="46"/>
        <v>0</v>
      </c>
      <c r="E1537" s="144">
        <v>0</v>
      </c>
      <c r="F1537" s="145">
        <v>2.5946563907857094E-2</v>
      </c>
      <c r="G1537" s="146">
        <v>0.11180218772260228</v>
      </c>
      <c r="H1537" s="146">
        <v>0.10840058813919295</v>
      </c>
      <c r="I1537" s="147">
        <v>8.3030000000000008</v>
      </c>
      <c r="J1537" s="148">
        <v>1.995214449803701</v>
      </c>
      <c r="K1537" s="149">
        <v>33</v>
      </c>
      <c r="L1537" s="149">
        <v>114.48099999999999</v>
      </c>
      <c r="M1537" s="67"/>
      <c r="N1537" s="135"/>
    </row>
    <row r="1538" spans="1:14" x14ac:dyDescent="0.25">
      <c r="A1538" s="142">
        <v>45390</v>
      </c>
      <c r="B1538" s="81" t="s">
        <v>38</v>
      </c>
      <c r="C1538" s="129" t="str">
        <f t="shared" si="43"/>
        <v>08.04.2024_BRAob</v>
      </c>
      <c r="D1538" s="143">
        <f t="shared" si="46"/>
        <v>0</v>
      </c>
      <c r="E1538" s="144">
        <v>0</v>
      </c>
      <c r="F1538" s="145">
        <v>1.7733838550639862E-2</v>
      </c>
      <c r="G1538" s="146">
        <v>7.8769723168197039E-2</v>
      </c>
      <c r="H1538" s="146">
        <v>6.0454174154549942E-2</v>
      </c>
      <c r="I1538" s="147">
        <v>4.8259999999999996</v>
      </c>
      <c r="J1538" s="148">
        <v>1.169617795664226</v>
      </c>
      <c r="K1538" s="149">
        <v>40</v>
      </c>
      <c r="L1538" s="149">
        <v>110.28100000000001</v>
      </c>
      <c r="M1538" s="67"/>
      <c r="N1538" s="135"/>
    </row>
    <row r="1539" spans="1:14" x14ac:dyDescent="0.25">
      <c r="A1539" s="142">
        <v>45390</v>
      </c>
      <c r="B1539" s="81" t="s">
        <v>41</v>
      </c>
      <c r="C1539" s="129" t="str">
        <f t="shared" si="43"/>
        <v>08.04.2024_BRAohBo</v>
      </c>
      <c r="D1539" s="143">
        <f t="shared" si="46"/>
        <v>0</v>
      </c>
      <c r="E1539" s="144">
        <v>0</v>
      </c>
      <c r="F1539" s="145">
        <v>2.9579460120037641E-2</v>
      </c>
      <c r="G1539" s="146">
        <v>0.16516232277202611</v>
      </c>
      <c r="H1539" s="146">
        <v>9.7977454664270533E-2</v>
      </c>
      <c r="I1539" s="147">
        <v>8.0530000000000008</v>
      </c>
      <c r="J1539" s="148">
        <v>1.9770072380817878</v>
      </c>
      <c r="K1539" s="149">
        <v>32</v>
      </c>
      <c r="L1539" s="149">
        <v>91.671999999999997</v>
      </c>
      <c r="M1539" s="67"/>
      <c r="N1539" s="135"/>
    </row>
    <row r="1540" spans="1:14" x14ac:dyDescent="0.25">
      <c r="A1540" s="142">
        <v>45390</v>
      </c>
      <c r="B1540" s="81" t="s">
        <v>43</v>
      </c>
      <c r="C1540" s="129" t="str">
        <f t="shared" si="43"/>
        <v>08.04.2024_HAAob</v>
      </c>
      <c r="D1540" s="143">
        <f t="shared" si="46"/>
        <v>0</v>
      </c>
      <c r="E1540" s="144">
        <v>0</v>
      </c>
      <c r="F1540" s="145">
        <v>1.091575786977865E-2</v>
      </c>
      <c r="G1540" s="146">
        <v>2.7950546930650591E-2</v>
      </c>
      <c r="H1540" s="146">
        <v>6.0454174154549942E-2</v>
      </c>
      <c r="I1540" s="147">
        <v>4.0380000000000003</v>
      </c>
      <c r="J1540" s="148">
        <v>0.95217165350753374</v>
      </c>
      <c r="K1540" s="149">
        <v>26</v>
      </c>
      <c r="L1540" s="149">
        <v>135.02699999999999</v>
      </c>
      <c r="M1540" s="67"/>
      <c r="N1540" s="135"/>
    </row>
    <row r="1541" spans="1:14" x14ac:dyDescent="0.25">
      <c r="A1541" s="142">
        <v>45390</v>
      </c>
      <c r="B1541" s="81" t="s">
        <v>45</v>
      </c>
      <c r="C1541" s="129" t="str">
        <f t="shared" si="43"/>
        <v>08.04.2024_HAAun</v>
      </c>
      <c r="D1541" s="143">
        <f t="shared" ref="D1541:D1604" si="47">COUNTBLANK(E1541:L1541)</f>
        <v>0</v>
      </c>
      <c r="E1541" s="144">
        <v>0</v>
      </c>
      <c r="F1541" s="145">
        <v>3.0905210276172237E-2</v>
      </c>
      <c r="G1541" s="146">
        <v>0.14652862481825907</v>
      </c>
      <c r="H1541" s="146">
        <v>7.8173501061918033E-2</v>
      </c>
      <c r="I1541" s="147">
        <v>3.375</v>
      </c>
      <c r="J1541" s="148">
        <v>0.8998891842834309</v>
      </c>
      <c r="K1541" s="149">
        <v>25</v>
      </c>
      <c r="L1541" s="149">
        <v>227.953</v>
      </c>
      <c r="M1541" s="67"/>
      <c r="N1541" s="135"/>
    </row>
    <row r="1542" spans="1:14" x14ac:dyDescent="0.25">
      <c r="A1542" s="142">
        <v>45390</v>
      </c>
      <c r="B1542" s="81" t="s">
        <v>47</v>
      </c>
      <c r="C1542" s="129" t="str">
        <f t="shared" si="43"/>
        <v>08.04.2024_KIRob</v>
      </c>
      <c r="D1542" s="143">
        <f t="shared" si="47"/>
        <v>0</v>
      </c>
      <c r="E1542" s="144">
        <v>0</v>
      </c>
      <c r="F1542" s="145">
        <v>6.7491667766592872E-3</v>
      </c>
      <c r="G1542" s="146">
        <v>0.47685327036231112</v>
      </c>
      <c r="H1542" s="146">
        <v>0.17719326907368083</v>
      </c>
      <c r="I1542" s="147">
        <v>6.2329999999999997</v>
      </c>
      <c r="J1542" s="148">
        <v>1.832065996673113</v>
      </c>
      <c r="K1542" s="149">
        <v>70</v>
      </c>
      <c r="L1542" s="149">
        <v>189.08799999999999</v>
      </c>
      <c r="M1542" s="67"/>
      <c r="N1542" s="135"/>
    </row>
    <row r="1543" spans="1:14" x14ac:dyDescent="0.25">
      <c r="A1543" s="142">
        <v>45390</v>
      </c>
      <c r="B1543" s="81" t="s">
        <v>49</v>
      </c>
      <c r="C1543" s="129" t="str">
        <f t="shared" si="43"/>
        <v>08.04.2024_KIRun</v>
      </c>
      <c r="D1543" s="143">
        <f t="shared" si="47"/>
        <v>0</v>
      </c>
      <c r="E1543" s="144">
        <v>3.5911970656885631E-2</v>
      </c>
      <c r="F1543" s="145">
        <v>7.7649876113988327E-3</v>
      </c>
      <c r="G1543" s="146">
        <v>0.15330451498326522</v>
      </c>
      <c r="H1543" s="146">
        <v>0.11048521483417742</v>
      </c>
      <c r="I1543" s="147">
        <v>4.9459999999999997</v>
      </c>
      <c r="J1543" s="148">
        <v>1.2698296664956208</v>
      </c>
      <c r="K1543" s="149">
        <v>56</v>
      </c>
      <c r="L1543" s="149">
        <v>165.846</v>
      </c>
      <c r="M1543" s="67"/>
      <c r="N1543" s="135"/>
    </row>
    <row r="1544" spans="1:14" x14ac:dyDescent="0.25">
      <c r="A1544" s="142">
        <v>45390</v>
      </c>
      <c r="B1544" s="81" t="s">
        <v>50</v>
      </c>
      <c r="C1544" s="129" t="str">
        <f t="shared" si="43"/>
        <v>08.04.2024_LIEohBo</v>
      </c>
      <c r="D1544" s="143">
        <f t="shared" si="47"/>
        <v>0</v>
      </c>
      <c r="E1544" s="144">
        <v>6.8403753632163408E-3</v>
      </c>
      <c r="F1544" s="145">
        <v>2.8718584274036365E-2</v>
      </c>
      <c r="G1544" s="146">
        <v>4.0655340990037224E-2</v>
      </c>
      <c r="H1544" s="146">
        <v>8.1300441104394744E-2</v>
      </c>
      <c r="I1544" s="147">
        <v>21.635000000000002</v>
      </c>
      <c r="J1544" s="148">
        <v>4.943017835019587</v>
      </c>
      <c r="K1544" s="149">
        <v>27</v>
      </c>
      <c r="L1544" s="149">
        <v>108.71599999999999</v>
      </c>
      <c r="M1544" s="67"/>
      <c r="N1544" s="135"/>
    </row>
    <row r="1545" spans="1:14" x14ac:dyDescent="0.25">
      <c r="A1545" s="142">
        <v>45390</v>
      </c>
      <c r="B1545" s="81" t="s">
        <v>53</v>
      </c>
      <c r="C1545" s="129" t="str">
        <f t="shared" si="43"/>
        <v>08.04.2024_NATohBo</v>
      </c>
      <c r="D1545" s="143">
        <f t="shared" si="47"/>
        <v>0</v>
      </c>
      <c r="E1545" s="144">
        <v>0.11457628733387326</v>
      </c>
      <c r="F1545" s="145">
        <v>2.2623590614961758E-2</v>
      </c>
      <c r="G1545" s="146">
        <v>0.15584547379514255</v>
      </c>
      <c r="H1545" s="146">
        <v>0.10006208135925504</v>
      </c>
      <c r="I1545" s="147">
        <v>4.3970000000000002</v>
      </c>
      <c r="J1545" s="148">
        <v>1.1446267426170156</v>
      </c>
      <c r="K1545" s="149">
        <v>66</v>
      </c>
      <c r="L1545" s="149">
        <v>397.48099999999999</v>
      </c>
      <c r="M1545" s="67"/>
      <c r="N1545" s="135"/>
    </row>
    <row r="1546" spans="1:14" x14ac:dyDescent="0.25">
      <c r="A1546" s="142">
        <v>45390</v>
      </c>
      <c r="B1546" s="81" t="s">
        <v>55</v>
      </c>
      <c r="C1546" s="129" t="str">
        <f t="shared" si="43"/>
        <v>08.04.2024_QUAohBo</v>
      </c>
      <c r="D1546" s="143">
        <f t="shared" si="47"/>
        <v>0</v>
      </c>
      <c r="E1546" s="144">
        <v>3.2491782975277494E-2</v>
      </c>
      <c r="F1546" s="145">
        <v>1.1931581236007599E-2</v>
      </c>
      <c r="G1546" s="146">
        <v>9.9097393663215655E-2</v>
      </c>
      <c r="H1546" s="146">
        <v>9.6935141316778314E-2</v>
      </c>
      <c r="I1546" s="147">
        <v>2.8029999999999999</v>
      </c>
      <c r="J1546" s="148">
        <v>0.73957364897944344</v>
      </c>
      <c r="K1546" s="149">
        <v>37</v>
      </c>
      <c r="L1546" s="149">
        <v>107.095</v>
      </c>
      <c r="M1546" s="67"/>
      <c r="N1546" s="135"/>
    </row>
    <row r="1547" spans="1:14" x14ac:dyDescent="0.25">
      <c r="A1547" s="142">
        <v>45390</v>
      </c>
      <c r="B1547" s="81" t="s">
        <v>57</v>
      </c>
      <c r="C1547" s="129" t="str">
        <f t="shared" si="43"/>
        <v>08.04.2024_SCHohVo</v>
      </c>
      <c r="D1547" s="143">
        <f t="shared" si="47"/>
        <v>0</v>
      </c>
      <c r="E1547" s="144">
        <v>0</v>
      </c>
      <c r="F1547" s="145">
        <v>1.5994881095017205E-2</v>
      </c>
      <c r="G1547" s="146">
        <v>0.21005259511519209</v>
      </c>
      <c r="H1547" s="146">
        <v>6.5665740892011132E-2</v>
      </c>
      <c r="I1547" s="147">
        <v>2.3559999999999999</v>
      </c>
      <c r="J1547" s="148">
        <v>0.71524539439556833</v>
      </c>
      <c r="K1547" s="149">
        <v>23.032</v>
      </c>
      <c r="L1547" s="149">
        <v>76.563999999999993</v>
      </c>
      <c r="M1547" s="67"/>
      <c r="N1547" s="135"/>
    </row>
    <row r="1548" spans="1:14" x14ac:dyDescent="0.25">
      <c r="A1548" s="142">
        <v>45390</v>
      </c>
      <c r="B1548" s="81" t="s">
        <v>60</v>
      </c>
      <c r="C1548" s="129" t="str">
        <f t="shared" si="43"/>
        <v>08.04.2024_VORohBo</v>
      </c>
      <c r="D1548" s="143">
        <f t="shared" si="47"/>
        <v>0</v>
      </c>
      <c r="E1548" s="144">
        <v>0</v>
      </c>
      <c r="F1548" s="145">
        <v>1.1432278393093104E-2</v>
      </c>
      <c r="G1548" s="146">
        <v>0.25155492237585514</v>
      </c>
      <c r="H1548" s="146">
        <v>0.11361215487665415</v>
      </c>
      <c r="I1548" s="147">
        <v>2.677</v>
      </c>
      <c r="J1548" s="148">
        <v>0.83457309222782516</v>
      </c>
      <c r="K1548" s="149">
        <v>29</v>
      </c>
      <c r="L1548" s="149">
        <v>192.54300000000001</v>
      </c>
      <c r="M1548" s="67"/>
      <c r="N1548" s="135"/>
    </row>
    <row r="1549" spans="1:14" x14ac:dyDescent="0.25">
      <c r="A1549" s="142">
        <v>45390</v>
      </c>
      <c r="B1549" s="81" t="s">
        <v>62</v>
      </c>
      <c r="C1549" s="129" t="str">
        <f t="shared" si="43"/>
        <v>08.04.2024_VORuhSc</v>
      </c>
      <c r="D1549" s="143">
        <f t="shared" si="47"/>
        <v>0</v>
      </c>
      <c r="E1549" s="144">
        <v>0</v>
      </c>
      <c r="F1549" s="145">
        <v>1.4548620704103524E-2</v>
      </c>
      <c r="G1549" s="146">
        <v>0.17617314429016115</v>
      </c>
      <c r="H1549" s="146">
        <v>5.628492076458097E-2</v>
      </c>
      <c r="I1549" s="147">
        <v>2.4390000000000001</v>
      </c>
      <c r="J1549" s="148">
        <v>0.70482955893664379</v>
      </c>
      <c r="K1549" s="149">
        <v>25</v>
      </c>
      <c r="L1549" s="149">
        <v>156.88499999999999</v>
      </c>
      <c r="M1549" s="67"/>
      <c r="N1549" s="135"/>
    </row>
    <row r="1550" spans="1:14" x14ac:dyDescent="0.25">
      <c r="A1550" s="142">
        <v>45390</v>
      </c>
      <c r="B1550" s="81" t="s">
        <v>64</v>
      </c>
      <c r="C1550" s="129" t="str">
        <f t="shared" si="43"/>
        <v>08.04.2024_WITob</v>
      </c>
      <c r="D1550" s="143">
        <f t="shared" si="47"/>
        <v>0</v>
      </c>
      <c r="E1550" s="144">
        <v>0</v>
      </c>
      <c r="F1550" s="145">
        <v>8.2126376787987482E-3</v>
      </c>
      <c r="G1550" s="146">
        <v>1.9480684224392822E-2</v>
      </c>
      <c r="H1550" s="146">
        <v>4.8988727332135287E-2</v>
      </c>
      <c r="I1550" s="147">
        <v>1.5069999999999999</v>
      </c>
      <c r="J1550" s="148">
        <v>0.37042726452966734</v>
      </c>
      <c r="K1550" s="149">
        <v>69</v>
      </c>
      <c r="L1550" s="149">
        <v>327.27999999999997</v>
      </c>
      <c r="M1550" s="67"/>
      <c r="N1550" s="135"/>
    </row>
    <row r="1551" spans="1:14" x14ac:dyDescent="0.25">
      <c r="A1551" s="142">
        <v>45404</v>
      </c>
      <c r="B1551" s="81" t="s">
        <v>22</v>
      </c>
      <c r="C1551" s="129" t="str">
        <f t="shared" si="43"/>
        <v>22.04.2024_BOYkl</v>
      </c>
      <c r="D1551" s="143">
        <f t="shared" si="47"/>
        <v>0</v>
      </c>
      <c r="E1551" s="144">
        <v>9.8270098050214319E-2</v>
      </c>
      <c r="F1551" s="145">
        <v>2.9396902903507174E-2</v>
      </c>
      <c r="G1551" s="146">
        <v>8.1051509769094171E-2</v>
      </c>
      <c r="H1551" s="146">
        <v>0.12057692307692311</v>
      </c>
      <c r="I1551" s="147">
        <v>23.440999999999999</v>
      </c>
      <c r="J1551" s="148">
        <v>5.3942640010513729</v>
      </c>
      <c r="K1551" s="149">
        <v>23.256</v>
      </c>
      <c r="L1551" s="149">
        <v>44.040999999999997</v>
      </c>
      <c r="M1551" s="158">
        <v>15.6</v>
      </c>
      <c r="N1551" s="135"/>
    </row>
    <row r="1552" spans="1:14" x14ac:dyDescent="0.25">
      <c r="A1552" s="142">
        <v>45404</v>
      </c>
      <c r="B1552" s="81" t="s">
        <v>25</v>
      </c>
      <c r="C1552" s="129" t="str">
        <f t="shared" si="43"/>
        <v>22.04.2024_BOYohB224</v>
      </c>
      <c r="D1552" s="143">
        <f t="shared" si="47"/>
        <v>0</v>
      </c>
      <c r="E1552" s="144">
        <v>9.8270098050214319E-2</v>
      </c>
      <c r="F1552" s="145">
        <v>1.8766102362252669E-2</v>
      </c>
      <c r="G1552" s="146">
        <v>0.11100532859680284</v>
      </c>
      <c r="H1552" s="146">
        <v>0.12375000000000003</v>
      </c>
      <c r="I1552" s="147">
        <v>6.7919999999999998</v>
      </c>
      <c r="J1552" s="148">
        <v>1.6579792551021313</v>
      </c>
      <c r="K1552" s="149">
        <v>32</v>
      </c>
      <c r="L1552" s="149">
        <v>154.32900000000001</v>
      </c>
      <c r="M1552" s="158">
        <v>13.1</v>
      </c>
      <c r="N1552" s="135"/>
    </row>
    <row r="1553" spans="1:14" x14ac:dyDescent="0.25">
      <c r="A1553" s="142">
        <v>45404</v>
      </c>
      <c r="B1553" s="81" t="s">
        <v>28</v>
      </c>
      <c r="C1553" s="129" t="str">
        <f t="shared" ref="C1553:C1651" si="48">CONCATENATE(TEXT(A1553,"TT.MM.JJJJ"),"_",B1553)</f>
        <v>22.04.2024_BOYohBr</v>
      </c>
      <c r="D1553" s="143">
        <f t="shared" si="47"/>
        <v>0</v>
      </c>
      <c r="E1553" s="144">
        <v>2.2553792995131178E-2</v>
      </c>
      <c r="F1553" s="145">
        <v>3.2285347791759317E-2</v>
      </c>
      <c r="G1553" s="146">
        <v>5.0216696269982257E-2</v>
      </c>
      <c r="H1553" s="146">
        <v>7.4038461538461581E-2</v>
      </c>
      <c r="I1553" s="147">
        <v>12.547000000000001</v>
      </c>
      <c r="J1553" s="148">
        <v>2.8955246621020629</v>
      </c>
      <c r="K1553" s="149">
        <v>19.713000000000001</v>
      </c>
      <c r="L1553" s="149">
        <v>69.966999999999999</v>
      </c>
      <c r="M1553" s="158">
        <v>15.59</v>
      </c>
      <c r="N1553" s="135"/>
    </row>
    <row r="1554" spans="1:14" x14ac:dyDescent="0.25">
      <c r="A1554" s="142">
        <v>45404</v>
      </c>
      <c r="B1554" s="81" t="s">
        <v>30</v>
      </c>
      <c r="C1554" s="129" t="str">
        <f t="shared" si="48"/>
        <v>22.04.2024_BOYohKi</v>
      </c>
      <c r="D1554" s="143">
        <f t="shared" si="47"/>
        <v>0</v>
      </c>
      <c r="E1554" s="144">
        <v>0</v>
      </c>
      <c r="F1554" s="145">
        <v>1.6851881333435362E-2</v>
      </c>
      <c r="G1554" s="146">
        <v>9.4266429840142107E-2</v>
      </c>
      <c r="H1554" s="146">
        <v>5.8173076923076952E-2</v>
      </c>
      <c r="I1554" s="147">
        <v>7.57</v>
      </c>
      <c r="J1554" s="148">
        <v>1.8007436333758029</v>
      </c>
      <c r="K1554" s="149">
        <v>28</v>
      </c>
      <c r="L1554" s="149">
        <v>107.535</v>
      </c>
      <c r="M1554" s="158">
        <v>13.46</v>
      </c>
      <c r="N1554" s="135"/>
    </row>
    <row r="1555" spans="1:14" x14ac:dyDescent="0.25">
      <c r="A1555" s="142">
        <v>45404</v>
      </c>
      <c r="B1555" s="81" t="s">
        <v>32</v>
      </c>
      <c r="C1555" s="129" t="str">
        <f t="shared" si="48"/>
        <v>22.04.2024_BOYohSp</v>
      </c>
      <c r="D1555" s="143">
        <f t="shared" si="47"/>
        <v>0</v>
      </c>
      <c r="E1555" s="144">
        <v>5.1551526846014072E-2</v>
      </c>
      <c r="F1555" s="145">
        <v>2.5756444427510874E-2</v>
      </c>
      <c r="G1555" s="146">
        <v>0.10043339253996447</v>
      </c>
      <c r="H1555" s="146">
        <v>9.4134615384615372E-2</v>
      </c>
      <c r="I1555" s="147">
        <v>9.1769999999999996</v>
      </c>
      <c r="J1555" s="148">
        <v>2.1794537986272031</v>
      </c>
      <c r="K1555" s="149">
        <v>25</v>
      </c>
      <c r="L1555" s="149">
        <v>82.137</v>
      </c>
      <c r="M1555" s="158">
        <v>10.029999999999999</v>
      </c>
      <c r="N1555" s="135"/>
    </row>
    <row r="1556" spans="1:14" x14ac:dyDescent="0.25">
      <c r="A1556" s="142">
        <v>45404</v>
      </c>
      <c r="B1556" s="81" t="s">
        <v>34</v>
      </c>
      <c r="C1556" s="129" t="str">
        <f t="shared" si="48"/>
        <v>22.04.2024_BOYuhHa</v>
      </c>
      <c r="D1556" s="143">
        <f t="shared" si="47"/>
        <v>0</v>
      </c>
      <c r="E1556" s="144">
        <v>3.7052659920572606E-2</v>
      </c>
      <c r="F1556" s="145">
        <v>1.9415569953425933E-2</v>
      </c>
      <c r="G1556" s="146">
        <v>0.16650799289520429</v>
      </c>
      <c r="H1556" s="146">
        <v>8.1442307692307675E-2</v>
      </c>
      <c r="I1556" s="147">
        <v>7.1159999999999997</v>
      </c>
      <c r="J1556" s="148">
        <v>1.7613778219801202</v>
      </c>
      <c r="K1556" s="149">
        <v>33</v>
      </c>
      <c r="L1556" s="149">
        <v>159.73699999999999</v>
      </c>
      <c r="M1556" s="158">
        <v>9.7560000000000002</v>
      </c>
      <c r="N1556" s="135"/>
    </row>
    <row r="1557" spans="1:14" x14ac:dyDescent="0.25">
      <c r="A1557" s="142">
        <v>45404</v>
      </c>
      <c r="B1557" s="81" t="s">
        <v>36</v>
      </c>
      <c r="C1557" s="129" t="str">
        <f t="shared" si="48"/>
        <v>22.04.2024_BOYuhSp</v>
      </c>
      <c r="D1557" s="143">
        <f t="shared" si="47"/>
        <v>0</v>
      </c>
      <c r="E1557" s="144">
        <v>1.9331822567255318E-2</v>
      </c>
      <c r="F1557" s="145">
        <v>1.970612149491115E-2</v>
      </c>
      <c r="G1557" s="146">
        <v>8.1051509769094171E-2</v>
      </c>
      <c r="H1557" s="146">
        <v>8.4615384615384592E-2</v>
      </c>
      <c r="I1557" s="147">
        <v>8.1639999999999997</v>
      </c>
      <c r="J1557" s="148">
        <v>1.9326995206667574</v>
      </c>
      <c r="K1557" s="149">
        <v>29</v>
      </c>
      <c r="L1557" s="149">
        <v>100.416</v>
      </c>
      <c r="M1557" s="158">
        <v>15.06</v>
      </c>
      <c r="N1557" s="135"/>
    </row>
    <row r="1558" spans="1:14" x14ac:dyDescent="0.25">
      <c r="A1558" s="142">
        <v>45404</v>
      </c>
      <c r="B1558" s="81" t="s">
        <v>38</v>
      </c>
      <c r="C1558" s="129" t="str">
        <f t="shared" si="48"/>
        <v>22.04.2024_BRAob</v>
      </c>
      <c r="D1558" s="143">
        <f t="shared" si="47"/>
        <v>0</v>
      </c>
      <c r="E1558" s="144">
        <v>0</v>
      </c>
      <c r="F1558" s="145">
        <v>1.2869625967734158E-2</v>
      </c>
      <c r="G1558" s="146">
        <v>7.6646536412078192E-2</v>
      </c>
      <c r="H1558" s="146">
        <v>3.4903846153846146E-2</v>
      </c>
      <c r="I1558" s="147">
        <v>4.9630000000000001</v>
      </c>
      <c r="J1558" s="148">
        <v>1.1911345550201529</v>
      </c>
      <c r="K1558" s="149">
        <v>38</v>
      </c>
      <c r="L1558" s="149">
        <v>106.274</v>
      </c>
      <c r="M1558" s="158">
        <v>12.5</v>
      </c>
      <c r="N1558" s="135"/>
    </row>
    <row r="1559" spans="1:14" x14ac:dyDescent="0.25">
      <c r="A1559" s="142">
        <v>45404</v>
      </c>
      <c r="B1559" s="81" t="s">
        <v>41</v>
      </c>
      <c r="C1559" s="129" t="str">
        <f t="shared" si="48"/>
        <v>22.04.2024_BRAohBo</v>
      </c>
      <c r="D1559" s="143">
        <f t="shared" si="47"/>
        <v>0</v>
      </c>
      <c r="E1559" s="144">
        <v>1.6109852139379627E-3</v>
      </c>
      <c r="F1559" s="145">
        <v>2.0543594147083542E-2</v>
      </c>
      <c r="G1559" s="146">
        <v>0.11012433392539968</v>
      </c>
      <c r="H1559" s="146">
        <v>8.8846153846153839E-2</v>
      </c>
      <c r="I1559" s="147">
        <v>7.8520000000000003</v>
      </c>
      <c r="J1559" s="148">
        <v>1.8860908955881952</v>
      </c>
      <c r="K1559" s="149">
        <v>27</v>
      </c>
      <c r="L1559" s="149">
        <v>81.138000000000005</v>
      </c>
      <c r="M1559" s="158">
        <v>12.97</v>
      </c>
      <c r="N1559" s="135"/>
    </row>
    <row r="1560" spans="1:14" x14ac:dyDescent="0.25">
      <c r="A1560" s="142">
        <v>45404</v>
      </c>
      <c r="B1560" s="81" t="s">
        <v>43</v>
      </c>
      <c r="C1560" s="129" t="str">
        <f t="shared" si="48"/>
        <v>22.04.2024_HAAob</v>
      </c>
      <c r="D1560" s="143">
        <f t="shared" si="47"/>
        <v>0</v>
      </c>
      <c r="E1560" s="144">
        <v>1.9331822567255318E-2</v>
      </c>
      <c r="F1560" s="145">
        <v>1.1314327259824303E-2</v>
      </c>
      <c r="G1560" s="146">
        <v>2.4667850799289483E-2</v>
      </c>
      <c r="H1560" s="146">
        <v>3.8076923076923071E-2</v>
      </c>
      <c r="I1560" s="147">
        <v>3.145</v>
      </c>
      <c r="J1560" s="148">
        <v>0.74110800869790949</v>
      </c>
      <c r="K1560" s="149">
        <v>25</v>
      </c>
      <c r="L1560" s="149">
        <v>131.059</v>
      </c>
      <c r="M1560" s="158">
        <v>9.609</v>
      </c>
      <c r="N1560" s="135"/>
    </row>
    <row r="1561" spans="1:14" x14ac:dyDescent="0.25">
      <c r="A1561" s="142">
        <v>45404</v>
      </c>
      <c r="B1561" s="81" t="s">
        <v>45</v>
      </c>
      <c r="C1561" s="129" t="str">
        <f t="shared" si="48"/>
        <v>22.04.2024_HAAun</v>
      </c>
      <c r="D1561" s="143">
        <f t="shared" si="47"/>
        <v>0</v>
      </c>
      <c r="E1561" s="144">
        <v>9.6659112836276762E-3</v>
      </c>
      <c r="F1561" s="145">
        <v>4.7274577667496973E-2</v>
      </c>
      <c r="G1561" s="146">
        <v>0.22201065719360569</v>
      </c>
      <c r="H1561" s="146">
        <v>4.8653846153846173E-2</v>
      </c>
      <c r="I1561" s="147">
        <v>3.1579999999999999</v>
      </c>
      <c r="J1561" s="148">
        <v>0.9004991786658012</v>
      </c>
      <c r="K1561" s="149">
        <v>28</v>
      </c>
      <c r="L1561" s="149">
        <v>212.41499999999999</v>
      </c>
      <c r="M1561" s="158">
        <v>7.157</v>
      </c>
      <c r="N1561" s="135"/>
    </row>
    <row r="1562" spans="1:14" x14ac:dyDescent="0.25">
      <c r="A1562" s="142">
        <v>45404</v>
      </c>
      <c r="B1562" s="81" t="s">
        <v>47</v>
      </c>
      <c r="C1562" s="129" t="str">
        <f t="shared" si="48"/>
        <v>22.04.2024_KIRob</v>
      </c>
      <c r="D1562" s="143">
        <f t="shared" si="47"/>
        <v>0</v>
      </c>
      <c r="E1562" s="144">
        <v>0</v>
      </c>
      <c r="F1562" s="145">
        <v>8.1524605130182358E-3</v>
      </c>
      <c r="G1562" s="146">
        <v>0.58409946714031968</v>
      </c>
      <c r="H1562" s="146">
        <v>0.14173076923076927</v>
      </c>
      <c r="I1562" s="147">
        <v>6.5030000000000001</v>
      </c>
      <c r="J1562" s="148">
        <v>1.9655299379320945</v>
      </c>
      <c r="K1562" s="149">
        <v>74.478999999999999</v>
      </c>
      <c r="L1562" s="149">
        <v>184.46799999999999</v>
      </c>
      <c r="M1562" s="158">
        <v>11.11</v>
      </c>
      <c r="N1562" s="135"/>
    </row>
    <row r="1563" spans="1:14" x14ac:dyDescent="0.25">
      <c r="A1563" s="142">
        <v>45404</v>
      </c>
      <c r="B1563" s="81" t="s">
        <v>49</v>
      </c>
      <c r="C1563" s="129" t="str">
        <f t="shared" si="48"/>
        <v>22.04.2024_KIRun</v>
      </c>
      <c r="D1563" s="143">
        <f t="shared" si="47"/>
        <v>0</v>
      </c>
      <c r="E1563" s="144">
        <v>6.2828423343579617E-2</v>
      </c>
      <c r="F1563" s="145">
        <v>6.6484396437291107E-3</v>
      </c>
      <c r="G1563" s="146">
        <v>0.22817761989342805</v>
      </c>
      <c r="H1563" s="146">
        <v>9.0961538461538441E-2</v>
      </c>
      <c r="I1563" s="147">
        <v>5.1580000000000004</v>
      </c>
      <c r="J1563" s="148">
        <v>1.3699083404556631</v>
      </c>
      <c r="K1563" s="149">
        <v>60.718000000000004</v>
      </c>
      <c r="L1563" s="149">
        <v>166.696</v>
      </c>
      <c r="M1563" s="158">
        <v>9.2170000000000005</v>
      </c>
      <c r="N1563" s="135"/>
    </row>
    <row r="1564" spans="1:14" x14ac:dyDescent="0.25">
      <c r="A1564" s="142">
        <v>45404</v>
      </c>
      <c r="B1564" s="81" t="s">
        <v>50</v>
      </c>
      <c r="C1564" s="129" t="str">
        <f t="shared" si="48"/>
        <v>22.04.2024_LIEohBo</v>
      </c>
      <c r="D1564" s="143">
        <f t="shared" si="47"/>
        <v>0</v>
      </c>
      <c r="E1564" s="144">
        <v>5.1551526846014072E-2</v>
      </c>
      <c r="F1564" s="145">
        <v>2.3637119461168758E-2</v>
      </c>
      <c r="G1564" s="146">
        <v>3.8763765541740665E-2</v>
      </c>
      <c r="H1564" s="146">
        <v>6.3461538461538472E-2</v>
      </c>
      <c r="I1564" s="147">
        <v>19.638000000000002</v>
      </c>
      <c r="J1564" s="148">
        <v>4.4850556016901217</v>
      </c>
      <c r="K1564" s="149">
        <v>25</v>
      </c>
      <c r="L1564" s="149">
        <v>103.621</v>
      </c>
      <c r="M1564" s="158">
        <v>11.14</v>
      </c>
      <c r="N1564" s="135"/>
    </row>
    <row r="1565" spans="1:14" x14ac:dyDescent="0.25">
      <c r="A1565" s="142">
        <v>45404</v>
      </c>
      <c r="B1565" s="81" t="s">
        <v>53</v>
      </c>
      <c r="C1565" s="129" t="str">
        <f t="shared" si="48"/>
        <v>22.04.2024_NATohBo</v>
      </c>
      <c r="D1565" s="143">
        <f t="shared" si="47"/>
        <v>0</v>
      </c>
      <c r="E1565" s="144">
        <v>7.7327290269021076E-2</v>
      </c>
      <c r="F1565" s="145">
        <v>1.5758042165260378E-2</v>
      </c>
      <c r="G1565" s="146">
        <v>0.13831616341030195</v>
      </c>
      <c r="H1565" s="146">
        <v>8.0384615384615346E-2</v>
      </c>
      <c r="I1565" s="147">
        <v>4.24</v>
      </c>
      <c r="J1565" s="148">
        <v>1.0895630138803116</v>
      </c>
      <c r="K1565" s="149">
        <v>57</v>
      </c>
      <c r="L1565" s="149">
        <v>330.44499999999999</v>
      </c>
      <c r="M1565" s="158">
        <v>7.3819999999999997</v>
      </c>
      <c r="N1565" s="135"/>
    </row>
    <row r="1566" spans="1:14" x14ac:dyDescent="0.25">
      <c r="A1566" s="142">
        <v>45404</v>
      </c>
      <c r="B1566" s="81" t="s">
        <v>55</v>
      </c>
      <c r="C1566" s="129" t="str">
        <f t="shared" si="48"/>
        <v>22.04.2024_QUAohBo</v>
      </c>
      <c r="D1566" s="143">
        <f t="shared" si="47"/>
        <v>0</v>
      </c>
      <c r="E1566" s="144">
        <v>0.10471403890596605</v>
      </c>
      <c r="F1566" s="145">
        <v>1.0699044492068743E-2</v>
      </c>
      <c r="G1566" s="146">
        <v>0.10219538188277089</v>
      </c>
      <c r="H1566" s="146">
        <v>9.201923076923077E-2</v>
      </c>
      <c r="I1566" s="147">
        <v>3.234</v>
      </c>
      <c r="J1566" s="148">
        <v>0.83783252688584509</v>
      </c>
      <c r="K1566" s="149">
        <v>36</v>
      </c>
      <c r="L1566" s="149">
        <v>99.527000000000001</v>
      </c>
      <c r="M1566" s="158">
        <v>8.7330000000000005</v>
      </c>
      <c r="N1566" s="135"/>
    </row>
    <row r="1567" spans="1:14" x14ac:dyDescent="0.25">
      <c r="A1567" s="142">
        <v>45404</v>
      </c>
      <c r="B1567" s="81" t="s">
        <v>57</v>
      </c>
      <c r="C1567" s="129" t="str">
        <f t="shared" si="48"/>
        <v>22.04.2024_SCHohVo</v>
      </c>
      <c r="D1567" s="143">
        <f t="shared" si="47"/>
        <v>0</v>
      </c>
      <c r="E1567" s="144">
        <v>1.2887881711503535E-2</v>
      </c>
      <c r="F1567" s="145">
        <v>1.5211122996453582E-2</v>
      </c>
      <c r="G1567" s="146">
        <v>0.11717229129662525</v>
      </c>
      <c r="H1567" s="146">
        <v>3.9134615384615372E-2</v>
      </c>
      <c r="I1567" s="147">
        <v>2.621</v>
      </c>
      <c r="J1567" s="148">
        <v>0.69490291612276267</v>
      </c>
      <c r="K1567" s="149">
        <v>19.597000000000001</v>
      </c>
      <c r="L1567" s="149">
        <v>65.837000000000003</v>
      </c>
      <c r="M1567" s="158">
        <v>20.57</v>
      </c>
      <c r="N1567" s="135"/>
    </row>
    <row r="1568" spans="1:14" x14ac:dyDescent="0.25">
      <c r="A1568" s="142">
        <v>45404</v>
      </c>
      <c r="B1568" s="81" t="s">
        <v>60</v>
      </c>
      <c r="C1568" s="129" t="str">
        <f t="shared" si="48"/>
        <v>22.04.2024_VORohBo</v>
      </c>
      <c r="D1568" s="143">
        <f t="shared" si="47"/>
        <v>0</v>
      </c>
      <c r="E1568" s="144">
        <v>2.8997733850882897E-2</v>
      </c>
      <c r="F1568" s="145">
        <v>1.0511041550015135E-2</v>
      </c>
      <c r="G1568" s="146">
        <v>0.22201065719360569</v>
      </c>
      <c r="H1568" s="146">
        <v>7.9326923076923059E-2</v>
      </c>
      <c r="I1568" s="147">
        <v>2.6890000000000001</v>
      </c>
      <c r="J1568" s="148">
        <v>0.80390456693503198</v>
      </c>
      <c r="K1568" s="149">
        <v>27</v>
      </c>
      <c r="L1568" s="149">
        <v>161.184</v>
      </c>
      <c r="M1568" s="158">
        <v>18.399999999999999</v>
      </c>
      <c r="N1568" s="135"/>
    </row>
    <row r="1569" spans="1:14" x14ac:dyDescent="0.25">
      <c r="A1569" s="142">
        <v>45404</v>
      </c>
      <c r="B1569" s="81" t="s">
        <v>62</v>
      </c>
      <c r="C1569" s="129" t="str">
        <f t="shared" si="48"/>
        <v>22.04.2024_VORuhSc</v>
      </c>
      <c r="D1569" s="143">
        <f t="shared" si="47"/>
        <v>0</v>
      </c>
      <c r="E1569" s="144">
        <v>1.4498866925441499E-2</v>
      </c>
      <c r="F1569" s="145">
        <v>9.8444859727121886E-3</v>
      </c>
      <c r="G1569" s="146">
        <v>0.11276731793960927</v>
      </c>
      <c r="H1569" s="146">
        <v>3.3846153846153845E-2</v>
      </c>
      <c r="I1569" s="147">
        <v>2.5139999999999998</v>
      </c>
      <c r="J1569" s="148">
        <v>0.66570433624538872</v>
      </c>
      <c r="K1569" s="149">
        <v>28.99</v>
      </c>
      <c r="L1569" s="149">
        <v>134.31399999999999</v>
      </c>
      <c r="M1569" s="158">
        <v>13.42</v>
      </c>
      <c r="N1569" s="135"/>
    </row>
    <row r="1570" spans="1:14" x14ac:dyDescent="0.25">
      <c r="A1570" s="142">
        <v>45404</v>
      </c>
      <c r="B1570" s="81" t="s">
        <v>64</v>
      </c>
      <c r="C1570" s="129" t="str">
        <f t="shared" si="48"/>
        <v>22.04.2024_WITob</v>
      </c>
      <c r="D1570" s="143">
        <f t="shared" si="47"/>
        <v>0</v>
      </c>
      <c r="E1570" s="144">
        <v>7.8938275482959008E-2</v>
      </c>
      <c r="F1570" s="145">
        <v>8.2037339856294491E-3</v>
      </c>
      <c r="G1570" s="146">
        <v>7.0479573712255361E-3</v>
      </c>
      <c r="H1570" s="146">
        <v>2.8557692307692291E-2</v>
      </c>
      <c r="I1570" s="147">
        <v>1.3280000000000001</v>
      </c>
      <c r="J1570" s="148">
        <v>0.31412241784225986</v>
      </c>
      <c r="K1570" s="149">
        <v>68</v>
      </c>
      <c r="L1570" s="149">
        <v>315.93700000000001</v>
      </c>
      <c r="M1570" s="158">
        <v>6.93</v>
      </c>
      <c r="N1570" s="135"/>
    </row>
    <row r="1571" spans="1:14" x14ac:dyDescent="0.25">
      <c r="A1571" s="142">
        <v>45418</v>
      </c>
      <c r="B1571" s="81" t="s">
        <v>22</v>
      </c>
      <c r="C1571" s="129" t="str">
        <f t="shared" si="48"/>
        <v>06.05.2024_BOYkl</v>
      </c>
      <c r="D1571" s="143">
        <f t="shared" si="47"/>
        <v>0</v>
      </c>
      <c r="E1571" s="144">
        <v>6.0356114833023396E-2</v>
      </c>
      <c r="F1571" s="145">
        <v>3.1457716279229442E-2</v>
      </c>
      <c r="G1571" s="146">
        <v>0.12189788343865984</v>
      </c>
      <c r="H1571" s="146">
        <v>0.10922994132555633</v>
      </c>
      <c r="I1571" s="147">
        <v>24.838000000000001</v>
      </c>
      <c r="J1571" s="148">
        <v>5.7380666031478507</v>
      </c>
      <c r="K1571" s="149">
        <v>19.922000000000001</v>
      </c>
      <c r="L1571" s="149">
        <v>44.097999999999999</v>
      </c>
      <c r="M1571" s="158"/>
      <c r="N1571" s="135"/>
    </row>
    <row r="1572" spans="1:14" x14ac:dyDescent="0.25">
      <c r="A1572" s="142">
        <v>45418</v>
      </c>
      <c r="B1572" s="81" t="s">
        <v>25</v>
      </c>
      <c r="C1572" s="129" t="str">
        <f t="shared" si="48"/>
        <v>06.05.2024_BOYohB224</v>
      </c>
      <c r="D1572" s="143">
        <f t="shared" si="47"/>
        <v>0</v>
      </c>
      <c r="E1572" s="144">
        <v>5.3040222125990258E-2</v>
      </c>
      <c r="F1572" s="145">
        <v>1.8108605795083124E-2</v>
      </c>
      <c r="G1572" s="146">
        <v>0.19348870387088871</v>
      </c>
      <c r="H1572" s="146">
        <v>0.14850362809429571</v>
      </c>
      <c r="I1572" s="147">
        <v>5.4610000000000003</v>
      </c>
      <c r="J1572" s="148">
        <v>1.4289300432420147</v>
      </c>
      <c r="K1572" s="149">
        <v>34.36</v>
      </c>
      <c r="L1572" s="149">
        <v>163.422</v>
      </c>
      <c r="M1572" s="158"/>
      <c r="N1572" s="135"/>
    </row>
    <row r="1573" spans="1:14" x14ac:dyDescent="0.25">
      <c r="A1573" s="142">
        <v>45418</v>
      </c>
      <c r="B1573" s="81" t="s">
        <v>28</v>
      </c>
      <c r="C1573" s="129" t="str">
        <f t="shared" si="48"/>
        <v>06.05.2024_BOYohBr</v>
      </c>
      <c r="D1573" s="143">
        <f t="shared" si="47"/>
        <v>0</v>
      </c>
      <c r="E1573" s="144">
        <v>0</v>
      </c>
      <c r="F1573" s="145">
        <v>3.2055436652520808E-2</v>
      </c>
      <c r="G1573" s="146">
        <v>0.11028856120640659</v>
      </c>
      <c r="H1573" s="146">
        <v>8.4683887095094265E-2</v>
      </c>
      <c r="I1573" s="147">
        <v>10.196999999999999</v>
      </c>
      <c r="J1573" s="148">
        <v>2.414616364317264</v>
      </c>
      <c r="K1573" s="149">
        <v>18.622</v>
      </c>
      <c r="L1573" s="149">
        <v>69.552000000000007</v>
      </c>
      <c r="M1573" s="158"/>
      <c r="N1573" s="135"/>
    </row>
    <row r="1574" spans="1:14" x14ac:dyDescent="0.25">
      <c r="A1574" s="142">
        <v>45418</v>
      </c>
      <c r="B1574" s="81" t="s">
        <v>30</v>
      </c>
      <c r="C1574" s="129" t="str">
        <f t="shared" si="48"/>
        <v>06.05.2024_BOYohKi</v>
      </c>
      <c r="D1574" s="143">
        <f t="shared" si="47"/>
        <v>0</v>
      </c>
      <c r="E1574" s="144">
        <v>0</v>
      </c>
      <c r="F1574" s="145">
        <v>1.7267370869145121E-2</v>
      </c>
      <c r="G1574" s="146">
        <v>0.18284682515798978</v>
      </c>
      <c r="H1574" s="146">
        <v>7.4865465402909434E-2</v>
      </c>
      <c r="I1574" s="147">
        <v>5.9619999999999997</v>
      </c>
      <c r="J1574" s="148">
        <v>1.5114084622088431</v>
      </c>
      <c r="K1574" s="149">
        <v>29.841999999999999</v>
      </c>
      <c r="L1574" s="149">
        <v>118.782</v>
      </c>
      <c r="M1574" s="158"/>
      <c r="N1574" s="135"/>
    </row>
    <row r="1575" spans="1:14" x14ac:dyDescent="0.25">
      <c r="A1575" s="142">
        <v>45418</v>
      </c>
      <c r="B1575" s="81" t="s">
        <v>32</v>
      </c>
      <c r="C1575" s="129" t="str">
        <f t="shared" si="48"/>
        <v>06.05.2024_BOYohSp</v>
      </c>
      <c r="D1575" s="143">
        <f t="shared" si="47"/>
        <v>0</v>
      </c>
      <c r="E1575" s="144">
        <v>7.3158927070331352E-3</v>
      </c>
      <c r="F1575" s="145">
        <v>2.1761338328318537E-2</v>
      </c>
      <c r="G1575" s="146">
        <v>0.19735847794830647</v>
      </c>
      <c r="H1575" s="146">
        <v>0.13254869284449536</v>
      </c>
      <c r="I1575" s="147">
        <v>7.9039999999999999</v>
      </c>
      <c r="J1575" s="148">
        <v>1.978877814078587</v>
      </c>
      <c r="K1575" s="149">
        <v>27.706</v>
      </c>
      <c r="L1575" s="149">
        <v>85.031999999999996</v>
      </c>
      <c r="M1575" s="158"/>
      <c r="N1575" s="135"/>
    </row>
    <row r="1576" spans="1:14" x14ac:dyDescent="0.25">
      <c r="A1576" s="142">
        <v>45418</v>
      </c>
      <c r="B1576" s="81" t="s">
        <v>34</v>
      </c>
      <c r="C1576" s="129" t="str">
        <f t="shared" si="48"/>
        <v>06.05.2024_BOYuhHa</v>
      </c>
      <c r="D1576" s="143">
        <f t="shared" si="47"/>
        <v>0</v>
      </c>
      <c r="E1576" s="144">
        <v>3.4750490358407361E-2</v>
      </c>
      <c r="F1576" s="145">
        <v>1.8507084979170016E-2</v>
      </c>
      <c r="G1576" s="146">
        <v>0.20606546962249644</v>
      </c>
      <c r="H1576" s="146">
        <v>7.4865465402909434E-2</v>
      </c>
      <c r="I1576" s="147">
        <v>5.5</v>
      </c>
      <c r="J1576" s="148">
        <v>1.4250855674490881</v>
      </c>
      <c r="K1576" s="149">
        <v>36.606999999999999</v>
      </c>
      <c r="L1576" s="149">
        <v>180.465</v>
      </c>
      <c r="M1576" s="158"/>
      <c r="N1576" s="135"/>
    </row>
    <row r="1577" spans="1:14" x14ac:dyDescent="0.25">
      <c r="A1577" s="142">
        <v>45418</v>
      </c>
      <c r="B1577" s="81" t="s">
        <v>36</v>
      </c>
      <c r="C1577" s="129" t="str">
        <f t="shared" si="48"/>
        <v>06.05.2024_BOYuhSp</v>
      </c>
      <c r="D1577" s="143">
        <f t="shared" si="47"/>
        <v>0</v>
      </c>
      <c r="E1577" s="144">
        <v>1.463178541406627E-2</v>
      </c>
      <c r="F1577" s="145">
        <v>2.3864429143656739E-2</v>
      </c>
      <c r="G1577" s="146">
        <v>0.19155381683217979</v>
      </c>
      <c r="H1577" s="146">
        <v>0.12150296844078741</v>
      </c>
      <c r="I1577" s="147">
        <v>6.5910000000000002</v>
      </c>
      <c r="J1577" s="148">
        <v>1.674440371973817</v>
      </c>
      <c r="K1577" s="149">
        <v>30.629000000000001</v>
      </c>
      <c r="L1577" s="149">
        <v>104.416</v>
      </c>
      <c r="M1577" s="158"/>
      <c r="N1577" s="135"/>
    </row>
    <row r="1578" spans="1:14" x14ac:dyDescent="0.25">
      <c r="A1578" s="142">
        <v>45418</v>
      </c>
      <c r="B1578" s="81" t="s">
        <v>38</v>
      </c>
      <c r="C1578" s="129" t="str">
        <f t="shared" si="48"/>
        <v>06.05.2024_BRAob</v>
      </c>
      <c r="D1578" s="143">
        <f t="shared" si="47"/>
        <v>0</v>
      </c>
      <c r="E1578" s="144">
        <v>0</v>
      </c>
      <c r="F1578" s="145">
        <v>1.2485623418471035E-2</v>
      </c>
      <c r="G1578" s="146">
        <v>0.13834442326768542</v>
      </c>
      <c r="H1578" s="146">
        <v>3.313717321112384E-2</v>
      </c>
      <c r="I1578" s="147">
        <v>4.0999999999999996</v>
      </c>
      <c r="J1578" s="148">
        <v>1.0435786736072514</v>
      </c>
      <c r="K1578" s="149">
        <v>42.978000000000002</v>
      </c>
      <c r="L1578" s="149">
        <v>115.774</v>
      </c>
      <c r="M1578" s="158"/>
      <c r="N1578" s="135"/>
    </row>
    <row r="1579" spans="1:14" x14ac:dyDescent="0.25">
      <c r="A1579" s="142">
        <v>45418</v>
      </c>
      <c r="B1579" s="81" t="s">
        <v>41</v>
      </c>
      <c r="C1579" s="129" t="str">
        <f t="shared" si="48"/>
        <v>06.05.2024_BRAohBo</v>
      </c>
      <c r="D1579" s="143">
        <f t="shared" si="47"/>
        <v>0</v>
      </c>
      <c r="E1579" s="144">
        <v>0</v>
      </c>
      <c r="F1579" s="145">
        <v>2.6675932981940514E-2</v>
      </c>
      <c r="G1579" s="146">
        <v>0.2892656122869785</v>
      </c>
      <c r="H1579" s="146">
        <v>0.12273027115231047</v>
      </c>
      <c r="I1579" s="147">
        <v>6.3479999999999999</v>
      </c>
      <c r="J1579" s="148">
        <v>1.695799846337037</v>
      </c>
      <c r="K1579" s="149">
        <v>32.503999999999998</v>
      </c>
      <c r="L1579" s="149">
        <v>90.082999999999998</v>
      </c>
      <c r="M1579" s="158"/>
      <c r="N1579" s="135"/>
    </row>
    <row r="1580" spans="1:14" x14ac:dyDescent="0.25">
      <c r="A1580" s="142">
        <v>45418</v>
      </c>
      <c r="B1580" s="81" t="s">
        <v>43</v>
      </c>
      <c r="C1580" s="129" t="str">
        <f t="shared" si="48"/>
        <v>06.05.2024_HAAob</v>
      </c>
      <c r="D1580" s="143">
        <f t="shared" si="47"/>
        <v>0</v>
      </c>
      <c r="E1580" s="144">
        <v>0</v>
      </c>
      <c r="F1580" s="145">
        <v>1.1511565102543789E-2</v>
      </c>
      <c r="G1580" s="146">
        <v>4.9339619487076616E-2</v>
      </c>
      <c r="H1580" s="146">
        <v>2.4546054230462105E-2</v>
      </c>
      <c r="I1580" s="147">
        <v>2.492</v>
      </c>
      <c r="J1580" s="148">
        <v>0.60865280734598437</v>
      </c>
      <c r="K1580" s="149">
        <v>26.91</v>
      </c>
      <c r="L1580" s="149">
        <v>133.261</v>
      </c>
      <c r="M1580" s="158"/>
      <c r="N1580" s="135"/>
    </row>
    <row r="1581" spans="1:14" x14ac:dyDescent="0.25">
      <c r="A1581" s="142">
        <v>45418</v>
      </c>
      <c r="B1581" s="81" t="s">
        <v>45</v>
      </c>
      <c r="C1581" s="129" t="str">
        <f t="shared" si="48"/>
        <v>06.05.2024_HAAun</v>
      </c>
      <c r="D1581" s="143">
        <f t="shared" si="47"/>
        <v>0</v>
      </c>
      <c r="E1581" s="144">
        <v>0</v>
      </c>
      <c r="F1581" s="145">
        <v>3.987012755734623E-2</v>
      </c>
      <c r="G1581" s="146">
        <v>0.25830741966763637</v>
      </c>
      <c r="H1581" s="146">
        <v>2.3318751518939008E-2</v>
      </c>
      <c r="I1581" s="147">
        <v>3.0339999999999998</v>
      </c>
      <c r="J1581" s="148">
        <v>0.89296210219766392</v>
      </c>
      <c r="K1581" s="149">
        <v>28.021999999999998</v>
      </c>
      <c r="L1581" s="149">
        <v>215.97399999999999</v>
      </c>
      <c r="M1581" s="158"/>
      <c r="N1581" s="135"/>
    </row>
    <row r="1582" spans="1:14" x14ac:dyDescent="0.25">
      <c r="A1582" s="142">
        <v>45418</v>
      </c>
      <c r="B1582" s="81" t="s">
        <v>47</v>
      </c>
      <c r="C1582" s="129" t="str">
        <f t="shared" si="48"/>
        <v>06.05.2024_KIRob</v>
      </c>
      <c r="D1582" s="143">
        <f t="shared" si="47"/>
        <v>0</v>
      </c>
      <c r="E1582" s="144">
        <v>0</v>
      </c>
      <c r="F1582" s="145">
        <v>5.0252333143288785E-3</v>
      </c>
      <c r="G1582" s="146">
        <v>0.62787084406103388</v>
      </c>
      <c r="H1582" s="146">
        <v>0.21600527722806651</v>
      </c>
      <c r="I1582" s="147">
        <v>6.5839999999999996</v>
      </c>
      <c r="J1582" s="148">
        <v>2.0404263183570368</v>
      </c>
      <c r="K1582" s="149">
        <v>79.903999999999996</v>
      </c>
      <c r="L1582" s="149">
        <v>190.91399999999999</v>
      </c>
      <c r="M1582" s="158"/>
      <c r="N1582" s="135"/>
    </row>
    <row r="1583" spans="1:14" x14ac:dyDescent="0.25">
      <c r="A1583" s="142">
        <v>45418</v>
      </c>
      <c r="B1583" s="81" t="s">
        <v>49</v>
      </c>
      <c r="C1583" s="129" t="str">
        <f t="shared" si="48"/>
        <v>06.05.2024_KIRun</v>
      </c>
      <c r="D1583" s="143">
        <f t="shared" si="47"/>
        <v>0</v>
      </c>
      <c r="E1583" s="144">
        <v>2.0118704944341131E-2</v>
      </c>
      <c r="F1583" s="145">
        <v>6.3313531570165773E-3</v>
      </c>
      <c r="G1583" s="146">
        <v>0.18768404275476203</v>
      </c>
      <c r="H1583" s="146">
        <v>0.11168454674860252</v>
      </c>
      <c r="I1583" s="147">
        <v>5.1539999999999999</v>
      </c>
      <c r="J1583" s="148">
        <v>1.3438711226162572</v>
      </c>
      <c r="K1583" s="149">
        <v>62.889000000000003</v>
      </c>
      <c r="L1583" s="149">
        <v>170.27199999999999</v>
      </c>
      <c r="M1583" s="158"/>
      <c r="N1583" s="135"/>
    </row>
    <row r="1584" spans="1:14" x14ac:dyDescent="0.25">
      <c r="A1584" s="142">
        <v>45418</v>
      </c>
      <c r="B1584" s="81" t="s">
        <v>50</v>
      </c>
      <c r="C1584" s="129" t="str">
        <f t="shared" si="48"/>
        <v>06.05.2024_LIEohBo</v>
      </c>
      <c r="D1584" s="143">
        <f t="shared" si="47"/>
        <v>0</v>
      </c>
      <c r="E1584" s="144">
        <v>5.8527141656265116E-2</v>
      </c>
      <c r="F1584" s="145">
        <v>2.262471186545411E-2</v>
      </c>
      <c r="G1584" s="146">
        <v>9.1907134338672147E-2</v>
      </c>
      <c r="H1584" s="146">
        <v>3.313717321112384E-2</v>
      </c>
      <c r="I1584" s="147">
        <v>19.754999999999999</v>
      </c>
      <c r="J1584" s="148">
        <v>4.5435154331267622</v>
      </c>
      <c r="K1584" s="149">
        <v>25.876000000000001</v>
      </c>
      <c r="L1584" s="149">
        <v>107.727</v>
      </c>
      <c r="M1584" s="158"/>
      <c r="N1584" s="135"/>
    </row>
    <row r="1585" spans="1:14" x14ac:dyDescent="0.25">
      <c r="A1585" s="142">
        <v>45418</v>
      </c>
      <c r="B1585" s="81" t="s">
        <v>53</v>
      </c>
      <c r="C1585" s="129" t="str">
        <f t="shared" si="48"/>
        <v>06.05.2024_NATohBo</v>
      </c>
      <c r="D1585" s="143">
        <f t="shared" si="47"/>
        <v>0</v>
      </c>
      <c r="E1585" s="144">
        <v>5.486919530274823E-3</v>
      </c>
      <c r="F1585" s="145">
        <v>1.5474214381656698E-2</v>
      </c>
      <c r="G1585" s="146">
        <v>0.19639103442895203</v>
      </c>
      <c r="H1585" s="146">
        <v>4.4182897614831768E-2</v>
      </c>
      <c r="I1585" s="147">
        <v>3.3780000000000001</v>
      </c>
      <c r="J1585" s="148">
        <v>0.92893601750257249</v>
      </c>
      <c r="K1585" s="149">
        <v>60.253</v>
      </c>
      <c r="L1585" s="149">
        <v>358.76600000000002</v>
      </c>
      <c r="M1585" s="158"/>
      <c r="N1585" s="135"/>
    </row>
    <row r="1586" spans="1:14" x14ac:dyDescent="0.25">
      <c r="A1586" s="142">
        <v>45418</v>
      </c>
      <c r="B1586" s="81" t="s">
        <v>55</v>
      </c>
      <c r="C1586" s="129" t="str">
        <f t="shared" si="48"/>
        <v>06.05.2024_QUAohBo</v>
      </c>
      <c r="D1586" s="143">
        <f t="shared" si="47"/>
        <v>0</v>
      </c>
      <c r="E1586" s="144">
        <v>2.9263570828132579E-2</v>
      </c>
      <c r="F1586" s="145">
        <v>1.2773413495773834E-2</v>
      </c>
      <c r="G1586" s="146">
        <v>0.23605621872248411</v>
      </c>
      <c r="H1586" s="146">
        <v>8.2229281672048071E-2</v>
      </c>
      <c r="I1586" s="147">
        <v>2.4990000000000001</v>
      </c>
      <c r="J1586" s="148">
        <v>0.77277912808087668</v>
      </c>
      <c r="K1586" s="149">
        <v>38.780999999999999</v>
      </c>
      <c r="L1586" s="149">
        <v>107.488</v>
      </c>
      <c r="M1586" s="158"/>
      <c r="N1586" s="135"/>
    </row>
    <row r="1587" spans="1:14" x14ac:dyDescent="0.25">
      <c r="A1587" s="142">
        <v>45418</v>
      </c>
      <c r="B1587" s="81" t="s">
        <v>57</v>
      </c>
      <c r="C1587" s="129" t="str">
        <f t="shared" si="48"/>
        <v>06.05.2024_SCHohVo</v>
      </c>
      <c r="D1587" s="143">
        <f t="shared" si="47"/>
        <v>0</v>
      </c>
      <c r="E1587" s="144">
        <v>0</v>
      </c>
      <c r="F1587" s="145">
        <v>1.6558963671518587E-2</v>
      </c>
      <c r="G1587" s="146">
        <v>0.22347945297087646</v>
      </c>
      <c r="H1587" s="146">
        <v>4.1728292191785601E-2</v>
      </c>
      <c r="I1587" s="147">
        <v>1.609</v>
      </c>
      <c r="J1587" s="148">
        <v>0.54965856899514498</v>
      </c>
      <c r="K1587" s="149">
        <v>17.579000000000001</v>
      </c>
      <c r="L1587" s="149">
        <v>66.108999999999995</v>
      </c>
      <c r="M1587" s="158"/>
      <c r="N1587" s="135"/>
    </row>
    <row r="1588" spans="1:14" x14ac:dyDescent="0.25">
      <c r="A1588" s="142">
        <v>45418</v>
      </c>
      <c r="B1588" s="81" t="s">
        <v>60</v>
      </c>
      <c r="C1588" s="129" t="str">
        <f t="shared" si="48"/>
        <v>06.05.2024_VORohBo</v>
      </c>
      <c r="D1588" s="143">
        <f t="shared" si="47"/>
        <v>0</v>
      </c>
      <c r="E1588" s="144">
        <v>0</v>
      </c>
      <c r="F1588" s="145">
        <v>8.5672550588457991E-3</v>
      </c>
      <c r="G1588" s="146">
        <v>0.32022380490632074</v>
      </c>
      <c r="H1588" s="146">
        <v>5.0319411172447308E-2</v>
      </c>
      <c r="I1588" s="147">
        <v>2.1150000000000002</v>
      </c>
      <c r="J1588" s="148">
        <v>0.74168537700316062</v>
      </c>
      <c r="K1588" s="149">
        <v>27.154</v>
      </c>
      <c r="L1588" s="149">
        <v>170.767</v>
      </c>
      <c r="M1588" s="158"/>
      <c r="N1588" s="135"/>
    </row>
    <row r="1589" spans="1:14" x14ac:dyDescent="0.25">
      <c r="A1589" s="142">
        <v>45418</v>
      </c>
      <c r="B1589" s="81" t="s">
        <v>62</v>
      </c>
      <c r="C1589" s="129" t="str">
        <f t="shared" si="48"/>
        <v>06.05.2024_VORuhSc</v>
      </c>
      <c r="D1589" s="143">
        <f t="shared" si="47"/>
        <v>0</v>
      </c>
      <c r="E1589" s="144">
        <v>0</v>
      </c>
      <c r="F1589" s="145">
        <v>8.8107693697396829E-3</v>
      </c>
      <c r="G1589" s="146">
        <v>0.20509802610314204</v>
      </c>
      <c r="H1589" s="146">
        <v>4.7864805749401086E-2</v>
      </c>
      <c r="I1589" s="147">
        <v>1.78</v>
      </c>
      <c r="J1589" s="148">
        <v>0.57587760639923391</v>
      </c>
      <c r="K1589" s="149">
        <v>24.15</v>
      </c>
      <c r="L1589" s="149">
        <v>144.72800000000001</v>
      </c>
      <c r="M1589" s="158"/>
      <c r="N1589" s="135"/>
    </row>
    <row r="1590" spans="1:14" x14ac:dyDescent="0.25">
      <c r="A1590" s="142">
        <v>45418</v>
      </c>
      <c r="B1590" s="81" t="s">
        <v>64</v>
      </c>
      <c r="C1590" s="129" t="str">
        <f t="shared" si="48"/>
        <v>06.05.2024_WITob</v>
      </c>
      <c r="D1590" s="143">
        <f t="shared" si="47"/>
        <v>0</v>
      </c>
      <c r="E1590" s="144">
        <v>2.0118704944341131E-2</v>
      </c>
      <c r="F1590" s="145">
        <v>6.5084541447557286E-3</v>
      </c>
      <c r="G1590" s="146">
        <v>8.9972247299963268E-2</v>
      </c>
      <c r="H1590" s="146">
        <v>2.5548369909709456E-17</v>
      </c>
      <c r="I1590" s="147">
        <v>0.99199999999999999</v>
      </c>
      <c r="J1590" s="148">
        <v>0.29392559030594845</v>
      </c>
      <c r="K1590" s="149">
        <v>70.45</v>
      </c>
      <c r="L1590" s="149">
        <v>329.971</v>
      </c>
      <c r="M1590" s="158"/>
      <c r="N1590" s="135"/>
    </row>
    <row r="1591" spans="1:14" x14ac:dyDescent="0.25">
      <c r="A1591" s="142">
        <v>45434</v>
      </c>
      <c r="B1591" s="81" t="s">
        <v>22</v>
      </c>
      <c r="C1591" s="129" t="str">
        <f t="shared" si="48"/>
        <v>22.05.2024_BOYkl</v>
      </c>
      <c r="D1591" s="143">
        <f t="shared" si="47"/>
        <v>0</v>
      </c>
      <c r="E1591" s="144">
        <v>6.1594052199230503E-2</v>
      </c>
      <c r="F1591" s="145">
        <v>3.6438745973992756E-2</v>
      </c>
      <c r="G1591" s="146">
        <v>7.7519663063885927E-2</v>
      </c>
      <c r="H1591" s="146">
        <v>0.10060273355573381</v>
      </c>
      <c r="I1591" s="147">
        <v>20.055</v>
      </c>
      <c r="J1591" s="148">
        <v>4.6206445954035198</v>
      </c>
      <c r="K1591" s="149">
        <v>15.106</v>
      </c>
      <c r="L1591" s="149">
        <v>30.024000000000001</v>
      </c>
      <c r="M1591" s="158"/>
      <c r="N1591" s="135"/>
    </row>
    <row r="1592" spans="1:14" x14ac:dyDescent="0.25">
      <c r="A1592" s="142">
        <v>45434</v>
      </c>
      <c r="B1592" s="81" t="s">
        <v>25</v>
      </c>
      <c r="C1592" s="129" t="str">
        <f t="shared" si="48"/>
        <v>22.05.2024_BOYohB224</v>
      </c>
      <c r="D1592" s="143">
        <f t="shared" si="47"/>
        <v>0</v>
      </c>
      <c r="E1592" s="144">
        <v>0.10265675366538425</v>
      </c>
      <c r="F1592" s="145">
        <v>6.5993103181005E-2</v>
      </c>
      <c r="G1592" s="146">
        <v>0.32857766275942568</v>
      </c>
      <c r="H1592" s="146">
        <v>0.17789507762904158</v>
      </c>
      <c r="I1592" s="147">
        <v>2.8079999999999998</v>
      </c>
      <c r="J1592" s="148">
        <v>0.94354038574022803</v>
      </c>
      <c r="K1592" s="149">
        <v>12.597</v>
      </c>
      <c r="L1592" s="149">
        <v>55.523000000000003</v>
      </c>
      <c r="M1592" s="158"/>
      <c r="N1592" s="135"/>
    </row>
    <row r="1593" spans="1:14" x14ac:dyDescent="0.25">
      <c r="A1593" s="142">
        <v>45434</v>
      </c>
      <c r="B1593" s="81" t="s">
        <v>28</v>
      </c>
      <c r="C1593" s="129" t="str">
        <f t="shared" si="48"/>
        <v>22.05.2024_BOYohBr</v>
      </c>
      <c r="D1593" s="143">
        <f t="shared" si="47"/>
        <v>0</v>
      </c>
      <c r="E1593" s="144">
        <v>1.6798377872517391E-2</v>
      </c>
      <c r="F1593" s="145">
        <v>3.9515920564439477E-2</v>
      </c>
      <c r="G1593" s="146">
        <v>8.2805094636423604E-2</v>
      </c>
      <c r="H1593" s="146">
        <v>7.2384893655954852E-2</v>
      </c>
      <c r="I1593" s="147">
        <v>3.698</v>
      </c>
      <c r="J1593" s="148">
        <v>0.921602168807792</v>
      </c>
      <c r="K1593" s="149">
        <v>7.9809999999999999</v>
      </c>
      <c r="L1593" s="149">
        <v>29.033000000000001</v>
      </c>
      <c r="M1593" s="158"/>
      <c r="N1593" s="135"/>
    </row>
    <row r="1594" spans="1:14" x14ac:dyDescent="0.25">
      <c r="A1594" s="142">
        <v>45434</v>
      </c>
      <c r="B1594" s="81" t="s">
        <v>30</v>
      </c>
      <c r="C1594" s="129" t="str">
        <f t="shared" si="48"/>
        <v>22.05.2024_BOYohKi</v>
      </c>
      <c r="D1594" s="143">
        <f t="shared" si="47"/>
        <v>0</v>
      </c>
      <c r="E1594" s="144">
        <v>0</v>
      </c>
      <c r="F1594" s="145">
        <v>7.4095717243302175E-2</v>
      </c>
      <c r="G1594" s="146">
        <v>0.17177652610747451</v>
      </c>
      <c r="H1594" s="146">
        <v>9.6922145742719151E-2</v>
      </c>
      <c r="I1594" s="147">
        <v>4.5549999999999997</v>
      </c>
      <c r="J1594" s="148">
        <v>1.1917285520285636</v>
      </c>
      <c r="K1594" s="149">
        <v>13.978</v>
      </c>
      <c r="L1594" s="149">
        <v>51.058</v>
      </c>
      <c r="M1594" s="158"/>
      <c r="N1594" s="135"/>
    </row>
    <row r="1595" spans="1:14" x14ac:dyDescent="0.25">
      <c r="A1595" s="142">
        <v>45434</v>
      </c>
      <c r="B1595" s="81" t="s">
        <v>32</v>
      </c>
      <c r="C1595" s="129" t="str">
        <f t="shared" si="48"/>
        <v>22.05.2024_BOYohSp</v>
      </c>
      <c r="D1595" s="143">
        <f t="shared" si="47"/>
        <v>0</v>
      </c>
      <c r="E1595" s="144">
        <v>5.5994592908391358E-2</v>
      </c>
      <c r="F1595" s="145">
        <v>3.0793575571409479E-2</v>
      </c>
      <c r="G1595" s="146">
        <v>0.31360227330390211</v>
      </c>
      <c r="H1595" s="146">
        <v>0.18770997846374726</v>
      </c>
      <c r="I1595" s="147">
        <v>6.141</v>
      </c>
      <c r="J1595" s="148">
        <v>1.6877250021410346</v>
      </c>
      <c r="K1595" s="149">
        <v>18.071999999999999</v>
      </c>
      <c r="L1595" s="149">
        <v>42.991</v>
      </c>
      <c r="M1595" s="158"/>
      <c r="N1595" s="135"/>
    </row>
    <row r="1596" spans="1:14" x14ac:dyDescent="0.25">
      <c r="A1596" s="142">
        <v>45434</v>
      </c>
      <c r="B1596" s="81" t="s">
        <v>34</v>
      </c>
      <c r="C1596" s="129" t="str">
        <f t="shared" si="48"/>
        <v>22.05.2024_BOYuhHa</v>
      </c>
      <c r="D1596" s="143">
        <f t="shared" si="47"/>
        <v>0</v>
      </c>
      <c r="E1596" s="144">
        <v>8.2125402932307343E-2</v>
      </c>
      <c r="F1596" s="145">
        <v>7.7438610441355998E-2</v>
      </c>
      <c r="G1596" s="146">
        <v>0.84038362003349076</v>
      </c>
      <c r="H1596" s="146">
        <v>0.20611291752882052</v>
      </c>
      <c r="I1596" s="147">
        <v>5.3570000000000002</v>
      </c>
      <c r="J1596" s="148">
        <v>1.9252861448614547</v>
      </c>
      <c r="K1596" s="149">
        <v>12.756</v>
      </c>
      <c r="L1596" s="149">
        <v>45.201999999999998</v>
      </c>
      <c r="M1596" s="158"/>
      <c r="N1596" s="135"/>
    </row>
    <row r="1597" spans="1:14" x14ac:dyDescent="0.25">
      <c r="A1597" s="142">
        <v>45434</v>
      </c>
      <c r="B1597" s="81" t="s">
        <v>36</v>
      </c>
      <c r="C1597" s="129" t="str">
        <f t="shared" si="48"/>
        <v>22.05.2024_BOYuhSp</v>
      </c>
      <c r="D1597" s="143">
        <f t="shared" si="47"/>
        <v>0</v>
      </c>
      <c r="E1597" s="144">
        <v>2.7997296454195641E-2</v>
      </c>
      <c r="F1597" s="145">
        <v>3.2143987261055711E-2</v>
      </c>
      <c r="G1597" s="146">
        <v>0.28100877860658652</v>
      </c>
      <c r="H1597" s="146">
        <v>0.17912194023337979</v>
      </c>
      <c r="I1597" s="147">
        <v>7.18</v>
      </c>
      <c r="J1597" s="148">
        <v>1.8944807812042808</v>
      </c>
      <c r="K1597" s="149">
        <v>28.626000000000001</v>
      </c>
      <c r="L1597" s="149">
        <v>89.016999999999996</v>
      </c>
      <c r="M1597" s="158"/>
      <c r="N1597" s="135"/>
    </row>
    <row r="1598" spans="1:14" x14ac:dyDescent="0.25">
      <c r="A1598" s="142">
        <v>45434</v>
      </c>
      <c r="B1598" s="81" t="s">
        <v>38</v>
      </c>
      <c r="C1598" s="129" t="str">
        <f t="shared" si="48"/>
        <v>22.05.2024_BRAob</v>
      </c>
      <c r="D1598" s="143">
        <f t="shared" si="47"/>
        <v>0</v>
      </c>
      <c r="E1598" s="144">
        <v>0</v>
      </c>
      <c r="F1598" s="145">
        <v>2.1717063181079889E-2</v>
      </c>
      <c r="G1598" s="146">
        <v>0.24224894707464351</v>
      </c>
      <c r="H1598" s="146">
        <v>0.11532508480779242</v>
      </c>
      <c r="I1598" s="147">
        <v>6.7249999999999996</v>
      </c>
      <c r="J1598" s="148">
        <v>1.7421903569837223</v>
      </c>
      <c r="K1598" s="149">
        <v>32.545000000000002</v>
      </c>
      <c r="L1598" s="149">
        <v>91.73</v>
      </c>
      <c r="M1598" s="158"/>
      <c r="N1598" s="135"/>
    </row>
    <row r="1599" spans="1:14" x14ac:dyDescent="0.25">
      <c r="A1599" s="142">
        <v>45434</v>
      </c>
      <c r="B1599" s="81" t="s">
        <v>41</v>
      </c>
      <c r="C1599" s="129" t="str">
        <f t="shared" si="48"/>
        <v>22.05.2024_BRAohBo</v>
      </c>
      <c r="D1599" s="143">
        <f t="shared" si="47"/>
        <v>0</v>
      </c>
      <c r="E1599" s="144">
        <v>0</v>
      </c>
      <c r="F1599" s="145">
        <v>3.234322844201367E-2</v>
      </c>
      <c r="G1599" s="146">
        <v>0.40962094687167</v>
      </c>
      <c r="H1599" s="146">
        <v>0.14476978731190968</v>
      </c>
      <c r="I1599" s="147">
        <v>5.95</v>
      </c>
      <c r="J1599" s="148">
        <v>1.706068230783494</v>
      </c>
      <c r="K1599" s="149">
        <v>14.55</v>
      </c>
      <c r="L1599" s="149">
        <v>41.192999999999998</v>
      </c>
      <c r="M1599" s="158"/>
      <c r="N1599" s="135"/>
    </row>
    <row r="1600" spans="1:14" x14ac:dyDescent="0.25">
      <c r="A1600" s="142">
        <v>45434</v>
      </c>
      <c r="B1600" s="81" t="s">
        <v>43</v>
      </c>
      <c r="C1600" s="129" t="str">
        <f t="shared" si="48"/>
        <v>22.05.2024_HAAob</v>
      </c>
      <c r="D1600" s="143">
        <f t="shared" si="47"/>
        <v>0</v>
      </c>
      <c r="E1600" s="144">
        <v>0</v>
      </c>
      <c r="F1600" s="145">
        <v>1.250776124933216E-2</v>
      </c>
      <c r="G1600" s="146">
        <v>4.0521642056122187E-2</v>
      </c>
      <c r="H1600" s="146">
        <v>4.1713328547499394E-2</v>
      </c>
      <c r="I1600" s="147">
        <v>0.96099999999999997</v>
      </c>
      <c r="J1600" s="148">
        <v>0.26122534271644449</v>
      </c>
      <c r="K1600" s="149">
        <v>18.701000000000001</v>
      </c>
      <c r="L1600" s="149">
        <v>92.263000000000005</v>
      </c>
      <c r="M1600" s="158"/>
      <c r="N1600" s="135"/>
    </row>
    <row r="1601" spans="1:14" x14ac:dyDescent="0.25">
      <c r="A1601" s="142">
        <v>45434</v>
      </c>
      <c r="B1601" s="81" t="s">
        <v>45</v>
      </c>
      <c r="C1601" s="129" t="str">
        <f t="shared" si="48"/>
        <v>22.05.2024_HAAun</v>
      </c>
      <c r="D1601" s="143">
        <f t="shared" si="47"/>
        <v>0</v>
      </c>
      <c r="E1601" s="144">
        <v>0</v>
      </c>
      <c r="F1601" s="145">
        <v>6.9335982111409261E-2</v>
      </c>
      <c r="G1601" s="146">
        <v>0.41842999949256621</v>
      </c>
      <c r="H1601" s="146">
        <v>8.5880382303675187E-2</v>
      </c>
      <c r="I1601" s="147">
        <v>1.119</v>
      </c>
      <c r="J1601" s="148">
        <v>0.60380152269833665</v>
      </c>
      <c r="K1601" s="149">
        <v>16.581</v>
      </c>
      <c r="L1601" s="149">
        <v>147.05099999999999</v>
      </c>
      <c r="M1601" s="158"/>
      <c r="N1601" s="135"/>
    </row>
    <row r="1602" spans="1:14" x14ac:dyDescent="0.25">
      <c r="A1602" s="142">
        <v>45434</v>
      </c>
      <c r="B1602" s="81" t="s">
        <v>47</v>
      </c>
      <c r="C1602" s="129" t="str">
        <f t="shared" si="48"/>
        <v>22.05.2024_KIRob</v>
      </c>
      <c r="D1602" s="143">
        <f t="shared" si="47"/>
        <v>0</v>
      </c>
      <c r="E1602" s="144">
        <v>0</v>
      </c>
      <c r="F1602" s="145">
        <v>7.4825102044072909E-3</v>
      </c>
      <c r="G1602" s="146">
        <v>0.38847922058151929</v>
      </c>
      <c r="H1602" s="146">
        <v>0.22083526878087914</v>
      </c>
      <c r="I1602" s="147">
        <v>4.585</v>
      </c>
      <c r="J1602" s="148">
        <v>1.4044974775696826</v>
      </c>
      <c r="K1602" s="149">
        <v>49.656999999999996</v>
      </c>
      <c r="L1602" s="149">
        <v>144.505</v>
      </c>
      <c r="M1602" s="158"/>
      <c r="N1602" s="135"/>
    </row>
    <row r="1603" spans="1:14" x14ac:dyDescent="0.25">
      <c r="A1603" s="142">
        <v>45434</v>
      </c>
      <c r="B1603" s="81" t="s">
        <v>49</v>
      </c>
      <c r="C1603" s="129" t="str">
        <f t="shared" si="48"/>
        <v>22.05.2024_KIRun</v>
      </c>
      <c r="D1603" s="143">
        <f t="shared" si="47"/>
        <v>0</v>
      </c>
      <c r="E1603" s="144">
        <v>5.5994592908391047E-3</v>
      </c>
      <c r="F1603" s="145">
        <v>6.5084541826357359E-3</v>
      </c>
      <c r="G1603" s="146">
        <v>8.9852336733140539E-2</v>
      </c>
      <c r="H1603" s="146">
        <v>8.4653519699337001E-2</v>
      </c>
      <c r="I1603" s="147">
        <v>2.1349999999999998</v>
      </c>
      <c r="J1603" s="148">
        <v>0.57777465502237946</v>
      </c>
      <c r="K1603" s="149">
        <v>24.702999999999999</v>
      </c>
      <c r="L1603" s="149">
        <v>71.260000000000005</v>
      </c>
      <c r="M1603" s="158"/>
      <c r="N1603" s="135"/>
    </row>
    <row r="1604" spans="1:14" x14ac:dyDescent="0.25">
      <c r="A1604" s="142">
        <v>45434</v>
      </c>
      <c r="B1604" s="81" t="s">
        <v>50</v>
      </c>
      <c r="C1604" s="129" t="str">
        <f t="shared" si="48"/>
        <v>22.05.2024_LIEohBo</v>
      </c>
      <c r="D1604" s="143">
        <f t="shared" si="47"/>
        <v>0</v>
      </c>
      <c r="E1604" s="144">
        <v>6.1594052199230503E-2</v>
      </c>
      <c r="F1604" s="145">
        <v>3.1612677411879175E-2</v>
      </c>
      <c r="G1604" s="146">
        <v>8.1924189374334017E-2</v>
      </c>
      <c r="H1604" s="146">
        <v>7.3611756260293079E-2</v>
      </c>
      <c r="I1604" s="147">
        <v>12.920999999999999</v>
      </c>
      <c r="J1604" s="148">
        <v>3.0044906830007228</v>
      </c>
      <c r="K1604" s="149">
        <v>15.975</v>
      </c>
      <c r="L1604" s="149">
        <v>66.575000000000003</v>
      </c>
      <c r="M1604" s="158"/>
      <c r="N1604" s="135"/>
    </row>
    <row r="1605" spans="1:14" x14ac:dyDescent="0.25">
      <c r="A1605" s="142">
        <v>45434</v>
      </c>
      <c r="B1605" s="81" t="s">
        <v>53</v>
      </c>
      <c r="C1605" s="129" t="str">
        <f t="shared" si="48"/>
        <v>22.05.2024_NATohBo</v>
      </c>
      <c r="D1605" s="143">
        <f t="shared" ref="D1605:D1668" si="49">COUNTBLANK(E1605:L1605)</f>
        <v>0</v>
      </c>
      <c r="E1605" s="144">
        <v>8.5858375792866828E-2</v>
      </c>
      <c r="F1605" s="145">
        <v>2.4506425636692517E-2</v>
      </c>
      <c r="G1605" s="146">
        <v>0.12685035774090425</v>
      </c>
      <c r="H1605" s="146">
        <v>0.1055101839730867</v>
      </c>
      <c r="I1605" s="147">
        <v>2.4009999999999998</v>
      </c>
      <c r="J1605" s="148">
        <v>0.67293447979284093</v>
      </c>
      <c r="K1605" s="149">
        <v>33.177999999999997</v>
      </c>
      <c r="L1605" s="149">
        <v>198.92099999999999</v>
      </c>
      <c r="M1605" s="158"/>
      <c r="N1605" s="135"/>
    </row>
    <row r="1606" spans="1:14" x14ac:dyDescent="0.25">
      <c r="A1606" s="142">
        <v>45434</v>
      </c>
      <c r="B1606" s="81" t="s">
        <v>55</v>
      </c>
      <c r="C1606" s="129" t="str">
        <f t="shared" si="48"/>
        <v>22.05.2024_QUAohBo</v>
      </c>
      <c r="D1606" s="143">
        <f t="shared" si="49"/>
        <v>0</v>
      </c>
      <c r="E1606" s="144">
        <v>4.106270146615363E-2</v>
      </c>
      <c r="F1606" s="145">
        <v>1.2640587390115627E-2</v>
      </c>
      <c r="G1606" s="146">
        <v>0.3417912416907698</v>
      </c>
      <c r="H1606" s="146">
        <v>0.1840293906507327</v>
      </c>
      <c r="I1606" s="147">
        <v>4.5410000000000004</v>
      </c>
      <c r="J1606" s="148">
        <v>1.3471008992440814</v>
      </c>
      <c r="K1606" s="149">
        <v>29.591999999999999</v>
      </c>
      <c r="L1606" s="149">
        <v>52.173999999999999</v>
      </c>
      <c r="M1606" s="158"/>
      <c r="N1606" s="135"/>
    </row>
    <row r="1607" spans="1:14" x14ac:dyDescent="0.25">
      <c r="A1607" s="142">
        <v>45434</v>
      </c>
      <c r="B1607" s="81" t="s">
        <v>57</v>
      </c>
      <c r="C1607" s="129" t="str">
        <f t="shared" si="48"/>
        <v>22.05.2024_SCHohVo</v>
      </c>
      <c r="D1607" s="143">
        <f t="shared" si="49"/>
        <v>0</v>
      </c>
      <c r="E1607" s="144">
        <v>0</v>
      </c>
      <c r="F1607" s="145">
        <v>1.6027657948561157E-2</v>
      </c>
      <c r="G1607" s="146">
        <v>0.1488729892931446</v>
      </c>
      <c r="H1607" s="146">
        <v>2.6990977295440772E-2</v>
      </c>
      <c r="I1607" s="147">
        <v>1.605</v>
      </c>
      <c r="J1607" s="148">
        <v>0.48633714049383076</v>
      </c>
      <c r="K1607" s="149">
        <v>11.6</v>
      </c>
      <c r="L1607" s="149">
        <v>35.965000000000003</v>
      </c>
      <c r="M1607" s="158"/>
      <c r="N1607" s="135"/>
    </row>
    <row r="1608" spans="1:14" x14ac:dyDescent="0.25">
      <c r="A1608" s="142">
        <v>45434</v>
      </c>
      <c r="B1608" s="81" t="s">
        <v>60</v>
      </c>
      <c r="C1608" s="129" t="str">
        <f t="shared" si="48"/>
        <v>22.05.2024_VORohBo</v>
      </c>
      <c r="D1608" s="143">
        <f t="shared" si="49"/>
        <v>0</v>
      </c>
      <c r="E1608" s="144">
        <v>0</v>
      </c>
      <c r="F1608" s="145">
        <v>8.8993199782823988E-3</v>
      </c>
      <c r="G1608" s="146">
        <v>0.21758359973613442</v>
      </c>
      <c r="H1608" s="146">
        <v>8.9560970116689842E-2</v>
      </c>
      <c r="I1608" s="147">
        <v>1.3640000000000001</v>
      </c>
      <c r="J1608" s="148">
        <v>0.5043050067111372</v>
      </c>
      <c r="K1608" s="149">
        <v>11.763</v>
      </c>
      <c r="L1608" s="149">
        <v>77.754000000000005</v>
      </c>
      <c r="M1608" s="158"/>
      <c r="N1608" s="135"/>
    </row>
    <row r="1609" spans="1:14" x14ac:dyDescent="0.25">
      <c r="A1609" s="142">
        <v>45434</v>
      </c>
      <c r="B1609" s="81" t="s">
        <v>62</v>
      </c>
      <c r="C1609" s="129" t="str">
        <f t="shared" si="48"/>
        <v>22.05.2024_VORuhSc</v>
      </c>
      <c r="D1609" s="143">
        <f t="shared" si="49"/>
        <v>0</v>
      </c>
      <c r="E1609" s="144">
        <v>0</v>
      </c>
      <c r="F1609" s="145">
        <v>1.1710804213164408E-2</v>
      </c>
      <c r="G1609" s="146">
        <v>0.17618105241792253</v>
      </c>
      <c r="H1609" s="146">
        <v>8.342665709499876E-2</v>
      </c>
      <c r="I1609" s="147">
        <v>1.391</v>
      </c>
      <c r="J1609" s="148">
        <v>0.47638724114456499</v>
      </c>
      <c r="K1609" s="149">
        <v>13.522</v>
      </c>
      <c r="L1609" s="149">
        <v>77.97</v>
      </c>
      <c r="M1609" s="158"/>
      <c r="N1609" s="135"/>
    </row>
    <row r="1610" spans="1:14" x14ac:dyDescent="0.25">
      <c r="A1610" s="142">
        <v>45434</v>
      </c>
      <c r="B1610" s="81" t="s">
        <v>64</v>
      </c>
      <c r="C1610" s="129" t="str">
        <f t="shared" si="48"/>
        <v>22.05.2024_WITob</v>
      </c>
      <c r="D1610" s="143">
        <f t="shared" si="49"/>
        <v>0</v>
      </c>
      <c r="E1610" s="144">
        <v>0</v>
      </c>
      <c r="F1610" s="145">
        <v>7.3718220687330003E-3</v>
      </c>
      <c r="G1610" s="146">
        <v>4.404526310448062E-2</v>
      </c>
      <c r="H1610" s="146">
        <v>6.7477443238602011E-2</v>
      </c>
      <c r="I1610" s="147">
        <v>0.67500000000000004</v>
      </c>
      <c r="J1610" s="148">
        <v>0.20720646394199052</v>
      </c>
      <c r="K1610" s="149">
        <v>42.613</v>
      </c>
      <c r="L1610" s="149">
        <v>222.863</v>
      </c>
      <c r="M1610" s="158"/>
      <c r="N1610" s="135"/>
    </row>
    <row r="1611" spans="1:14" x14ac:dyDescent="0.25">
      <c r="A1611" s="142">
        <v>45446</v>
      </c>
      <c r="B1611" s="81" t="s">
        <v>22</v>
      </c>
      <c r="C1611" s="129" t="str">
        <f t="shared" si="48"/>
        <v>03.06.2024_BOYkl</v>
      </c>
      <c r="D1611" s="143">
        <f t="shared" si="49"/>
        <v>0</v>
      </c>
      <c r="E1611" s="144">
        <v>0.101619444217632</v>
      </c>
      <c r="F1611" s="145">
        <v>2.1808349538841344E-2</v>
      </c>
      <c r="G1611" s="146">
        <v>0.14760525479789965</v>
      </c>
      <c r="H1611" s="146">
        <v>0.33943773056862991</v>
      </c>
      <c r="I1611" s="147">
        <v>13.62</v>
      </c>
      <c r="J1611" s="148">
        <v>3.2943052213696404</v>
      </c>
      <c r="K1611" s="149">
        <v>12.63</v>
      </c>
      <c r="L1611" s="149">
        <v>34.277999999999999</v>
      </c>
      <c r="M1611" s="158"/>
      <c r="N1611" s="135"/>
    </row>
    <row r="1612" spans="1:14" x14ac:dyDescent="0.25">
      <c r="A1612" s="142">
        <v>45446</v>
      </c>
      <c r="B1612" s="81" t="s">
        <v>25</v>
      </c>
      <c r="C1612" s="129" t="str">
        <f t="shared" si="48"/>
        <v>03.06.2024_BOYohB224</v>
      </c>
      <c r="D1612" s="143">
        <f t="shared" si="49"/>
        <v>0</v>
      </c>
      <c r="E1612" s="144">
        <v>7.6214583163223618E-2</v>
      </c>
      <c r="F1612" s="145">
        <v>1.5587129489388705E-2</v>
      </c>
      <c r="G1612" s="146">
        <v>0.13219591501130568</v>
      </c>
      <c r="H1612" s="146">
        <v>0.31572700674214466</v>
      </c>
      <c r="I1612" s="147">
        <v>5.5960000000000001</v>
      </c>
      <c r="J1612" s="148">
        <v>1.4627404132497746</v>
      </c>
      <c r="K1612" s="149">
        <v>27.201000000000001</v>
      </c>
      <c r="L1612" s="149">
        <v>146.071</v>
      </c>
      <c r="M1612" s="158"/>
      <c r="N1612" s="135"/>
    </row>
    <row r="1613" spans="1:14" x14ac:dyDescent="0.25">
      <c r="A1613" s="142">
        <v>45446</v>
      </c>
      <c r="B1613" s="81" t="s">
        <v>28</v>
      </c>
      <c r="C1613" s="129" t="str">
        <f t="shared" si="48"/>
        <v>03.06.2024_BOYohBr</v>
      </c>
      <c r="D1613" s="143">
        <f t="shared" si="49"/>
        <v>0</v>
      </c>
      <c r="E1613" s="144">
        <v>3.7130181541057683E-2</v>
      </c>
      <c r="F1613" s="145">
        <v>2.0680324416247731E-2</v>
      </c>
      <c r="G1613" s="146">
        <v>6.9747537981425092E-2</v>
      </c>
      <c r="H1613" s="146">
        <v>0.21963617860323112</v>
      </c>
      <c r="I1613" s="147">
        <v>10.085000000000001</v>
      </c>
      <c r="J1613" s="148">
        <v>2.3989254503429507</v>
      </c>
      <c r="K1613" s="149">
        <v>14.672000000000001</v>
      </c>
      <c r="L1613" s="149">
        <v>65.703000000000003</v>
      </c>
      <c r="M1613" s="158"/>
      <c r="N1613" s="135"/>
    </row>
    <row r="1614" spans="1:14" x14ac:dyDescent="0.25">
      <c r="A1614" s="142">
        <v>45446</v>
      </c>
      <c r="B1614" s="81" t="s">
        <v>30</v>
      </c>
      <c r="C1614" s="129" t="str">
        <f t="shared" si="48"/>
        <v>03.06.2024_BOYohKi</v>
      </c>
      <c r="D1614" s="143">
        <f t="shared" si="49"/>
        <v>0</v>
      </c>
      <c r="E1614" s="144">
        <v>0</v>
      </c>
      <c r="F1614" s="145">
        <v>1.6578421242293404E-2</v>
      </c>
      <c r="G1614" s="146">
        <v>0.17517986283706763</v>
      </c>
      <c r="H1614" s="146">
        <v>0.38186744688970858</v>
      </c>
      <c r="I1614" s="147">
        <v>6.3019999999999996</v>
      </c>
      <c r="J1614" s="148">
        <v>1.6757176958999263</v>
      </c>
      <c r="K1614" s="149">
        <v>26.399000000000001</v>
      </c>
      <c r="L1614" s="149">
        <v>113.64</v>
      </c>
      <c r="M1614" s="158"/>
      <c r="N1614" s="135"/>
    </row>
    <row r="1615" spans="1:14" x14ac:dyDescent="0.25">
      <c r="A1615" s="142">
        <v>45446</v>
      </c>
      <c r="B1615" s="81" t="s">
        <v>32</v>
      </c>
      <c r="C1615" s="129" t="str">
        <f t="shared" si="48"/>
        <v>03.06.2024_BOYohSp</v>
      </c>
      <c r="D1615" s="143">
        <f t="shared" si="49"/>
        <v>0</v>
      </c>
      <c r="E1615" s="144">
        <v>3.9084401622165969E-2</v>
      </c>
      <c r="F1615" s="145">
        <v>1.9278839632683901E-2</v>
      </c>
      <c r="G1615" s="146">
        <v>0.12570777194326616</v>
      </c>
      <c r="H1615" s="146">
        <v>0.30574354407836152</v>
      </c>
      <c r="I1615" s="147">
        <v>10.035</v>
      </c>
      <c r="J1615" s="148">
        <v>2.4572998998308835</v>
      </c>
      <c r="K1615" s="149">
        <v>26.545999999999999</v>
      </c>
      <c r="L1615" s="149">
        <v>84.608999999999995</v>
      </c>
      <c r="M1615" s="158"/>
      <c r="N1615" s="135"/>
    </row>
    <row r="1616" spans="1:14" x14ac:dyDescent="0.25">
      <c r="A1616" s="142">
        <v>45446</v>
      </c>
      <c r="B1616" s="81" t="s">
        <v>34</v>
      </c>
      <c r="C1616" s="129" t="str">
        <f t="shared" si="48"/>
        <v>03.06.2024_BOYuhHa</v>
      </c>
      <c r="D1616" s="143">
        <f t="shared" si="49"/>
        <v>0</v>
      </c>
      <c r="E1616" s="144">
        <v>3.5175961459949362E-2</v>
      </c>
      <c r="F1616" s="145">
        <v>1.4442017370230351E-2</v>
      </c>
      <c r="G1616" s="146">
        <v>0.16058154093397864</v>
      </c>
      <c r="H1616" s="146">
        <v>0.3594046558961963</v>
      </c>
      <c r="I1616" s="147">
        <v>3.5259999999999998</v>
      </c>
      <c r="J1616" s="148">
        <v>1.030528328207422</v>
      </c>
      <c r="K1616" s="149">
        <v>19.123000000000001</v>
      </c>
      <c r="L1616" s="149">
        <v>151.09399999999999</v>
      </c>
      <c r="M1616" s="158"/>
      <c r="N1616" s="135"/>
    </row>
    <row r="1617" spans="1:14" x14ac:dyDescent="0.25">
      <c r="A1617" s="142">
        <v>45446</v>
      </c>
      <c r="B1617" s="81" t="s">
        <v>36</v>
      </c>
      <c r="C1617" s="129" t="str">
        <f t="shared" si="48"/>
        <v>03.06.2024_BOYuhSp</v>
      </c>
      <c r="D1617" s="143">
        <f t="shared" si="49"/>
        <v>0</v>
      </c>
      <c r="E1617" s="144">
        <v>1.5633760648866412E-2</v>
      </c>
      <c r="F1617" s="145">
        <v>1.8219181256351639E-2</v>
      </c>
      <c r="G1617" s="146">
        <v>0.12570777194326616</v>
      </c>
      <c r="H1617" s="146">
        <v>0.30574354407836152</v>
      </c>
      <c r="I1617" s="147">
        <v>8.6859999999999999</v>
      </c>
      <c r="J1617" s="148">
        <v>2.1526012698308836</v>
      </c>
      <c r="K1617" s="149">
        <v>27.835999999999999</v>
      </c>
      <c r="L1617" s="149">
        <v>97.045000000000002</v>
      </c>
      <c r="M1617" s="158"/>
      <c r="N1617" s="135"/>
    </row>
    <row r="1618" spans="1:14" x14ac:dyDescent="0.25">
      <c r="A1618" s="142">
        <v>45446</v>
      </c>
      <c r="B1618" s="81" t="s">
        <v>38</v>
      </c>
      <c r="C1618" s="129" t="str">
        <f t="shared" si="48"/>
        <v>03.06.2024_BRAob</v>
      </c>
      <c r="D1618" s="143">
        <f t="shared" si="49"/>
        <v>0</v>
      </c>
      <c r="E1618" s="144">
        <v>0</v>
      </c>
      <c r="F1618" s="145">
        <v>1.2373981176009161E-2</v>
      </c>
      <c r="G1618" s="146">
        <v>8.1912806233999255E-2</v>
      </c>
      <c r="H1618" s="146">
        <v>0.2383551710978247</v>
      </c>
      <c r="I1618" s="147">
        <v>4.1609999999999996</v>
      </c>
      <c r="J1618" s="148">
        <v>1.0760167767533706</v>
      </c>
      <c r="K1618" s="149">
        <v>41.73</v>
      </c>
      <c r="L1618" s="149">
        <v>111.819</v>
      </c>
      <c r="M1618" s="158"/>
      <c r="N1618" s="135"/>
    </row>
    <row r="1619" spans="1:14" x14ac:dyDescent="0.25">
      <c r="A1619" s="142">
        <v>45446</v>
      </c>
      <c r="B1619" s="81" t="s">
        <v>41</v>
      </c>
      <c r="C1619" s="129" t="str">
        <f t="shared" si="48"/>
        <v>03.06.2024_BRAohBo</v>
      </c>
      <c r="D1619" s="143">
        <f t="shared" si="49"/>
        <v>0</v>
      </c>
      <c r="E1619" s="144">
        <v>5.8626602433249405E-3</v>
      </c>
      <c r="F1619" s="145">
        <v>2.609827041573708E-2</v>
      </c>
      <c r="G1619" s="146">
        <v>0.1970773456917011</v>
      </c>
      <c r="H1619" s="146">
        <v>0.41556163337997704</v>
      </c>
      <c r="I1619" s="147">
        <v>8.0030000000000001</v>
      </c>
      <c r="J1619" s="148">
        <v>2.0871839374386831</v>
      </c>
      <c r="K1619" s="149">
        <v>29.512</v>
      </c>
      <c r="L1619" s="149">
        <v>88.536000000000001</v>
      </c>
      <c r="M1619" s="158"/>
      <c r="N1619" s="135"/>
    </row>
    <row r="1620" spans="1:14" x14ac:dyDescent="0.25">
      <c r="A1620" s="142">
        <v>45446</v>
      </c>
      <c r="B1620" s="81" t="s">
        <v>43</v>
      </c>
      <c r="C1620" s="129" t="str">
        <f t="shared" si="48"/>
        <v>03.06.2024_HAAob</v>
      </c>
      <c r="D1620" s="143">
        <f t="shared" si="49"/>
        <v>0</v>
      </c>
      <c r="E1620" s="144">
        <v>1.1725320486649841E-2</v>
      </c>
      <c r="F1620" s="145">
        <v>1.4510382241073984E-2</v>
      </c>
      <c r="G1620" s="146">
        <v>8.1101788350492106E-4</v>
      </c>
      <c r="H1620" s="146">
        <v>0.11356188780053422</v>
      </c>
      <c r="I1620" s="147">
        <v>0.85599999999999998</v>
      </c>
      <c r="J1620" s="148">
        <v>0.22854838401723537</v>
      </c>
      <c r="K1620" s="149">
        <v>24.306999999999999</v>
      </c>
      <c r="L1620" s="149">
        <v>111.968</v>
      </c>
      <c r="M1620" s="158"/>
      <c r="N1620" s="135"/>
    </row>
    <row r="1621" spans="1:14" x14ac:dyDescent="0.25">
      <c r="A1621" s="142">
        <v>45446</v>
      </c>
      <c r="B1621" s="81" t="s">
        <v>45</v>
      </c>
      <c r="C1621" s="129" t="str">
        <f t="shared" si="48"/>
        <v>03.06.2024_HAAun</v>
      </c>
      <c r="D1621" s="143">
        <f t="shared" si="49"/>
        <v>0</v>
      </c>
      <c r="E1621" s="144">
        <v>0</v>
      </c>
      <c r="F1621" s="145">
        <v>3.8267349844056095E-2</v>
      </c>
      <c r="G1621" s="146">
        <v>0.21816381066282958</v>
      </c>
      <c r="H1621" s="146">
        <v>0.44800788703727246</v>
      </c>
      <c r="I1621" s="147">
        <v>1.734</v>
      </c>
      <c r="J1621" s="148">
        <v>0.69745659855007813</v>
      </c>
      <c r="K1621" s="149">
        <v>29.914000000000001</v>
      </c>
      <c r="L1621" s="149">
        <v>213.37299999999999</v>
      </c>
      <c r="M1621" s="158"/>
      <c r="N1621" s="135"/>
    </row>
    <row r="1622" spans="1:14" x14ac:dyDescent="0.25">
      <c r="A1622" s="142">
        <v>45446</v>
      </c>
      <c r="B1622" s="81" t="s">
        <v>47</v>
      </c>
      <c r="C1622" s="129" t="str">
        <f t="shared" si="48"/>
        <v>03.06.2024_KIRob</v>
      </c>
      <c r="D1622" s="143">
        <f t="shared" si="49"/>
        <v>0</v>
      </c>
      <c r="E1622" s="144">
        <v>0.15047494624533891</v>
      </c>
      <c r="F1622" s="145">
        <v>6.3066169399918093E-3</v>
      </c>
      <c r="G1622" s="146">
        <v>0.39739876291742199</v>
      </c>
      <c r="H1622" s="146">
        <v>0.72380104312428417</v>
      </c>
      <c r="I1622" s="147">
        <v>5.0830000000000002</v>
      </c>
      <c r="J1622" s="148">
        <v>1.6770346029969374</v>
      </c>
      <c r="K1622" s="149">
        <v>52.688000000000002</v>
      </c>
      <c r="L1622" s="149">
        <v>144.44900000000001</v>
      </c>
      <c r="M1622" s="158"/>
      <c r="N1622" s="135"/>
    </row>
    <row r="1623" spans="1:14" x14ac:dyDescent="0.25">
      <c r="A1623" s="142">
        <v>45446</v>
      </c>
      <c r="B1623" s="81" t="s">
        <v>49</v>
      </c>
      <c r="C1623" s="129" t="str">
        <f t="shared" si="48"/>
        <v>03.06.2024_KIRun</v>
      </c>
      <c r="D1623" s="143">
        <f t="shared" si="49"/>
        <v>0</v>
      </c>
      <c r="E1623" s="144">
        <v>0</v>
      </c>
      <c r="F1623" s="145">
        <v>7.9473666874439915E-3</v>
      </c>
      <c r="G1623" s="146">
        <v>0.11273148580718706</v>
      </c>
      <c r="H1623" s="146">
        <v>0.28577661875079502</v>
      </c>
      <c r="I1623" s="147">
        <v>4.7699999999999996</v>
      </c>
      <c r="J1623" s="148">
        <v>1.251939462993102</v>
      </c>
      <c r="K1623" s="149">
        <v>52.701999999999998</v>
      </c>
      <c r="L1623" s="149">
        <v>148.68</v>
      </c>
      <c r="M1623" s="158"/>
      <c r="N1623" s="135"/>
    </row>
    <row r="1624" spans="1:14" x14ac:dyDescent="0.25">
      <c r="A1624" s="142">
        <v>45446</v>
      </c>
      <c r="B1624" s="81" t="s">
        <v>50</v>
      </c>
      <c r="C1624" s="129" t="str">
        <f t="shared" si="48"/>
        <v>03.06.2024_LIEohBo</v>
      </c>
      <c r="D1624" s="143">
        <f t="shared" si="49"/>
        <v>0</v>
      </c>
      <c r="E1624" s="144">
        <v>6.2535042595465537E-2</v>
      </c>
      <c r="F1624" s="145">
        <v>1.5980228211118705E-2</v>
      </c>
      <c r="G1624" s="146">
        <v>2.2708500738138397E-2</v>
      </c>
      <c r="H1624" s="146">
        <v>0.14725607429080265</v>
      </c>
      <c r="I1624" s="147">
        <v>12.79</v>
      </c>
      <c r="J1624" s="148">
        <v>2.9513423355559913</v>
      </c>
      <c r="K1624" s="149">
        <v>18.207000000000001</v>
      </c>
      <c r="L1624" s="149">
        <v>90.635000000000005</v>
      </c>
      <c r="M1624" s="158"/>
      <c r="N1624" s="135"/>
    </row>
    <row r="1625" spans="1:14" x14ac:dyDescent="0.25">
      <c r="A1625" s="142">
        <v>45446</v>
      </c>
      <c r="B1625" s="81" t="s">
        <v>53</v>
      </c>
      <c r="C1625" s="129" t="str">
        <f t="shared" si="48"/>
        <v>03.06.2024_NATohBo</v>
      </c>
      <c r="D1625" s="143">
        <f t="shared" si="49"/>
        <v>0</v>
      </c>
      <c r="E1625" s="144">
        <v>6.2535042595465537E-2</v>
      </c>
      <c r="F1625" s="145">
        <v>1.845845913274044E-2</v>
      </c>
      <c r="G1625" s="146">
        <v>0.12246370040924635</v>
      </c>
      <c r="H1625" s="146">
        <v>0.30075181274646984</v>
      </c>
      <c r="I1625" s="147">
        <v>4.3499999999999996</v>
      </c>
      <c r="J1625" s="148">
        <v>1.1691902281214384</v>
      </c>
      <c r="K1625" s="149">
        <v>79.587000000000003</v>
      </c>
      <c r="L1625" s="149">
        <v>465.803</v>
      </c>
      <c r="M1625" s="158"/>
      <c r="N1625" s="135"/>
    </row>
    <row r="1626" spans="1:14" x14ac:dyDescent="0.25">
      <c r="A1626" s="142">
        <v>45446</v>
      </c>
      <c r="B1626" s="81" t="s">
        <v>55</v>
      </c>
      <c r="C1626" s="129" t="str">
        <f t="shared" si="48"/>
        <v>03.06.2024_QUAohBo</v>
      </c>
      <c r="D1626" s="143">
        <f t="shared" si="49"/>
        <v>0</v>
      </c>
      <c r="E1626" s="144">
        <v>5.4718162271032385E-2</v>
      </c>
      <c r="F1626" s="145">
        <v>1.2613258592981029E-2</v>
      </c>
      <c r="G1626" s="146">
        <v>0.11516453945770189</v>
      </c>
      <c r="H1626" s="146">
        <v>0.28952041724971372</v>
      </c>
      <c r="I1626" s="147">
        <v>2.2829999999999999</v>
      </c>
      <c r="J1626" s="148">
        <v>0.69322981427518626</v>
      </c>
      <c r="K1626" s="149">
        <v>26.311</v>
      </c>
      <c r="L1626" s="149">
        <v>97.843999999999994</v>
      </c>
      <c r="M1626" s="158"/>
      <c r="N1626" s="135"/>
    </row>
    <row r="1627" spans="1:14" x14ac:dyDescent="0.25">
      <c r="A1627" s="142">
        <v>45446</v>
      </c>
      <c r="B1627" s="81" t="s">
        <v>57</v>
      </c>
      <c r="C1627" s="129" t="str">
        <f t="shared" si="48"/>
        <v>03.06.2024_SCHohVo</v>
      </c>
      <c r="D1627" s="143">
        <f t="shared" si="49"/>
        <v>0</v>
      </c>
      <c r="E1627" s="144">
        <v>0</v>
      </c>
      <c r="F1627" s="145">
        <v>1.8202089975630623E-2</v>
      </c>
      <c r="G1627" s="146">
        <v>0.13219591501130568</v>
      </c>
      <c r="H1627" s="146">
        <v>0.31572700674214466</v>
      </c>
      <c r="I1627" s="147">
        <v>1.0549999999999999</v>
      </c>
      <c r="J1627" s="148">
        <v>0.43706474324977462</v>
      </c>
      <c r="K1627" s="149">
        <v>10.081</v>
      </c>
      <c r="L1627" s="149">
        <v>39.369</v>
      </c>
      <c r="M1627" s="158"/>
      <c r="N1627" s="135"/>
    </row>
    <row r="1628" spans="1:14" x14ac:dyDescent="0.25">
      <c r="A1628" s="142">
        <v>45446</v>
      </c>
      <c r="B1628" s="81" t="s">
        <v>60</v>
      </c>
      <c r="C1628" s="129" t="str">
        <f t="shared" si="48"/>
        <v>03.06.2024_VORohBo</v>
      </c>
      <c r="D1628" s="143">
        <f t="shared" si="49"/>
        <v>0</v>
      </c>
      <c r="E1628" s="144">
        <v>6.0580822514357202E-2</v>
      </c>
      <c r="F1628" s="145">
        <v>9.6052092703831932E-3</v>
      </c>
      <c r="G1628" s="146">
        <v>0.21816381066282958</v>
      </c>
      <c r="H1628" s="146">
        <v>0.44800788703727246</v>
      </c>
      <c r="I1628" s="147">
        <v>2.1139999999999999</v>
      </c>
      <c r="J1628" s="148">
        <v>0.78328719855007811</v>
      </c>
      <c r="K1628" s="149">
        <v>25.518000000000001</v>
      </c>
      <c r="L1628" s="149">
        <v>161.73400000000001</v>
      </c>
      <c r="M1628" s="158"/>
      <c r="N1628" s="135"/>
    </row>
    <row r="1629" spans="1:14" x14ac:dyDescent="0.25">
      <c r="A1629" s="142">
        <v>45446</v>
      </c>
      <c r="B1629" s="81" t="s">
        <v>62</v>
      </c>
      <c r="C1629" s="129" t="str">
        <f t="shared" si="48"/>
        <v>03.06.2024_VORuhSc</v>
      </c>
      <c r="D1629" s="143">
        <f t="shared" si="49"/>
        <v>0</v>
      </c>
      <c r="E1629" s="144">
        <v>0</v>
      </c>
      <c r="F1629" s="145">
        <v>1.163905971545367E-2</v>
      </c>
      <c r="G1629" s="146">
        <v>0.14030609384635515</v>
      </c>
      <c r="H1629" s="146">
        <v>0.3282063350718738</v>
      </c>
      <c r="I1629" s="147">
        <v>1.837</v>
      </c>
      <c r="J1629" s="148">
        <v>0.62379188752338832</v>
      </c>
      <c r="K1629" s="149">
        <v>22.573</v>
      </c>
      <c r="L1629" s="149">
        <v>133.69499999999999</v>
      </c>
      <c r="M1629" s="158"/>
      <c r="N1629" s="135"/>
    </row>
    <row r="1630" spans="1:14" x14ac:dyDescent="0.25">
      <c r="A1630" s="142">
        <v>45446</v>
      </c>
      <c r="B1630" s="81" t="s">
        <v>64</v>
      </c>
      <c r="C1630" s="129" t="str">
        <f t="shared" si="48"/>
        <v>03.06.2024_WITob</v>
      </c>
      <c r="D1630" s="143">
        <f t="shared" si="49"/>
        <v>0</v>
      </c>
      <c r="E1630" s="144">
        <v>4.2992841784382584E-2</v>
      </c>
      <c r="F1630" s="145">
        <v>8.5968308027076744E-3</v>
      </c>
      <c r="G1630" s="146">
        <v>8.2723824117504174E-2</v>
      </c>
      <c r="H1630" s="146">
        <v>0.23960310393079756</v>
      </c>
      <c r="I1630" s="147">
        <v>1.03</v>
      </c>
      <c r="J1630" s="148">
        <v>0.36982748718073216</v>
      </c>
      <c r="K1630" s="149">
        <v>70.238</v>
      </c>
      <c r="L1630" s="149">
        <v>304.34199999999998</v>
      </c>
      <c r="M1630" s="158"/>
      <c r="N1630" s="135"/>
    </row>
    <row r="1631" spans="1:14" x14ac:dyDescent="0.25">
      <c r="A1631" s="142">
        <v>45460</v>
      </c>
      <c r="B1631" s="81" t="s">
        <v>22</v>
      </c>
      <c r="C1631" s="129" t="str">
        <f t="shared" si="48"/>
        <v>17.06.2024_BOYkl</v>
      </c>
      <c r="D1631" s="143">
        <f t="shared" si="49"/>
        <v>0</v>
      </c>
      <c r="E1631" s="144">
        <v>2.7172953197931071E-2</v>
      </c>
      <c r="F1631" s="145">
        <v>3.1977702172627236E-2</v>
      </c>
      <c r="G1631" s="146">
        <v>0.15830256661180553</v>
      </c>
      <c r="H1631" s="146">
        <v>0.22274891697397151</v>
      </c>
      <c r="I1631" s="147">
        <v>16.192</v>
      </c>
      <c r="J1631" s="148">
        <v>3.8480233077211268</v>
      </c>
      <c r="K1631" s="149">
        <v>16.731000000000002</v>
      </c>
      <c r="L1631" s="149">
        <v>38.438000000000002</v>
      </c>
      <c r="M1631" s="158">
        <v>6.3209999999999997</v>
      </c>
      <c r="N1631" s="135"/>
    </row>
    <row r="1632" spans="1:14" x14ac:dyDescent="0.25">
      <c r="A1632" s="142">
        <v>45460</v>
      </c>
      <c r="B1632" s="81" t="s">
        <v>25</v>
      </c>
      <c r="C1632" s="129" t="str">
        <f t="shared" si="48"/>
        <v>17.06.2024_BOYohB224</v>
      </c>
      <c r="D1632" s="143">
        <f t="shared" si="49"/>
        <v>0</v>
      </c>
      <c r="E1632" s="144">
        <v>0</v>
      </c>
      <c r="F1632" s="145">
        <v>1.5826407079705992E-2</v>
      </c>
      <c r="G1632" s="146">
        <v>0.28089052978070367</v>
      </c>
      <c r="H1632" s="146">
        <v>0.38348251047223503</v>
      </c>
      <c r="I1632" s="147">
        <v>0.77100000000000002</v>
      </c>
      <c r="J1632" s="148">
        <v>0.50900570778269061</v>
      </c>
      <c r="K1632" s="149">
        <v>26.047000000000001</v>
      </c>
      <c r="L1632" s="149">
        <v>153.291</v>
      </c>
      <c r="M1632" s="158">
        <v>6.4059999999999997</v>
      </c>
      <c r="N1632" s="135"/>
    </row>
    <row r="1633" spans="1:14" x14ac:dyDescent="0.25">
      <c r="A1633" s="142">
        <v>45460</v>
      </c>
      <c r="B1633" s="81" t="s">
        <v>28</v>
      </c>
      <c r="C1633" s="129" t="str">
        <f t="shared" si="48"/>
        <v>17.06.2024_BOYohBr</v>
      </c>
      <c r="D1633" s="143">
        <f t="shared" si="49"/>
        <v>0</v>
      </c>
      <c r="E1633" s="144">
        <v>0</v>
      </c>
      <c r="F1633" s="145">
        <v>1.6920246129836676E-2</v>
      </c>
      <c r="G1633" s="146">
        <v>0.10328277211867801</v>
      </c>
      <c r="H1633" s="146">
        <v>0.15060864272671937</v>
      </c>
      <c r="I1633" s="147">
        <v>11.609</v>
      </c>
      <c r="J1633" s="148">
        <v>2.7481756710005816</v>
      </c>
      <c r="K1633" s="149">
        <v>22.012</v>
      </c>
      <c r="L1633" s="149">
        <v>80.72</v>
      </c>
      <c r="M1633" s="158">
        <v>5.2670000000000003</v>
      </c>
      <c r="N1633" s="135"/>
    </row>
    <row r="1634" spans="1:14" x14ac:dyDescent="0.25">
      <c r="A1634" s="142">
        <v>45460</v>
      </c>
      <c r="B1634" s="81" t="s">
        <v>30</v>
      </c>
      <c r="C1634" s="129" t="str">
        <f t="shared" si="48"/>
        <v>17.06.2024_BOYohKi</v>
      </c>
      <c r="D1634" s="143">
        <f t="shared" si="49"/>
        <v>0</v>
      </c>
      <c r="E1634" s="144">
        <v>2.5361422984735711E-2</v>
      </c>
      <c r="F1634" s="145">
        <v>1.2100522097279737E-2</v>
      </c>
      <c r="G1634" s="146">
        <v>0.12741426093145322</v>
      </c>
      <c r="H1634" s="146">
        <v>0.18224911388779486</v>
      </c>
      <c r="I1634" s="147">
        <v>5.8369999999999997</v>
      </c>
      <c r="J1634" s="148">
        <v>1.4728248321938033</v>
      </c>
      <c r="K1634" s="149">
        <v>30.437000000000001</v>
      </c>
      <c r="L1634" s="149">
        <v>134.304</v>
      </c>
      <c r="M1634" s="158">
        <v>6.7249999999999996</v>
      </c>
      <c r="N1634" s="135"/>
    </row>
    <row r="1635" spans="1:14" x14ac:dyDescent="0.25">
      <c r="A1635" s="142">
        <v>45460</v>
      </c>
      <c r="B1635" s="81" t="s">
        <v>32</v>
      </c>
      <c r="C1635" s="129" t="str">
        <f t="shared" si="48"/>
        <v>17.06.2024_BOYohSp</v>
      </c>
      <c r="D1635" s="143">
        <f t="shared" si="49"/>
        <v>0</v>
      </c>
      <c r="E1635" s="144">
        <v>0</v>
      </c>
      <c r="F1635" s="145">
        <v>1.7227888659059085E-2</v>
      </c>
      <c r="G1635" s="146">
        <v>0.19498242960722387</v>
      </c>
      <c r="H1635" s="146">
        <v>0.27084243313880624</v>
      </c>
      <c r="I1635" s="147">
        <v>9.15</v>
      </c>
      <c r="J1635" s="148">
        <v>2.3005703855348227</v>
      </c>
      <c r="K1635" s="149">
        <v>26.728000000000002</v>
      </c>
      <c r="L1635" s="149">
        <v>89.206999999999994</v>
      </c>
      <c r="M1635" s="158">
        <v>7.3150000000000004</v>
      </c>
      <c r="N1635" s="135"/>
    </row>
    <row r="1636" spans="1:14" x14ac:dyDescent="0.25">
      <c r="A1636" s="142">
        <v>45460</v>
      </c>
      <c r="B1636" s="81" t="s">
        <v>34</v>
      </c>
      <c r="C1636" s="129" t="str">
        <f t="shared" si="48"/>
        <v>17.06.2024_BOYuhHa</v>
      </c>
      <c r="D1636" s="143">
        <f t="shared" si="49"/>
        <v>0</v>
      </c>
      <c r="E1636" s="144">
        <v>3.6230604263908173E-2</v>
      </c>
      <c r="F1636" s="145">
        <v>1.032303857924825E-2</v>
      </c>
      <c r="G1636" s="146">
        <v>0.10617855077621104</v>
      </c>
      <c r="H1636" s="146">
        <v>0.15440549926604843</v>
      </c>
      <c r="I1636" s="147">
        <v>0.94899999999999995</v>
      </c>
      <c r="J1636" s="148">
        <v>0.34380596714376854</v>
      </c>
      <c r="K1636" s="149">
        <v>32.616</v>
      </c>
      <c r="L1636" s="149">
        <v>211.08500000000001</v>
      </c>
      <c r="M1636" s="158">
        <v>7.8140000000000001</v>
      </c>
      <c r="N1636" s="135"/>
    </row>
    <row r="1637" spans="1:14" x14ac:dyDescent="0.25">
      <c r="A1637" s="142">
        <v>45460</v>
      </c>
      <c r="B1637" s="81" t="s">
        <v>36</v>
      </c>
      <c r="C1637" s="129" t="str">
        <f t="shared" si="48"/>
        <v>17.06.2024_BOYuhSp</v>
      </c>
      <c r="D1637" s="143">
        <f t="shared" si="49"/>
        <v>0</v>
      </c>
      <c r="E1637" s="144">
        <v>0</v>
      </c>
      <c r="F1637" s="145">
        <v>1.6492964993422305E-2</v>
      </c>
      <c r="G1637" s="146">
        <v>0.219113918419999</v>
      </c>
      <c r="H1637" s="146">
        <v>0.30248290429988162</v>
      </c>
      <c r="I1637" s="147">
        <v>8.0579999999999998</v>
      </c>
      <c r="J1637" s="148">
        <v>2.0822911467280436</v>
      </c>
      <c r="K1637" s="149">
        <v>28.981000000000002</v>
      </c>
      <c r="L1637" s="149">
        <v>104.066</v>
      </c>
      <c r="M1637" s="158">
        <v>5.5940000000000003</v>
      </c>
      <c r="N1637" s="135"/>
    </row>
    <row r="1638" spans="1:14" x14ac:dyDescent="0.25">
      <c r="A1638" s="142">
        <v>45460</v>
      </c>
      <c r="B1638" s="81" t="s">
        <v>38</v>
      </c>
      <c r="C1638" s="129" t="str">
        <f t="shared" si="48"/>
        <v>17.06.2024_BRAob</v>
      </c>
      <c r="D1638" s="143">
        <f t="shared" si="49"/>
        <v>0</v>
      </c>
      <c r="E1638" s="144">
        <v>5.7968966822253054E-2</v>
      </c>
      <c r="F1638" s="145">
        <v>1.1639059960048454E-2</v>
      </c>
      <c r="G1638" s="146">
        <v>0.13031003958898627</v>
      </c>
      <c r="H1638" s="146">
        <v>0.18604597042712392</v>
      </c>
      <c r="I1638" s="147">
        <v>3.319</v>
      </c>
      <c r="J1638" s="148">
        <v>0.90748866833698971</v>
      </c>
      <c r="K1638" s="149">
        <v>45.694000000000003</v>
      </c>
      <c r="L1638" s="149">
        <v>123.592</v>
      </c>
      <c r="M1638" s="158">
        <v>7.5730000000000004</v>
      </c>
      <c r="N1638" s="135"/>
    </row>
    <row r="1639" spans="1:14" x14ac:dyDescent="0.25">
      <c r="A1639" s="142">
        <v>45460</v>
      </c>
      <c r="B1639" s="81" t="s">
        <v>41</v>
      </c>
      <c r="C1639" s="129" t="str">
        <f t="shared" si="48"/>
        <v>17.06.2024_BRAohBo</v>
      </c>
      <c r="D1639" s="143">
        <f t="shared" si="49"/>
        <v>0</v>
      </c>
      <c r="E1639" s="144">
        <v>3.9853664690298926E-2</v>
      </c>
      <c r="F1639" s="145">
        <v>2.4713873297110195E-2</v>
      </c>
      <c r="G1639" s="146">
        <v>0.53282327298607701</v>
      </c>
      <c r="H1639" s="146">
        <v>0.71380902939386315</v>
      </c>
      <c r="I1639" s="147">
        <v>7.2750000000000004</v>
      </c>
      <c r="J1639" s="148">
        <v>2.2742553522399205</v>
      </c>
      <c r="K1639" s="149">
        <v>30.879000000000001</v>
      </c>
      <c r="L1639" s="149">
        <v>96.742000000000004</v>
      </c>
      <c r="M1639" s="158">
        <v>5.7830000000000004</v>
      </c>
      <c r="N1639" s="135"/>
    </row>
    <row r="1640" spans="1:14" x14ac:dyDescent="0.25">
      <c r="A1640" s="142">
        <v>45460</v>
      </c>
      <c r="B1640" s="81" t="s">
        <v>43</v>
      </c>
      <c r="C1640" s="129" t="str">
        <f t="shared" si="48"/>
        <v>17.06.2024_HAAob</v>
      </c>
      <c r="D1640" s="143">
        <f t="shared" si="49"/>
        <v>0</v>
      </c>
      <c r="E1640" s="144">
        <v>1.811530213195435E-3</v>
      </c>
      <c r="F1640" s="145">
        <v>1.2596166697582704E-2</v>
      </c>
      <c r="G1640" s="146">
        <v>4.3436679862995445E-2</v>
      </c>
      <c r="H1640" s="146">
        <v>7.214027424725214E-2</v>
      </c>
      <c r="I1640" s="147">
        <v>1.018</v>
      </c>
      <c r="J1640" s="148">
        <v>0.28562691404139323</v>
      </c>
      <c r="K1640" s="149">
        <v>30.489000000000001</v>
      </c>
      <c r="L1640" s="149">
        <v>141.797</v>
      </c>
      <c r="M1640" s="158">
        <v>9.0640000000000001</v>
      </c>
      <c r="N1640" s="135"/>
    </row>
    <row r="1641" spans="1:14" x14ac:dyDescent="0.25">
      <c r="A1641" s="142">
        <v>45460</v>
      </c>
      <c r="B1641" s="81" t="s">
        <v>45</v>
      </c>
      <c r="C1641" s="129" t="str">
        <f t="shared" si="48"/>
        <v>17.06.2024_HAAun</v>
      </c>
      <c r="D1641" s="143">
        <f t="shared" si="49"/>
        <v>0</v>
      </c>
      <c r="E1641" s="144">
        <v>9.0576510659770623E-3</v>
      </c>
      <c r="F1641" s="145">
        <v>1.6116957865602237E-2</v>
      </c>
      <c r="G1641" s="146">
        <v>0.17181620034695963</v>
      </c>
      <c r="H1641" s="146">
        <v>0.24046758082417374</v>
      </c>
      <c r="I1641" s="147">
        <v>1.8819999999999999</v>
      </c>
      <c r="J1641" s="148">
        <v>0.63171125638933034</v>
      </c>
      <c r="K1641" s="149">
        <v>33.799999999999997</v>
      </c>
      <c r="L1641" s="149">
        <v>257.60199999999998</v>
      </c>
      <c r="M1641" s="158">
        <v>7.0469999999999997</v>
      </c>
      <c r="N1641" s="135"/>
    </row>
    <row r="1642" spans="1:14" x14ac:dyDescent="0.25">
      <c r="A1642" s="142">
        <v>45460</v>
      </c>
      <c r="B1642" s="81" t="s">
        <v>47</v>
      </c>
      <c r="C1642" s="129" t="str">
        <f t="shared" si="48"/>
        <v>17.06.2024_KIRob</v>
      </c>
      <c r="D1642" s="143">
        <f t="shared" si="49"/>
        <v>0</v>
      </c>
      <c r="E1642" s="144">
        <v>0.14854547748202349</v>
      </c>
      <c r="F1642" s="145">
        <v>7.0586272183090762E-3</v>
      </c>
      <c r="G1642" s="146">
        <v>0.44112361549753126</v>
      </c>
      <c r="H1642" s="146">
        <v>0.59357523898177633</v>
      </c>
      <c r="I1642" s="147">
        <v>6.548</v>
      </c>
      <c r="J1642" s="148">
        <v>2.0022388177056798</v>
      </c>
      <c r="K1642" s="149">
        <v>79.23</v>
      </c>
      <c r="L1642" s="149">
        <v>175.03700000000001</v>
      </c>
      <c r="M1642" s="158">
        <v>7.4569999999999999</v>
      </c>
      <c r="N1642" s="135"/>
    </row>
    <row r="1643" spans="1:14" x14ac:dyDescent="0.25">
      <c r="A1643" s="142">
        <v>45460</v>
      </c>
      <c r="B1643" s="81" t="s">
        <v>49</v>
      </c>
      <c r="C1643" s="129" t="str">
        <f t="shared" si="48"/>
        <v>17.06.2024_KIRun</v>
      </c>
      <c r="D1643" s="143">
        <f t="shared" si="49"/>
        <v>0</v>
      </c>
      <c r="E1643" s="144">
        <v>0.11956099407089697</v>
      </c>
      <c r="F1643" s="145">
        <v>7.1269916861037641E-3</v>
      </c>
      <c r="G1643" s="146">
        <v>0.10714381032872201</v>
      </c>
      <c r="H1643" s="146">
        <v>0.15567111811249143</v>
      </c>
      <c r="I1643" s="147">
        <v>4.601</v>
      </c>
      <c r="J1643" s="148">
        <v>1.1698180391914972</v>
      </c>
      <c r="K1643" s="149">
        <v>57.252000000000002</v>
      </c>
      <c r="L1643" s="149">
        <v>152.31700000000001</v>
      </c>
      <c r="M1643" s="158">
        <v>7.2569999999999997</v>
      </c>
      <c r="N1643" s="135"/>
    </row>
    <row r="1644" spans="1:14" x14ac:dyDescent="0.25">
      <c r="A1644" s="142">
        <v>45460</v>
      </c>
      <c r="B1644" s="81" t="s">
        <v>50</v>
      </c>
      <c r="C1644" s="129" t="str">
        <f t="shared" si="48"/>
        <v>17.06.2024_LIEohBo</v>
      </c>
      <c r="D1644" s="143">
        <f t="shared" si="49"/>
        <v>0</v>
      </c>
      <c r="E1644" s="144">
        <v>6.1592027248643842E-2</v>
      </c>
      <c r="F1644" s="145">
        <v>1.1126324105079678E-2</v>
      </c>
      <c r="G1644" s="146">
        <v>4.9228237178061504E-2</v>
      </c>
      <c r="H1644" s="146">
        <v>7.9733987325910263E-2</v>
      </c>
      <c r="I1644" s="147">
        <v>13</v>
      </c>
      <c r="J1644" s="148">
        <v>2.9988102463277664</v>
      </c>
      <c r="K1644" s="149">
        <v>24.896999999999998</v>
      </c>
      <c r="L1644" s="149">
        <v>100.054</v>
      </c>
      <c r="M1644" s="158">
        <v>7.5830000000000002</v>
      </c>
      <c r="N1644" s="135"/>
    </row>
    <row r="1645" spans="1:14" x14ac:dyDescent="0.25">
      <c r="A1645" s="142">
        <v>45460</v>
      </c>
      <c r="B1645" s="81" t="s">
        <v>53</v>
      </c>
      <c r="C1645" s="129" t="str">
        <f t="shared" si="48"/>
        <v>17.06.2024_NATohBo</v>
      </c>
      <c r="D1645" s="143">
        <f t="shared" si="49"/>
        <v>0</v>
      </c>
      <c r="E1645" s="144">
        <v>0</v>
      </c>
      <c r="F1645" s="145">
        <v>1.3536182965281533E-2</v>
      </c>
      <c r="G1645" s="146">
        <v>0.17181620034695963</v>
      </c>
      <c r="H1645" s="146">
        <v>0.24046758082417374</v>
      </c>
      <c r="I1645" s="147">
        <v>0.58699999999999997</v>
      </c>
      <c r="J1645" s="148">
        <v>0.33920960638933034</v>
      </c>
      <c r="K1645" s="149">
        <v>68.492000000000004</v>
      </c>
      <c r="L1645" s="149">
        <v>467.56</v>
      </c>
      <c r="M1645" s="158">
        <v>6.0519999999999996</v>
      </c>
      <c r="N1645" s="135"/>
    </row>
    <row r="1646" spans="1:14" x14ac:dyDescent="0.25">
      <c r="A1646" s="142">
        <v>45460</v>
      </c>
      <c r="B1646" s="81" t="s">
        <v>55</v>
      </c>
      <c r="C1646" s="129" t="str">
        <f t="shared" si="48"/>
        <v>17.06.2024_QUAohBo</v>
      </c>
      <c r="D1646" s="143">
        <f t="shared" si="49"/>
        <v>0</v>
      </c>
      <c r="E1646" s="144">
        <v>0</v>
      </c>
      <c r="F1646" s="145">
        <v>9.8103034873082383E-3</v>
      </c>
      <c r="G1646" s="146">
        <v>0.13803211600907428</v>
      </c>
      <c r="H1646" s="146">
        <v>0.19617092119866802</v>
      </c>
      <c r="I1646" s="147">
        <v>1.901</v>
      </c>
      <c r="J1646" s="148">
        <v>0.59628366471882055</v>
      </c>
      <c r="K1646" s="149">
        <v>35.950000000000003</v>
      </c>
      <c r="L1646" s="149">
        <v>111.19</v>
      </c>
      <c r="M1646" s="158">
        <v>6.09</v>
      </c>
      <c r="N1646" s="135"/>
    </row>
    <row r="1647" spans="1:14" x14ac:dyDescent="0.25">
      <c r="A1647" s="142">
        <v>45460</v>
      </c>
      <c r="B1647" s="81" t="s">
        <v>57</v>
      </c>
      <c r="C1647" s="129" t="str">
        <f t="shared" si="48"/>
        <v>17.06.2024_SCHohVo</v>
      </c>
      <c r="D1647" s="143">
        <f t="shared" si="49"/>
        <v>0</v>
      </c>
      <c r="E1647" s="144">
        <v>4.3476725116689763E-2</v>
      </c>
      <c r="F1647" s="145">
        <v>1.5159848806008253E-2</v>
      </c>
      <c r="G1647" s="146">
        <v>6.6602909123259682E-2</v>
      </c>
      <c r="H1647" s="146">
        <v>0.10251512656188465</v>
      </c>
      <c r="I1647" s="147">
        <v>1.962</v>
      </c>
      <c r="J1647" s="148">
        <v>0.52608416318688567</v>
      </c>
      <c r="K1647" s="149">
        <v>21.491</v>
      </c>
      <c r="L1647" s="149">
        <v>75.355000000000004</v>
      </c>
      <c r="M1647" s="158">
        <v>16.78</v>
      </c>
      <c r="N1647" s="135"/>
    </row>
    <row r="1648" spans="1:14" x14ac:dyDescent="0.25">
      <c r="A1648" s="142">
        <v>45460</v>
      </c>
      <c r="B1648" s="81" t="s">
        <v>60</v>
      </c>
      <c r="C1648" s="129" t="str">
        <f t="shared" si="48"/>
        <v>17.06.2024_VORohBo</v>
      </c>
      <c r="D1648" s="143">
        <f t="shared" si="49"/>
        <v>0</v>
      </c>
      <c r="E1648" s="144">
        <v>3.9853664690298926E-2</v>
      </c>
      <c r="F1648" s="145">
        <v>6.7168042550897053E-3</v>
      </c>
      <c r="G1648" s="146">
        <v>0.30502201859347883</v>
      </c>
      <c r="H1648" s="146">
        <v>0.41512298163331041</v>
      </c>
      <c r="I1648" s="147">
        <v>1.921</v>
      </c>
      <c r="J1648" s="148">
        <v>0.79712700897591171</v>
      </c>
      <c r="K1648" s="149">
        <v>32.478000000000002</v>
      </c>
      <c r="L1648" s="149">
        <v>211.24299999999999</v>
      </c>
      <c r="M1648" s="158">
        <v>6.5880000000000001</v>
      </c>
      <c r="N1648" s="135"/>
    </row>
    <row r="1649" spans="1:14" x14ac:dyDescent="0.25">
      <c r="A1649" s="142">
        <v>45460</v>
      </c>
      <c r="B1649" s="81" t="s">
        <v>62</v>
      </c>
      <c r="C1649" s="129" t="str">
        <f t="shared" si="48"/>
        <v>17.06.2024_VORuhSc</v>
      </c>
      <c r="D1649" s="143">
        <f t="shared" si="49"/>
        <v>0</v>
      </c>
      <c r="E1649" s="144">
        <v>2.7172953197931071E-2</v>
      </c>
      <c r="F1649" s="145">
        <v>7.4517233904037011E-3</v>
      </c>
      <c r="G1649" s="146">
        <v>0.15251100929673944</v>
      </c>
      <c r="H1649" s="146">
        <v>0.21515520389531334</v>
      </c>
      <c r="I1649" s="147">
        <v>0.754</v>
      </c>
      <c r="J1649" s="148">
        <v>0.35423325543475337</v>
      </c>
      <c r="K1649" s="149">
        <v>17.492000000000001</v>
      </c>
      <c r="L1649" s="149">
        <v>161.102</v>
      </c>
      <c r="M1649" s="158">
        <v>6.3049999999999997</v>
      </c>
      <c r="N1649" s="135"/>
    </row>
    <row r="1650" spans="1:14" x14ac:dyDescent="0.25">
      <c r="A1650" s="142">
        <v>45460</v>
      </c>
      <c r="B1650" s="81" t="s">
        <v>64</v>
      </c>
      <c r="C1650" s="129" t="str">
        <f t="shared" si="48"/>
        <v>17.06.2024_WITob</v>
      </c>
      <c r="D1650" s="143">
        <f t="shared" si="49"/>
        <v>0</v>
      </c>
      <c r="E1650" s="144">
        <v>0</v>
      </c>
      <c r="F1650" s="145">
        <v>1.3843824904283724E-2</v>
      </c>
      <c r="G1650" s="146">
        <v>0.3513544771140073</v>
      </c>
      <c r="H1650" s="146">
        <v>0.4758726862625754</v>
      </c>
      <c r="I1650" s="147">
        <v>1.556</v>
      </c>
      <c r="J1650" s="148">
        <v>0.76915639726689666</v>
      </c>
      <c r="K1650" s="149">
        <v>46.673999999999999</v>
      </c>
      <c r="L1650" s="149">
        <v>193.99600000000001</v>
      </c>
      <c r="M1650" s="158">
        <v>6.7990000000000004</v>
      </c>
      <c r="N1650" s="135"/>
    </row>
    <row r="1651" spans="1:14" x14ac:dyDescent="0.25">
      <c r="A1651" s="142">
        <v>45474</v>
      </c>
      <c r="B1651" s="81" t="s">
        <v>22</v>
      </c>
      <c r="C1651" s="129" t="str">
        <f t="shared" si="48"/>
        <v>01.07.2024_BOYkl</v>
      </c>
      <c r="D1651" s="143">
        <f t="shared" si="49"/>
        <v>0</v>
      </c>
      <c r="E1651" s="144">
        <v>0.13268164653579367</v>
      </c>
      <c r="F1651" s="159">
        <v>8.6035465814232867E-2</v>
      </c>
      <c r="G1651" s="146">
        <v>0.16763841113054176</v>
      </c>
      <c r="H1651" s="146">
        <v>0.12217659137577007</v>
      </c>
      <c r="I1651" s="147">
        <v>18.594000000000001</v>
      </c>
      <c r="J1651" s="148">
        <v>4.3671929931031084</v>
      </c>
      <c r="K1651" s="149">
        <v>15.685</v>
      </c>
      <c r="L1651" s="149">
        <v>36.515999999999998</v>
      </c>
      <c r="M1651" s="136"/>
      <c r="N1651" s="135"/>
    </row>
    <row r="1652" spans="1:14" x14ac:dyDescent="0.25">
      <c r="A1652" s="142">
        <v>45474</v>
      </c>
      <c r="B1652" s="81" t="s">
        <v>25</v>
      </c>
      <c r="C1652" s="129" t="str">
        <f t="shared" ref="C1652:C1715" si="50">CONCATENATE(TEXT(A1652,"TT.MM.JJJJ"),"_",B1652)</f>
        <v>01.07.2024_BOYohB224</v>
      </c>
      <c r="D1652" s="143">
        <f t="shared" si="49"/>
        <v>0</v>
      </c>
      <c r="E1652" s="144">
        <v>2.8843836203433396E-2</v>
      </c>
      <c r="F1652" s="159">
        <v>2.5446634528099751E-2</v>
      </c>
      <c r="G1652" s="146">
        <v>0.19682917923784993</v>
      </c>
      <c r="H1652" s="146">
        <v>0.12217659137577007</v>
      </c>
      <c r="I1652" s="147">
        <v>4.6310000000000002</v>
      </c>
      <c r="J1652" s="148">
        <v>1.2360365226307513</v>
      </c>
      <c r="K1652" s="149">
        <v>24.744</v>
      </c>
      <c r="L1652" s="149">
        <v>135.77099999999999</v>
      </c>
      <c r="M1652" s="136"/>
      <c r="N1652" s="135"/>
    </row>
    <row r="1653" spans="1:14" x14ac:dyDescent="0.25">
      <c r="A1653" s="142">
        <v>45474</v>
      </c>
      <c r="B1653" s="81" t="s">
        <v>28</v>
      </c>
      <c r="C1653" s="129" t="str">
        <f t="shared" si="50"/>
        <v>01.07.2024_BOYohBr</v>
      </c>
      <c r="D1653" s="143">
        <f t="shared" si="49"/>
        <v>0</v>
      </c>
      <c r="E1653" s="144">
        <v>0</v>
      </c>
      <c r="F1653" s="159">
        <v>4.8823557795405891E-2</v>
      </c>
      <c r="G1653" s="146">
        <v>0.13010742356400251</v>
      </c>
      <c r="H1653" s="146">
        <v>0.1054072553045859</v>
      </c>
      <c r="I1653" s="147">
        <v>7.3440000000000003</v>
      </c>
      <c r="J1653" s="148">
        <v>1.7919076322006935</v>
      </c>
      <c r="K1653" s="149">
        <v>14.404999999999999</v>
      </c>
      <c r="L1653" s="149">
        <v>56.948999999999998</v>
      </c>
      <c r="M1653" s="136"/>
      <c r="N1653" s="135"/>
    </row>
    <row r="1654" spans="1:14" x14ac:dyDescent="0.25">
      <c r="A1654" s="142">
        <v>45474</v>
      </c>
      <c r="B1654" s="81" t="s">
        <v>30</v>
      </c>
      <c r="C1654" s="129" t="str">
        <f t="shared" si="50"/>
        <v>01.07.2024_BOYohKi</v>
      </c>
      <c r="D1654" s="143">
        <f t="shared" si="49"/>
        <v>0</v>
      </c>
      <c r="E1654" s="144">
        <v>0</v>
      </c>
      <c r="F1654" s="159">
        <v>3.7446409517336347E-2</v>
      </c>
      <c r="G1654" s="146">
        <v>0.13260948940177181</v>
      </c>
      <c r="H1654" s="146">
        <v>0.11978097193702944</v>
      </c>
      <c r="I1654" s="147">
        <v>5.6719999999999997</v>
      </c>
      <c r="J1654" s="148">
        <v>1.4205718993318104</v>
      </c>
      <c r="K1654" s="149">
        <v>19.773</v>
      </c>
      <c r="L1654" s="149">
        <v>89.71</v>
      </c>
      <c r="M1654" s="136"/>
      <c r="N1654" s="135"/>
    </row>
    <row r="1655" spans="1:14" x14ac:dyDescent="0.25">
      <c r="A1655" s="142">
        <v>45474</v>
      </c>
      <c r="B1655" s="81" t="s">
        <v>32</v>
      </c>
      <c r="C1655" s="129" t="str">
        <f t="shared" si="50"/>
        <v>01.07.2024_BOYohSp</v>
      </c>
      <c r="D1655" s="143">
        <f t="shared" si="49"/>
        <v>0</v>
      </c>
      <c r="E1655" s="144">
        <v>2.3075068962746709E-2</v>
      </c>
      <c r="F1655" s="159">
        <v>4.9799707213149434E-2</v>
      </c>
      <c r="G1655" s="146">
        <v>0.21517766204815805</v>
      </c>
      <c r="H1655" s="146">
        <v>0.16529774127310062</v>
      </c>
      <c r="I1655" s="147">
        <v>5.9580000000000002</v>
      </c>
      <c r="J1655" s="148">
        <v>1.5631416601343697</v>
      </c>
      <c r="K1655" s="149">
        <v>18.971</v>
      </c>
      <c r="L1655" s="149">
        <v>64.921999999999997</v>
      </c>
      <c r="M1655" s="136"/>
      <c r="N1655" s="135"/>
    </row>
    <row r="1656" spans="1:14" x14ac:dyDescent="0.25">
      <c r="A1656" s="142">
        <v>45474</v>
      </c>
      <c r="B1656" s="81" t="s">
        <v>34</v>
      </c>
      <c r="C1656" s="129" t="str">
        <f t="shared" si="50"/>
        <v>01.07.2024_BOYuhHa</v>
      </c>
      <c r="D1656" s="143">
        <f t="shared" si="49"/>
        <v>0</v>
      </c>
      <c r="E1656" s="144">
        <v>3.0766758616995613E-2</v>
      </c>
      <c r="F1656" s="159">
        <v>4.6450507186548778E-2</v>
      </c>
      <c r="G1656" s="146">
        <v>0.18932298172454215</v>
      </c>
      <c r="H1656" s="146">
        <v>8.0253251197809697E-2</v>
      </c>
      <c r="I1656" s="147">
        <v>11.504</v>
      </c>
      <c r="J1656" s="148">
        <v>2.7698489844064627</v>
      </c>
      <c r="K1656" s="149">
        <v>27.634</v>
      </c>
      <c r="L1656" s="149">
        <v>139.14699999999999</v>
      </c>
      <c r="M1656" s="136"/>
      <c r="N1656" s="135"/>
    </row>
    <row r="1657" spans="1:14" x14ac:dyDescent="0.25">
      <c r="A1657" s="142">
        <v>45474</v>
      </c>
      <c r="B1657" s="81" t="s">
        <v>36</v>
      </c>
      <c r="C1657" s="129" t="str">
        <f t="shared" si="50"/>
        <v>01.07.2024_BOYuhSp</v>
      </c>
      <c r="D1657" s="143">
        <f t="shared" si="49"/>
        <v>0</v>
      </c>
      <c r="E1657" s="144">
        <v>0</v>
      </c>
      <c r="F1657" s="159">
        <v>5.2694499918865968E-2</v>
      </c>
      <c r="G1657" s="146">
        <v>0.25187462766877411</v>
      </c>
      <c r="H1657" s="146">
        <v>0.17727583846680359</v>
      </c>
      <c r="I1657" s="147">
        <v>5.5350000000000001</v>
      </c>
      <c r="J1657" s="148">
        <v>1.4997402086597449</v>
      </c>
      <c r="K1657" s="149">
        <v>21.213000000000001</v>
      </c>
      <c r="L1657" s="149">
        <v>77.745999999999995</v>
      </c>
      <c r="M1657" s="136"/>
      <c r="N1657" s="135"/>
    </row>
    <row r="1658" spans="1:14" x14ac:dyDescent="0.25">
      <c r="A1658" s="142">
        <v>45474</v>
      </c>
      <c r="B1658" s="81" t="s">
        <v>38</v>
      </c>
      <c r="C1658" s="129" t="str">
        <f t="shared" si="50"/>
        <v>01.07.2024_BRAob</v>
      </c>
      <c r="D1658" s="143">
        <f t="shared" si="49"/>
        <v>0</v>
      </c>
      <c r="E1658" s="144">
        <v>0</v>
      </c>
      <c r="F1658" s="159">
        <v>1.7620742175172836E-2</v>
      </c>
      <c r="G1658" s="146">
        <v>0.11843111632107925</v>
      </c>
      <c r="H1658" s="146">
        <v>1.9164955509924697E-2</v>
      </c>
      <c r="I1658" s="147">
        <v>2.093</v>
      </c>
      <c r="J1658" s="148">
        <v>0.5705412582171514</v>
      </c>
      <c r="K1658" s="149">
        <v>35.804000000000002</v>
      </c>
      <c r="L1658" s="149">
        <v>109.527</v>
      </c>
      <c r="M1658" s="136"/>
      <c r="N1658" s="135"/>
    </row>
    <row r="1659" spans="1:14" x14ac:dyDescent="0.25">
      <c r="A1659" s="142">
        <v>45474</v>
      </c>
      <c r="B1659" s="81" t="s">
        <v>41</v>
      </c>
      <c r="C1659" s="129" t="str">
        <f t="shared" si="50"/>
        <v>01.07.2024_BRAohBo</v>
      </c>
      <c r="D1659" s="143">
        <f t="shared" si="49"/>
        <v>0</v>
      </c>
      <c r="E1659" s="144">
        <v>5.191890516618014E-2</v>
      </c>
      <c r="F1659" s="159">
        <v>0.1126111162004029</v>
      </c>
      <c r="G1659" s="146">
        <v>0.60216384495647324</v>
      </c>
      <c r="H1659" s="146">
        <v>0.24674880219028061</v>
      </c>
      <c r="I1659" s="147">
        <v>5.4260000000000002</v>
      </c>
      <c r="J1659" s="148">
        <v>1.7682674967970831</v>
      </c>
      <c r="K1659" s="149">
        <v>28.324000000000002</v>
      </c>
      <c r="L1659" s="149">
        <v>77.231999999999999</v>
      </c>
      <c r="M1659" s="136"/>
      <c r="N1659" s="135"/>
    </row>
    <row r="1660" spans="1:14" x14ac:dyDescent="0.25">
      <c r="A1660" s="142">
        <v>45474</v>
      </c>
      <c r="B1660" s="81" t="s">
        <v>43</v>
      </c>
      <c r="C1660" s="129" t="str">
        <f t="shared" si="50"/>
        <v>01.07.2024_HAAob</v>
      </c>
      <c r="D1660" s="143">
        <f t="shared" si="49"/>
        <v>0</v>
      </c>
      <c r="E1660" s="144">
        <v>0</v>
      </c>
      <c r="F1660" s="159">
        <v>1.8495894394617386E-2</v>
      </c>
      <c r="G1660" s="146">
        <v>5.421142648500106E-2</v>
      </c>
      <c r="H1660" s="146">
        <v>2.0362765229295008E-2</v>
      </c>
      <c r="I1660" s="147">
        <v>0.76600000000000001</v>
      </c>
      <c r="J1660" s="148">
        <v>0.22131049442539732</v>
      </c>
      <c r="K1660" s="149">
        <v>24.305</v>
      </c>
      <c r="L1660" s="149">
        <v>87.948999999999998</v>
      </c>
      <c r="M1660" s="136"/>
      <c r="N1660" s="135"/>
    </row>
    <row r="1661" spans="1:14" x14ac:dyDescent="0.25">
      <c r="A1661" s="142">
        <v>45474</v>
      </c>
      <c r="B1661" s="81" t="s">
        <v>45</v>
      </c>
      <c r="C1661" s="129" t="str">
        <f t="shared" si="50"/>
        <v>01.07.2024_HAAun</v>
      </c>
      <c r="D1661" s="143">
        <f t="shared" si="49"/>
        <v>0</v>
      </c>
      <c r="E1661" s="144">
        <v>0</v>
      </c>
      <c r="F1661" s="159">
        <v>2.3107277992223049E-2</v>
      </c>
      <c r="G1661" s="146">
        <v>0.10341872129446357</v>
      </c>
      <c r="H1661" s="146">
        <v>1.5571526351813809E-2</v>
      </c>
      <c r="I1661" s="147">
        <v>0.98599999999999999</v>
      </c>
      <c r="J1661" s="148">
        <v>0.30775217409574773</v>
      </c>
      <c r="K1661" s="149">
        <v>26.582999999999998</v>
      </c>
      <c r="L1661" s="149">
        <v>134.16999999999999</v>
      </c>
      <c r="M1661" s="136"/>
      <c r="N1661" s="135"/>
    </row>
    <row r="1662" spans="1:14" x14ac:dyDescent="0.25">
      <c r="A1662" s="142">
        <v>45474</v>
      </c>
      <c r="B1662" s="81" t="s">
        <v>47</v>
      </c>
      <c r="C1662" s="129" t="str">
        <f t="shared" si="50"/>
        <v>01.07.2024_KIRob</v>
      </c>
      <c r="D1662" s="143">
        <f t="shared" si="49"/>
        <v>0</v>
      </c>
      <c r="E1662" s="144">
        <v>0</v>
      </c>
      <c r="F1662" s="159">
        <v>5.8062406906974652E-3</v>
      </c>
      <c r="G1662" s="146">
        <v>0.44369967523108556</v>
      </c>
      <c r="H1662" s="146">
        <v>0.1700889801505818</v>
      </c>
      <c r="I1662" s="147">
        <v>4.5170000000000003</v>
      </c>
      <c r="J1662" s="148">
        <v>1.4165667408270304</v>
      </c>
      <c r="K1662" s="149">
        <v>55.009</v>
      </c>
      <c r="L1662" s="149">
        <v>150.643</v>
      </c>
      <c r="M1662" s="136"/>
      <c r="N1662" s="135"/>
    </row>
    <row r="1663" spans="1:14" x14ac:dyDescent="0.25">
      <c r="A1663" s="142">
        <v>45474</v>
      </c>
      <c r="B1663" s="81" t="s">
        <v>49</v>
      </c>
      <c r="C1663" s="129" t="str">
        <f t="shared" si="50"/>
        <v>01.07.2024_KIRun</v>
      </c>
      <c r="D1663" s="143">
        <f t="shared" si="49"/>
        <v>0</v>
      </c>
      <c r="E1663" s="144">
        <v>8.2685663783175836E-2</v>
      </c>
      <c r="F1663" s="159">
        <v>6.6477264978692914E-3</v>
      </c>
      <c r="G1663" s="146">
        <v>0.14261775275284894</v>
      </c>
      <c r="H1663" s="146">
        <v>8.3846680355920578E-2</v>
      </c>
      <c r="I1663" s="147">
        <v>3.9409999999999998</v>
      </c>
      <c r="J1663" s="148">
        <v>1.0264220506694195</v>
      </c>
      <c r="K1663" s="149">
        <v>48.103000000000002</v>
      </c>
      <c r="L1663" s="149">
        <v>136.30000000000001</v>
      </c>
      <c r="M1663" s="136"/>
      <c r="N1663" s="135"/>
    </row>
    <row r="1664" spans="1:14" x14ac:dyDescent="0.25">
      <c r="A1664" s="142">
        <v>45474</v>
      </c>
      <c r="B1664" s="81" t="s">
        <v>50</v>
      </c>
      <c r="C1664" s="129" t="str">
        <f t="shared" si="50"/>
        <v>01.07.2024_LIEohBo</v>
      </c>
      <c r="D1664" s="143">
        <f t="shared" si="49"/>
        <v>0</v>
      </c>
      <c r="E1664" s="144">
        <v>1.346045689493555E-2</v>
      </c>
      <c r="F1664" s="159">
        <v>1.8798831290001566E-2</v>
      </c>
      <c r="G1664" s="146">
        <v>3.502892172876991E-2</v>
      </c>
      <c r="H1664" s="146">
        <v>0</v>
      </c>
      <c r="I1664" s="147">
        <v>12.081</v>
      </c>
      <c r="J1664" s="148">
        <v>2.7559350774331723</v>
      </c>
      <c r="K1664" s="149">
        <v>20.411999999999999</v>
      </c>
      <c r="L1664" s="149">
        <v>85.103999999999999</v>
      </c>
      <c r="M1664" s="136"/>
      <c r="N1664" s="135"/>
    </row>
    <row r="1665" spans="1:14" x14ac:dyDescent="0.25">
      <c r="A1665" s="142">
        <v>45474</v>
      </c>
      <c r="B1665" s="81" t="s">
        <v>53</v>
      </c>
      <c r="C1665" s="129" t="str">
        <f t="shared" si="50"/>
        <v>01.07.2024_NATohBo</v>
      </c>
      <c r="D1665" s="143">
        <f t="shared" si="49"/>
        <v>0</v>
      </c>
      <c r="E1665" s="144">
        <v>0</v>
      </c>
      <c r="F1665" s="159">
        <v>1.990960144456682E-2</v>
      </c>
      <c r="G1665" s="146">
        <v>0.31442627361300612</v>
      </c>
      <c r="H1665" s="146">
        <v>5.2703627652292966E-2</v>
      </c>
      <c r="I1665" s="147">
        <v>2.2370000000000001</v>
      </c>
      <c r="J1665" s="148">
        <v>0.76546566663650373</v>
      </c>
      <c r="K1665" s="149">
        <v>54.423999999999999</v>
      </c>
      <c r="L1665" s="149">
        <v>319.15699999999998</v>
      </c>
      <c r="M1665" s="136"/>
      <c r="N1665" s="135"/>
    </row>
    <row r="1666" spans="1:14" x14ac:dyDescent="0.25">
      <c r="A1666" s="142">
        <v>45474</v>
      </c>
      <c r="B1666" s="81" t="s">
        <v>55</v>
      </c>
      <c r="C1666" s="129" t="str">
        <f t="shared" si="50"/>
        <v>01.07.2024_QUAohBo</v>
      </c>
      <c r="D1666" s="143">
        <f t="shared" si="49"/>
        <v>0</v>
      </c>
      <c r="E1666" s="144">
        <v>3.2689681030557825E-2</v>
      </c>
      <c r="F1666" s="159">
        <v>2.0044243293133725E-2</v>
      </c>
      <c r="G1666" s="146">
        <v>0.41867901685339276</v>
      </c>
      <c r="H1666" s="146">
        <v>0.18086926762491448</v>
      </c>
      <c r="I1666" s="147">
        <v>4.157</v>
      </c>
      <c r="J1666" s="148">
        <v>1.3191073083248961</v>
      </c>
      <c r="K1666" s="149">
        <v>31.245999999999999</v>
      </c>
      <c r="L1666" s="149">
        <v>83.117000000000004</v>
      </c>
      <c r="M1666" s="136"/>
      <c r="N1666" s="135"/>
    </row>
    <row r="1667" spans="1:14" x14ac:dyDescent="0.25">
      <c r="A1667" s="142">
        <v>45474</v>
      </c>
      <c r="B1667" s="81" t="s">
        <v>57</v>
      </c>
      <c r="C1667" s="129" t="str">
        <f t="shared" si="50"/>
        <v>01.07.2024_SCHohVo</v>
      </c>
      <c r="D1667" s="143">
        <f t="shared" si="49"/>
        <v>0</v>
      </c>
      <c r="E1667" s="144">
        <v>0</v>
      </c>
      <c r="F1667" s="159">
        <v>2.2046994882430386E-2</v>
      </c>
      <c r="G1667" s="146">
        <v>7.8398062916770775E-2</v>
      </c>
      <c r="H1667" s="146">
        <v>7.6659822039698802E-2</v>
      </c>
      <c r="I1667" s="147">
        <v>1.52</v>
      </c>
      <c r="J1667" s="148">
        <v>0.42753679469422962</v>
      </c>
      <c r="K1667" s="149">
        <v>16.837</v>
      </c>
      <c r="L1667" s="149">
        <v>62.039000000000001</v>
      </c>
      <c r="M1667" s="136"/>
      <c r="N1667" s="135"/>
    </row>
    <row r="1668" spans="1:14" x14ac:dyDescent="0.25">
      <c r="A1668" s="142">
        <v>45474</v>
      </c>
      <c r="B1668" s="81" t="s">
        <v>60</v>
      </c>
      <c r="C1668" s="129" t="str">
        <f t="shared" si="50"/>
        <v>01.07.2024_VORohBo</v>
      </c>
      <c r="D1668" s="143">
        <f t="shared" si="49"/>
        <v>0</v>
      </c>
      <c r="E1668" s="144">
        <v>1.1537534481373334E-2</v>
      </c>
      <c r="F1668" s="159">
        <v>9.4078031943692717E-3</v>
      </c>
      <c r="G1668" s="146">
        <v>0.41534292906970038</v>
      </c>
      <c r="H1668" s="146">
        <v>6.8275154004106775E-2</v>
      </c>
      <c r="I1668" s="147">
        <v>1.661</v>
      </c>
      <c r="J1668" s="148">
        <v>0.71846607162988185</v>
      </c>
      <c r="K1668" s="149">
        <v>27.446999999999999</v>
      </c>
      <c r="L1668" s="149">
        <v>190.40799999999999</v>
      </c>
      <c r="M1668" s="136"/>
      <c r="N1668" s="135"/>
    </row>
    <row r="1669" spans="1:14" x14ac:dyDescent="0.25">
      <c r="A1669" s="142">
        <v>45474</v>
      </c>
      <c r="B1669" s="81" t="s">
        <v>62</v>
      </c>
      <c r="C1669" s="129" t="str">
        <f t="shared" si="50"/>
        <v>01.07.2024_VORuhSc</v>
      </c>
      <c r="D1669" s="143">
        <f t="shared" ref="D1669:D1732" si="51">COUNTBLANK(E1669:L1669)</f>
        <v>0</v>
      </c>
      <c r="E1669" s="144">
        <v>0</v>
      </c>
      <c r="F1669" s="159">
        <v>6.8328534156799113E-3</v>
      </c>
      <c r="G1669" s="146">
        <v>0.23602821069623536</v>
      </c>
      <c r="H1669" s="146">
        <v>5.9890485968514685E-2</v>
      </c>
      <c r="I1669" s="147">
        <v>1.018</v>
      </c>
      <c r="J1669" s="148">
        <v>0.4314428637766341</v>
      </c>
      <c r="K1669" s="149">
        <v>23.059000000000001</v>
      </c>
      <c r="L1669" s="149">
        <v>155.66300000000001</v>
      </c>
      <c r="M1669" s="136"/>
      <c r="N1669" s="135"/>
    </row>
    <row r="1670" spans="1:14" x14ac:dyDescent="0.25">
      <c r="A1670" s="142">
        <v>45474</v>
      </c>
      <c r="B1670" s="81" t="s">
        <v>64</v>
      </c>
      <c r="C1670" s="129" t="str">
        <f t="shared" si="50"/>
        <v>01.07.2024_WITob</v>
      </c>
      <c r="D1670" s="143">
        <f t="shared" si="51"/>
        <v>0</v>
      </c>
      <c r="E1670" s="144">
        <v>0</v>
      </c>
      <c r="F1670" s="159">
        <v>9.5592709590309709E-3</v>
      </c>
      <c r="G1670" s="146">
        <v>0.33194073447739114</v>
      </c>
      <c r="H1670" s="146">
        <v>2.6351813826146469E-2</v>
      </c>
      <c r="I1670" s="147">
        <v>0.68799999999999994</v>
      </c>
      <c r="J1670" s="148">
        <v>0.42117003063371972</v>
      </c>
      <c r="K1670" s="149">
        <v>51.273000000000003</v>
      </c>
      <c r="L1670" s="149">
        <v>252.49799999999999</v>
      </c>
      <c r="M1670" s="136"/>
      <c r="N1670" s="135"/>
    </row>
    <row r="1671" spans="1:14" x14ac:dyDescent="0.25">
      <c r="A1671" s="142">
        <v>45488</v>
      </c>
      <c r="B1671" s="81" t="s">
        <v>22</v>
      </c>
      <c r="C1671" s="129" t="str">
        <f t="shared" si="50"/>
        <v>15.07.2024_BOYkl</v>
      </c>
      <c r="D1671" s="143">
        <f t="shared" si="51"/>
        <v>0</v>
      </c>
      <c r="E1671" s="144">
        <v>7.4554486010159057E-2</v>
      </c>
      <c r="F1671" s="159">
        <v>4.4264677193130479E-2</v>
      </c>
      <c r="G1671" s="146">
        <v>0.10373305657766455</v>
      </c>
      <c r="H1671" s="146">
        <v>0.15729070641692008</v>
      </c>
      <c r="I1671" s="147">
        <v>26.827000000000002</v>
      </c>
      <c r="J1671" s="148">
        <v>6.187849326670622</v>
      </c>
      <c r="K1671" s="149">
        <v>18.138000000000002</v>
      </c>
      <c r="L1671" s="149">
        <v>41.469000000000001</v>
      </c>
      <c r="M1671" s="136"/>
      <c r="N1671" s="135"/>
    </row>
    <row r="1672" spans="1:14" x14ac:dyDescent="0.25">
      <c r="A1672" s="142">
        <v>45488</v>
      </c>
      <c r="B1672" s="81" t="s">
        <v>25</v>
      </c>
      <c r="C1672" s="129" t="str">
        <f t="shared" si="50"/>
        <v>15.07.2024_BOYohB224</v>
      </c>
      <c r="D1672" s="143">
        <f t="shared" si="51"/>
        <v>0</v>
      </c>
      <c r="E1672" s="144">
        <v>0</v>
      </c>
      <c r="F1672" s="159">
        <v>1.6424894571001405E-2</v>
      </c>
      <c r="G1672" s="146">
        <v>0.16105921942321602</v>
      </c>
      <c r="H1672" s="146">
        <v>0.11118825798437447</v>
      </c>
      <c r="I1672" s="147">
        <v>4.0010000000000003</v>
      </c>
      <c r="J1672" s="148">
        <v>1.0626180084332759</v>
      </c>
      <c r="K1672" s="149">
        <v>27.021999999999998</v>
      </c>
      <c r="L1672" s="149">
        <v>146.196</v>
      </c>
      <c r="M1672" s="136"/>
      <c r="N1672" s="135"/>
    </row>
    <row r="1673" spans="1:14" x14ac:dyDescent="0.25">
      <c r="A1673" s="142">
        <v>45488</v>
      </c>
      <c r="B1673" s="81" t="s">
        <v>28</v>
      </c>
      <c r="C1673" s="129" t="str">
        <f t="shared" si="50"/>
        <v>15.07.2024_BOYohBr</v>
      </c>
      <c r="D1673" s="143">
        <f t="shared" si="51"/>
        <v>0</v>
      </c>
      <c r="E1673" s="144">
        <v>0</v>
      </c>
      <c r="F1673" s="159">
        <v>1.8553360702214156E-2</v>
      </c>
      <c r="G1673" s="146">
        <v>8.4624335629147451E-2</v>
      </c>
      <c r="H1673" s="146">
        <v>0.10034062305906966</v>
      </c>
      <c r="I1673" s="147">
        <v>10.170999999999999</v>
      </c>
      <c r="J1673" s="148">
        <v>2.3935824230630103</v>
      </c>
      <c r="K1673" s="149">
        <v>29.576000000000001</v>
      </c>
      <c r="L1673" s="149">
        <v>109.401</v>
      </c>
      <c r="M1673" s="136"/>
      <c r="N1673" s="135"/>
    </row>
    <row r="1674" spans="1:14" x14ac:dyDescent="0.25">
      <c r="A1674" s="142">
        <v>45488</v>
      </c>
      <c r="B1674" s="81" t="s">
        <v>30</v>
      </c>
      <c r="C1674" s="129" t="str">
        <f t="shared" si="50"/>
        <v>15.07.2024_BOYohKi</v>
      </c>
      <c r="D1674" s="143">
        <f t="shared" si="51"/>
        <v>0</v>
      </c>
      <c r="E1674" s="144">
        <v>0</v>
      </c>
      <c r="F1674" s="159">
        <v>1.9984897364332701E-2</v>
      </c>
      <c r="G1674" s="146">
        <v>0.11283244750552988</v>
      </c>
      <c r="H1674" s="146">
        <v>0.12203589290967935</v>
      </c>
      <c r="I1674" s="147">
        <v>5.9450000000000003</v>
      </c>
      <c r="J1674" s="148">
        <v>1.4675642447599209</v>
      </c>
      <c r="K1674" s="149">
        <v>29.206</v>
      </c>
      <c r="L1674" s="149">
        <v>120.458</v>
      </c>
      <c r="M1674" s="136"/>
      <c r="N1674" s="135"/>
    </row>
    <row r="1675" spans="1:14" x14ac:dyDescent="0.25">
      <c r="A1675" s="142">
        <v>45488</v>
      </c>
      <c r="B1675" s="81" t="s">
        <v>32</v>
      </c>
      <c r="C1675" s="129" t="str">
        <f t="shared" si="50"/>
        <v>15.07.2024_BOYohSp</v>
      </c>
      <c r="D1675" s="143">
        <f t="shared" si="51"/>
        <v>0</v>
      </c>
      <c r="E1675" s="144">
        <v>0</v>
      </c>
      <c r="F1675" s="159">
        <v>1.8157804931157418E-2</v>
      </c>
      <c r="G1675" s="146">
        <v>8.91740310930801E-2</v>
      </c>
      <c r="H1675" s="146">
        <v>0.16135856951390939</v>
      </c>
      <c r="I1675" s="147">
        <v>7.2380000000000004</v>
      </c>
      <c r="J1675" s="148">
        <v>1.7532154198919754</v>
      </c>
      <c r="K1675" s="149">
        <v>19.655000000000001</v>
      </c>
      <c r="L1675" s="149">
        <v>64.569000000000003</v>
      </c>
      <c r="M1675" s="136"/>
      <c r="N1675" s="135"/>
    </row>
    <row r="1676" spans="1:14" x14ac:dyDescent="0.25">
      <c r="A1676" s="142">
        <v>45488</v>
      </c>
      <c r="B1676" s="81" t="s">
        <v>34</v>
      </c>
      <c r="C1676" s="129" t="str">
        <f t="shared" si="50"/>
        <v>15.07.2024_BOYuhHa</v>
      </c>
      <c r="D1676" s="143">
        <f t="shared" si="51"/>
        <v>0</v>
      </c>
      <c r="E1676" s="144">
        <v>0</v>
      </c>
      <c r="F1676" s="159">
        <v>2.3921627877219329E-2</v>
      </c>
      <c r="G1676" s="146">
        <v>0.19836672222746388</v>
      </c>
      <c r="H1676" s="146">
        <v>8.271321630544938E-2</v>
      </c>
      <c r="I1676" s="147">
        <v>4.2350000000000003</v>
      </c>
      <c r="J1676" s="148">
        <v>1.1357712648465976</v>
      </c>
      <c r="K1676" s="149">
        <v>30.57</v>
      </c>
      <c r="L1676" s="149">
        <v>155.38200000000001</v>
      </c>
      <c r="M1676" s="136"/>
      <c r="N1676" s="135"/>
    </row>
    <row r="1677" spans="1:14" x14ac:dyDescent="0.25">
      <c r="A1677" s="142">
        <v>45488</v>
      </c>
      <c r="B1677" s="81" t="s">
        <v>36</v>
      </c>
      <c r="C1677" s="129" t="str">
        <f t="shared" si="50"/>
        <v>15.07.2024_BOYuhSp</v>
      </c>
      <c r="D1677" s="143">
        <f t="shared" si="51"/>
        <v>0</v>
      </c>
      <c r="E1677" s="144">
        <v>0</v>
      </c>
      <c r="F1677" s="159">
        <v>2.3601415106544385E-2</v>
      </c>
      <c r="G1677" s="146">
        <v>0.19290708767074469</v>
      </c>
      <c r="H1677" s="146">
        <v>0.14373116276028899</v>
      </c>
      <c r="I1677" s="147">
        <v>7.3010000000000002</v>
      </c>
      <c r="J1677" s="148">
        <v>1.8426262470078267</v>
      </c>
      <c r="K1677" s="149">
        <v>21.609000000000002</v>
      </c>
      <c r="L1677" s="149">
        <v>72.381</v>
      </c>
      <c r="M1677" s="136"/>
      <c r="N1677" s="135"/>
    </row>
    <row r="1678" spans="1:14" x14ac:dyDescent="0.25">
      <c r="A1678" s="142">
        <v>45488</v>
      </c>
      <c r="B1678" s="81" t="s">
        <v>38</v>
      </c>
      <c r="C1678" s="129" t="str">
        <f t="shared" si="50"/>
        <v>15.07.2024_BRAob</v>
      </c>
      <c r="D1678" s="143">
        <f t="shared" si="51"/>
        <v>0</v>
      </c>
      <c r="E1678" s="144">
        <v>0</v>
      </c>
      <c r="F1678" s="159">
        <v>1.3411141287770488E-2</v>
      </c>
      <c r="G1678" s="146">
        <v>0.10555293476323764</v>
      </c>
      <c r="H1678" s="146">
        <v>8.9492988133764884E-2</v>
      </c>
      <c r="I1678" s="147">
        <v>2.786</v>
      </c>
      <c r="J1678" s="148">
        <v>0.73848075855163109</v>
      </c>
      <c r="K1678" s="149">
        <v>39.51</v>
      </c>
      <c r="L1678" s="149">
        <v>113.88</v>
      </c>
      <c r="M1678" s="136"/>
      <c r="N1678" s="135"/>
    </row>
    <row r="1679" spans="1:14" x14ac:dyDescent="0.25">
      <c r="A1679" s="142">
        <v>45488</v>
      </c>
      <c r="B1679" s="81" t="s">
        <v>41</v>
      </c>
      <c r="C1679" s="129" t="str">
        <f t="shared" si="50"/>
        <v>15.07.2024_BRAohBo</v>
      </c>
      <c r="D1679" s="143">
        <f t="shared" si="51"/>
        <v>0</v>
      </c>
      <c r="E1679" s="144">
        <v>0</v>
      </c>
      <c r="F1679" s="159">
        <v>3.4677045473721232E-2</v>
      </c>
      <c r="G1679" s="146">
        <v>0.28026124057825158</v>
      </c>
      <c r="H1679" s="146">
        <v>0.34170050014710224</v>
      </c>
      <c r="I1679" s="147">
        <v>6.8550000000000004</v>
      </c>
      <c r="J1679" s="148">
        <v>1.8699896179663917</v>
      </c>
      <c r="K1679" s="149">
        <v>26.864999999999998</v>
      </c>
      <c r="L1679" s="149">
        <v>92.528999999999996</v>
      </c>
      <c r="M1679" s="136"/>
      <c r="N1679" s="135"/>
    </row>
    <row r="1680" spans="1:14" x14ac:dyDescent="0.25">
      <c r="A1680" s="142">
        <v>45488</v>
      </c>
      <c r="B1680" s="81" t="s">
        <v>43</v>
      </c>
      <c r="C1680" s="129" t="str">
        <f t="shared" si="50"/>
        <v>15.07.2024_HAAob</v>
      </c>
      <c r="D1680" s="143">
        <f t="shared" si="51"/>
        <v>0</v>
      </c>
      <c r="E1680" s="144">
        <v>0</v>
      </c>
      <c r="F1680" s="159">
        <v>1.2808391212445999E-2</v>
      </c>
      <c r="G1680" s="146">
        <v>4.3677076453753502E-2</v>
      </c>
      <c r="H1680" s="146">
        <v>5.2882220260861049E-2</v>
      </c>
      <c r="I1680" s="147">
        <v>1.1559999999999999</v>
      </c>
      <c r="J1680" s="148">
        <v>0.31112052505399418</v>
      </c>
      <c r="K1680" s="149">
        <v>25.545000000000002</v>
      </c>
      <c r="L1680" s="149">
        <v>108.95399999999999</v>
      </c>
      <c r="M1680" s="136"/>
      <c r="N1680" s="135"/>
    </row>
    <row r="1681" spans="1:14" x14ac:dyDescent="0.25">
      <c r="A1681" s="142">
        <v>45488</v>
      </c>
      <c r="B1681" s="81" t="s">
        <v>45</v>
      </c>
      <c r="C1681" s="129" t="str">
        <f t="shared" si="50"/>
        <v>15.07.2024_HAAun</v>
      </c>
      <c r="D1681" s="143">
        <f t="shared" si="51"/>
        <v>0</v>
      </c>
      <c r="E1681" s="144">
        <v>0</v>
      </c>
      <c r="F1681" s="159">
        <v>2.7368628452528597E-2</v>
      </c>
      <c r="G1681" s="146">
        <v>0.30482959608348792</v>
      </c>
      <c r="H1681" s="146">
        <v>6.3729855186165862E-2</v>
      </c>
      <c r="I1681" s="147">
        <v>1.8939999999999999</v>
      </c>
      <c r="J1681" s="148">
        <v>0.68389746747429569</v>
      </c>
      <c r="K1681" s="149">
        <v>28.036999999999999</v>
      </c>
      <c r="L1681" s="149">
        <v>204.19200000000001</v>
      </c>
      <c r="M1681" s="136"/>
      <c r="N1681" s="135"/>
    </row>
    <row r="1682" spans="1:14" x14ac:dyDescent="0.25">
      <c r="A1682" s="142">
        <v>45488</v>
      </c>
      <c r="B1682" s="81" t="s">
        <v>47</v>
      </c>
      <c r="C1682" s="129" t="str">
        <f t="shared" si="50"/>
        <v>15.07.2024_KIRob</v>
      </c>
      <c r="D1682" s="143">
        <f t="shared" si="51"/>
        <v>0</v>
      </c>
      <c r="E1682" s="144">
        <v>0</v>
      </c>
      <c r="F1682" s="159">
        <v>6.7055582724193583E-3</v>
      </c>
      <c r="G1682" s="146">
        <v>0.5796312021050205</v>
      </c>
      <c r="H1682" s="146">
        <v>0.34034454578143913</v>
      </c>
      <c r="I1682" s="147">
        <v>5.4880000000000004</v>
      </c>
      <c r="J1682" s="148">
        <v>1.7932702890856866</v>
      </c>
      <c r="K1682" s="149">
        <v>70.317999999999998</v>
      </c>
      <c r="L1682" s="149">
        <v>165.97800000000001</v>
      </c>
      <c r="M1682" s="136"/>
      <c r="N1682" s="135"/>
    </row>
    <row r="1683" spans="1:14" x14ac:dyDescent="0.25">
      <c r="A1683" s="142">
        <v>45488</v>
      </c>
      <c r="B1683" s="81" t="s">
        <v>49</v>
      </c>
      <c r="C1683" s="129" t="str">
        <f t="shared" si="50"/>
        <v>15.07.2024_KIRun</v>
      </c>
      <c r="D1683" s="143">
        <f t="shared" si="51"/>
        <v>0</v>
      </c>
      <c r="E1683" s="144">
        <v>8.0599444335307524E-3</v>
      </c>
      <c r="F1683" s="159">
        <v>6.6678864982662603E-3</v>
      </c>
      <c r="G1683" s="146">
        <v>0.13012129026847399</v>
      </c>
      <c r="H1683" s="146">
        <v>0.14237520839462595</v>
      </c>
      <c r="I1683" s="147">
        <v>3.024</v>
      </c>
      <c r="J1683" s="148">
        <v>0.82741489287631131</v>
      </c>
      <c r="K1683" s="149">
        <v>38.963000000000001</v>
      </c>
      <c r="L1683" s="149">
        <v>112.562</v>
      </c>
      <c r="M1683" s="136"/>
      <c r="N1683" s="135"/>
    </row>
    <row r="1684" spans="1:14" x14ac:dyDescent="0.25">
      <c r="A1684" s="142">
        <v>45488</v>
      </c>
      <c r="B1684" s="81" t="s">
        <v>50</v>
      </c>
      <c r="C1684" s="129" t="str">
        <f t="shared" si="50"/>
        <v>15.07.2024_LIEohBo</v>
      </c>
      <c r="D1684" s="143">
        <f t="shared" si="51"/>
        <v>0</v>
      </c>
      <c r="E1684" s="144">
        <v>0</v>
      </c>
      <c r="F1684" s="159">
        <v>1.5351244604955851E-2</v>
      </c>
      <c r="G1684" s="146">
        <v>4.0947259175393907E-2</v>
      </c>
      <c r="H1684" s="146">
        <v>2.0339315484946548E-2</v>
      </c>
      <c r="I1684" s="147">
        <v>11.194000000000001</v>
      </c>
      <c r="J1684" s="148">
        <v>2.5663762218764936</v>
      </c>
      <c r="K1684" s="149">
        <v>20.273</v>
      </c>
      <c r="L1684" s="149">
        <v>90.867999999999995</v>
      </c>
      <c r="M1684" s="136"/>
      <c r="N1684" s="135"/>
    </row>
    <row r="1685" spans="1:14" x14ac:dyDescent="0.25">
      <c r="A1685" s="142">
        <v>45488</v>
      </c>
      <c r="B1685" s="81" t="s">
        <v>53</v>
      </c>
      <c r="C1685" s="129" t="str">
        <f t="shared" si="50"/>
        <v>15.07.2024_NATohBo</v>
      </c>
      <c r="D1685" s="143">
        <f t="shared" si="51"/>
        <v>0</v>
      </c>
      <c r="E1685" s="144">
        <v>0</v>
      </c>
      <c r="F1685" s="159">
        <v>9.2484029052791582E-3</v>
      </c>
      <c r="G1685" s="146">
        <v>0.16560891488714871</v>
      </c>
      <c r="H1685" s="146">
        <v>8.1357261939786249E-2</v>
      </c>
      <c r="I1685" s="147">
        <v>0.93799999999999994</v>
      </c>
      <c r="J1685" s="148">
        <v>0.36522894471829004</v>
      </c>
      <c r="K1685" s="149">
        <v>25.465</v>
      </c>
      <c r="L1685" s="149">
        <v>191.35499999999999</v>
      </c>
      <c r="M1685" s="136"/>
      <c r="N1685" s="135"/>
    </row>
    <row r="1686" spans="1:14" x14ac:dyDescent="0.25">
      <c r="A1686" s="142">
        <v>45488</v>
      </c>
      <c r="B1686" s="81" t="s">
        <v>55</v>
      </c>
      <c r="C1686" s="129" t="str">
        <f t="shared" si="50"/>
        <v>15.07.2024_QUAohBo</v>
      </c>
      <c r="D1686" s="143">
        <f t="shared" si="51"/>
        <v>0</v>
      </c>
      <c r="E1686" s="144">
        <v>0</v>
      </c>
      <c r="F1686" s="159">
        <v>1.2111461715217335E-2</v>
      </c>
      <c r="G1686" s="146">
        <v>0.11010263022717028</v>
      </c>
      <c r="H1686" s="146">
        <v>0.16949429570788802</v>
      </c>
      <c r="I1686" s="147">
        <v>1.319</v>
      </c>
      <c r="J1686" s="148">
        <v>0.4350186596733619</v>
      </c>
      <c r="K1686" s="149">
        <v>19.268000000000001</v>
      </c>
      <c r="L1686" s="149">
        <v>61.731000000000002</v>
      </c>
      <c r="M1686" s="136"/>
      <c r="N1686" s="135"/>
    </row>
    <row r="1687" spans="1:14" x14ac:dyDescent="0.25">
      <c r="A1687" s="142">
        <v>45488</v>
      </c>
      <c r="B1687" s="81" t="s">
        <v>57</v>
      </c>
      <c r="C1687" s="129" t="str">
        <f t="shared" si="50"/>
        <v>15.07.2024_SCHohVo</v>
      </c>
      <c r="D1687" s="143">
        <f t="shared" si="51"/>
        <v>0</v>
      </c>
      <c r="E1687" s="144">
        <v>0</v>
      </c>
      <c r="F1687" s="159">
        <v>1.6406058753660351E-2</v>
      </c>
      <c r="G1687" s="146">
        <v>4.0947259175393907E-2</v>
      </c>
      <c r="H1687" s="146">
        <v>9.3560851230754152E-2</v>
      </c>
      <c r="I1687" s="147">
        <v>2.105</v>
      </c>
      <c r="J1687" s="148">
        <v>0.53573608843430465</v>
      </c>
      <c r="K1687" s="149">
        <v>19.399000000000001</v>
      </c>
      <c r="L1687" s="149">
        <v>62.411999999999999</v>
      </c>
      <c r="M1687" s="136"/>
      <c r="N1687" s="135"/>
    </row>
    <row r="1688" spans="1:14" x14ac:dyDescent="0.25">
      <c r="A1688" s="142">
        <v>45488</v>
      </c>
      <c r="B1688" s="81" t="s">
        <v>60</v>
      </c>
      <c r="C1688" s="129" t="str">
        <f t="shared" si="50"/>
        <v>15.07.2024_VORohBo</v>
      </c>
      <c r="D1688" s="143">
        <f t="shared" si="51"/>
        <v>0</v>
      </c>
      <c r="E1688" s="144">
        <v>0</v>
      </c>
      <c r="F1688" s="159">
        <v>4.4264191011748992E-3</v>
      </c>
      <c r="G1688" s="146">
        <v>0.434950886351962</v>
      </c>
      <c r="H1688" s="146">
        <v>0.10712039488738516</v>
      </c>
      <c r="I1688" s="147">
        <v>1.266</v>
      </c>
      <c r="J1688" s="148">
        <v>0.65629923796689937</v>
      </c>
      <c r="K1688" s="149">
        <v>22.684000000000001</v>
      </c>
      <c r="L1688" s="149">
        <v>152.34399999999999</v>
      </c>
      <c r="M1688" s="136"/>
      <c r="N1688" s="135"/>
    </row>
    <row r="1689" spans="1:14" x14ac:dyDescent="0.25">
      <c r="A1689" s="142">
        <v>45488</v>
      </c>
      <c r="B1689" s="81" t="s">
        <v>62</v>
      </c>
      <c r="C1689" s="129" t="str">
        <f t="shared" si="50"/>
        <v>15.07.2024_VORuhSc</v>
      </c>
      <c r="D1689" s="143">
        <f t="shared" si="51"/>
        <v>0</v>
      </c>
      <c r="E1689" s="144">
        <v>0</v>
      </c>
      <c r="F1689" s="159">
        <v>4.1815531206110673E-3</v>
      </c>
      <c r="G1689" s="146">
        <v>0.25569288507301524</v>
      </c>
      <c r="H1689" s="146">
        <v>8.8137033768101766E-2</v>
      </c>
      <c r="I1689" s="147">
        <v>0.74399999999999999</v>
      </c>
      <c r="J1689" s="148">
        <v>0.39342356826104419</v>
      </c>
      <c r="K1689" s="149">
        <v>20.760999999999999</v>
      </c>
      <c r="L1689" s="149">
        <v>139.476</v>
      </c>
      <c r="M1689" s="136"/>
      <c r="N1689" s="135"/>
    </row>
    <row r="1690" spans="1:14" x14ac:dyDescent="0.25">
      <c r="A1690" s="142">
        <v>45488</v>
      </c>
      <c r="B1690" s="81" t="s">
        <v>64</v>
      </c>
      <c r="C1690" s="129" t="str">
        <f t="shared" si="50"/>
        <v>15.07.2024_WITob</v>
      </c>
      <c r="D1690" s="143">
        <f t="shared" si="51"/>
        <v>0</v>
      </c>
      <c r="E1690" s="144">
        <v>0</v>
      </c>
      <c r="F1690" s="159">
        <v>6.7620658715323518E-3</v>
      </c>
      <c r="G1690" s="146">
        <v>0.34577685525888191</v>
      </c>
      <c r="H1690" s="146">
        <v>7.3221535745807628E-2</v>
      </c>
      <c r="I1690" s="147">
        <v>0.81599999999999995</v>
      </c>
      <c r="J1690" s="148">
        <v>0.47509448689778033</v>
      </c>
      <c r="K1690" s="149">
        <v>62.639000000000003</v>
      </c>
      <c r="L1690" s="149">
        <v>262.279</v>
      </c>
      <c r="M1690" s="136"/>
      <c r="N1690" s="135"/>
    </row>
    <row r="1691" spans="1:14" x14ac:dyDescent="0.25">
      <c r="A1691" s="142">
        <v>45502</v>
      </c>
      <c r="B1691" s="81" t="s">
        <v>22</v>
      </c>
      <c r="C1691" s="129" t="str">
        <f t="shared" si="50"/>
        <v>29.07.2024_BOYkl</v>
      </c>
      <c r="D1691" s="143">
        <f t="shared" si="51"/>
        <v>0</v>
      </c>
      <c r="E1691" s="144">
        <v>5.2058625511419619E-2</v>
      </c>
      <c r="F1691" s="159">
        <v>2.4336021822562667E-2</v>
      </c>
      <c r="G1691" s="146">
        <v>2.9035225467148599E-2</v>
      </c>
      <c r="H1691" s="146">
        <v>0.15983701366982128</v>
      </c>
      <c r="I1691" s="147">
        <v>23.952999999999999</v>
      </c>
      <c r="J1691" s="148">
        <v>5.4814720510347632</v>
      </c>
      <c r="K1691" s="149">
        <v>20.861000000000001</v>
      </c>
      <c r="L1691" s="149">
        <v>43.832999999999998</v>
      </c>
      <c r="M1691" s="136"/>
      <c r="N1691" s="135"/>
    </row>
    <row r="1692" spans="1:14" x14ac:dyDescent="0.25">
      <c r="A1692" s="142">
        <v>45502</v>
      </c>
      <c r="B1692" s="81" t="s">
        <v>25</v>
      </c>
      <c r="C1692" s="129" t="str">
        <f t="shared" si="50"/>
        <v>29.07.2024_BOYohB224</v>
      </c>
      <c r="D1692" s="143">
        <f t="shared" si="51"/>
        <v>0</v>
      </c>
      <c r="E1692" s="144">
        <v>1.6733129628670584E-2</v>
      </c>
      <c r="F1692" s="159">
        <v>1.4936854400714324E-2</v>
      </c>
      <c r="G1692" s="146">
        <v>3.3874429711673371E-2</v>
      </c>
      <c r="H1692" s="146">
        <v>0.13009989484752893</v>
      </c>
      <c r="I1692" s="147">
        <v>3.0289999999999999</v>
      </c>
      <c r="J1692" s="148">
        <v>0.75007229891314742</v>
      </c>
      <c r="K1692" s="149">
        <v>35.21</v>
      </c>
      <c r="L1692" s="149">
        <v>193.36099999999999</v>
      </c>
      <c r="M1692" s="136"/>
      <c r="N1692" s="135"/>
    </row>
    <row r="1693" spans="1:14" x14ac:dyDescent="0.25">
      <c r="A1693" s="142">
        <v>45502</v>
      </c>
      <c r="B1693" s="81" t="s">
        <v>28</v>
      </c>
      <c r="C1693" s="129" t="str">
        <f t="shared" si="50"/>
        <v>29.07.2024_BOYohBr</v>
      </c>
      <c r="D1693" s="143">
        <f t="shared" si="51"/>
        <v>0</v>
      </c>
      <c r="E1693" s="144">
        <v>0</v>
      </c>
      <c r="F1693" s="159">
        <v>1.9758864830703247E-2</v>
      </c>
      <c r="G1693" s="146">
        <v>6.6942325382592635E-2</v>
      </c>
      <c r="H1693" s="146">
        <v>0.15116368734665267</v>
      </c>
      <c r="I1693" s="147">
        <v>10.095000000000001</v>
      </c>
      <c r="J1693" s="148">
        <v>2.3781594808490176</v>
      </c>
      <c r="K1693" s="149">
        <v>18.465</v>
      </c>
      <c r="L1693" s="149">
        <v>73.051000000000002</v>
      </c>
      <c r="M1693" s="136"/>
      <c r="N1693" s="135"/>
    </row>
    <row r="1694" spans="1:14" x14ac:dyDescent="0.25">
      <c r="A1694" s="142">
        <v>45502</v>
      </c>
      <c r="B1694" s="81" t="s">
        <v>30</v>
      </c>
      <c r="C1694" s="129" t="str">
        <f t="shared" si="50"/>
        <v>29.07.2024_BOYohKi</v>
      </c>
      <c r="D1694" s="143">
        <f t="shared" si="51"/>
        <v>0</v>
      </c>
      <c r="E1694" s="144">
        <v>0</v>
      </c>
      <c r="F1694" s="159">
        <v>1.7442037581374827E-2</v>
      </c>
      <c r="G1694" s="146">
        <v>2.7422157385640317E-2</v>
      </c>
      <c r="H1694" s="146">
        <v>0.12142656852436037</v>
      </c>
      <c r="I1694" s="147">
        <v>4.0970000000000004</v>
      </c>
      <c r="J1694" s="148">
        <v>0.98365073977561746</v>
      </c>
      <c r="K1694" s="149">
        <v>28.873999999999999</v>
      </c>
      <c r="L1694" s="149">
        <v>126.45399999999999</v>
      </c>
      <c r="M1694" s="136"/>
      <c r="N1694" s="135"/>
    </row>
    <row r="1695" spans="1:14" x14ac:dyDescent="0.25">
      <c r="A1695" s="142">
        <v>45502</v>
      </c>
      <c r="B1695" s="81" t="s">
        <v>32</v>
      </c>
      <c r="C1695" s="129" t="str">
        <f t="shared" si="50"/>
        <v>29.07.2024_BOYohSp</v>
      </c>
      <c r="D1695" s="143">
        <f t="shared" si="51"/>
        <v>0</v>
      </c>
      <c r="E1695" s="144">
        <v>0</v>
      </c>
      <c r="F1695" s="159">
        <v>1.9382145621808514E-2</v>
      </c>
      <c r="G1695" s="146">
        <v>0.15243493370253017</v>
      </c>
      <c r="H1695" s="146">
        <v>0.17098843322818094</v>
      </c>
      <c r="I1695" s="147">
        <v>6.7290000000000001</v>
      </c>
      <c r="J1695" s="148">
        <v>1.6903008601669973</v>
      </c>
      <c r="K1695" s="149">
        <v>21.626999999999999</v>
      </c>
      <c r="L1695" s="149">
        <v>82.221999999999994</v>
      </c>
      <c r="M1695" s="136"/>
      <c r="N1695" s="135"/>
    </row>
    <row r="1696" spans="1:14" x14ac:dyDescent="0.25">
      <c r="A1696" s="142">
        <v>45502</v>
      </c>
      <c r="B1696" s="81" t="s">
        <v>34</v>
      </c>
      <c r="C1696" s="129" t="str">
        <f t="shared" si="50"/>
        <v>29.07.2024_BOYuhHa</v>
      </c>
      <c r="D1696" s="143">
        <f t="shared" si="51"/>
        <v>0</v>
      </c>
      <c r="E1696" s="144">
        <v>0</v>
      </c>
      <c r="F1696" s="159">
        <v>1.2167969488960458E-2</v>
      </c>
      <c r="G1696" s="146">
        <v>9.0331812564462322E-2</v>
      </c>
      <c r="H1696" s="146">
        <v>0.10407991587802318</v>
      </c>
      <c r="I1696" s="147">
        <v>4.0330000000000004</v>
      </c>
      <c r="J1696" s="148">
        <v>1.0127625895272434</v>
      </c>
      <c r="K1696" s="149">
        <v>41.133000000000003</v>
      </c>
      <c r="L1696" s="149">
        <v>223.905</v>
      </c>
      <c r="M1696" s="136"/>
      <c r="N1696" s="135"/>
    </row>
    <row r="1697" spans="1:14" x14ac:dyDescent="0.25">
      <c r="A1697" s="142">
        <v>45502</v>
      </c>
      <c r="B1697" s="81" t="s">
        <v>36</v>
      </c>
      <c r="C1697" s="129" t="str">
        <f t="shared" si="50"/>
        <v>29.07.2024_BOYuhSp</v>
      </c>
      <c r="D1697" s="143">
        <f t="shared" si="51"/>
        <v>0</v>
      </c>
      <c r="E1697" s="144">
        <v>0</v>
      </c>
      <c r="F1697" s="159">
        <v>1.9740029163381984E-2</v>
      </c>
      <c r="G1697" s="146">
        <v>0.14275652521348065</v>
      </c>
      <c r="H1697" s="146">
        <v>0.23294076410795664</v>
      </c>
      <c r="I1697" s="147">
        <v>6.13</v>
      </c>
      <c r="J1697" s="148">
        <v>1.566350929895683</v>
      </c>
      <c r="K1697" s="149">
        <v>22.780999999999999</v>
      </c>
      <c r="L1697" s="149">
        <v>89.087999999999994</v>
      </c>
      <c r="M1697" s="136"/>
      <c r="N1697" s="135"/>
    </row>
    <row r="1698" spans="1:14" x14ac:dyDescent="0.25">
      <c r="A1698" s="142">
        <v>45502</v>
      </c>
      <c r="B1698" s="81" t="s">
        <v>38</v>
      </c>
      <c r="C1698" s="129" t="str">
        <f t="shared" si="50"/>
        <v>29.07.2024_BRAob</v>
      </c>
      <c r="D1698" s="143">
        <f t="shared" si="51"/>
        <v>0</v>
      </c>
      <c r="E1698" s="144">
        <v>0</v>
      </c>
      <c r="F1698" s="159">
        <v>1.1772415055764415E-2</v>
      </c>
      <c r="G1698" s="146">
        <v>6.7748859423346769E-2</v>
      </c>
      <c r="H1698" s="146">
        <v>9.2928496319663545E-2</v>
      </c>
      <c r="I1698" s="147">
        <v>2.0099999999999998</v>
      </c>
      <c r="J1698" s="148">
        <v>0.53489709255815598</v>
      </c>
      <c r="K1698" s="149">
        <v>38.813000000000002</v>
      </c>
      <c r="L1698" s="149">
        <v>116.273</v>
      </c>
      <c r="M1698" s="136"/>
      <c r="N1698" s="135"/>
    </row>
    <row r="1699" spans="1:14" x14ac:dyDescent="0.25">
      <c r="A1699" s="142">
        <v>45502</v>
      </c>
      <c r="B1699" s="81" t="s">
        <v>41</v>
      </c>
      <c r="C1699" s="129" t="str">
        <f t="shared" si="50"/>
        <v>29.07.2024_BRAohBo</v>
      </c>
      <c r="D1699" s="143">
        <f t="shared" si="51"/>
        <v>0</v>
      </c>
      <c r="E1699" s="144">
        <v>0</v>
      </c>
      <c r="F1699" s="159">
        <v>3.0570765993205899E-2</v>
      </c>
      <c r="G1699" s="146">
        <v>0.12420624227613569</v>
      </c>
      <c r="H1699" s="146">
        <v>0.34569400630914837</v>
      </c>
      <c r="I1699" s="147">
        <v>6.0490000000000004</v>
      </c>
      <c r="J1699" s="148">
        <v>1.5679790752858169</v>
      </c>
      <c r="K1699" s="149">
        <v>31.334</v>
      </c>
      <c r="L1699" s="149">
        <v>101.655</v>
      </c>
      <c r="M1699" s="136"/>
      <c r="N1699" s="135"/>
    </row>
    <row r="1700" spans="1:14" x14ac:dyDescent="0.25">
      <c r="A1700" s="142">
        <v>45502</v>
      </c>
      <c r="B1700" s="81" t="s">
        <v>43</v>
      </c>
      <c r="C1700" s="129" t="str">
        <f t="shared" si="50"/>
        <v>29.07.2024_HAAob</v>
      </c>
      <c r="D1700" s="143">
        <f t="shared" si="51"/>
        <v>0</v>
      </c>
      <c r="E1700" s="144">
        <v>0</v>
      </c>
      <c r="F1700" s="159">
        <v>1.4691985830578909E-2</v>
      </c>
      <c r="G1700" s="146">
        <v>1.2098010611311896E-2</v>
      </c>
      <c r="H1700" s="146">
        <v>7.1864703820539777E-2</v>
      </c>
      <c r="I1700" s="147">
        <v>0.97899999999999998</v>
      </c>
      <c r="J1700" s="148">
        <v>0.25239992333774086</v>
      </c>
      <c r="K1700" s="149">
        <v>25.59</v>
      </c>
      <c r="L1700" s="149">
        <v>112.494</v>
      </c>
      <c r="M1700" s="136"/>
      <c r="N1700" s="135"/>
    </row>
    <row r="1701" spans="1:14" x14ac:dyDescent="0.25">
      <c r="A1701" s="142">
        <v>45502</v>
      </c>
      <c r="B1701" s="81" t="s">
        <v>45</v>
      </c>
      <c r="C1701" s="129" t="str">
        <f t="shared" si="50"/>
        <v>29.07.2024_HAAun</v>
      </c>
      <c r="D1701" s="143">
        <f t="shared" si="51"/>
        <v>0</v>
      </c>
      <c r="E1701" s="144">
        <v>0</v>
      </c>
      <c r="F1701" s="159">
        <v>2.2320564066622434E-2</v>
      </c>
      <c r="G1701" s="146">
        <v>0.12823891247990632</v>
      </c>
      <c r="H1701" s="146">
        <v>0.13381703470031547</v>
      </c>
      <c r="I1701" s="147">
        <v>1.6319999999999999</v>
      </c>
      <c r="J1701" s="148">
        <v>0.50893666936603343</v>
      </c>
      <c r="K1701" s="149">
        <v>27.312999999999999</v>
      </c>
      <c r="L1701" s="149">
        <v>217.92400000000001</v>
      </c>
      <c r="M1701" s="136"/>
      <c r="N1701" s="135"/>
    </row>
    <row r="1702" spans="1:14" x14ac:dyDescent="0.25">
      <c r="A1702" s="142">
        <v>45502</v>
      </c>
      <c r="B1702" s="81" t="s">
        <v>47</v>
      </c>
      <c r="C1702" s="129" t="str">
        <f t="shared" si="50"/>
        <v>29.07.2024_KIRob</v>
      </c>
      <c r="D1702" s="143">
        <f t="shared" si="51"/>
        <v>0</v>
      </c>
      <c r="E1702" s="144">
        <v>0</v>
      </c>
      <c r="F1702" s="159">
        <v>5.3117042842216813E-3</v>
      </c>
      <c r="G1702" s="146">
        <v>0.43875451817024558</v>
      </c>
      <c r="H1702" s="146">
        <v>0.36427970557308109</v>
      </c>
      <c r="I1702" s="147">
        <v>5.093</v>
      </c>
      <c r="J1702" s="148">
        <v>1.6019493621757386</v>
      </c>
      <c r="K1702" s="149">
        <v>73.968000000000004</v>
      </c>
      <c r="L1702" s="149">
        <v>170.39699999999999</v>
      </c>
      <c r="M1702" s="136"/>
      <c r="N1702" s="135"/>
    </row>
    <row r="1703" spans="1:14" x14ac:dyDescent="0.25">
      <c r="A1703" s="142">
        <v>45502</v>
      </c>
      <c r="B1703" s="81" t="s">
        <v>49</v>
      </c>
      <c r="C1703" s="129" t="str">
        <f t="shared" si="50"/>
        <v>29.07.2024_KIRun</v>
      </c>
      <c r="D1703" s="143">
        <f t="shared" si="51"/>
        <v>0</v>
      </c>
      <c r="E1703" s="144">
        <v>0</v>
      </c>
      <c r="F1703" s="159">
        <v>5.0856739311340941E-3</v>
      </c>
      <c r="G1703" s="146">
        <v>8.4686074279183413E-2</v>
      </c>
      <c r="H1703" s="146">
        <v>0.22055029793200148</v>
      </c>
      <c r="I1703" s="147">
        <v>3.3490000000000002</v>
      </c>
      <c r="J1703" s="148">
        <v>0.88934305802244096</v>
      </c>
      <c r="K1703" s="149">
        <v>50.045000000000002</v>
      </c>
      <c r="L1703" s="149">
        <v>144.958</v>
      </c>
      <c r="M1703" s="136"/>
      <c r="N1703" s="135"/>
    </row>
    <row r="1704" spans="1:14" x14ac:dyDescent="0.25">
      <c r="A1704" s="142">
        <v>45502</v>
      </c>
      <c r="B1704" s="81" t="s">
        <v>50</v>
      </c>
      <c r="C1704" s="129" t="str">
        <f t="shared" si="50"/>
        <v>29.07.2024_LIEohBo</v>
      </c>
      <c r="D1704" s="143">
        <f t="shared" si="51"/>
        <v>0</v>
      </c>
      <c r="E1704" s="144">
        <v>1.8592366254078297E-3</v>
      </c>
      <c r="F1704" s="159">
        <v>1.3241617778432305E-2</v>
      </c>
      <c r="G1704" s="146">
        <v>2.5002555263377933E-2</v>
      </c>
      <c r="H1704" s="146">
        <v>8.0538030143708403E-2</v>
      </c>
      <c r="I1704" s="147">
        <v>11.04</v>
      </c>
      <c r="J1704" s="148">
        <v>2.5375388374137118</v>
      </c>
      <c r="K1704" s="149">
        <v>22.962</v>
      </c>
      <c r="L1704" s="149">
        <v>89.501000000000005</v>
      </c>
      <c r="M1704" s="136"/>
      <c r="N1704" s="135"/>
    </row>
    <row r="1705" spans="1:14" x14ac:dyDescent="0.25">
      <c r="A1705" s="142">
        <v>45502</v>
      </c>
      <c r="B1705" s="81" t="s">
        <v>53</v>
      </c>
      <c r="C1705" s="129" t="str">
        <f t="shared" si="50"/>
        <v>29.07.2024_NATohBo</v>
      </c>
      <c r="D1705" s="143">
        <f t="shared" si="51"/>
        <v>0</v>
      </c>
      <c r="E1705" s="144">
        <v>0</v>
      </c>
      <c r="F1705" s="159">
        <v>1.6236535098405738E-2</v>
      </c>
      <c r="G1705" s="146">
        <v>0.26454316536735395</v>
      </c>
      <c r="H1705" s="146">
        <v>0.12886084822993341</v>
      </c>
      <c r="I1705" s="147">
        <v>3.8180000000000001</v>
      </c>
      <c r="J1705" s="148">
        <v>1.1070184677196999</v>
      </c>
      <c r="K1705" s="149">
        <v>91.38</v>
      </c>
      <c r="L1705" s="149">
        <v>593.08500000000004</v>
      </c>
      <c r="M1705" s="136"/>
      <c r="N1705" s="135"/>
    </row>
    <row r="1706" spans="1:14" x14ac:dyDescent="0.25">
      <c r="A1706" s="142">
        <v>45502</v>
      </c>
      <c r="B1706" s="81" t="s">
        <v>55</v>
      </c>
      <c r="C1706" s="129" t="str">
        <f t="shared" si="50"/>
        <v>29.07.2024_QUAohBo</v>
      </c>
      <c r="D1706" s="143">
        <f t="shared" si="51"/>
        <v>0</v>
      </c>
      <c r="E1706" s="144">
        <v>0</v>
      </c>
      <c r="F1706" s="159">
        <v>1.3561828786970364E-2</v>
      </c>
      <c r="G1706" s="146">
        <v>9.6784084890495337E-2</v>
      </c>
      <c r="H1706" s="146">
        <v>0.1957693655800912</v>
      </c>
      <c r="I1706" s="147">
        <v>1.506</v>
      </c>
      <c r="J1706" s="148">
        <v>0.47491407742747943</v>
      </c>
      <c r="K1706" s="149">
        <v>29.829000000000001</v>
      </c>
      <c r="L1706" s="149">
        <v>96.19</v>
      </c>
      <c r="M1706" s="136"/>
      <c r="N1706" s="135"/>
    </row>
    <row r="1707" spans="1:14" x14ac:dyDescent="0.25">
      <c r="A1707" s="142">
        <v>45502</v>
      </c>
      <c r="B1707" s="81" t="s">
        <v>57</v>
      </c>
      <c r="C1707" s="129" t="str">
        <f t="shared" si="50"/>
        <v>29.07.2024_SCHohVo</v>
      </c>
      <c r="D1707" s="143">
        <f t="shared" si="51"/>
        <v>0</v>
      </c>
      <c r="E1707" s="144">
        <v>0</v>
      </c>
      <c r="F1707" s="159">
        <v>1.7592725274543815E-2</v>
      </c>
      <c r="G1707" s="146">
        <v>4.3552838200722914E-2</v>
      </c>
      <c r="H1707" s="146">
        <v>8.1777076761303913E-2</v>
      </c>
      <c r="I1707" s="147">
        <v>1.7609999999999999</v>
      </c>
      <c r="J1707" s="148">
        <v>0.45647244435445822</v>
      </c>
      <c r="K1707" s="149">
        <v>22.597999999999999</v>
      </c>
      <c r="L1707" s="149">
        <v>69.400000000000006</v>
      </c>
      <c r="M1707" s="136"/>
      <c r="N1707" s="135"/>
    </row>
    <row r="1708" spans="1:14" x14ac:dyDescent="0.25">
      <c r="A1708" s="142">
        <v>45502</v>
      </c>
      <c r="B1708" s="81" t="s">
        <v>60</v>
      </c>
      <c r="C1708" s="129" t="str">
        <f t="shared" si="50"/>
        <v>29.07.2024_VORohBo</v>
      </c>
      <c r="D1708" s="143">
        <f t="shared" si="51"/>
        <v>0</v>
      </c>
      <c r="E1708" s="144">
        <v>0</v>
      </c>
      <c r="F1708" s="159">
        <v>4.8973156065257404E-3</v>
      </c>
      <c r="G1708" s="146">
        <v>0.33632469499447132</v>
      </c>
      <c r="H1708" s="146">
        <v>0.13505608131791097</v>
      </c>
      <c r="I1708" s="147">
        <v>1.006</v>
      </c>
      <c r="J1708" s="148">
        <v>0.52949580637349491</v>
      </c>
      <c r="K1708" s="149">
        <v>21.895</v>
      </c>
      <c r="L1708" s="149">
        <v>195.40100000000001</v>
      </c>
      <c r="M1708" s="136"/>
      <c r="N1708" s="135"/>
    </row>
    <row r="1709" spans="1:14" x14ac:dyDescent="0.25">
      <c r="A1709" s="142">
        <v>45502</v>
      </c>
      <c r="B1709" s="81" t="s">
        <v>62</v>
      </c>
      <c r="C1709" s="129" t="str">
        <f t="shared" si="50"/>
        <v>29.07.2024_VORuhSc</v>
      </c>
      <c r="D1709" s="143">
        <f t="shared" si="51"/>
        <v>0</v>
      </c>
      <c r="E1709" s="144">
        <v>0</v>
      </c>
      <c r="F1709" s="159">
        <v>4.9349871767490026E-3</v>
      </c>
      <c r="G1709" s="146">
        <v>0.24518634838925488</v>
      </c>
      <c r="H1709" s="146">
        <v>0.10160182264283216</v>
      </c>
      <c r="I1709" s="147">
        <v>0.752</v>
      </c>
      <c r="J1709" s="148">
        <v>0.39117166256438274</v>
      </c>
      <c r="K1709" s="149">
        <v>30.134</v>
      </c>
      <c r="L1709" s="149">
        <v>211.09399999999999</v>
      </c>
      <c r="M1709" s="136"/>
      <c r="N1709" s="135"/>
    </row>
    <row r="1710" spans="1:14" x14ac:dyDescent="0.25">
      <c r="A1710" s="142">
        <v>45502</v>
      </c>
      <c r="B1710" s="81" t="s">
        <v>64</v>
      </c>
      <c r="C1710" s="129" t="str">
        <f t="shared" si="50"/>
        <v>29.07.2024_WITob</v>
      </c>
      <c r="D1710" s="143">
        <f t="shared" si="51"/>
        <v>0</v>
      </c>
      <c r="E1710" s="144">
        <v>0</v>
      </c>
      <c r="F1710" s="159">
        <v>8.1935928609797419E-3</v>
      </c>
      <c r="G1710" s="146">
        <v>0.12904544652066047</v>
      </c>
      <c r="H1710" s="146">
        <v>7.6820890290921859E-2</v>
      </c>
      <c r="I1710" s="147">
        <v>0.75800000000000001</v>
      </c>
      <c r="J1710" s="148">
        <v>0.29480007881789877</v>
      </c>
      <c r="K1710" s="149">
        <v>65.775000000000006</v>
      </c>
      <c r="L1710" s="149">
        <v>279.89499999999998</v>
      </c>
      <c r="M1710" s="136"/>
      <c r="N1710" s="135"/>
    </row>
    <row r="1711" spans="1:14" x14ac:dyDescent="0.25">
      <c r="A1711" s="142">
        <v>45518</v>
      </c>
      <c r="B1711" s="81" t="s">
        <v>22</v>
      </c>
      <c r="C1711" s="129" t="str">
        <f t="shared" si="50"/>
        <v>14.08.2024_BOYkl</v>
      </c>
      <c r="D1711" s="143">
        <f t="shared" si="51"/>
        <v>0</v>
      </c>
      <c r="E1711" s="144">
        <v>0.11849182403992992</v>
      </c>
      <c r="F1711" s="159">
        <v>6.9806827562743756E-2</v>
      </c>
      <c r="G1711" s="146">
        <v>0.10996450894728507</v>
      </c>
      <c r="H1711" s="146">
        <v>0.18497326811511777</v>
      </c>
      <c r="I1711" s="147">
        <v>12.202</v>
      </c>
      <c r="J1711" s="148">
        <v>2.8977671930301252</v>
      </c>
      <c r="K1711" s="149">
        <v>16.585000000000001</v>
      </c>
      <c r="L1711" s="149">
        <v>36.503</v>
      </c>
      <c r="M1711" s="136"/>
      <c r="N1711" s="135"/>
    </row>
    <row r="1712" spans="1:14" x14ac:dyDescent="0.25">
      <c r="A1712" s="142">
        <v>45518</v>
      </c>
      <c r="B1712" s="81" t="s">
        <v>25</v>
      </c>
      <c r="C1712" s="129" t="str">
        <f t="shared" si="50"/>
        <v>14.08.2024_BOYohB224</v>
      </c>
      <c r="D1712" s="143">
        <f t="shared" si="51"/>
        <v>0</v>
      </c>
      <c r="E1712" s="144">
        <v>8.9354490259619404E-2</v>
      </c>
      <c r="F1712" s="159">
        <v>6.4947010345909537E-2</v>
      </c>
      <c r="G1712" s="146">
        <v>0.38972715671023089</v>
      </c>
      <c r="H1712" s="146">
        <v>0.30024646418685785</v>
      </c>
      <c r="I1712" s="147">
        <v>5.0839999999999996</v>
      </c>
      <c r="J1712" s="148">
        <v>1.542352355935616</v>
      </c>
      <c r="K1712" s="149">
        <v>17.041</v>
      </c>
      <c r="L1712" s="149">
        <v>78.686000000000007</v>
      </c>
      <c r="M1712" s="136"/>
      <c r="N1712" s="135"/>
    </row>
    <row r="1713" spans="1:14" x14ac:dyDescent="0.25">
      <c r="A1713" s="142">
        <v>45518</v>
      </c>
      <c r="B1713" s="81" t="s">
        <v>28</v>
      </c>
      <c r="C1713" s="129" t="str">
        <f t="shared" si="50"/>
        <v>14.08.2024_BOYohBr</v>
      </c>
      <c r="D1713" s="143">
        <f t="shared" si="51"/>
        <v>0</v>
      </c>
      <c r="E1713" s="144">
        <v>0.14568666890155327</v>
      </c>
      <c r="F1713" s="159">
        <v>0.1644440046394765</v>
      </c>
      <c r="G1713" s="146">
        <v>0.56195098322325832</v>
      </c>
      <c r="H1713" s="146">
        <v>0.26137527016266637</v>
      </c>
      <c r="I1713" s="147">
        <v>6.0039999999999996</v>
      </c>
      <c r="J1713" s="148">
        <v>1.8720484999640514</v>
      </c>
      <c r="K1713" s="149">
        <v>9.18</v>
      </c>
      <c r="L1713" s="149">
        <v>37.344999999999999</v>
      </c>
      <c r="M1713" s="136"/>
      <c r="N1713" s="135"/>
    </row>
    <row r="1714" spans="1:14" x14ac:dyDescent="0.25">
      <c r="A1714" s="142">
        <v>45518</v>
      </c>
      <c r="B1714" s="81" t="s">
        <v>30</v>
      </c>
      <c r="C1714" s="129" t="str">
        <f t="shared" si="50"/>
        <v>14.08.2024_BOYohKi</v>
      </c>
      <c r="D1714" s="143">
        <f t="shared" si="51"/>
        <v>0</v>
      </c>
      <c r="E1714" s="144">
        <v>3.1079822698998005E-2</v>
      </c>
      <c r="F1714" s="159">
        <v>0.11060720445919087</v>
      </c>
      <c r="G1714" s="146">
        <v>0.50050022822330487</v>
      </c>
      <c r="H1714" s="146">
        <v>0.30962916619269704</v>
      </c>
      <c r="I1714" s="147">
        <v>5.468</v>
      </c>
      <c r="J1714" s="148">
        <v>1.7179571818604806</v>
      </c>
      <c r="K1714" s="149">
        <v>12.779</v>
      </c>
      <c r="L1714" s="149">
        <v>43.128</v>
      </c>
      <c r="M1714" s="136"/>
      <c r="N1714" s="135"/>
    </row>
    <row r="1715" spans="1:14" x14ac:dyDescent="0.25">
      <c r="A1715" s="142">
        <v>45518</v>
      </c>
      <c r="B1715" s="81" t="s">
        <v>32</v>
      </c>
      <c r="C1715" s="129" t="str">
        <f t="shared" si="50"/>
        <v>14.08.2024_BOYohSp</v>
      </c>
      <c r="D1715" s="143">
        <f t="shared" si="51"/>
        <v>0</v>
      </c>
      <c r="E1715" s="144">
        <v>9.5181957015681384E-2</v>
      </c>
      <c r="F1715" s="159">
        <v>9.9889011392809257E-2</v>
      </c>
      <c r="G1715" s="146">
        <v>0.4980745405259383</v>
      </c>
      <c r="H1715" s="146">
        <v>0.28550221817768179</v>
      </c>
      <c r="I1715" s="147">
        <v>6.5460000000000003</v>
      </c>
      <c r="J1715" s="148">
        <v>1.9522160702971809</v>
      </c>
      <c r="K1715" s="149">
        <v>14.106</v>
      </c>
      <c r="L1715" s="149">
        <v>45.31</v>
      </c>
      <c r="M1715" s="136"/>
      <c r="N1715" s="135"/>
    </row>
    <row r="1716" spans="1:14" x14ac:dyDescent="0.25">
      <c r="A1716" s="142">
        <v>45518</v>
      </c>
      <c r="B1716" s="81" t="s">
        <v>34</v>
      </c>
      <c r="C1716" s="129" t="str">
        <f t="shared" ref="C1716:C1779" si="52">CONCATENATE(TEXT(A1716,"TT.MM.JJJJ"),"_",B1716)</f>
        <v>14.08.2024_BOYuhHa</v>
      </c>
      <c r="D1716" s="143">
        <f t="shared" si="51"/>
        <v>0</v>
      </c>
      <c r="E1716" s="144">
        <v>0.12043431295861733</v>
      </c>
      <c r="F1716" s="159">
        <v>0.11561785739237641</v>
      </c>
      <c r="G1716" s="146">
        <v>0.73660049743365208</v>
      </c>
      <c r="H1716" s="146">
        <v>0.73</v>
      </c>
      <c r="I1716" s="147">
        <v>5.4020000000000001</v>
      </c>
      <c r="J1716" s="148">
        <v>2.0143611602522564</v>
      </c>
      <c r="K1716" s="149">
        <v>14.920999999999999</v>
      </c>
      <c r="L1716" s="149">
        <v>68.87</v>
      </c>
      <c r="M1716" s="136"/>
      <c r="N1716" s="135"/>
    </row>
    <row r="1717" spans="1:14" x14ac:dyDescent="0.25">
      <c r="A1717" s="142">
        <v>45518</v>
      </c>
      <c r="B1717" s="81" t="s">
        <v>36</v>
      </c>
      <c r="C1717" s="129" t="str">
        <f t="shared" si="52"/>
        <v>14.08.2024_BOYuhSp</v>
      </c>
      <c r="D1717" s="143">
        <f t="shared" si="51"/>
        <v>0</v>
      </c>
      <c r="E1717" s="144">
        <v>9.9066934853056274E-2</v>
      </c>
      <c r="F1717" s="159">
        <v>0.11768991012131294</v>
      </c>
      <c r="G1717" s="146">
        <v>0.58135648480219093</v>
      </c>
      <c r="H1717" s="146">
        <v>0.36592537822773291</v>
      </c>
      <c r="I1717" s="147">
        <v>6.7619999999999996</v>
      </c>
      <c r="J1717" s="148">
        <v>2.0901564182854862</v>
      </c>
      <c r="K1717" s="149">
        <v>14.406000000000001</v>
      </c>
      <c r="L1717" s="149">
        <v>46.503</v>
      </c>
      <c r="M1717" s="136"/>
      <c r="N1717" s="135"/>
    </row>
    <row r="1718" spans="1:14" x14ac:dyDescent="0.25">
      <c r="A1718" s="142">
        <v>45518</v>
      </c>
      <c r="B1718" s="81" t="s">
        <v>38</v>
      </c>
      <c r="C1718" s="129" t="str">
        <f t="shared" si="52"/>
        <v>14.08.2024_BRAob</v>
      </c>
      <c r="D1718" s="143">
        <f t="shared" si="51"/>
        <v>0</v>
      </c>
      <c r="E1718" s="144">
        <v>0</v>
      </c>
      <c r="F1718" s="159">
        <v>1.9627013889564934E-2</v>
      </c>
      <c r="G1718" s="146">
        <v>0.14877551210515036</v>
      </c>
      <c r="H1718" s="146">
        <v>0.10589049406590077</v>
      </c>
      <c r="I1718" s="147">
        <v>2.5609999999999999</v>
      </c>
      <c r="J1718" s="148">
        <v>0.72621412831289167</v>
      </c>
      <c r="K1718" s="149">
        <v>31.806999999999999</v>
      </c>
      <c r="L1718" s="149">
        <v>86.691000000000003</v>
      </c>
      <c r="M1718" s="136"/>
      <c r="N1718" s="135"/>
    </row>
    <row r="1719" spans="1:14" x14ac:dyDescent="0.25">
      <c r="A1719" s="142">
        <v>45518</v>
      </c>
      <c r="B1719" s="81" t="s">
        <v>41</v>
      </c>
      <c r="C1719" s="129" t="str">
        <f t="shared" si="52"/>
        <v>14.08.2024_BRAohBo</v>
      </c>
      <c r="D1719" s="143">
        <f t="shared" si="51"/>
        <v>0</v>
      </c>
      <c r="E1719" s="144">
        <v>0</v>
      </c>
      <c r="F1719" s="159">
        <v>5.4266759342386256E-2</v>
      </c>
      <c r="G1719" s="146">
        <v>0.25388864565770225</v>
      </c>
      <c r="H1719" s="146">
        <v>0.33911765821104911</v>
      </c>
      <c r="I1719" s="147">
        <v>4.2350000000000003</v>
      </c>
      <c r="J1719" s="148">
        <v>1.2569458155091031</v>
      </c>
      <c r="K1719" s="149">
        <v>17.571999999999999</v>
      </c>
      <c r="L1719" s="149">
        <v>57.012</v>
      </c>
      <c r="M1719" s="136"/>
      <c r="N1719" s="135"/>
    </row>
    <row r="1720" spans="1:14" x14ac:dyDescent="0.25">
      <c r="A1720" s="142">
        <v>45518</v>
      </c>
      <c r="B1720" s="81" t="s">
        <v>43</v>
      </c>
      <c r="C1720" s="129" t="str">
        <f t="shared" si="52"/>
        <v>14.08.2024_HAAob</v>
      </c>
      <c r="D1720" s="143">
        <f t="shared" si="51"/>
        <v>0</v>
      </c>
      <c r="E1720" s="144">
        <v>1.5539911349499003E-2</v>
      </c>
      <c r="F1720" s="159">
        <v>1.7517381334783547E-2</v>
      </c>
      <c r="G1720" s="146">
        <v>7.2770630920997535E-3</v>
      </c>
      <c r="H1720" s="146">
        <v>6.4338528040040963E-2</v>
      </c>
      <c r="I1720" s="147">
        <v>0.56599999999999995</v>
      </c>
      <c r="J1720" s="148">
        <v>0.15308085158217499</v>
      </c>
      <c r="K1720" s="149">
        <v>26.114000000000001</v>
      </c>
      <c r="L1720" s="149">
        <v>111.624</v>
      </c>
      <c r="M1720" s="136"/>
      <c r="N1720" s="135"/>
    </row>
    <row r="1721" spans="1:14" x14ac:dyDescent="0.25">
      <c r="A1721" s="142">
        <v>45518</v>
      </c>
      <c r="B1721" s="81" t="s">
        <v>45</v>
      </c>
      <c r="C1721" s="129" t="str">
        <f t="shared" si="52"/>
        <v>14.08.2024_HAAun</v>
      </c>
      <c r="D1721" s="143">
        <f t="shared" si="51"/>
        <v>0</v>
      </c>
      <c r="E1721" s="144">
        <v>0</v>
      </c>
      <c r="F1721" s="159">
        <v>1.7517381787184375E-2</v>
      </c>
      <c r="G1721" s="146">
        <v>0.15200976236830585</v>
      </c>
      <c r="H1721" s="146">
        <v>0.11795396807340847</v>
      </c>
      <c r="I1721" s="147">
        <v>1.0660000000000001</v>
      </c>
      <c r="J1721" s="148">
        <v>0.394722565961315</v>
      </c>
      <c r="K1721" s="149">
        <v>29.192</v>
      </c>
      <c r="L1721" s="149">
        <v>222.92699999999999</v>
      </c>
      <c r="M1721" s="136"/>
      <c r="N1721" s="135"/>
    </row>
    <row r="1722" spans="1:14" x14ac:dyDescent="0.25">
      <c r="A1722" s="142">
        <v>45518</v>
      </c>
      <c r="B1722" s="81" t="s">
        <v>47</v>
      </c>
      <c r="C1722" s="129" t="str">
        <f t="shared" si="52"/>
        <v>14.08.2024_KIRob</v>
      </c>
      <c r="D1722" s="143">
        <f t="shared" si="51"/>
        <v>0</v>
      </c>
      <c r="E1722" s="144">
        <v>0</v>
      </c>
      <c r="F1722" s="159">
        <v>6.2158257481406401E-3</v>
      </c>
      <c r="G1722" s="146">
        <v>0.29835958677608954</v>
      </c>
      <c r="H1722" s="146">
        <v>0.40747734425359261</v>
      </c>
      <c r="I1722" s="147">
        <v>4.8650000000000002</v>
      </c>
      <c r="J1722" s="148">
        <v>1.4545872629937719</v>
      </c>
      <c r="K1722" s="149">
        <v>68.117000000000004</v>
      </c>
      <c r="L1722" s="149">
        <v>152.77799999999999</v>
      </c>
      <c r="M1722" s="136"/>
      <c r="N1722" s="135"/>
    </row>
    <row r="1723" spans="1:14" x14ac:dyDescent="0.25">
      <c r="A1723" s="142">
        <v>45518</v>
      </c>
      <c r="B1723" s="81" t="s">
        <v>49</v>
      </c>
      <c r="C1723" s="129" t="str">
        <f t="shared" si="52"/>
        <v>14.08.2024_KIRun</v>
      </c>
      <c r="D1723" s="143">
        <f t="shared" si="51"/>
        <v>0</v>
      </c>
      <c r="E1723" s="144">
        <v>4.661973404849705E-2</v>
      </c>
      <c r="F1723" s="159">
        <v>7.2141271408593154E-3</v>
      </c>
      <c r="G1723" s="146">
        <v>7.1153505789419758E-2</v>
      </c>
      <c r="H1723" s="146">
        <v>0.16352709210177074</v>
      </c>
      <c r="I1723" s="147">
        <v>3.4369999999999998</v>
      </c>
      <c r="J1723" s="148">
        <v>0.88135099890081059</v>
      </c>
      <c r="K1723" s="149">
        <v>51.719000000000001</v>
      </c>
      <c r="L1723" s="149">
        <v>138.01</v>
      </c>
      <c r="M1723" s="136"/>
      <c r="N1723" s="135"/>
    </row>
    <row r="1724" spans="1:14" x14ac:dyDescent="0.25">
      <c r="A1724" s="142">
        <v>45518</v>
      </c>
      <c r="B1724" s="81" t="s">
        <v>50</v>
      </c>
      <c r="C1724" s="129" t="str">
        <f t="shared" si="52"/>
        <v>14.08.2024_LIEohBo</v>
      </c>
      <c r="D1724" s="143">
        <f t="shared" si="51"/>
        <v>0</v>
      </c>
      <c r="E1724" s="144">
        <v>5.4389689723246586E-2</v>
      </c>
      <c r="F1724" s="159">
        <v>2.1793155025027846E-2</v>
      </c>
      <c r="G1724" s="146">
        <v>6.8727818092053167E-2</v>
      </c>
      <c r="H1724" s="146">
        <v>0.10186933606339821</v>
      </c>
      <c r="I1724" s="147">
        <v>9.6880000000000006</v>
      </c>
      <c r="J1724" s="148">
        <v>2.2726091428348001</v>
      </c>
      <c r="K1724" s="149">
        <v>26.004999999999999</v>
      </c>
      <c r="L1724" s="149">
        <v>84.995999999999995</v>
      </c>
      <c r="M1724" s="136"/>
      <c r="N1724" s="135"/>
    </row>
    <row r="1725" spans="1:14" x14ac:dyDescent="0.25">
      <c r="A1725" s="142">
        <v>45518</v>
      </c>
      <c r="B1725" s="81" t="s">
        <v>53</v>
      </c>
      <c r="C1725" s="129" t="str">
        <f t="shared" si="52"/>
        <v>14.08.2024_NATohBo</v>
      </c>
      <c r="D1725" s="143">
        <f t="shared" si="51"/>
        <v>0</v>
      </c>
      <c r="E1725" s="144">
        <v>3.8849778373747303E-3</v>
      </c>
      <c r="F1725" s="159">
        <v>2.7406300430026235E-2</v>
      </c>
      <c r="G1725" s="146">
        <v>0.27410270980242368</v>
      </c>
      <c r="H1725" s="146">
        <v>0.16888863610510751</v>
      </c>
      <c r="I1725" s="147">
        <v>3.9020000000000001</v>
      </c>
      <c r="J1725" s="148">
        <v>1.1456008983966839</v>
      </c>
      <c r="K1725" s="149">
        <v>73.537999999999997</v>
      </c>
      <c r="L1725" s="149">
        <v>501.58199999999999</v>
      </c>
      <c r="M1725" s="136"/>
      <c r="N1725" s="135"/>
    </row>
    <row r="1726" spans="1:14" x14ac:dyDescent="0.25">
      <c r="A1726" s="142">
        <v>45518</v>
      </c>
      <c r="B1726" s="81" t="s">
        <v>55</v>
      </c>
      <c r="C1726" s="129" t="str">
        <f t="shared" si="52"/>
        <v>14.08.2024_QUAohBo</v>
      </c>
      <c r="D1726" s="143">
        <f t="shared" si="51"/>
        <v>0</v>
      </c>
      <c r="E1726" s="144">
        <v>3.8849778373747507E-2</v>
      </c>
      <c r="F1726" s="159">
        <v>1.9212621136761511E-2</v>
      </c>
      <c r="G1726" s="146">
        <v>0.15847826289461669</v>
      </c>
      <c r="H1726" s="146">
        <v>0.24395025215182195</v>
      </c>
      <c r="I1726" s="147">
        <v>1.863</v>
      </c>
      <c r="J1726" s="148">
        <v>0.61812325062266305</v>
      </c>
      <c r="K1726" s="149">
        <v>24.242999999999999</v>
      </c>
      <c r="L1726" s="149">
        <v>76.566999999999993</v>
      </c>
      <c r="M1726" s="136"/>
      <c r="N1726" s="135"/>
    </row>
    <row r="1727" spans="1:14" x14ac:dyDescent="0.25">
      <c r="A1727" s="142">
        <v>45518</v>
      </c>
      <c r="B1727" s="81" t="s">
        <v>57</v>
      </c>
      <c r="C1727" s="129" t="str">
        <f t="shared" si="52"/>
        <v>14.08.2024_SCHohVo</v>
      </c>
      <c r="D1727" s="143">
        <f t="shared" si="51"/>
        <v>0</v>
      </c>
      <c r="E1727" s="144">
        <v>3.3022311617685408E-2</v>
      </c>
      <c r="F1727" s="159">
        <v>2.3375381962873431E-2</v>
      </c>
      <c r="G1727" s="146">
        <v>8.328194427625267E-2</v>
      </c>
      <c r="H1727" s="146">
        <v>0.15816554809843397</v>
      </c>
      <c r="I1727" s="147">
        <v>2.2890000000000001</v>
      </c>
      <c r="J1727" s="148">
        <v>0.62983752802963555</v>
      </c>
      <c r="K1727" s="149">
        <v>19.623000000000001</v>
      </c>
      <c r="L1727" s="149">
        <v>53.496000000000002</v>
      </c>
      <c r="M1727" s="136"/>
      <c r="N1727" s="135"/>
    </row>
    <row r="1728" spans="1:14" x14ac:dyDescent="0.25">
      <c r="A1728" s="142">
        <v>45518</v>
      </c>
      <c r="B1728" s="81" t="s">
        <v>60</v>
      </c>
      <c r="C1728" s="129" t="str">
        <f t="shared" si="52"/>
        <v>14.08.2024_VORohBo</v>
      </c>
      <c r="D1728" s="143">
        <f t="shared" si="51"/>
        <v>0</v>
      </c>
      <c r="E1728" s="144">
        <v>0</v>
      </c>
      <c r="F1728" s="159">
        <v>8.0994134461071995E-3</v>
      </c>
      <c r="G1728" s="146">
        <v>0.44875222401281772</v>
      </c>
      <c r="H1728" s="146">
        <v>0.2238444621393092</v>
      </c>
      <c r="I1728" s="147">
        <v>2.069</v>
      </c>
      <c r="J1728" s="148">
        <v>0.88392609092202556</v>
      </c>
      <c r="K1728" s="149">
        <v>27.207000000000001</v>
      </c>
      <c r="L1728" s="149">
        <v>165.184</v>
      </c>
      <c r="M1728" s="136"/>
      <c r="N1728" s="135"/>
    </row>
    <row r="1729" spans="1:14" x14ac:dyDescent="0.25">
      <c r="A1729" s="142">
        <v>45518</v>
      </c>
      <c r="B1729" s="81" t="s">
        <v>62</v>
      </c>
      <c r="C1729" s="129" t="str">
        <f t="shared" si="52"/>
        <v>14.08.2024_VORuhSc</v>
      </c>
      <c r="D1729" s="143">
        <f t="shared" si="51"/>
        <v>0</v>
      </c>
      <c r="E1729" s="144">
        <v>0</v>
      </c>
      <c r="F1729" s="159">
        <v>8.7963418416405377E-3</v>
      </c>
      <c r="G1729" s="146">
        <v>0.43824091065756254</v>
      </c>
      <c r="H1729" s="146">
        <v>0.14878284609259471</v>
      </c>
      <c r="I1729" s="147">
        <v>1.161</v>
      </c>
      <c r="J1729" s="148">
        <v>0.64782169220938113</v>
      </c>
      <c r="K1729" s="149">
        <v>20.433</v>
      </c>
      <c r="L1729" s="149">
        <v>142.40700000000001</v>
      </c>
      <c r="M1729" s="136"/>
      <c r="N1729" s="135"/>
    </row>
    <row r="1730" spans="1:14" x14ac:dyDescent="0.25">
      <c r="A1730" s="142">
        <v>45518</v>
      </c>
      <c r="B1730" s="81" t="s">
        <v>64</v>
      </c>
      <c r="C1730" s="129" t="str">
        <f t="shared" si="52"/>
        <v>14.08.2024_WITob</v>
      </c>
      <c r="D1730" s="143">
        <f t="shared" si="51"/>
        <v>0</v>
      </c>
      <c r="E1730" s="144">
        <v>0</v>
      </c>
      <c r="F1730" s="159">
        <v>7.6473521381037008E-3</v>
      </c>
      <c r="G1730" s="146">
        <v>0.17545807677618278</v>
      </c>
      <c r="H1730" s="146">
        <v>7.1040458044211885E-2</v>
      </c>
      <c r="I1730" s="147">
        <v>0.70299999999999996</v>
      </c>
      <c r="J1730" s="148">
        <v>0.31665631948749851</v>
      </c>
      <c r="K1730" s="149">
        <v>60.970999999999997</v>
      </c>
      <c r="L1730" s="149">
        <v>245.75899999999999</v>
      </c>
      <c r="M1730" s="136"/>
      <c r="N1730" s="135"/>
    </row>
    <row r="1731" spans="1:14" x14ac:dyDescent="0.25">
      <c r="A1731" s="142">
        <v>45531</v>
      </c>
      <c r="B1731" s="81" t="s">
        <v>22</v>
      </c>
      <c r="C1731" s="129" t="str">
        <f t="shared" si="52"/>
        <v>27.08.2024_BOYkl</v>
      </c>
      <c r="D1731" s="143">
        <f t="shared" si="51"/>
        <v>0</v>
      </c>
      <c r="E1731" s="144">
        <v>1.1719086600603159E-2</v>
      </c>
      <c r="F1731" s="159">
        <v>6.550842325510306E-2</v>
      </c>
      <c r="G1731" s="146">
        <v>7.8687711128499746E-2</v>
      </c>
      <c r="H1731" s="146">
        <v>0.17124368686868688</v>
      </c>
      <c r="I1731" s="147">
        <v>16.995999999999999</v>
      </c>
      <c r="J1731" s="148">
        <v>3.9521218812813403</v>
      </c>
      <c r="K1731" s="149">
        <v>18.925999999999998</v>
      </c>
      <c r="L1731" s="149">
        <v>42.186999999999998</v>
      </c>
      <c r="M1731" s="136"/>
      <c r="N1731" s="135"/>
    </row>
    <row r="1732" spans="1:14" x14ac:dyDescent="0.25">
      <c r="A1732" s="142">
        <v>45531</v>
      </c>
      <c r="B1732" s="81" t="s">
        <v>25</v>
      </c>
      <c r="C1732" s="129" t="str">
        <f t="shared" si="52"/>
        <v>27.08.2024_BOYohB224</v>
      </c>
      <c r="D1732" s="143">
        <f t="shared" si="51"/>
        <v>0</v>
      </c>
      <c r="E1732" s="144">
        <v>0</v>
      </c>
      <c r="F1732" s="159">
        <v>2.1629501688433087E-2</v>
      </c>
      <c r="G1732" s="146">
        <v>5.7980418726262944E-2</v>
      </c>
      <c r="H1732" s="146">
        <v>8.5069444444444448E-2</v>
      </c>
      <c r="I1732" s="147">
        <v>3.2610000000000001</v>
      </c>
      <c r="J1732" s="148">
        <v>0.80748267769786708</v>
      </c>
      <c r="K1732" s="149">
        <v>34.436</v>
      </c>
      <c r="L1732" s="149">
        <v>181.012</v>
      </c>
      <c r="M1732" s="136"/>
      <c r="N1732" s="135"/>
    </row>
    <row r="1733" spans="1:14" x14ac:dyDescent="0.25">
      <c r="A1733" s="142">
        <v>45531</v>
      </c>
      <c r="B1733" s="81" t="s">
        <v>28</v>
      </c>
      <c r="C1733" s="129" t="str">
        <f t="shared" si="52"/>
        <v>27.08.2024_BOYohBr</v>
      </c>
      <c r="D1733" s="143">
        <f t="shared" ref="D1733:D1796" si="53">COUNTBLANK(E1733:L1733)</f>
        <v>0</v>
      </c>
      <c r="E1733" s="144">
        <v>0</v>
      </c>
      <c r="F1733" s="159">
        <v>3.123205912879318E-2</v>
      </c>
      <c r="G1733" s="146">
        <v>0.10602133709945227</v>
      </c>
      <c r="H1733" s="146">
        <v>0.1027462121212121</v>
      </c>
      <c r="I1733" s="147">
        <v>8.9420000000000002</v>
      </c>
      <c r="J1733" s="148">
        <v>2.1333351323246563</v>
      </c>
      <c r="K1733" s="149">
        <v>18.637</v>
      </c>
      <c r="L1733" s="149">
        <v>70.835999999999999</v>
      </c>
      <c r="M1733" s="136"/>
      <c r="N1733" s="135"/>
    </row>
    <row r="1734" spans="1:14" x14ac:dyDescent="0.25">
      <c r="A1734" s="142">
        <v>45531</v>
      </c>
      <c r="B1734" s="81" t="s">
        <v>30</v>
      </c>
      <c r="C1734" s="129" t="str">
        <f t="shared" si="52"/>
        <v>27.08.2024_BOYohKi</v>
      </c>
      <c r="D1734" s="143">
        <f t="shared" si="53"/>
        <v>0</v>
      </c>
      <c r="E1734" s="144">
        <v>3.3204078701709036E-2</v>
      </c>
      <c r="F1734" s="159">
        <v>3.0645377776948746E-2</v>
      </c>
      <c r="G1734" s="146">
        <v>3.4788251235757767E-2</v>
      </c>
      <c r="H1734" s="146">
        <v>8.5069444444444448E-2</v>
      </c>
      <c r="I1734" s="147">
        <v>4.5190000000000001</v>
      </c>
      <c r="J1734" s="148">
        <v>1.0736186515631645</v>
      </c>
      <c r="K1734" s="149">
        <v>25.908000000000001</v>
      </c>
      <c r="L1734" s="149">
        <v>117.23099999999999</v>
      </c>
      <c r="M1734" s="136"/>
      <c r="N1734" s="135"/>
    </row>
    <row r="1735" spans="1:14" x14ac:dyDescent="0.25">
      <c r="A1735" s="142">
        <v>45531</v>
      </c>
      <c r="B1735" s="81" t="s">
        <v>32</v>
      </c>
      <c r="C1735" s="129" t="str">
        <f t="shared" si="52"/>
        <v>27.08.2024_BOYohSp</v>
      </c>
      <c r="D1735" s="143">
        <f t="shared" si="53"/>
        <v>0</v>
      </c>
      <c r="E1735" s="144">
        <v>0</v>
      </c>
      <c r="F1735" s="159">
        <v>3.957382750024642E-2</v>
      </c>
      <c r="G1735" s="146">
        <v>0.19216367349275715</v>
      </c>
      <c r="H1735" s="146">
        <v>0.11379419191919188</v>
      </c>
      <c r="I1735" s="147">
        <v>7.4560000000000004</v>
      </c>
      <c r="J1735" s="148">
        <v>1.8679445325601889</v>
      </c>
      <c r="K1735" s="149">
        <v>23.305</v>
      </c>
      <c r="L1735" s="149">
        <v>82.361000000000004</v>
      </c>
      <c r="M1735" s="136"/>
      <c r="N1735" s="135"/>
    </row>
    <row r="1736" spans="1:14" x14ac:dyDescent="0.25">
      <c r="A1736" s="142">
        <v>45531</v>
      </c>
      <c r="B1736" s="81" t="s">
        <v>34</v>
      </c>
      <c r="C1736" s="129" t="str">
        <f t="shared" si="52"/>
        <v>27.08.2024_BOYuhHa</v>
      </c>
      <c r="D1736" s="143">
        <f t="shared" si="53"/>
        <v>0</v>
      </c>
      <c r="E1736" s="144">
        <v>1.5625448800804239E-2</v>
      </c>
      <c r="F1736" s="159">
        <v>2.1207049149554763E-2</v>
      </c>
      <c r="G1736" s="146">
        <v>0.17725442296314672</v>
      </c>
      <c r="H1736" s="146">
        <v>7.7335858585858605E-2</v>
      </c>
      <c r="I1736" s="147">
        <v>4.3570000000000002</v>
      </c>
      <c r="J1736" s="148">
        <v>1.1452967790331186</v>
      </c>
      <c r="K1736" s="149">
        <v>38.966999999999999</v>
      </c>
      <c r="L1736" s="149">
        <v>205.77500000000001</v>
      </c>
      <c r="M1736" s="136"/>
      <c r="N1736" s="135"/>
    </row>
    <row r="1737" spans="1:14" x14ac:dyDescent="0.25">
      <c r="A1737" s="142">
        <v>45531</v>
      </c>
      <c r="B1737" s="81" t="s">
        <v>36</v>
      </c>
      <c r="C1737" s="129" t="str">
        <f t="shared" si="52"/>
        <v>27.08.2024_BOYuhSp</v>
      </c>
      <c r="D1737" s="143">
        <f t="shared" si="53"/>
        <v>0</v>
      </c>
      <c r="E1737" s="144">
        <v>0</v>
      </c>
      <c r="F1737" s="159">
        <v>3.6531086903972401E-2</v>
      </c>
      <c r="G1737" s="146">
        <v>0.27830600988606219</v>
      </c>
      <c r="H1737" s="146">
        <v>0.1701388888888889</v>
      </c>
      <c r="I1737" s="147">
        <v>6.74</v>
      </c>
      <c r="J1737" s="148">
        <v>1.7902644183386507</v>
      </c>
      <c r="K1737" s="149">
        <v>24.555</v>
      </c>
      <c r="L1737" s="149">
        <v>87.165000000000006</v>
      </c>
      <c r="M1737" s="136"/>
      <c r="N1737" s="135"/>
    </row>
    <row r="1738" spans="1:14" x14ac:dyDescent="0.25">
      <c r="A1738" s="142">
        <v>45531</v>
      </c>
      <c r="B1738" s="81" t="s">
        <v>38</v>
      </c>
      <c r="C1738" s="129" t="str">
        <f t="shared" si="52"/>
        <v>27.08.2024_BRAob</v>
      </c>
      <c r="D1738" s="143">
        <f t="shared" si="53"/>
        <v>0</v>
      </c>
      <c r="E1738" s="144">
        <v>4.4923165302312197E-2</v>
      </c>
      <c r="F1738" s="159">
        <v>2.4607273677244121E-2</v>
      </c>
      <c r="G1738" s="146">
        <v>0.11430425406034696</v>
      </c>
      <c r="H1738" s="146">
        <v>6.1868686868686851E-2</v>
      </c>
      <c r="I1738" s="147">
        <v>1.849</v>
      </c>
      <c r="J1738" s="148">
        <v>0.52522566195249043</v>
      </c>
      <c r="K1738" s="149">
        <v>34.409999999999997</v>
      </c>
      <c r="L1738" s="149">
        <v>115.822</v>
      </c>
      <c r="M1738" s="136"/>
      <c r="N1738" s="135"/>
    </row>
    <row r="1739" spans="1:14" x14ac:dyDescent="0.25">
      <c r="A1739" s="142">
        <v>45531</v>
      </c>
      <c r="B1739" s="81" t="s">
        <v>41</v>
      </c>
      <c r="C1739" s="129" t="str">
        <f t="shared" si="52"/>
        <v>27.08.2024_BRAohBo</v>
      </c>
      <c r="D1739" s="143">
        <f t="shared" si="53"/>
        <v>0</v>
      </c>
      <c r="E1739" s="144">
        <v>3.1250897601608478E-2</v>
      </c>
      <c r="F1739" s="159">
        <v>4.7472575737695415E-2</v>
      </c>
      <c r="G1739" s="146">
        <v>0.18139588144359411</v>
      </c>
      <c r="H1739" s="146">
        <v>0.20217803030303028</v>
      </c>
      <c r="I1739" s="147">
        <v>5.4710000000000001</v>
      </c>
      <c r="J1739" s="148">
        <v>1.4381399593078938</v>
      </c>
      <c r="K1739" s="149">
        <v>27.483000000000001</v>
      </c>
      <c r="L1739" s="149">
        <v>98.320999999999998</v>
      </c>
      <c r="M1739" s="136"/>
      <c r="N1739" s="135"/>
    </row>
    <row r="1740" spans="1:14" x14ac:dyDescent="0.25">
      <c r="A1740" s="142">
        <v>45531</v>
      </c>
      <c r="B1740" s="81" t="s">
        <v>43</v>
      </c>
      <c r="C1740" s="129" t="str">
        <f t="shared" si="52"/>
        <v>27.08.2024_HAAob</v>
      </c>
      <c r="D1740" s="143">
        <f t="shared" si="53"/>
        <v>0</v>
      </c>
      <c r="E1740" s="144">
        <v>0</v>
      </c>
      <c r="F1740" s="159">
        <v>2.0150331638280113E-2</v>
      </c>
      <c r="G1740" s="146">
        <v>1.6565833921789314E-3</v>
      </c>
      <c r="H1740" s="146">
        <v>4.1982323232323225E-2</v>
      </c>
      <c r="I1740" s="147">
        <v>0.20699999999999999</v>
      </c>
      <c r="J1740" s="148">
        <v>6.0822928746273819E-2</v>
      </c>
      <c r="K1740" s="149">
        <v>27.233000000000001</v>
      </c>
      <c r="L1740" s="149">
        <v>118.503</v>
      </c>
      <c r="M1740" s="136"/>
      <c r="N1740" s="135"/>
    </row>
    <row r="1741" spans="1:14" x14ac:dyDescent="0.25">
      <c r="A1741" s="142">
        <v>45531</v>
      </c>
      <c r="B1741" s="81" t="s">
        <v>45</v>
      </c>
      <c r="C1741" s="129" t="str">
        <f t="shared" si="52"/>
        <v>27.08.2024_HAAun</v>
      </c>
      <c r="D1741" s="143">
        <f t="shared" si="53"/>
        <v>0</v>
      </c>
      <c r="E1741" s="144">
        <v>0</v>
      </c>
      <c r="F1741" s="159">
        <v>1.7172103291734159E-2</v>
      </c>
      <c r="G1741" s="146">
        <v>9.6081836746378615E-2</v>
      </c>
      <c r="H1741" s="146">
        <v>5.4135101010100994E-2</v>
      </c>
      <c r="I1741" s="147">
        <v>0.70699999999999996</v>
      </c>
      <c r="J1741" s="148">
        <v>0.25077810691772079</v>
      </c>
      <c r="K1741" s="149">
        <v>31.321000000000002</v>
      </c>
      <c r="L1741" s="149">
        <v>236.608</v>
      </c>
      <c r="M1741" s="136"/>
      <c r="N1741" s="135"/>
    </row>
    <row r="1742" spans="1:14" x14ac:dyDescent="0.25">
      <c r="A1742" s="142">
        <v>45531</v>
      </c>
      <c r="B1742" s="81" t="s">
        <v>47</v>
      </c>
      <c r="C1742" s="129" t="str">
        <f t="shared" si="52"/>
        <v>27.08.2024_KIRob</v>
      </c>
      <c r="D1742" s="143">
        <f t="shared" si="53"/>
        <v>0</v>
      </c>
      <c r="E1742" s="144">
        <v>7.2267700703719712E-2</v>
      </c>
      <c r="F1742" s="159">
        <v>9.6481157353828471E-3</v>
      </c>
      <c r="G1742" s="146">
        <v>0.42077218161345109</v>
      </c>
      <c r="H1742" s="146">
        <v>0.19002525252525249</v>
      </c>
      <c r="I1742" s="147">
        <v>4.7050000000000001</v>
      </c>
      <c r="J1742" s="148">
        <v>1.4472969294323417</v>
      </c>
      <c r="K1742" s="149">
        <v>72.23</v>
      </c>
      <c r="L1742" s="149">
        <v>166.155</v>
      </c>
      <c r="M1742" s="136"/>
      <c r="N1742" s="135"/>
    </row>
    <row r="1743" spans="1:14" x14ac:dyDescent="0.25">
      <c r="A1743" s="142">
        <v>45531</v>
      </c>
      <c r="B1743" s="81" t="s">
        <v>49</v>
      </c>
      <c r="C1743" s="129" t="str">
        <f t="shared" si="52"/>
        <v>27.08.2024_KIRun</v>
      </c>
      <c r="D1743" s="143">
        <f t="shared" si="53"/>
        <v>0</v>
      </c>
      <c r="E1743" s="144">
        <v>0.12890995260663507</v>
      </c>
      <c r="F1743" s="159">
        <v>1.0548527656191508E-2</v>
      </c>
      <c r="G1743" s="146">
        <v>0.16400175582571522</v>
      </c>
      <c r="H1743" s="146">
        <v>0.1237373737373737</v>
      </c>
      <c r="I1743" s="147">
        <v>3.28</v>
      </c>
      <c r="J1743" s="148">
        <v>0.90587116681545288</v>
      </c>
      <c r="K1743" s="149">
        <v>52.567999999999998</v>
      </c>
      <c r="L1743" s="149">
        <v>143.04900000000001</v>
      </c>
      <c r="M1743" s="136"/>
      <c r="N1743" s="135"/>
    </row>
    <row r="1744" spans="1:14" x14ac:dyDescent="0.25">
      <c r="A1744" s="142">
        <v>45531</v>
      </c>
      <c r="B1744" s="81" t="s">
        <v>50</v>
      </c>
      <c r="C1744" s="129" t="str">
        <f t="shared" si="52"/>
        <v>27.08.2024_LIEohBo</v>
      </c>
      <c r="D1744" s="143">
        <f t="shared" si="53"/>
        <v>0</v>
      </c>
      <c r="E1744" s="144">
        <v>4.1016803102111157E-2</v>
      </c>
      <c r="F1744" s="159">
        <v>2.0613293030121063E-2</v>
      </c>
      <c r="G1744" s="146">
        <v>1.9050709010057797E-2</v>
      </c>
      <c r="H1744" s="146">
        <v>6.6287878787878785E-2</v>
      </c>
      <c r="I1744" s="147">
        <v>8.1050000000000004</v>
      </c>
      <c r="J1744" s="148">
        <v>1.8656503797361894</v>
      </c>
      <c r="K1744" s="149">
        <v>21.902000000000001</v>
      </c>
      <c r="L1744" s="149">
        <v>80.91</v>
      </c>
      <c r="M1744" s="136"/>
      <c r="N1744" s="135"/>
    </row>
    <row r="1745" spans="1:14" x14ac:dyDescent="0.25">
      <c r="A1745" s="142">
        <v>45531</v>
      </c>
      <c r="B1745" s="81" t="s">
        <v>53</v>
      </c>
      <c r="C1745" s="129" t="str">
        <f t="shared" si="52"/>
        <v>27.08.2024_NATohBo</v>
      </c>
      <c r="D1745" s="143">
        <f t="shared" si="53"/>
        <v>0</v>
      </c>
      <c r="E1745" s="144">
        <v>0</v>
      </c>
      <c r="F1745" s="159">
        <v>2.490979774621924E-2</v>
      </c>
      <c r="G1745" s="146">
        <v>0.33048838673969877</v>
      </c>
      <c r="H1745" s="146">
        <v>7.5126262626262624E-2</v>
      </c>
      <c r="I1745" s="147">
        <v>2.7160000000000002</v>
      </c>
      <c r="J1745" s="148">
        <v>0.89295603807607438</v>
      </c>
      <c r="K1745" s="149">
        <v>96.628</v>
      </c>
      <c r="L1745" s="149">
        <v>621.90200000000004</v>
      </c>
      <c r="M1745" s="136"/>
      <c r="N1745" s="135"/>
    </row>
    <row r="1746" spans="1:14" x14ac:dyDescent="0.25">
      <c r="A1746" s="142">
        <v>45531</v>
      </c>
      <c r="B1746" s="81" t="s">
        <v>55</v>
      </c>
      <c r="C1746" s="129" t="str">
        <f t="shared" si="52"/>
        <v>27.08.2024_QUAohBo</v>
      </c>
      <c r="D1746" s="143">
        <f t="shared" si="53"/>
        <v>0</v>
      </c>
      <c r="E1746" s="144">
        <v>0</v>
      </c>
      <c r="F1746" s="159">
        <v>1.9189521390746572E-2</v>
      </c>
      <c r="G1746" s="146">
        <v>0.13915300494303107</v>
      </c>
      <c r="H1746" s="146">
        <v>9.9431818181818163E-2</v>
      </c>
      <c r="I1746" s="147">
        <v>1.1000000000000001</v>
      </c>
      <c r="J1746" s="148">
        <v>0.38677993385366877</v>
      </c>
      <c r="K1746" s="149">
        <v>26.157</v>
      </c>
      <c r="L1746" s="149">
        <v>91.393000000000001</v>
      </c>
      <c r="M1746" s="136"/>
      <c r="N1746" s="135"/>
    </row>
    <row r="1747" spans="1:14" x14ac:dyDescent="0.25">
      <c r="A1747" s="142">
        <v>45531</v>
      </c>
      <c r="B1747" s="81" t="s">
        <v>57</v>
      </c>
      <c r="C1747" s="129" t="str">
        <f t="shared" si="52"/>
        <v>27.08.2024_SCHohVo</v>
      </c>
      <c r="D1747" s="143">
        <f t="shared" si="53"/>
        <v>0</v>
      </c>
      <c r="E1747" s="144">
        <v>3.5157259801809559E-2</v>
      </c>
      <c r="F1747" s="159">
        <v>5.0812476845843495E-2</v>
      </c>
      <c r="G1747" s="146">
        <v>8.4485753001125985E-2</v>
      </c>
      <c r="H1747" s="146">
        <v>8.7279040404040442E-2</v>
      </c>
      <c r="I1747" s="147">
        <v>1.627</v>
      </c>
      <c r="J1747" s="148">
        <v>0.4596649361988544</v>
      </c>
      <c r="K1747" s="149">
        <v>22.745000000000001</v>
      </c>
      <c r="L1747" s="149">
        <v>62.875</v>
      </c>
      <c r="M1747" s="136"/>
      <c r="N1747" s="135"/>
    </row>
    <row r="1748" spans="1:14" x14ac:dyDescent="0.25">
      <c r="A1748" s="142">
        <v>45531</v>
      </c>
      <c r="B1748" s="81" t="s">
        <v>60</v>
      </c>
      <c r="C1748" s="129" t="str">
        <f t="shared" si="52"/>
        <v>27.08.2024_VORohBo</v>
      </c>
      <c r="D1748" s="143">
        <f t="shared" si="53"/>
        <v>0</v>
      </c>
      <c r="E1748" s="144">
        <v>0</v>
      </c>
      <c r="F1748" s="159">
        <v>9.7215114450261431E-3</v>
      </c>
      <c r="G1748" s="146">
        <v>0.52099547684027714</v>
      </c>
      <c r="H1748" s="146">
        <v>9.7222222222222168E-2</v>
      </c>
      <c r="I1748" s="147">
        <v>1.3180000000000001</v>
      </c>
      <c r="J1748" s="148">
        <v>0.73184374336726232</v>
      </c>
      <c r="K1748" s="149">
        <v>32.646000000000001</v>
      </c>
      <c r="L1748" s="149">
        <v>214.72900000000001</v>
      </c>
      <c r="M1748" s="136"/>
      <c r="N1748" s="135"/>
    </row>
    <row r="1749" spans="1:14" x14ac:dyDescent="0.25">
      <c r="A1749" s="142">
        <v>45531</v>
      </c>
      <c r="B1749" s="81" t="s">
        <v>62</v>
      </c>
      <c r="C1749" s="129" t="str">
        <f t="shared" si="52"/>
        <v>27.08.2024_VORuhSc</v>
      </c>
      <c r="D1749" s="143">
        <f t="shared" si="53"/>
        <v>0</v>
      </c>
      <c r="E1749" s="144">
        <v>2.1484992101105837E-2</v>
      </c>
      <c r="F1749" s="159">
        <v>8.0599149301807168E-3</v>
      </c>
      <c r="G1749" s="146">
        <v>0.36776151306372501</v>
      </c>
      <c r="H1749" s="146">
        <v>6.1868686868686851E-2</v>
      </c>
      <c r="I1749" s="147">
        <v>0.52800000000000002</v>
      </c>
      <c r="J1749" s="148">
        <v>0.42365841899602352</v>
      </c>
      <c r="K1749" s="149">
        <v>27.91</v>
      </c>
      <c r="L1749" s="149">
        <v>210.328</v>
      </c>
      <c r="M1749" s="136"/>
      <c r="N1749" s="135"/>
    </row>
    <row r="1750" spans="1:14" x14ac:dyDescent="0.25">
      <c r="A1750" s="142">
        <v>45531</v>
      </c>
      <c r="B1750" s="81" t="s">
        <v>64</v>
      </c>
      <c r="C1750" s="129" t="str">
        <f t="shared" si="52"/>
        <v>27.08.2024_WITob</v>
      </c>
      <c r="D1750" s="143">
        <f t="shared" si="53"/>
        <v>0</v>
      </c>
      <c r="E1750" s="144">
        <v>0</v>
      </c>
      <c r="F1750" s="159">
        <v>9.5442390516283088E-3</v>
      </c>
      <c r="G1750" s="146">
        <v>0.29238696871958308</v>
      </c>
      <c r="H1750" s="146">
        <v>4.5296717171717168E-2</v>
      </c>
      <c r="I1750" s="147">
        <v>0.44800000000000001</v>
      </c>
      <c r="J1750" s="148">
        <v>0.34201590288399836</v>
      </c>
      <c r="K1750" s="149">
        <v>64.975999999999999</v>
      </c>
      <c r="L1750" s="149">
        <v>261.26900000000001</v>
      </c>
      <c r="M1750" s="136"/>
      <c r="N1750" s="135"/>
    </row>
    <row r="1751" spans="1:14" x14ac:dyDescent="0.25">
      <c r="A1751" s="142">
        <v>45544</v>
      </c>
      <c r="B1751" s="81" t="s">
        <v>22</v>
      </c>
      <c r="C1751" s="129" t="str">
        <f t="shared" si="52"/>
        <v>09.09.2024_BOYkl</v>
      </c>
      <c r="D1751" s="143">
        <f t="shared" si="53"/>
        <v>0</v>
      </c>
      <c r="E1751" s="144">
        <v>0.1261085430576955</v>
      </c>
      <c r="F1751" s="159">
        <v>7.0503248677642336E-2</v>
      </c>
      <c r="G1751" s="146">
        <v>7.5466463474200454E-2</v>
      </c>
      <c r="H1751" s="146">
        <v>0.21200096315916206</v>
      </c>
      <c r="I1751" s="147">
        <v>20.815999999999999</v>
      </c>
      <c r="J1751" s="148">
        <v>4.8248525674568885</v>
      </c>
      <c r="K1751" s="149">
        <v>21.815999999999999</v>
      </c>
      <c r="L1751" s="149">
        <v>45.45</v>
      </c>
      <c r="M1751" s="136"/>
      <c r="N1751" s="135"/>
    </row>
    <row r="1752" spans="1:14" x14ac:dyDescent="0.25">
      <c r="A1752" s="142">
        <v>45544</v>
      </c>
      <c r="B1752" s="81" t="s">
        <v>25</v>
      </c>
      <c r="C1752" s="129" t="str">
        <f t="shared" si="52"/>
        <v>09.09.2024_BOYohB224</v>
      </c>
      <c r="D1752" s="143">
        <f t="shared" si="53"/>
        <v>0</v>
      </c>
      <c r="E1752" s="144">
        <v>6.7402841979113198E-2</v>
      </c>
      <c r="F1752" s="159">
        <v>0.11026991886208226</v>
      </c>
      <c r="G1752" s="146">
        <v>0.16110818045054026</v>
      </c>
      <c r="H1752" s="146">
        <v>9.2174331808331303E-2</v>
      </c>
      <c r="I1752" s="147">
        <v>1.8520000000000001</v>
      </c>
      <c r="J1752" s="148">
        <v>0.57147260635708652</v>
      </c>
      <c r="K1752" s="149">
        <v>30.01</v>
      </c>
      <c r="L1752" s="149">
        <v>147.636</v>
      </c>
      <c r="M1752" s="136"/>
      <c r="N1752" s="135"/>
    </row>
    <row r="1753" spans="1:14" x14ac:dyDescent="0.25">
      <c r="A1753" s="142">
        <v>45544</v>
      </c>
      <c r="B1753" s="81" t="s">
        <v>28</v>
      </c>
      <c r="C1753" s="129" t="str">
        <f t="shared" si="52"/>
        <v>09.09.2024_BOYohBr</v>
      </c>
      <c r="D1753" s="143">
        <f t="shared" si="53"/>
        <v>0</v>
      </c>
      <c r="E1753" s="144">
        <v>0</v>
      </c>
      <c r="F1753" s="159">
        <v>2.4696346949250752E-2</v>
      </c>
      <c r="G1753" s="146">
        <v>5.9355645429146432E-2</v>
      </c>
      <c r="H1753" s="146">
        <v>0.10753672044305321</v>
      </c>
      <c r="I1753" s="147">
        <v>7.7759999999999998</v>
      </c>
      <c r="J1753" s="148">
        <v>1.8351937396581655</v>
      </c>
      <c r="K1753" s="149">
        <v>27.748999999999999</v>
      </c>
      <c r="L1753" s="149">
        <v>71.662999999999997</v>
      </c>
      <c r="M1753" s="136"/>
      <c r="N1753" s="135"/>
    </row>
    <row r="1754" spans="1:14" x14ac:dyDescent="0.25">
      <c r="A1754" s="142">
        <v>45544</v>
      </c>
      <c r="B1754" s="81" t="s">
        <v>30</v>
      </c>
      <c r="C1754" s="129" t="str">
        <f t="shared" si="52"/>
        <v>09.09.2024_BOYohKi</v>
      </c>
      <c r="D1754" s="143">
        <f t="shared" si="53"/>
        <v>0</v>
      </c>
      <c r="E1754" s="144">
        <v>0</v>
      </c>
      <c r="F1754" s="159">
        <v>2.4684310133685525E-2</v>
      </c>
      <c r="G1754" s="146">
        <v>3.6461325049332804E-2</v>
      </c>
      <c r="H1754" s="146">
        <v>8.2956898627498207E-2</v>
      </c>
      <c r="I1754" s="147">
        <v>3.2269999999999999</v>
      </c>
      <c r="J1754" s="148">
        <v>0.78245057207469826</v>
      </c>
      <c r="K1754" s="149">
        <v>27.414999999999999</v>
      </c>
      <c r="L1754" s="149">
        <v>109.99</v>
      </c>
      <c r="M1754" s="136"/>
      <c r="N1754" s="135"/>
    </row>
    <row r="1755" spans="1:14" x14ac:dyDescent="0.25">
      <c r="A1755" s="142">
        <v>45544</v>
      </c>
      <c r="B1755" s="81" t="s">
        <v>32</v>
      </c>
      <c r="C1755" s="129" t="str">
        <f t="shared" si="52"/>
        <v>09.09.2024_BOYohSp</v>
      </c>
      <c r="D1755" s="143">
        <f t="shared" si="53"/>
        <v>0</v>
      </c>
      <c r="E1755" s="144">
        <v>2.6091422701592166E-2</v>
      </c>
      <c r="F1755" s="159">
        <v>4.4045451478463074E-2</v>
      </c>
      <c r="G1755" s="146">
        <v>8.394584139264992E-2</v>
      </c>
      <c r="H1755" s="146">
        <v>0.10548840195842359</v>
      </c>
      <c r="I1755" s="147">
        <v>7.0519999999999996</v>
      </c>
      <c r="J1755" s="148">
        <v>1.6901342903592205</v>
      </c>
      <c r="K1755" s="149">
        <v>33.127000000000002</v>
      </c>
      <c r="L1755" s="149">
        <v>89.155000000000001</v>
      </c>
      <c r="M1755" s="136"/>
      <c r="N1755" s="135"/>
    </row>
    <row r="1756" spans="1:14" x14ac:dyDescent="0.25">
      <c r="A1756" s="142">
        <v>45544</v>
      </c>
      <c r="B1756" s="81" t="s">
        <v>34</v>
      </c>
      <c r="C1756" s="129" t="str">
        <f t="shared" si="52"/>
        <v>09.09.2024_BOYuhHa</v>
      </c>
      <c r="D1756" s="143">
        <f t="shared" si="53"/>
        <v>0</v>
      </c>
      <c r="E1756" s="144">
        <v>1.0871426125663391E-2</v>
      </c>
      <c r="F1756" s="159">
        <v>1.9555388745793358E-2</v>
      </c>
      <c r="G1756" s="146">
        <v>0.12803860656858723</v>
      </c>
      <c r="H1756" s="146">
        <v>8.7053535596757395E-2</v>
      </c>
      <c r="I1756" s="147">
        <v>3.254</v>
      </c>
      <c r="J1756" s="148">
        <v>0.86090512652687512</v>
      </c>
      <c r="K1756" s="149">
        <v>35.44</v>
      </c>
      <c r="L1756" s="149">
        <v>185.99199999999999</v>
      </c>
      <c r="M1756" s="136"/>
      <c r="N1756" s="135"/>
    </row>
    <row r="1757" spans="1:14" x14ac:dyDescent="0.25">
      <c r="A1757" s="142">
        <v>45544</v>
      </c>
      <c r="B1757" s="81" t="s">
        <v>36</v>
      </c>
      <c r="C1757" s="129" t="str">
        <f t="shared" si="52"/>
        <v>09.09.2024_BOYuhSp</v>
      </c>
      <c r="D1757" s="143">
        <f t="shared" si="53"/>
        <v>0</v>
      </c>
      <c r="E1757" s="144">
        <v>0</v>
      </c>
      <c r="F1757" s="159">
        <v>2.5929731212427407E-2</v>
      </c>
      <c r="G1757" s="146">
        <v>0.13990973565441656</v>
      </c>
      <c r="H1757" s="146">
        <v>0.15874468255879287</v>
      </c>
      <c r="I1757" s="147">
        <v>4.5659999999999998</v>
      </c>
      <c r="J1757" s="148">
        <v>1.1882907492433223</v>
      </c>
      <c r="K1757" s="149">
        <v>24.798999999999999</v>
      </c>
      <c r="L1757" s="149">
        <v>82.551000000000002</v>
      </c>
      <c r="M1757" s="136"/>
      <c r="N1757" s="135"/>
    </row>
    <row r="1758" spans="1:14" x14ac:dyDescent="0.25">
      <c r="A1758" s="142">
        <v>45544</v>
      </c>
      <c r="B1758" s="81" t="s">
        <v>38</v>
      </c>
      <c r="C1758" s="129" t="str">
        <f t="shared" si="52"/>
        <v>09.09.2024_BRAob</v>
      </c>
      <c r="D1758" s="143">
        <f t="shared" si="53"/>
        <v>0</v>
      </c>
      <c r="E1758" s="144">
        <v>0</v>
      </c>
      <c r="F1758" s="159">
        <v>2.1205844383095428E-2</v>
      </c>
      <c r="G1758" s="146">
        <v>4.7484516343317157E-2</v>
      </c>
      <c r="H1758" s="146">
        <v>5.9401236054257948E-2</v>
      </c>
      <c r="I1758" s="147">
        <v>1.6339999999999999</v>
      </c>
      <c r="J1758" s="148">
        <v>0.42402753841214114</v>
      </c>
      <c r="K1758" s="149">
        <v>34.154000000000003</v>
      </c>
      <c r="L1758" s="149">
        <v>115.20399999999999</v>
      </c>
      <c r="M1758" s="136"/>
      <c r="N1758" s="135"/>
    </row>
    <row r="1759" spans="1:14" x14ac:dyDescent="0.25">
      <c r="A1759" s="142">
        <v>45544</v>
      </c>
      <c r="B1759" s="81" t="s">
        <v>41</v>
      </c>
      <c r="C1759" s="129" t="str">
        <f t="shared" si="52"/>
        <v>09.09.2024_BRAohBo</v>
      </c>
      <c r="D1759" s="143">
        <f t="shared" si="53"/>
        <v>0</v>
      </c>
      <c r="E1759" s="144">
        <v>0</v>
      </c>
      <c r="F1759" s="159">
        <v>4.2466282533930172E-2</v>
      </c>
      <c r="G1759" s="146">
        <v>0.17552312291190436</v>
      </c>
      <c r="H1759" s="146">
        <v>0.19971105225138455</v>
      </c>
      <c r="I1759" s="147">
        <v>4.0990000000000002</v>
      </c>
      <c r="J1759" s="148">
        <v>1.1229351095677986</v>
      </c>
      <c r="K1759" s="149">
        <v>22.841999999999999</v>
      </c>
      <c r="L1759" s="149">
        <v>101.14</v>
      </c>
      <c r="M1759" s="136"/>
      <c r="N1759" s="135"/>
    </row>
    <row r="1760" spans="1:14" x14ac:dyDescent="0.25">
      <c r="A1760" s="142">
        <v>45544</v>
      </c>
      <c r="B1760" s="81" t="s">
        <v>43</v>
      </c>
      <c r="C1760" s="129" t="str">
        <f t="shared" si="52"/>
        <v>09.09.2024_HAAob</v>
      </c>
      <c r="D1760" s="143">
        <f t="shared" si="53"/>
        <v>0</v>
      </c>
      <c r="E1760" s="144">
        <v>0</v>
      </c>
      <c r="F1760" s="159">
        <v>2.7372213994803982E-2</v>
      </c>
      <c r="G1760" s="146">
        <v>0</v>
      </c>
      <c r="H1760" s="146">
        <v>3.9942210450276905E-2</v>
      </c>
      <c r="I1760" s="147">
        <v>8.2000000000000003E-2</v>
      </c>
      <c r="J1760" s="148">
        <v>3.0681745971586804E-2</v>
      </c>
      <c r="K1760" s="149">
        <v>28.065999999999999</v>
      </c>
      <c r="L1760" s="149">
        <v>131.102</v>
      </c>
      <c r="M1760" s="136"/>
      <c r="N1760" s="135"/>
    </row>
    <row r="1761" spans="1:14" x14ac:dyDescent="0.25">
      <c r="A1761" s="142">
        <v>45544</v>
      </c>
      <c r="B1761" s="81" t="s">
        <v>45</v>
      </c>
      <c r="C1761" s="129" t="str">
        <f t="shared" si="52"/>
        <v>09.09.2024_HAAun</v>
      </c>
      <c r="D1761" s="143">
        <f t="shared" si="53"/>
        <v>0</v>
      </c>
      <c r="E1761" s="144">
        <v>0</v>
      </c>
      <c r="F1761" s="159">
        <v>2.4069239318025359E-2</v>
      </c>
      <c r="G1761" s="146">
        <v>0.1237989176093625</v>
      </c>
      <c r="H1761" s="146">
        <v>5.2232121358054398E-2</v>
      </c>
      <c r="I1761" s="147">
        <v>0.39600000000000002</v>
      </c>
      <c r="J1761" s="148">
        <v>0.20147521088195355</v>
      </c>
      <c r="K1761" s="149">
        <v>31.818999999999999</v>
      </c>
      <c r="L1761" s="149">
        <v>234.58099999999999</v>
      </c>
      <c r="M1761" s="136"/>
      <c r="N1761" s="135"/>
    </row>
    <row r="1762" spans="1:14" x14ac:dyDescent="0.25">
      <c r="A1762" s="142">
        <v>45544</v>
      </c>
      <c r="B1762" s="81" t="s">
        <v>47</v>
      </c>
      <c r="C1762" s="129" t="str">
        <f t="shared" si="52"/>
        <v>09.09.2024_KIRob</v>
      </c>
      <c r="D1762" s="143">
        <f t="shared" si="53"/>
        <v>0</v>
      </c>
      <c r="E1762" s="144">
        <v>0</v>
      </c>
      <c r="F1762" s="159">
        <v>1.0844121869165842E-2</v>
      </c>
      <c r="G1762" s="146">
        <v>0.44092765175937332</v>
      </c>
      <c r="H1762" s="146">
        <v>0.25399149209406857</v>
      </c>
      <c r="I1762" s="147">
        <v>4.43</v>
      </c>
      <c r="J1762" s="148">
        <v>1.4203077220826748</v>
      </c>
      <c r="K1762" s="149">
        <v>71.11</v>
      </c>
      <c r="L1762" s="149">
        <v>147.00800000000001</v>
      </c>
      <c r="M1762" s="136"/>
      <c r="N1762" s="135"/>
    </row>
    <row r="1763" spans="1:14" x14ac:dyDescent="0.25">
      <c r="A1763" s="142">
        <v>45544</v>
      </c>
      <c r="B1763" s="81" t="s">
        <v>49</v>
      </c>
      <c r="C1763" s="129" t="str">
        <f t="shared" si="52"/>
        <v>09.09.2024_KIRun</v>
      </c>
      <c r="D1763" s="143">
        <f t="shared" si="53"/>
        <v>0</v>
      </c>
      <c r="E1763" s="144">
        <v>2.8265707926724837E-2</v>
      </c>
      <c r="F1763" s="159">
        <v>1.1396013880898958E-2</v>
      </c>
      <c r="G1763" s="146">
        <v>0.13651798448703678</v>
      </c>
      <c r="H1763" s="146">
        <v>0.13826149771249702</v>
      </c>
      <c r="I1763" s="147">
        <v>3.3820000000000001</v>
      </c>
      <c r="J1763" s="148">
        <v>0.91199090275290884</v>
      </c>
      <c r="K1763" s="149">
        <v>54.246000000000002</v>
      </c>
      <c r="L1763" s="149">
        <v>146.88999999999999</v>
      </c>
      <c r="M1763" s="136"/>
      <c r="N1763" s="135"/>
    </row>
    <row r="1764" spans="1:14" x14ac:dyDescent="0.25">
      <c r="A1764" s="142">
        <v>45544</v>
      </c>
      <c r="B1764" s="81" t="s">
        <v>50</v>
      </c>
      <c r="C1764" s="129" t="str">
        <f t="shared" si="52"/>
        <v>09.09.2024_LIEohBo</v>
      </c>
      <c r="D1764" s="143">
        <f t="shared" si="53"/>
        <v>0</v>
      </c>
      <c r="E1764" s="144">
        <v>0</v>
      </c>
      <c r="F1764" s="159">
        <v>3.2330808629077806E-2</v>
      </c>
      <c r="G1764" s="146">
        <v>6.8682961139440835E-2</v>
      </c>
      <c r="H1764" s="146">
        <v>0.12187494983546029</v>
      </c>
      <c r="I1764" s="147">
        <v>7.1269999999999998</v>
      </c>
      <c r="J1764" s="148">
        <v>1.7002119509725702</v>
      </c>
      <c r="K1764" s="149">
        <v>24.419</v>
      </c>
      <c r="L1764" s="149">
        <v>77.572000000000003</v>
      </c>
      <c r="M1764" s="136"/>
      <c r="N1764" s="135"/>
    </row>
    <row r="1765" spans="1:14" x14ac:dyDescent="0.25">
      <c r="A1765" s="142">
        <v>45544</v>
      </c>
      <c r="B1765" s="81" t="s">
        <v>53</v>
      </c>
      <c r="C1765" s="129" t="str">
        <f t="shared" si="52"/>
        <v>09.09.2024_NATohBo</v>
      </c>
      <c r="D1765" s="143">
        <f t="shared" si="53"/>
        <v>0</v>
      </c>
      <c r="E1765" s="144">
        <v>4.3485704502653655E-2</v>
      </c>
      <c r="F1765" s="159">
        <v>2.2991978090621583E-2</v>
      </c>
      <c r="G1765" s="146">
        <v>0.38581169528945164</v>
      </c>
      <c r="H1765" s="146">
        <v>8.1932739385183403E-2</v>
      </c>
      <c r="I1765" s="147">
        <v>2.37</v>
      </c>
      <c r="J1765" s="148">
        <v>0.85983524578112536</v>
      </c>
      <c r="K1765" s="149">
        <v>95.349000000000004</v>
      </c>
      <c r="L1765" s="149">
        <v>604.88199999999995</v>
      </c>
      <c r="M1765" s="136"/>
      <c r="N1765" s="135"/>
    </row>
    <row r="1766" spans="1:14" x14ac:dyDescent="0.25">
      <c r="A1766" s="142">
        <v>45544</v>
      </c>
      <c r="B1766" s="81" t="s">
        <v>55</v>
      </c>
      <c r="C1766" s="129" t="str">
        <f t="shared" si="52"/>
        <v>09.09.2024_QUAohBo</v>
      </c>
      <c r="D1766" s="143">
        <f t="shared" si="53"/>
        <v>0</v>
      </c>
      <c r="E1766" s="144">
        <v>2.1742852251326782E-2</v>
      </c>
      <c r="F1766" s="159">
        <v>1.8918332498588975E-2</v>
      </c>
      <c r="G1766" s="146">
        <v>4.6636578551472192E-2</v>
      </c>
      <c r="H1766" s="146">
        <v>7.5787783931294636E-2</v>
      </c>
      <c r="I1766" s="147">
        <v>0.621</v>
      </c>
      <c r="J1766" s="148">
        <v>0.19955169769731529</v>
      </c>
      <c r="K1766" s="149">
        <v>29.337</v>
      </c>
      <c r="L1766" s="149">
        <v>92.834999999999994</v>
      </c>
      <c r="M1766" s="136"/>
      <c r="N1766" s="135"/>
    </row>
    <row r="1767" spans="1:14" x14ac:dyDescent="0.25">
      <c r="A1767" s="142">
        <v>45544</v>
      </c>
      <c r="B1767" s="81" t="s">
        <v>57</v>
      </c>
      <c r="C1767" s="129" t="str">
        <f t="shared" si="52"/>
        <v>09.09.2024_SCHohVo</v>
      </c>
      <c r="D1767" s="143">
        <f t="shared" si="53"/>
        <v>0</v>
      </c>
      <c r="E1767" s="144">
        <v>0</v>
      </c>
      <c r="F1767" s="159">
        <v>3.2954840545218134E-2</v>
      </c>
      <c r="G1767" s="146">
        <v>0</v>
      </c>
      <c r="H1767" s="146">
        <v>7.0666987719720686E-2</v>
      </c>
      <c r="I1767" s="147">
        <v>1.544</v>
      </c>
      <c r="J1767" s="148">
        <v>0.37025784441126897</v>
      </c>
      <c r="K1767" s="149">
        <v>20.323</v>
      </c>
      <c r="L1767" s="149">
        <v>53.506</v>
      </c>
      <c r="M1767" s="136"/>
      <c r="N1767" s="135"/>
    </row>
    <row r="1768" spans="1:14" x14ac:dyDescent="0.25">
      <c r="A1768" s="142">
        <v>45544</v>
      </c>
      <c r="B1768" s="81" t="s">
        <v>60</v>
      </c>
      <c r="C1768" s="129" t="str">
        <f t="shared" si="52"/>
        <v>09.09.2024_VORohBo</v>
      </c>
      <c r="D1768" s="143">
        <f t="shared" si="53"/>
        <v>0</v>
      </c>
      <c r="E1768" s="144">
        <v>0</v>
      </c>
      <c r="F1768" s="159">
        <v>9.4608169145678905E-3</v>
      </c>
      <c r="G1768" s="146">
        <v>0.39005138424867647</v>
      </c>
      <c r="H1768" s="146">
        <v>9.7295128019905253E-2</v>
      </c>
      <c r="I1768" s="147">
        <v>1.1619999999999999</v>
      </c>
      <c r="J1768" s="148">
        <v>0.59495344108091497</v>
      </c>
      <c r="K1768" s="149">
        <v>30.22</v>
      </c>
      <c r="L1768" s="149">
        <v>181.48</v>
      </c>
      <c r="M1768" s="136"/>
      <c r="N1768" s="135"/>
    </row>
    <row r="1769" spans="1:14" x14ac:dyDescent="0.25">
      <c r="A1769" s="142">
        <v>45544</v>
      </c>
      <c r="B1769" s="81" t="s">
        <v>62</v>
      </c>
      <c r="C1769" s="129" t="str">
        <f t="shared" si="52"/>
        <v>09.09.2024_VORuhSc</v>
      </c>
      <c r="D1769" s="143">
        <f t="shared" si="53"/>
        <v>0</v>
      </c>
      <c r="E1769" s="144">
        <v>0</v>
      </c>
      <c r="F1769" s="159">
        <v>9.7331423849687827E-3</v>
      </c>
      <c r="G1769" s="146">
        <v>0.37818025516284709</v>
      </c>
      <c r="H1769" s="146">
        <v>7.4763624688979874E-2</v>
      </c>
      <c r="I1769" s="147">
        <v>0.56799999999999995</v>
      </c>
      <c r="J1769" s="148">
        <v>0.44470913186795902</v>
      </c>
      <c r="K1769" s="149">
        <v>29.31</v>
      </c>
      <c r="L1769" s="149">
        <v>179.81299999999999</v>
      </c>
      <c r="M1769" s="136"/>
      <c r="N1769" s="135"/>
    </row>
    <row r="1770" spans="1:14" x14ac:dyDescent="0.25">
      <c r="A1770" s="142">
        <v>45544</v>
      </c>
      <c r="B1770" s="81" t="s">
        <v>64</v>
      </c>
      <c r="C1770" s="129" t="str">
        <f t="shared" si="52"/>
        <v>09.09.2024_WITob</v>
      </c>
      <c r="D1770" s="143">
        <f t="shared" si="53"/>
        <v>0</v>
      </c>
      <c r="E1770" s="144">
        <v>0</v>
      </c>
      <c r="F1770" s="159">
        <v>1.1021400391118256E-2</v>
      </c>
      <c r="G1770" s="146">
        <v>8.6489654768184765E-2</v>
      </c>
      <c r="H1770" s="146">
        <v>4.4038847419536092E-2</v>
      </c>
      <c r="I1770" s="147">
        <v>0.224</v>
      </c>
      <c r="J1770" s="148">
        <v>0.13116085912782555</v>
      </c>
      <c r="K1770" s="149">
        <v>65.48</v>
      </c>
      <c r="L1770" s="149">
        <v>247.63200000000001</v>
      </c>
      <c r="M1770" s="136"/>
      <c r="N1770" s="135"/>
    </row>
    <row r="1771" spans="1:14" x14ac:dyDescent="0.25">
      <c r="A1771" s="142">
        <v>45558</v>
      </c>
      <c r="B1771" s="81" t="s">
        <v>22</v>
      </c>
      <c r="C1771" s="129" t="str">
        <f t="shared" si="52"/>
        <v>23.09.2024_BOYkl</v>
      </c>
      <c r="D1771" s="143">
        <f t="shared" si="53"/>
        <v>0</v>
      </c>
      <c r="E1771" s="144">
        <v>0.16682684691344987</v>
      </c>
      <c r="F1771" s="159">
        <v>8.0941632619292256E-2</v>
      </c>
      <c r="G1771" s="146">
        <v>3.8049706684711838E-2</v>
      </c>
      <c r="H1771" s="146">
        <v>8.639531097362424E-2</v>
      </c>
      <c r="I1771" s="147">
        <v>19.922999999999998</v>
      </c>
      <c r="J1771" s="148">
        <v>4.5558562791695314</v>
      </c>
      <c r="K1771" s="149">
        <v>21.545999999999999</v>
      </c>
      <c r="L1771" s="149">
        <v>46.61</v>
      </c>
      <c r="M1771" s="136"/>
      <c r="N1771" s="135"/>
    </row>
    <row r="1772" spans="1:14" x14ac:dyDescent="0.25">
      <c r="A1772" s="142">
        <v>45558</v>
      </c>
      <c r="B1772" s="81" t="s">
        <v>25</v>
      </c>
      <c r="C1772" s="129" t="str">
        <f t="shared" si="52"/>
        <v>23.09.2024_BOYohB224</v>
      </c>
      <c r="D1772" s="143">
        <f t="shared" si="53"/>
        <v>0</v>
      </c>
      <c r="E1772" s="144">
        <v>4.9289750224428386E-2</v>
      </c>
      <c r="F1772" s="159">
        <v>1.4470068460964497E-2</v>
      </c>
      <c r="G1772" s="146">
        <v>0.13977443271934967</v>
      </c>
      <c r="H1772" s="146">
        <v>2.8798436991208036E-2</v>
      </c>
      <c r="I1772" s="147">
        <v>3.1829999999999998</v>
      </c>
      <c r="J1772" s="148">
        <v>0.83624534340422108</v>
      </c>
      <c r="K1772" s="149">
        <v>33.825000000000003</v>
      </c>
      <c r="L1772" s="149">
        <v>179.13800000000001</v>
      </c>
      <c r="M1772" s="136"/>
      <c r="N1772" s="135"/>
    </row>
    <row r="1773" spans="1:14" x14ac:dyDescent="0.25">
      <c r="A1773" s="142">
        <v>45558</v>
      </c>
      <c r="B1773" s="81" t="s">
        <v>28</v>
      </c>
      <c r="C1773" s="129" t="str">
        <f t="shared" si="52"/>
        <v>23.09.2024_BOYohBr</v>
      </c>
      <c r="D1773" s="143">
        <f t="shared" si="53"/>
        <v>0</v>
      </c>
      <c r="E1773" s="144">
        <v>0</v>
      </c>
      <c r="F1773" s="159">
        <v>2.0578389721055385E-2</v>
      </c>
      <c r="G1773" s="146">
        <v>7.0663740985893453E-2</v>
      </c>
      <c r="H1773" s="146">
        <v>3.141647671768151E-2</v>
      </c>
      <c r="I1773" s="147">
        <v>8.2409999999999997</v>
      </c>
      <c r="J1773" s="148">
        <v>1.9258291045748344</v>
      </c>
      <c r="K1773" s="149">
        <v>17.741</v>
      </c>
      <c r="L1773" s="149">
        <v>71.049000000000007</v>
      </c>
      <c r="M1773" s="136"/>
      <c r="N1773" s="135"/>
    </row>
    <row r="1774" spans="1:14" x14ac:dyDescent="0.25">
      <c r="A1774" s="142">
        <v>45558</v>
      </c>
      <c r="B1774" s="81" t="s">
        <v>30</v>
      </c>
      <c r="C1774" s="129" t="str">
        <f t="shared" si="52"/>
        <v>23.09.2024_BOYohKi</v>
      </c>
      <c r="D1774" s="143">
        <f t="shared" si="53"/>
        <v>0</v>
      </c>
      <c r="E1774" s="144">
        <v>0</v>
      </c>
      <c r="F1774" s="159">
        <v>1.6157612940126079E-2</v>
      </c>
      <c r="G1774" s="146">
        <v>4.3485379068242118E-2</v>
      </c>
      <c r="H1774" s="146">
        <v>9.1631390426571129E-3</v>
      </c>
      <c r="I1774" s="147">
        <v>3.9329999999999998</v>
      </c>
      <c r="J1774" s="148">
        <v>0.9249023896742361</v>
      </c>
      <c r="K1774" s="149">
        <v>27.827000000000002</v>
      </c>
      <c r="L1774" s="149">
        <v>128.18299999999999</v>
      </c>
      <c r="M1774" s="136"/>
      <c r="N1774" s="135"/>
    </row>
    <row r="1775" spans="1:14" x14ac:dyDescent="0.25">
      <c r="A1775" s="142">
        <v>45558</v>
      </c>
      <c r="B1775" s="81" t="s">
        <v>32</v>
      </c>
      <c r="C1775" s="129" t="str">
        <f t="shared" si="52"/>
        <v>23.09.2024_BOYohSp</v>
      </c>
      <c r="D1775" s="143">
        <f t="shared" si="53"/>
        <v>0</v>
      </c>
      <c r="E1775" s="144">
        <v>3.0332153984263664E-2</v>
      </c>
      <c r="F1775" s="159">
        <v>2.904627307541335E-2</v>
      </c>
      <c r="G1775" s="146">
        <v>7.2216790238330636E-2</v>
      </c>
      <c r="H1775" s="146">
        <v>6.0214913708889622E-2</v>
      </c>
      <c r="I1775" s="147">
        <v>6.3380000000000001</v>
      </c>
      <c r="J1775" s="148">
        <v>1.5059721059308326</v>
      </c>
      <c r="K1775" s="149">
        <v>21.268999999999998</v>
      </c>
      <c r="L1775" s="149">
        <v>85.177999999999997</v>
      </c>
      <c r="M1775" s="136"/>
      <c r="N1775" s="135"/>
    </row>
    <row r="1776" spans="1:14" x14ac:dyDescent="0.25">
      <c r="A1776" s="142">
        <v>45558</v>
      </c>
      <c r="B1776" s="81" t="s">
        <v>34</v>
      </c>
      <c r="C1776" s="129" t="str">
        <f t="shared" si="52"/>
        <v>23.09.2024_BOYuhHa</v>
      </c>
      <c r="D1776" s="143">
        <f t="shared" si="53"/>
        <v>0</v>
      </c>
      <c r="E1776" s="144">
        <v>0</v>
      </c>
      <c r="F1776" s="159">
        <v>1.4003974270511678E-2</v>
      </c>
      <c r="G1776" s="146">
        <v>0.15918754837481489</v>
      </c>
      <c r="H1776" s="146">
        <v>1.4399218495604032E-2</v>
      </c>
      <c r="I1776" s="147">
        <v>4.149</v>
      </c>
      <c r="J1776" s="148">
        <v>1.0651260115085466</v>
      </c>
      <c r="K1776" s="149">
        <v>40.164000000000001</v>
      </c>
      <c r="L1776" s="149">
        <v>219.518</v>
      </c>
      <c r="M1776" s="136"/>
      <c r="N1776" s="135"/>
    </row>
    <row r="1777" spans="1:14" x14ac:dyDescent="0.25">
      <c r="A1777" s="142">
        <v>45558</v>
      </c>
      <c r="B1777" s="81" t="s">
        <v>36</v>
      </c>
      <c r="C1777" s="129" t="str">
        <f t="shared" si="52"/>
        <v>23.09.2024_BOYuhSp</v>
      </c>
      <c r="D1777" s="143">
        <f t="shared" si="53"/>
        <v>0</v>
      </c>
      <c r="E1777" s="144">
        <v>0</v>
      </c>
      <c r="F1777" s="159">
        <v>2.7068862630087939E-2</v>
      </c>
      <c r="G1777" s="146">
        <v>6.2121970097488759E-2</v>
      </c>
      <c r="H1777" s="146">
        <v>3.272549658091823E-2</v>
      </c>
      <c r="I1777" s="147">
        <v>6.1639999999999997</v>
      </c>
      <c r="J1777" s="148">
        <v>1.4504630459950594</v>
      </c>
      <c r="K1777" s="149">
        <v>21.378</v>
      </c>
      <c r="L1777" s="149">
        <v>81.656000000000006</v>
      </c>
      <c r="M1777" s="136"/>
      <c r="N1777" s="135"/>
    </row>
    <row r="1778" spans="1:14" x14ac:dyDescent="0.25">
      <c r="A1778" s="142">
        <v>45558</v>
      </c>
      <c r="B1778" s="81" t="s">
        <v>38</v>
      </c>
      <c r="C1778" s="129" t="str">
        <f t="shared" si="52"/>
        <v>23.09.2024_BRAob</v>
      </c>
      <c r="D1778" s="143">
        <f t="shared" si="53"/>
        <v>0</v>
      </c>
      <c r="E1778" s="144">
        <v>0</v>
      </c>
      <c r="F1778" s="159">
        <v>1.929904057031033E-2</v>
      </c>
      <c r="G1778" s="146">
        <v>2.3295738786558266E-2</v>
      </c>
      <c r="H1778" s="146">
        <v>2.6180397264734452E-3</v>
      </c>
      <c r="I1778" s="147">
        <v>1.137</v>
      </c>
      <c r="J1778" s="148">
        <v>0.27570016040509948</v>
      </c>
      <c r="K1778" s="149">
        <v>31.844000000000001</v>
      </c>
      <c r="L1778" s="149">
        <v>119.758</v>
      </c>
      <c r="M1778" s="136"/>
      <c r="N1778" s="135"/>
    </row>
    <row r="1779" spans="1:14" x14ac:dyDescent="0.25">
      <c r="A1779" s="142">
        <v>45558</v>
      </c>
      <c r="B1779" s="81" t="s">
        <v>41</v>
      </c>
      <c r="C1779" s="129" t="str">
        <f t="shared" si="52"/>
        <v>23.09.2024_BRAohBo</v>
      </c>
      <c r="D1779" s="143">
        <f t="shared" si="53"/>
        <v>0</v>
      </c>
      <c r="E1779" s="144">
        <v>0</v>
      </c>
      <c r="F1779" s="159">
        <v>5.3383741933650392E-2</v>
      </c>
      <c r="G1779" s="146">
        <v>7.1440265612112072E-2</v>
      </c>
      <c r="H1779" s="146">
        <v>6.2832953435363076E-2</v>
      </c>
      <c r="I1779" s="147">
        <v>5.6680000000000001</v>
      </c>
      <c r="J1779" s="148">
        <v>1.3548333045185452</v>
      </c>
      <c r="K1779" s="149">
        <v>26.125</v>
      </c>
      <c r="L1779" s="149">
        <v>98.626999999999995</v>
      </c>
      <c r="M1779" s="136"/>
      <c r="N1779" s="135"/>
    </row>
    <row r="1780" spans="1:14" x14ac:dyDescent="0.25">
      <c r="A1780" s="142">
        <v>45558</v>
      </c>
      <c r="B1780" s="81" t="s">
        <v>43</v>
      </c>
      <c r="C1780" s="129" t="str">
        <f t="shared" ref="C1780:C1843" si="54">CONCATENATE(TEXT(A1780,"TT.MM.JJJJ"),"_",B1780)</f>
        <v>23.09.2024_HAAob</v>
      </c>
      <c r="D1780" s="143">
        <f t="shared" si="53"/>
        <v>0</v>
      </c>
      <c r="E1780" s="144">
        <v>0</v>
      </c>
      <c r="F1780" s="159">
        <v>1.7279607617958308E-2</v>
      </c>
      <c r="G1780" s="146">
        <v>0.1040542999132936</v>
      </c>
      <c r="H1780" s="146">
        <v>1.3090198632367226E-3</v>
      </c>
      <c r="I1780" s="147">
        <v>0</v>
      </c>
      <c r="J1780" s="148">
        <v>8.1195654437035761E-2</v>
      </c>
      <c r="K1780" s="149">
        <v>27.033000000000001</v>
      </c>
      <c r="L1780" s="149">
        <v>126.836</v>
      </c>
      <c r="M1780" s="136"/>
      <c r="N1780" s="135"/>
    </row>
    <row r="1781" spans="1:14" x14ac:dyDescent="0.25">
      <c r="A1781" s="142">
        <v>45558</v>
      </c>
      <c r="B1781" s="81" t="s">
        <v>45</v>
      </c>
      <c r="C1781" s="129" t="str">
        <f t="shared" si="54"/>
        <v>23.09.2024_HAAun</v>
      </c>
      <c r="D1781" s="143">
        <f t="shared" si="53"/>
        <v>0</v>
      </c>
      <c r="E1781" s="144">
        <v>0</v>
      </c>
      <c r="F1781" s="159">
        <v>1.6439212073772039E-2</v>
      </c>
      <c r="G1781" s="146">
        <v>9.5512529024888937E-2</v>
      </c>
      <c r="H1781" s="146">
        <v>0</v>
      </c>
      <c r="I1781" s="147">
        <v>0.53200000000000003</v>
      </c>
      <c r="J1781" s="148">
        <v>0.194327363662536</v>
      </c>
      <c r="K1781" s="149">
        <v>29.327999999999999</v>
      </c>
      <c r="L1781" s="149">
        <v>217.36699999999999</v>
      </c>
      <c r="M1781" s="136"/>
      <c r="N1781" s="135"/>
    </row>
    <row r="1782" spans="1:14" x14ac:dyDescent="0.25">
      <c r="A1782" s="142">
        <v>45558</v>
      </c>
      <c r="B1782" s="81" t="s">
        <v>47</v>
      </c>
      <c r="C1782" s="129" t="str">
        <f t="shared" si="54"/>
        <v>23.09.2024_KIRob</v>
      </c>
      <c r="D1782" s="143">
        <f t="shared" si="53"/>
        <v>0</v>
      </c>
      <c r="E1782" s="144">
        <v>0</v>
      </c>
      <c r="F1782" s="159">
        <v>9.9320736509658503E-3</v>
      </c>
      <c r="G1782" s="146">
        <v>0.31759857212341125</v>
      </c>
      <c r="H1782" s="146">
        <v>0.21991533702377072</v>
      </c>
      <c r="I1782" s="147">
        <v>4.8129999999999997</v>
      </c>
      <c r="J1782" s="148">
        <v>1.4006776496249944</v>
      </c>
      <c r="K1782" s="149">
        <v>63.302</v>
      </c>
      <c r="L1782" s="149">
        <v>141.78800000000001</v>
      </c>
      <c r="M1782" s="136"/>
      <c r="N1782" s="135"/>
    </row>
    <row r="1783" spans="1:14" x14ac:dyDescent="0.25">
      <c r="A1783" s="142">
        <v>45558</v>
      </c>
      <c r="B1783" s="81" t="s">
        <v>49</v>
      </c>
      <c r="C1783" s="129" t="str">
        <f t="shared" si="54"/>
        <v>23.09.2024_KIRun</v>
      </c>
      <c r="D1783" s="143">
        <f t="shared" si="53"/>
        <v>0</v>
      </c>
      <c r="E1783" s="144">
        <v>5.6872788720494241E-2</v>
      </c>
      <c r="F1783" s="159">
        <v>9.3978493988885192E-3</v>
      </c>
      <c r="G1783" s="146">
        <v>9.0076856641358685E-2</v>
      </c>
      <c r="H1783" s="146">
        <v>9.9485509605991465E-2</v>
      </c>
      <c r="I1783" s="147">
        <v>3.4609999999999999</v>
      </c>
      <c r="J1783" s="148">
        <v>0.88196821181299256</v>
      </c>
      <c r="K1783" s="149">
        <v>56.7</v>
      </c>
      <c r="L1783" s="149">
        <v>146.69900000000001</v>
      </c>
      <c r="M1783" s="136"/>
      <c r="N1783" s="135"/>
    </row>
    <row r="1784" spans="1:14" x14ac:dyDescent="0.25">
      <c r="A1784" s="142">
        <v>45558</v>
      </c>
      <c r="B1784" s="81" t="s">
        <v>50</v>
      </c>
      <c r="C1784" s="129" t="str">
        <f t="shared" si="54"/>
        <v>23.09.2024_LIEohBo</v>
      </c>
      <c r="D1784" s="143">
        <f t="shared" si="53"/>
        <v>0</v>
      </c>
      <c r="E1784" s="144">
        <v>0.10047526007287319</v>
      </c>
      <c r="F1784" s="159">
        <v>0.19572033202584457</v>
      </c>
      <c r="G1784" s="146">
        <v>4.3485379068242118E-2</v>
      </c>
      <c r="H1784" s="146">
        <v>0</v>
      </c>
      <c r="I1784" s="147">
        <v>0</v>
      </c>
      <c r="J1784" s="148">
        <v>3.3765961992699323E-2</v>
      </c>
      <c r="K1784" s="149">
        <v>22.271999999999998</v>
      </c>
      <c r="L1784" s="149">
        <v>82.168999999999997</v>
      </c>
      <c r="M1784" s="136"/>
      <c r="N1784" s="135"/>
    </row>
    <row r="1785" spans="1:14" x14ac:dyDescent="0.25">
      <c r="A1785" s="142">
        <v>45558</v>
      </c>
      <c r="B1785" s="81" t="s">
        <v>53</v>
      </c>
      <c r="C1785" s="129" t="str">
        <f t="shared" si="54"/>
        <v>23.09.2024_NATohBo</v>
      </c>
      <c r="D1785" s="143">
        <f t="shared" si="53"/>
        <v>0</v>
      </c>
      <c r="E1785" s="144">
        <v>0</v>
      </c>
      <c r="F1785" s="159">
        <v>2.1755880860304416E-2</v>
      </c>
      <c r="G1785" s="146">
        <v>0.34943608179837415</v>
      </c>
      <c r="H1785" s="146">
        <v>-3.9270595897102226E-3</v>
      </c>
      <c r="I1785" s="147">
        <v>2.6749999999999998</v>
      </c>
      <c r="J1785" s="148">
        <v>0.87434027986353224</v>
      </c>
      <c r="K1785" s="149">
        <v>107.426</v>
      </c>
      <c r="L1785" s="149">
        <v>655.09400000000005</v>
      </c>
      <c r="M1785" s="136"/>
      <c r="N1785" s="135"/>
    </row>
    <row r="1786" spans="1:14" x14ac:dyDescent="0.25">
      <c r="A1786" s="142">
        <v>45558</v>
      </c>
      <c r="B1786" s="81" t="s">
        <v>55</v>
      </c>
      <c r="C1786" s="129" t="str">
        <f t="shared" si="54"/>
        <v>23.09.2024_QUAohBo</v>
      </c>
      <c r="D1786" s="143">
        <f t="shared" si="53"/>
        <v>0</v>
      </c>
      <c r="E1786" s="144">
        <v>1.7061836616148296E-2</v>
      </c>
      <c r="F1786" s="159">
        <v>1.9877530331532015E-2</v>
      </c>
      <c r="G1786" s="146">
        <v>6.2121970097488759E-2</v>
      </c>
      <c r="H1786" s="146">
        <v>3.272549658091823E-2</v>
      </c>
      <c r="I1786" s="147">
        <v>0.53600000000000003</v>
      </c>
      <c r="J1786" s="148">
        <v>0.17926668599505963</v>
      </c>
      <c r="K1786" s="149">
        <v>26.9</v>
      </c>
      <c r="L1786" s="149">
        <v>94.49</v>
      </c>
      <c r="M1786" s="136"/>
      <c r="N1786" s="135"/>
    </row>
    <row r="1787" spans="1:14" x14ac:dyDescent="0.25">
      <c r="A1787" s="142">
        <v>45558</v>
      </c>
      <c r="B1787" s="81" t="s">
        <v>57</v>
      </c>
      <c r="C1787" s="129" t="str">
        <f t="shared" si="54"/>
        <v>23.09.2024_SCHohVo</v>
      </c>
      <c r="D1787" s="143">
        <f t="shared" si="53"/>
        <v>0</v>
      </c>
      <c r="E1787" s="144">
        <v>0</v>
      </c>
      <c r="F1787" s="159">
        <v>4.3791347686523187E-2</v>
      </c>
      <c r="G1787" s="146">
        <v>0.13511528496203801</v>
      </c>
      <c r="H1787" s="146">
        <v>0</v>
      </c>
      <c r="I1787" s="147">
        <v>1.589</v>
      </c>
      <c r="J1787" s="148">
        <v>0.46382309762017288</v>
      </c>
      <c r="K1787" s="149">
        <v>33.185000000000002</v>
      </c>
      <c r="L1787" s="149">
        <v>75.210999999999999</v>
      </c>
      <c r="M1787" s="136"/>
      <c r="N1787" s="135"/>
    </row>
    <row r="1788" spans="1:14" x14ac:dyDescent="0.25">
      <c r="A1788" s="142">
        <v>45558</v>
      </c>
      <c r="B1788" s="81" t="s">
        <v>60</v>
      </c>
      <c r="C1788" s="129" t="str">
        <f t="shared" si="54"/>
        <v>23.09.2024_VORohBo</v>
      </c>
      <c r="D1788" s="143">
        <f t="shared" si="53"/>
        <v>0</v>
      </c>
      <c r="E1788" s="144">
        <v>0</v>
      </c>
      <c r="F1788" s="159">
        <v>9.9388917517935545E-3</v>
      </c>
      <c r="G1788" s="146">
        <v>0.42320592128914208</v>
      </c>
      <c r="H1788" s="146">
        <v>0.13613806577661997</v>
      </c>
      <c r="I1788" s="147">
        <v>1.246</v>
      </c>
      <c r="J1788" s="148">
        <v>0.65149641994749796</v>
      </c>
      <c r="K1788" s="149">
        <v>28.722999999999999</v>
      </c>
      <c r="L1788" s="149">
        <v>180.08500000000001</v>
      </c>
      <c r="M1788" s="136"/>
      <c r="N1788" s="135"/>
    </row>
    <row r="1789" spans="1:14" x14ac:dyDescent="0.25">
      <c r="A1789" s="142">
        <v>45558</v>
      </c>
      <c r="B1789" s="81" t="s">
        <v>62</v>
      </c>
      <c r="C1789" s="129" t="str">
        <f t="shared" si="54"/>
        <v>23.09.2024_VORuhSc</v>
      </c>
      <c r="D1789" s="143">
        <f t="shared" si="53"/>
        <v>0</v>
      </c>
      <c r="E1789" s="144">
        <v>0</v>
      </c>
      <c r="F1789" s="159">
        <v>8.4810224038047218E-3</v>
      </c>
      <c r="G1789" s="146">
        <v>0.3253638183855973</v>
      </c>
      <c r="H1789" s="146">
        <v>3.4034516444154977E-2</v>
      </c>
      <c r="I1789" s="147">
        <v>0.51900000000000002</v>
      </c>
      <c r="J1789" s="148">
        <v>0.38023008986965545</v>
      </c>
      <c r="K1789" s="149">
        <v>27.66</v>
      </c>
      <c r="L1789" s="149">
        <v>191.096</v>
      </c>
      <c r="M1789" s="136"/>
      <c r="N1789" s="135"/>
    </row>
    <row r="1790" spans="1:14" x14ac:dyDescent="0.25">
      <c r="A1790" s="142">
        <v>45558</v>
      </c>
      <c r="B1790" s="81" t="s">
        <v>64</v>
      </c>
      <c r="C1790" s="129" t="str">
        <f t="shared" si="54"/>
        <v>23.09.2024_WITob</v>
      </c>
      <c r="D1790" s="143">
        <f t="shared" si="53"/>
        <v>0</v>
      </c>
      <c r="E1790" s="144">
        <v>0</v>
      </c>
      <c r="F1790" s="159">
        <v>9.413090087675928E-3</v>
      </c>
      <c r="G1790" s="146">
        <v>0.19801377968574543</v>
      </c>
      <c r="H1790" s="146">
        <v>0</v>
      </c>
      <c r="I1790" s="147">
        <v>0.158</v>
      </c>
      <c r="J1790" s="148">
        <v>0.18944317978818448</v>
      </c>
      <c r="K1790" s="149">
        <v>66.066999999999993</v>
      </c>
      <c r="L1790" s="149">
        <v>250.71199999999999</v>
      </c>
      <c r="M1790" s="136"/>
      <c r="N1790" s="135"/>
    </row>
    <row r="1791" spans="1:14" x14ac:dyDescent="0.25">
      <c r="A1791" s="142">
        <v>45575</v>
      </c>
      <c r="B1791" s="81" t="s">
        <v>22</v>
      </c>
      <c r="C1791" s="129" t="str">
        <f t="shared" si="54"/>
        <v>10.10.2024_BOYkl</v>
      </c>
      <c r="D1791" s="143">
        <f t="shared" si="53"/>
        <v>0</v>
      </c>
      <c r="E1791" s="144">
        <v>0.29782720361619064</v>
      </c>
      <c r="F1791" s="159">
        <v>0.18206064485462742</v>
      </c>
      <c r="G1791" s="146">
        <v>4.5090177107514513E-2</v>
      </c>
      <c r="H1791" s="146">
        <v>7.2661590618573954E-3</v>
      </c>
      <c r="I1791" s="147">
        <v>13.923</v>
      </c>
      <c r="J1791" s="148">
        <v>3.1820122637485961</v>
      </c>
      <c r="K1791" s="149">
        <v>11.499000000000001</v>
      </c>
      <c r="L1791" s="149">
        <v>24.018999999999998</v>
      </c>
      <c r="M1791" s="136"/>
      <c r="N1791" s="135"/>
    </row>
    <row r="1792" spans="1:14" x14ac:dyDescent="0.25">
      <c r="A1792" s="142">
        <v>45575</v>
      </c>
      <c r="B1792" s="81" t="s">
        <v>25</v>
      </c>
      <c r="C1792" s="129" t="str">
        <f t="shared" si="54"/>
        <v>10.10.2024_BOYohB224</v>
      </c>
      <c r="D1792" s="143">
        <f t="shared" si="53"/>
        <v>0</v>
      </c>
      <c r="E1792" s="144">
        <v>0.20396650914320938</v>
      </c>
      <c r="F1792" s="159">
        <v>0.12506311222576091</v>
      </c>
      <c r="G1792" s="146">
        <v>0.18247431048197268</v>
      </c>
      <c r="H1792" s="146">
        <v>3.2697715778358283E-2</v>
      </c>
      <c r="I1792" s="147">
        <v>5.8639999999999999</v>
      </c>
      <c r="J1792" s="148">
        <v>1.4761459769148679</v>
      </c>
      <c r="K1792" s="149">
        <v>11.068</v>
      </c>
      <c r="L1792" s="149">
        <v>37.521999999999998</v>
      </c>
      <c r="M1792" s="136"/>
      <c r="N1792" s="135"/>
    </row>
    <row r="1793" spans="1:14" x14ac:dyDescent="0.25">
      <c r="A1793" s="142">
        <v>45575</v>
      </c>
      <c r="B1793" s="81" t="s">
        <v>28</v>
      </c>
      <c r="C1793" s="129" t="str">
        <f t="shared" si="54"/>
        <v>10.10.2024_BOYohBr</v>
      </c>
      <c r="D1793" s="143">
        <f t="shared" si="53"/>
        <v>0</v>
      </c>
      <c r="E1793" s="144">
        <v>0.21299157591945755</v>
      </c>
      <c r="F1793" s="159">
        <v>0.19278301548231713</v>
      </c>
      <c r="G1793" s="146">
        <v>1.2681612311488462E-2</v>
      </c>
      <c r="H1793" s="146">
        <v>0</v>
      </c>
      <c r="I1793" s="147">
        <v>7.4009999999999998</v>
      </c>
      <c r="J1793" s="148">
        <v>1.6815110151437476</v>
      </c>
      <c r="K1793" s="149">
        <v>7.89</v>
      </c>
      <c r="L1793" s="149">
        <v>28.795999999999999</v>
      </c>
      <c r="M1793" s="136"/>
      <c r="N1793" s="135"/>
    </row>
    <row r="1794" spans="1:14" x14ac:dyDescent="0.25">
      <c r="A1794" s="142">
        <v>45575</v>
      </c>
      <c r="B1794" s="81" t="s">
        <v>30</v>
      </c>
      <c r="C1794" s="129" t="str">
        <f t="shared" si="54"/>
        <v>10.10.2024_BOYohKi</v>
      </c>
      <c r="D1794" s="143">
        <f t="shared" si="53"/>
        <v>0</v>
      </c>
      <c r="E1794" s="144">
        <v>0.14440106841997119</v>
      </c>
      <c r="F1794" s="159">
        <v>0.157992037660762</v>
      </c>
      <c r="G1794" s="146">
        <v>5.0021915228648919E-2</v>
      </c>
      <c r="H1794" s="146">
        <v>7.2661590618573954E-3</v>
      </c>
      <c r="I1794" s="147">
        <v>5.9889999999999999</v>
      </c>
      <c r="J1794" s="148">
        <v>1.3937891290822759</v>
      </c>
      <c r="K1794" s="149">
        <v>11.583</v>
      </c>
      <c r="L1794" s="149">
        <v>35.299999999999997</v>
      </c>
      <c r="M1794" s="136"/>
      <c r="N1794" s="135"/>
    </row>
    <row r="1795" spans="1:14" x14ac:dyDescent="0.25">
      <c r="A1795" s="142">
        <v>45575</v>
      </c>
      <c r="B1795" s="81" t="s">
        <v>32</v>
      </c>
      <c r="C1795" s="129" t="str">
        <f t="shared" si="54"/>
        <v>10.10.2024_BOYohSp</v>
      </c>
      <c r="D1795" s="143">
        <f t="shared" si="53"/>
        <v>0</v>
      </c>
      <c r="E1795" s="144">
        <v>0.25631189644544894</v>
      </c>
      <c r="F1795" s="159">
        <v>0.19559884101055236</v>
      </c>
      <c r="G1795" s="146">
        <v>7.5385139851625815E-2</v>
      </c>
      <c r="H1795" s="146">
        <v>1.0899238592786093E-2</v>
      </c>
      <c r="I1795" s="147">
        <v>8.0779999999999994</v>
      </c>
      <c r="J1795" s="148">
        <v>1.8864319404329626</v>
      </c>
      <c r="K1795" s="149">
        <v>11.868</v>
      </c>
      <c r="L1795" s="149">
        <v>33.165999999999997</v>
      </c>
      <c r="M1795" s="136"/>
      <c r="N1795" s="135"/>
    </row>
    <row r="1796" spans="1:14" x14ac:dyDescent="0.25">
      <c r="A1796" s="142">
        <v>45575</v>
      </c>
      <c r="B1796" s="81" t="s">
        <v>34</v>
      </c>
      <c r="C1796" s="129" t="str">
        <f t="shared" si="54"/>
        <v>10.10.2024_BOYuhHa</v>
      </c>
      <c r="D1796" s="143">
        <f t="shared" si="53"/>
        <v>0</v>
      </c>
      <c r="E1796" s="144">
        <v>0.11732586809122662</v>
      </c>
      <c r="F1796" s="159">
        <v>9.5659604214301225E-2</v>
      </c>
      <c r="G1796" s="146">
        <v>0.31351763770068675</v>
      </c>
      <c r="H1796" s="146">
        <v>2.7853609737119998E-2</v>
      </c>
      <c r="I1796" s="147">
        <v>3.6779999999999999</v>
      </c>
      <c r="J1796" s="148">
        <v>1.0826732019826724</v>
      </c>
      <c r="K1796" s="149">
        <v>9.3580000000000005</v>
      </c>
      <c r="L1796" s="149">
        <v>27.446000000000002</v>
      </c>
      <c r="M1796" s="136"/>
      <c r="N1796" s="135"/>
    </row>
    <row r="1797" spans="1:14" x14ac:dyDescent="0.25">
      <c r="A1797" s="142">
        <v>45575</v>
      </c>
      <c r="B1797" s="81" t="s">
        <v>36</v>
      </c>
      <c r="C1797" s="129" t="str">
        <f t="shared" si="54"/>
        <v>10.10.2024_BOYuhSp</v>
      </c>
      <c r="D1797" s="143">
        <f t="shared" ref="D1797:D1860" si="55">COUNTBLANK(E1797:L1797)</f>
        <v>0</v>
      </c>
      <c r="E1797" s="144">
        <v>0.2093815492089583</v>
      </c>
      <c r="F1797" s="159">
        <v>0.1718994610513416</v>
      </c>
      <c r="G1797" s="146">
        <v>7.3271537799711073E-2</v>
      </c>
      <c r="H1797" s="146">
        <v>-4.8441060412382298E-3</v>
      </c>
      <c r="I1797" s="147">
        <v>8.2140000000000004</v>
      </c>
      <c r="J1797" s="148">
        <v>1.9107160083018428</v>
      </c>
      <c r="K1797" s="149">
        <v>12</v>
      </c>
      <c r="L1797" s="149">
        <v>39</v>
      </c>
      <c r="M1797" s="136"/>
      <c r="N1797" s="135"/>
    </row>
    <row r="1798" spans="1:14" x14ac:dyDescent="0.25">
      <c r="A1798" s="142">
        <v>45575</v>
      </c>
      <c r="B1798" s="81" t="s">
        <v>38</v>
      </c>
      <c r="C1798" s="129" t="str">
        <f t="shared" si="54"/>
        <v>10.10.2024_BRAob</v>
      </c>
      <c r="D1798" s="143">
        <f t="shared" si="55"/>
        <v>0</v>
      </c>
      <c r="E1798" s="144">
        <v>3.7574388501638587E-17</v>
      </c>
      <c r="F1798" s="159">
        <v>4.9936883242345929E-2</v>
      </c>
      <c r="G1798" s="146">
        <v>2.3249622571062178E-2</v>
      </c>
      <c r="H1798" s="146">
        <v>0</v>
      </c>
      <c r="I1798" s="147">
        <v>6.29</v>
      </c>
      <c r="J1798" s="148">
        <v>1.4387753994302042</v>
      </c>
      <c r="K1798" s="149">
        <v>21</v>
      </c>
      <c r="L1798" s="149">
        <v>52</v>
      </c>
      <c r="M1798" s="136"/>
      <c r="N1798" s="135"/>
    </row>
    <row r="1799" spans="1:14" x14ac:dyDescent="0.25">
      <c r="A1799" s="142">
        <v>45575</v>
      </c>
      <c r="B1799" s="81" t="s">
        <v>41</v>
      </c>
      <c r="C1799" s="129" t="str">
        <f t="shared" si="54"/>
        <v>10.10.2024_BRAohBo</v>
      </c>
      <c r="D1799" s="143">
        <f t="shared" si="55"/>
        <v>0</v>
      </c>
      <c r="E1799" s="144">
        <v>0.34836757756318054</v>
      </c>
      <c r="F1799" s="159">
        <v>0.31482689308184247</v>
      </c>
      <c r="G1799" s="146">
        <v>0.19515592279346117</v>
      </c>
      <c r="H1799" s="146">
        <v>1.4532318123714791E-2</v>
      </c>
      <c r="I1799" s="147">
        <v>7.0540000000000003</v>
      </c>
      <c r="J1799" s="148">
        <v>1.7492479667426597</v>
      </c>
      <c r="K1799" s="149">
        <v>14.019</v>
      </c>
      <c r="L1799" s="149">
        <v>33.1</v>
      </c>
      <c r="M1799" s="136"/>
      <c r="N1799" s="135"/>
    </row>
    <row r="1800" spans="1:14" x14ac:dyDescent="0.25">
      <c r="A1800" s="142">
        <v>45575</v>
      </c>
      <c r="B1800" s="81" t="s">
        <v>43</v>
      </c>
      <c r="C1800" s="129" t="str">
        <f t="shared" si="54"/>
        <v>10.10.2024_HAAob</v>
      </c>
      <c r="D1800" s="143">
        <f t="shared" si="55"/>
        <v>0</v>
      </c>
      <c r="E1800" s="144">
        <v>0</v>
      </c>
      <c r="F1800" s="159">
        <v>2.2020194521591256E-2</v>
      </c>
      <c r="G1800" s="146">
        <v>7.0453401730489497E-4</v>
      </c>
      <c r="H1800" s="146">
        <v>0</v>
      </c>
      <c r="I1800" s="147">
        <v>0.41799999999999998</v>
      </c>
      <c r="J1800" s="148">
        <v>9.4960723619097076E-2</v>
      </c>
      <c r="K1800" s="149">
        <v>25.635000000000002</v>
      </c>
      <c r="L1800" s="149">
        <v>98.917000000000002</v>
      </c>
      <c r="M1800" s="136"/>
      <c r="N1800" s="135"/>
    </row>
    <row r="1801" spans="1:14" x14ac:dyDescent="0.25">
      <c r="A1801" s="142">
        <v>45575</v>
      </c>
      <c r="B1801" s="81" t="s">
        <v>45</v>
      </c>
      <c r="C1801" s="129" t="str">
        <f t="shared" si="54"/>
        <v>10.10.2024_HAAun</v>
      </c>
      <c r="D1801" s="143">
        <f t="shared" si="55"/>
        <v>0</v>
      </c>
      <c r="E1801" s="144">
        <v>0.45305835216765983</v>
      </c>
      <c r="F1801" s="159">
        <v>0.37302875950345832</v>
      </c>
      <c r="G1801" s="146">
        <v>0.43187935260791227</v>
      </c>
      <c r="H1801" s="146">
        <v>0</v>
      </c>
      <c r="I1801" s="147">
        <v>1.6779999999999999</v>
      </c>
      <c r="J1801" s="148">
        <v>0.71435985850651784</v>
      </c>
      <c r="K1801" s="149">
        <v>15.227</v>
      </c>
      <c r="L1801" s="149">
        <v>79.86</v>
      </c>
      <c r="M1801" s="136"/>
      <c r="N1801" s="135"/>
    </row>
    <row r="1802" spans="1:14" x14ac:dyDescent="0.25">
      <c r="A1802" s="142">
        <v>45575</v>
      </c>
      <c r="B1802" s="81" t="s">
        <v>47</v>
      </c>
      <c r="C1802" s="129" t="str">
        <f t="shared" si="54"/>
        <v>10.10.2024_KIRob</v>
      </c>
      <c r="D1802" s="143">
        <f t="shared" si="55"/>
        <v>0</v>
      </c>
      <c r="E1802" s="144">
        <v>0</v>
      </c>
      <c r="F1802" s="159">
        <v>9.388277568458378E-3</v>
      </c>
      <c r="G1802" s="146">
        <v>0.26913199461047715</v>
      </c>
      <c r="H1802" s="146">
        <v>5.328516645362083E-2</v>
      </c>
      <c r="I1802" s="147">
        <v>2.5950000000000002</v>
      </c>
      <c r="J1802" s="148">
        <v>0.81133362142189436</v>
      </c>
      <c r="K1802" s="149">
        <v>34.104999999999997</v>
      </c>
      <c r="L1802" s="149">
        <v>91.034999999999997</v>
      </c>
      <c r="M1802" s="136"/>
      <c r="N1802" s="135"/>
    </row>
    <row r="1803" spans="1:14" x14ac:dyDescent="0.25">
      <c r="A1803" s="142">
        <v>45575</v>
      </c>
      <c r="B1803" s="81" t="s">
        <v>49</v>
      </c>
      <c r="C1803" s="129" t="str">
        <f t="shared" si="54"/>
        <v>10.10.2024_KIRun</v>
      </c>
      <c r="D1803" s="143">
        <f t="shared" si="55"/>
        <v>0</v>
      </c>
      <c r="E1803" s="144">
        <v>6.8590507499486295E-2</v>
      </c>
      <c r="F1803" s="159">
        <v>1.0498533200772641E-2</v>
      </c>
      <c r="G1803" s="146">
        <v>0.1049755685784322</v>
      </c>
      <c r="H1803" s="146">
        <v>8.3560829211360002E-2</v>
      </c>
      <c r="I1803" s="147">
        <v>2.2679999999999998</v>
      </c>
      <c r="J1803" s="148">
        <v>0.61922573369886524</v>
      </c>
      <c r="K1803" s="149">
        <v>26.832999999999998</v>
      </c>
      <c r="L1803" s="149">
        <v>81.397000000000006</v>
      </c>
      <c r="M1803" s="136"/>
      <c r="N1803" s="135"/>
    </row>
    <row r="1804" spans="1:14" x14ac:dyDescent="0.25">
      <c r="A1804" s="142">
        <v>45575</v>
      </c>
      <c r="B1804" s="81" t="s">
        <v>50</v>
      </c>
      <c r="C1804" s="129" t="str">
        <f t="shared" si="54"/>
        <v>10.10.2024_LIEohBo</v>
      </c>
      <c r="D1804" s="143">
        <f t="shared" si="55"/>
        <v>0</v>
      </c>
      <c r="E1804" s="144">
        <v>9.3860694472981329E-2</v>
      </c>
      <c r="F1804" s="159">
        <v>8.0035306142349716E-2</v>
      </c>
      <c r="G1804" s="146">
        <v>1.3386146328793357E-2</v>
      </c>
      <c r="H1804" s="146">
        <v>0</v>
      </c>
      <c r="I1804" s="147">
        <v>8.61</v>
      </c>
      <c r="J1804" s="148">
        <v>1.9551349087628445</v>
      </c>
      <c r="K1804" s="149">
        <v>11.651</v>
      </c>
      <c r="L1804" s="149">
        <v>49.767000000000003</v>
      </c>
      <c r="M1804" s="136"/>
      <c r="N1804" s="135"/>
    </row>
    <row r="1805" spans="1:14" x14ac:dyDescent="0.25">
      <c r="A1805" s="142">
        <v>45575</v>
      </c>
      <c r="B1805" s="81" t="s">
        <v>53</v>
      </c>
      <c r="C1805" s="129" t="str">
        <f t="shared" si="54"/>
        <v>10.10.2024_NATohBo</v>
      </c>
      <c r="D1805" s="143">
        <f t="shared" si="55"/>
        <v>0</v>
      </c>
      <c r="E1805" s="144">
        <v>0.19313642901171152</v>
      </c>
      <c r="F1805" s="159">
        <v>0.15384240497373652</v>
      </c>
      <c r="G1805" s="146">
        <v>-3.5226700865245921E-3</v>
      </c>
      <c r="H1805" s="146">
        <v>0</v>
      </c>
      <c r="I1805" s="147">
        <v>1.147</v>
      </c>
      <c r="J1805" s="148">
        <v>0.25633757190451451</v>
      </c>
      <c r="K1805" s="149">
        <v>11.598000000000001</v>
      </c>
      <c r="L1805" s="149">
        <v>39.667999999999999</v>
      </c>
      <c r="M1805" s="136"/>
      <c r="N1805" s="135"/>
    </row>
    <row r="1806" spans="1:14" x14ac:dyDescent="0.25">
      <c r="A1806" s="142">
        <v>45575</v>
      </c>
      <c r="B1806" s="81" t="s">
        <v>55</v>
      </c>
      <c r="C1806" s="129" t="str">
        <f t="shared" si="54"/>
        <v>10.10.2024_QUAohBo</v>
      </c>
      <c r="D1806" s="143">
        <f t="shared" si="55"/>
        <v>0</v>
      </c>
      <c r="E1806" s="144">
        <v>0.13898602835422225</v>
      </c>
      <c r="F1806" s="159">
        <v>8.1692205696728387E-2</v>
      </c>
      <c r="G1806" s="146">
        <v>8.8066752163114215E-2</v>
      </c>
      <c r="H1806" s="146">
        <v>9.6882120824765359E-3</v>
      </c>
      <c r="I1806" s="147">
        <v>9.0570000000000004</v>
      </c>
      <c r="J1806" s="148">
        <v>2.1170371185556465</v>
      </c>
      <c r="K1806" s="149">
        <v>19.332000000000001</v>
      </c>
      <c r="L1806" s="149">
        <v>42.51</v>
      </c>
      <c r="M1806" s="136"/>
      <c r="N1806" s="135"/>
    </row>
    <row r="1807" spans="1:14" x14ac:dyDescent="0.25">
      <c r="A1807" s="142">
        <v>45575</v>
      </c>
      <c r="B1807" s="81" t="s">
        <v>57</v>
      </c>
      <c r="C1807" s="129" t="str">
        <f t="shared" si="54"/>
        <v>10.10.2024_SCHohVo</v>
      </c>
      <c r="D1807" s="143">
        <f t="shared" si="55"/>
        <v>0</v>
      </c>
      <c r="E1807" s="144">
        <v>0</v>
      </c>
      <c r="F1807" s="159">
        <v>2.0160725141115946E-2</v>
      </c>
      <c r="G1807" s="146">
        <v>3.5226700865245715E-2</v>
      </c>
      <c r="H1807" s="146">
        <v>0</v>
      </c>
      <c r="I1807" s="147">
        <v>7.1020000000000003</v>
      </c>
      <c r="J1807" s="148">
        <v>1.6314819209548546</v>
      </c>
      <c r="K1807" s="149">
        <v>10.723000000000001</v>
      </c>
      <c r="L1807" s="149">
        <v>50.527000000000001</v>
      </c>
      <c r="M1807" s="136"/>
      <c r="N1807" s="135"/>
    </row>
    <row r="1808" spans="1:14" x14ac:dyDescent="0.25">
      <c r="A1808" s="142">
        <v>45575</v>
      </c>
      <c r="B1808" s="81" t="s">
        <v>60</v>
      </c>
      <c r="C1808" s="129" t="str">
        <f t="shared" si="54"/>
        <v>10.10.2024_VORohBo</v>
      </c>
      <c r="D1808" s="143">
        <f t="shared" si="55"/>
        <v>0</v>
      </c>
      <c r="E1808" s="144">
        <v>2.1660160262995668E-2</v>
      </c>
      <c r="F1808" s="159">
        <v>1.651350245987096E-2</v>
      </c>
      <c r="G1808" s="146">
        <v>6.7635265661271732E-2</v>
      </c>
      <c r="H1808" s="146">
        <v>5.9340299005168649E-2</v>
      </c>
      <c r="I1808" s="147">
        <v>4.0190000000000001</v>
      </c>
      <c r="J1808" s="148">
        <v>0.97835579146544449</v>
      </c>
      <c r="K1808" s="149">
        <v>13.253</v>
      </c>
      <c r="L1808" s="149">
        <v>70.251000000000005</v>
      </c>
      <c r="M1808" s="136"/>
      <c r="N1808" s="135"/>
    </row>
    <row r="1809" spans="1:14" x14ac:dyDescent="0.25">
      <c r="A1809" s="142">
        <v>45575</v>
      </c>
      <c r="B1809" s="81" t="s">
        <v>62</v>
      </c>
      <c r="C1809" s="129" t="str">
        <f t="shared" si="54"/>
        <v>10.10.2024_VORuhSc</v>
      </c>
      <c r="D1809" s="143">
        <f t="shared" si="55"/>
        <v>0</v>
      </c>
      <c r="E1809" s="144">
        <v>7.2200534209985552E-3</v>
      </c>
      <c r="F1809" s="159">
        <v>2.0537698523985334E-2</v>
      </c>
      <c r="G1809" s="146">
        <v>4.5794711124819434E-2</v>
      </c>
      <c r="H1809" s="146">
        <v>-3.6330795309286977E-3</v>
      </c>
      <c r="I1809" s="147">
        <v>5.1230000000000002</v>
      </c>
      <c r="J1809" s="148">
        <v>1.1915850541781197</v>
      </c>
      <c r="K1809" s="149">
        <v>13.18</v>
      </c>
      <c r="L1809" s="149">
        <v>73.512</v>
      </c>
      <c r="M1809" s="136"/>
      <c r="N1809" s="135"/>
    </row>
    <row r="1810" spans="1:14" x14ac:dyDescent="0.25">
      <c r="A1810" s="142">
        <v>45575</v>
      </c>
      <c r="B1810" s="81" t="s">
        <v>64</v>
      </c>
      <c r="C1810" s="129" t="str">
        <f t="shared" si="54"/>
        <v>10.10.2024_WITob</v>
      </c>
      <c r="D1810" s="143">
        <f t="shared" si="55"/>
        <v>0</v>
      </c>
      <c r="E1810" s="144">
        <v>5.4150400657489639E-3</v>
      </c>
      <c r="F1810" s="159">
        <v>1.012253391476696E-2</v>
      </c>
      <c r="G1810" s="146">
        <v>0.13033879320140912</v>
      </c>
      <c r="H1810" s="146">
        <v>0</v>
      </c>
      <c r="I1810" s="147">
        <v>0.51</v>
      </c>
      <c r="J1810" s="148">
        <v>0.21640046953296216</v>
      </c>
      <c r="K1810" s="149">
        <v>34.912999999999997</v>
      </c>
      <c r="L1810" s="149">
        <v>162.59700000000001</v>
      </c>
      <c r="M1810" s="136"/>
      <c r="N1810" s="135"/>
    </row>
    <row r="1811" spans="1:14" x14ac:dyDescent="0.25">
      <c r="A1811" s="142">
        <v>45590</v>
      </c>
      <c r="B1811" s="81" t="s">
        <v>22</v>
      </c>
      <c r="C1811" s="129" t="str">
        <f t="shared" si="54"/>
        <v>25.10.2024_BOYkl</v>
      </c>
      <c r="D1811" s="143">
        <f t="shared" si="55"/>
        <v>0</v>
      </c>
      <c r="E1811" s="144">
        <v>0.11835404085086747</v>
      </c>
      <c r="F1811" s="159">
        <v>3.1194999436029523E-2</v>
      </c>
      <c r="G1811" s="146">
        <v>3.0006259868636167E-2</v>
      </c>
      <c r="H1811" s="146">
        <v>0</v>
      </c>
      <c r="I1811" s="147">
        <v>13.552</v>
      </c>
      <c r="J1811" s="148">
        <v>3.0842898007253972</v>
      </c>
      <c r="K1811" s="149">
        <v>17.893000000000001</v>
      </c>
      <c r="L1811" s="149">
        <v>43.686999999999998</v>
      </c>
      <c r="M1811" s="136"/>
      <c r="N1811" s="135"/>
    </row>
    <row r="1812" spans="1:14" x14ac:dyDescent="0.25">
      <c r="A1812" s="142">
        <v>45590</v>
      </c>
      <c r="B1812" s="81" t="s">
        <v>25</v>
      </c>
      <c r="C1812" s="129" t="str">
        <f t="shared" si="54"/>
        <v>25.10.2024_BOYohB224</v>
      </c>
      <c r="D1812" s="143">
        <f t="shared" si="55"/>
        <v>0</v>
      </c>
      <c r="E1812" s="144">
        <v>7.0210024233565413E-2</v>
      </c>
      <c r="F1812" s="159">
        <v>1.4359930941732499E-2</v>
      </c>
      <c r="G1812" s="146">
        <v>0.15489717932187877</v>
      </c>
      <c r="H1812" s="146">
        <v>0</v>
      </c>
      <c r="I1812" s="147">
        <v>4.05</v>
      </c>
      <c r="J1812" s="148">
        <v>1.0350496107716456</v>
      </c>
      <c r="K1812" s="149">
        <v>31.099</v>
      </c>
      <c r="L1812" s="149">
        <v>147.23500000000001</v>
      </c>
      <c r="M1812" s="136"/>
      <c r="N1812" s="135"/>
    </row>
    <row r="1813" spans="1:14" x14ac:dyDescent="0.25">
      <c r="A1813" s="142">
        <v>45590</v>
      </c>
      <c r="B1813" s="81" t="s">
        <v>28</v>
      </c>
      <c r="C1813" s="129" t="str">
        <f t="shared" si="54"/>
        <v>25.10.2024_BOYohBr</v>
      </c>
      <c r="D1813" s="143">
        <f t="shared" si="55"/>
        <v>0</v>
      </c>
      <c r="E1813" s="144">
        <v>0</v>
      </c>
      <c r="F1813" s="159">
        <v>2.0941136571231957E-2</v>
      </c>
      <c r="G1813" s="146">
        <v>3.8927039829582094E-2</v>
      </c>
      <c r="H1813" s="146">
        <v>0</v>
      </c>
      <c r="I1813" s="147">
        <v>6.4189999999999996</v>
      </c>
      <c r="J1813" s="148">
        <v>1.480085987157272</v>
      </c>
      <c r="K1813" s="149">
        <v>17.27</v>
      </c>
      <c r="L1813" s="149">
        <v>60.517000000000003</v>
      </c>
      <c r="M1813" s="136"/>
      <c r="N1813" s="135"/>
    </row>
    <row r="1814" spans="1:14" x14ac:dyDescent="0.25">
      <c r="A1814" s="142">
        <v>45590</v>
      </c>
      <c r="B1814" s="81" t="s">
        <v>30</v>
      </c>
      <c r="C1814" s="129" t="str">
        <f t="shared" si="54"/>
        <v>25.10.2024_BOYohKi</v>
      </c>
      <c r="D1814" s="143">
        <f t="shared" si="55"/>
        <v>0</v>
      </c>
      <c r="E1814" s="144">
        <v>0</v>
      </c>
      <c r="F1814" s="159">
        <v>1.5502848550591145E-2</v>
      </c>
      <c r="G1814" s="146">
        <v>6.4878399715970161E-2</v>
      </c>
      <c r="H1814" s="146">
        <v>0</v>
      </c>
      <c r="I1814" s="147">
        <v>3.9849999999999999</v>
      </c>
      <c r="J1814" s="148">
        <v>0.95046937859545366</v>
      </c>
      <c r="K1814" s="149">
        <v>22.39</v>
      </c>
      <c r="L1814" s="149">
        <v>92.968999999999994</v>
      </c>
      <c r="M1814" s="136"/>
      <c r="N1814" s="135"/>
    </row>
    <row r="1815" spans="1:14" x14ac:dyDescent="0.25">
      <c r="A1815" s="142">
        <v>45590</v>
      </c>
      <c r="B1815" s="81" t="s">
        <v>32</v>
      </c>
      <c r="C1815" s="129" t="str">
        <f t="shared" si="54"/>
        <v>25.10.2024_BOYohSp</v>
      </c>
      <c r="D1815" s="143">
        <f t="shared" si="55"/>
        <v>0</v>
      </c>
      <c r="E1815" s="144">
        <v>3.0090010385813739E-2</v>
      </c>
      <c r="F1815" s="159">
        <v>1.8706221335150625E-2</v>
      </c>
      <c r="G1815" s="146">
        <v>9.0018779605908567E-2</v>
      </c>
      <c r="H1815" s="146">
        <v>1.9996143463170094E-2</v>
      </c>
      <c r="I1815" s="147">
        <v>4.6130000000000004</v>
      </c>
      <c r="J1815" s="148">
        <v>1.1179248180535544</v>
      </c>
      <c r="K1815" s="149">
        <v>18.963999999999999</v>
      </c>
      <c r="L1815" s="149">
        <v>71.27</v>
      </c>
      <c r="M1815" s="136"/>
      <c r="N1815" s="135"/>
    </row>
    <row r="1816" spans="1:14" x14ac:dyDescent="0.25">
      <c r="A1816" s="142">
        <v>45590</v>
      </c>
      <c r="B1816" s="81" t="s">
        <v>34</v>
      </c>
      <c r="C1816" s="129" t="str">
        <f t="shared" si="54"/>
        <v>25.10.2024_BOYuhHa</v>
      </c>
      <c r="D1816" s="143">
        <f t="shared" si="55"/>
        <v>0</v>
      </c>
      <c r="E1816" s="144">
        <v>2.0060006923876129E-3</v>
      </c>
      <c r="F1816" s="159">
        <v>1.2972423079225951E-2</v>
      </c>
      <c r="G1816" s="146">
        <v>0.11029327951714926</v>
      </c>
      <c r="H1816" s="146">
        <v>0</v>
      </c>
      <c r="I1816" s="147">
        <v>4.0759999999999996</v>
      </c>
      <c r="J1816" s="148">
        <v>1.0062877486122712</v>
      </c>
      <c r="K1816" s="149">
        <v>32.747999999999998</v>
      </c>
      <c r="L1816" s="149">
        <v>157.04300000000001</v>
      </c>
      <c r="M1816" s="136"/>
      <c r="N1816" s="135"/>
    </row>
    <row r="1817" spans="1:14" x14ac:dyDescent="0.25">
      <c r="A1817" s="142">
        <v>45590</v>
      </c>
      <c r="B1817" s="81" t="s">
        <v>36</v>
      </c>
      <c r="C1817" s="129" t="str">
        <f t="shared" si="54"/>
        <v>25.10.2024_BOYuhSp</v>
      </c>
      <c r="D1817" s="143">
        <f t="shared" si="55"/>
        <v>0</v>
      </c>
      <c r="E1817" s="144">
        <v>2.6078009001038554E-2</v>
      </c>
      <c r="F1817" s="159">
        <v>1.9466217778074616E-2</v>
      </c>
      <c r="G1817" s="146">
        <v>0.13867757939288619</v>
      </c>
      <c r="H1817" s="146">
        <v>1.3330762308780081E-2</v>
      </c>
      <c r="I1817" s="147">
        <v>4.3</v>
      </c>
      <c r="J1817" s="148">
        <v>1.0829813042076903</v>
      </c>
      <c r="K1817" s="149">
        <v>24.338999999999999</v>
      </c>
      <c r="L1817" s="149">
        <v>86.12</v>
      </c>
      <c r="M1817" s="136"/>
      <c r="N1817" s="135"/>
    </row>
    <row r="1818" spans="1:14" x14ac:dyDescent="0.25">
      <c r="A1818" s="142">
        <v>45590</v>
      </c>
      <c r="B1818" s="81" t="s">
        <v>38</v>
      </c>
      <c r="C1818" s="129" t="str">
        <f t="shared" si="54"/>
        <v>25.10.2024_BRAob</v>
      </c>
      <c r="D1818" s="143">
        <f t="shared" si="55"/>
        <v>0</v>
      </c>
      <c r="E1818" s="144">
        <v>0</v>
      </c>
      <c r="F1818" s="159">
        <v>1.2356105283149581E-2</v>
      </c>
      <c r="G1818" s="146">
        <v>0.17354971924022017</v>
      </c>
      <c r="H1818" s="146">
        <v>0</v>
      </c>
      <c r="I1818" s="147">
        <v>1.855</v>
      </c>
      <c r="J1818" s="148">
        <v>0.55374847149283857</v>
      </c>
      <c r="K1818" s="149">
        <v>40.286999999999999</v>
      </c>
      <c r="L1818" s="149">
        <v>112.995</v>
      </c>
      <c r="M1818" s="136"/>
      <c r="N1818" s="135"/>
    </row>
    <row r="1819" spans="1:14" x14ac:dyDescent="0.25">
      <c r="A1819" s="142">
        <v>45590</v>
      </c>
      <c r="B1819" s="81" t="s">
        <v>41</v>
      </c>
      <c r="C1819" s="129" t="str">
        <f t="shared" si="54"/>
        <v>25.10.2024_BRAohBo</v>
      </c>
      <c r="D1819" s="143">
        <f t="shared" si="55"/>
        <v>0</v>
      </c>
      <c r="E1819" s="144">
        <v>-4.0120013847751426E-3</v>
      </c>
      <c r="F1819" s="159">
        <v>2.4227354243082064E-2</v>
      </c>
      <c r="G1819" s="146">
        <v>0.17030579925442166</v>
      </c>
      <c r="H1819" s="146">
        <v>2.6661524617560051E-2</v>
      </c>
      <c r="I1819" s="147">
        <v>5.444</v>
      </c>
      <c r="J1819" s="148">
        <v>1.3699941312328821</v>
      </c>
      <c r="K1819" s="149">
        <v>30.712</v>
      </c>
      <c r="L1819" s="149">
        <v>88.897999999999996</v>
      </c>
      <c r="M1819" s="136"/>
      <c r="N1819" s="135"/>
    </row>
    <row r="1820" spans="1:14" x14ac:dyDescent="0.25">
      <c r="A1820" s="142">
        <v>45590</v>
      </c>
      <c r="B1820" s="81" t="s">
        <v>43</v>
      </c>
      <c r="C1820" s="129" t="str">
        <f t="shared" si="54"/>
        <v>25.10.2024_HAAob</v>
      </c>
      <c r="D1820" s="143">
        <f t="shared" si="55"/>
        <v>0</v>
      </c>
      <c r="E1820" s="144">
        <v>0</v>
      </c>
      <c r="F1820" s="159">
        <v>1.0099536891028773E-2</v>
      </c>
      <c r="G1820" s="146">
        <v>1.2975679943193985E-2</v>
      </c>
      <c r="H1820" s="146">
        <v>0</v>
      </c>
      <c r="I1820" s="147">
        <v>0.19</v>
      </c>
      <c r="J1820" s="148">
        <v>5.2990785719090695E-2</v>
      </c>
      <c r="K1820" s="149">
        <v>26.928000000000001</v>
      </c>
      <c r="L1820" s="149">
        <v>132.643</v>
      </c>
      <c r="M1820" s="136"/>
      <c r="N1820" s="135"/>
    </row>
    <row r="1821" spans="1:14" x14ac:dyDescent="0.25">
      <c r="A1821" s="142">
        <v>45590</v>
      </c>
      <c r="B1821" s="81" t="s">
        <v>45</v>
      </c>
      <c r="C1821" s="129" t="str">
        <f t="shared" si="54"/>
        <v>25.10.2024_HAAun</v>
      </c>
      <c r="D1821" s="143">
        <f t="shared" si="55"/>
        <v>0</v>
      </c>
      <c r="E1821" s="144">
        <v>0</v>
      </c>
      <c r="F1821" s="159">
        <v>4.4300799940047625E-2</v>
      </c>
      <c r="G1821" s="146">
        <v>0.30249553867571088</v>
      </c>
      <c r="H1821" s="146">
        <v>0</v>
      </c>
      <c r="I1821" s="147">
        <v>0</v>
      </c>
      <c r="J1821" s="148">
        <v>0.23488476082630275</v>
      </c>
      <c r="K1821" s="149">
        <v>29.088999999999999</v>
      </c>
      <c r="L1821" s="149">
        <v>197.02600000000001</v>
      </c>
      <c r="M1821" s="136"/>
      <c r="N1821" s="135"/>
    </row>
    <row r="1822" spans="1:14" x14ac:dyDescent="0.25">
      <c r="A1822" s="142">
        <v>45590</v>
      </c>
      <c r="B1822" s="81" t="s">
        <v>47</v>
      </c>
      <c r="C1822" s="129" t="str">
        <f t="shared" si="54"/>
        <v>25.10.2024_KIRob</v>
      </c>
      <c r="D1822" s="143">
        <f t="shared" si="55"/>
        <v>0</v>
      </c>
      <c r="E1822" s="144">
        <v>4.0120013847751842E-3</v>
      </c>
      <c r="F1822" s="159">
        <v>7.4553775483102861E-3</v>
      </c>
      <c r="G1822" s="146">
        <v>0.64148517719165488</v>
      </c>
      <c r="H1822" s="146">
        <v>0.10664609847024042</v>
      </c>
      <c r="I1822" s="147">
        <v>3.95</v>
      </c>
      <c r="J1822" s="148">
        <v>1.4227617299168127</v>
      </c>
      <c r="K1822" s="149">
        <v>69.97</v>
      </c>
      <c r="L1822" s="149">
        <v>160.262</v>
      </c>
      <c r="M1822" s="136"/>
      <c r="N1822" s="135"/>
    </row>
    <row r="1823" spans="1:14" x14ac:dyDescent="0.25">
      <c r="A1823" s="142">
        <v>45590</v>
      </c>
      <c r="B1823" s="81" t="s">
        <v>49</v>
      </c>
      <c r="C1823" s="129" t="str">
        <f t="shared" si="54"/>
        <v>25.10.2024_KIRun</v>
      </c>
      <c r="D1823" s="143">
        <f t="shared" si="55"/>
        <v>0</v>
      </c>
      <c r="E1823" s="144">
        <v>2.0060006923876129E-3</v>
      </c>
      <c r="F1823" s="159">
        <v>8.022189948157921E-3</v>
      </c>
      <c r="G1823" s="146">
        <v>0.20355597910885628</v>
      </c>
      <c r="H1823" s="146">
        <v>3.9992286926340131E-2</v>
      </c>
      <c r="I1823" s="147">
        <v>3.1419999999999999</v>
      </c>
      <c r="J1823" s="148">
        <v>0.87991837397295991</v>
      </c>
      <c r="K1823" s="149">
        <v>52.896999999999998</v>
      </c>
      <c r="L1823" s="149">
        <v>138.73099999999999</v>
      </c>
      <c r="M1823" s="136"/>
      <c r="N1823" s="135"/>
    </row>
    <row r="1824" spans="1:14" x14ac:dyDescent="0.25">
      <c r="A1824" s="142">
        <v>45590</v>
      </c>
      <c r="B1824" s="81" t="s">
        <v>50</v>
      </c>
      <c r="C1824" s="129" t="str">
        <f t="shared" si="54"/>
        <v>25.10.2024_LIEohBo</v>
      </c>
      <c r="D1824" s="143">
        <f t="shared" si="55"/>
        <v>0</v>
      </c>
      <c r="E1824" s="144">
        <v>0</v>
      </c>
      <c r="F1824" s="159">
        <v>1.3383162398399718E-2</v>
      </c>
      <c r="G1824" s="146">
        <v>5.4335659762124996E-2</v>
      </c>
      <c r="H1824" s="146">
        <v>0</v>
      </c>
      <c r="I1824" s="147">
        <v>8.1270000000000007</v>
      </c>
      <c r="J1824" s="148">
        <v>1.8778365864486926</v>
      </c>
      <c r="K1824" s="149">
        <v>21.306999999999999</v>
      </c>
      <c r="L1824" s="149">
        <v>84.873999999999995</v>
      </c>
      <c r="M1824" s="136"/>
      <c r="N1824" s="135"/>
    </row>
    <row r="1825" spans="1:14" x14ac:dyDescent="0.25">
      <c r="A1825" s="142">
        <v>45590</v>
      </c>
      <c r="B1825" s="81" t="s">
        <v>53</v>
      </c>
      <c r="C1825" s="129" t="str">
        <f t="shared" si="54"/>
        <v>25.10.2024_NATohBo</v>
      </c>
      <c r="D1825" s="143">
        <f t="shared" si="55"/>
        <v>0</v>
      </c>
      <c r="E1825" s="144">
        <v>5.2156018002077191E-2</v>
      </c>
      <c r="F1825" s="159">
        <v>1.7939299085219157E-2</v>
      </c>
      <c r="G1825" s="146">
        <v>0.16381795928282461</v>
      </c>
      <c r="H1825" s="146">
        <v>0</v>
      </c>
      <c r="I1825" s="147">
        <v>0.372</v>
      </c>
      <c r="J1825" s="148">
        <v>0.21122664720352047</v>
      </c>
      <c r="K1825" s="149">
        <v>66.7</v>
      </c>
      <c r="L1825" s="149">
        <v>394.15</v>
      </c>
      <c r="M1825" s="136"/>
      <c r="N1825" s="135"/>
    </row>
    <row r="1826" spans="1:14" x14ac:dyDescent="0.25">
      <c r="A1826" s="142">
        <v>45590</v>
      </c>
      <c r="B1826" s="81" t="s">
        <v>55</v>
      </c>
      <c r="C1826" s="129" t="str">
        <f t="shared" si="54"/>
        <v>25.10.2024_QUAohBo</v>
      </c>
      <c r="D1826" s="143">
        <f t="shared" si="55"/>
        <v>0</v>
      </c>
      <c r="E1826" s="144">
        <v>5.6168019386852334E-2</v>
      </c>
      <c r="F1826" s="159">
        <v>1.2144017568385892E-2</v>
      </c>
      <c r="G1826" s="146">
        <v>8.5152899627210801E-2</v>
      </c>
      <c r="H1826" s="146">
        <v>0</v>
      </c>
      <c r="I1826" s="147">
        <v>1.1499999999999999</v>
      </c>
      <c r="J1826" s="148">
        <v>0.32587087503153284</v>
      </c>
      <c r="K1826" s="149">
        <v>28.902999999999999</v>
      </c>
      <c r="L1826" s="149">
        <v>98.900999999999996</v>
      </c>
      <c r="M1826" s="136"/>
      <c r="N1826" s="135"/>
    </row>
    <row r="1827" spans="1:14" x14ac:dyDescent="0.25">
      <c r="A1827" s="142">
        <v>45590</v>
      </c>
      <c r="B1827" s="81" t="s">
        <v>57</v>
      </c>
      <c r="C1827" s="129" t="str">
        <f t="shared" si="54"/>
        <v>25.10.2024_SCHohVo</v>
      </c>
      <c r="D1827" s="143">
        <f t="shared" si="55"/>
        <v>0</v>
      </c>
      <c r="E1827" s="144">
        <v>0</v>
      </c>
      <c r="F1827" s="159">
        <v>1.9579871043081027E-2</v>
      </c>
      <c r="G1827" s="146">
        <v>4.2170959815380583E-2</v>
      </c>
      <c r="H1827" s="146">
        <v>0</v>
      </c>
      <c r="I1827" s="147">
        <v>0.58099999999999996</v>
      </c>
      <c r="J1827" s="148">
        <v>0.16397579858704486</v>
      </c>
      <c r="K1827" s="149">
        <v>26.113</v>
      </c>
      <c r="L1827" s="149">
        <v>82.8</v>
      </c>
      <c r="M1827" s="136"/>
      <c r="N1827" s="135"/>
    </row>
    <row r="1828" spans="1:14" x14ac:dyDescent="0.25">
      <c r="A1828" s="142">
        <v>45590</v>
      </c>
      <c r="B1828" s="81" t="s">
        <v>60</v>
      </c>
      <c r="C1828" s="129" t="str">
        <f t="shared" si="54"/>
        <v>25.10.2024_VORohBo</v>
      </c>
      <c r="D1828" s="143">
        <f t="shared" si="55"/>
        <v>0</v>
      </c>
      <c r="E1828" s="144">
        <v>2.8084009693426167E-2</v>
      </c>
      <c r="F1828" s="159">
        <v>8.2394582455982465E-3</v>
      </c>
      <c r="G1828" s="146">
        <v>0.27411123879997384</v>
      </c>
      <c r="H1828" s="146">
        <v>0.02</v>
      </c>
      <c r="I1828" s="147">
        <v>0.66500000000000004</v>
      </c>
      <c r="J1828" s="148">
        <v>0.36913718581579169</v>
      </c>
      <c r="K1828" s="149">
        <v>24.521999999999998</v>
      </c>
      <c r="L1828" s="149">
        <v>155.02000000000001</v>
      </c>
      <c r="M1828" s="136"/>
      <c r="N1828" s="135"/>
    </row>
    <row r="1829" spans="1:14" x14ac:dyDescent="0.25">
      <c r="A1829" s="142">
        <v>45590</v>
      </c>
      <c r="B1829" s="81" t="s">
        <v>62</v>
      </c>
      <c r="C1829" s="129" t="str">
        <f t="shared" si="54"/>
        <v>25.10.2024_VORuhSc</v>
      </c>
      <c r="D1829" s="143">
        <f t="shared" si="55"/>
        <v>0</v>
      </c>
      <c r="E1829" s="144">
        <v>0</v>
      </c>
      <c r="F1829" s="159">
        <v>6.9189349184272525E-3</v>
      </c>
      <c r="G1829" s="146">
        <v>0.29844063869346266</v>
      </c>
      <c r="H1829" s="146">
        <v>0</v>
      </c>
      <c r="I1829" s="147">
        <v>0.372</v>
      </c>
      <c r="J1829" s="148">
        <v>0.31575981153908683</v>
      </c>
      <c r="K1829" s="149">
        <v>22.751000000000001</v>
      </c>
      <c r="L1829" s="149">
        <v>143.52000000000001</v>
      </c>
      <c r="M1829" s="136"/>
      <c r="N1829" s="135"/>
    </row>
    <row r="1830" spans="1:14" x14ac:dyDescent="0.25">
      <c r="A1830" s="142">
        <v>45590</v>
      </c>
      <c r="B1830" s="81" t="s">
        <v>64</v>
      </c>
      <c r="C1830" s="129" t="str">
        <f t="shared" si="54"/>
        <v>25.10.2024_WITob</v>
      </c>
      <c r="D1830" s="143">
        <f t="shared" si="55"/>
        <v>0</v>
      </c>
      <c r="E1830" s="144">
        <v>0</v>
      </c>
      <c r="F1830" s="159">
        <v>8.1201974308116147E-3</v>
      </c>
      <c r="G1830" s="146">
        <v>0.15246423933252989</v>
      </c>
      <c r="H1830" s="146">
        <v>0</v>
      </c>
      <c r="I1830" s="147">
        <v>0</v>
      </c>
      <c r="J1830" s="148">
        <v>0.11838695719931613</v>
      </c>
      <c r="K1830" s="149">
        <v>61.673000000000002</v>
      </c>
      <c r="L1830" s="149">
        <v>248.279</v>
      </c>
      <c r="M1830" s="136"/>
      <c r="N1830" s="135"/>
    </row>
    <row r="1831" spans="1:14" x14ac:dyDescent="0.25">
      <c r="A1831" s="142">
        <v>45603</v>
      </c>
      <c r="B1831" s="81" t="s">
        <v>22</v>
      </c>
      <c r="C1831" s="129" t="str">
        <f t="shared" si="54"/>
        <v>07.11.2024_BOYkl</v>
      </c>
      <c r="D1831" s="143">
        <f t="shared" si="55"/>
        <v>0</v>
      </c>
      <c r="E1831" s="144">
        <v>0.16765255292652548</v>
      </c>
      <c r="F1831" s="159">
        <v>3.2845633579502459E-2</v>
      </c>
      <c r="G1831" s="146">
        <v>6.7712505351281968E-2</v>
      </c>
      <c r="H1831" s="146">
        <v>3.6964098989194817E-2</v>
      </c>
      <c r="I1831" s="147">
        <v>14.252000000000001</v>
      </c>
      <c r="J1831" s="148">
        <v>3.2829310432174772</v>
      </c>
      <c r="K1831" s="149">
        <v>18.43</v>
      </c>
      <c r="L1831" s="149">
        <v>44.51</v>
      </c>
      <c r="M1831" s="136"/>
      <c r="N1831" s="135"/>
    </row>
    <row r="1832" spans="1:14" x14ac:dyDescent="0.25">
      <c r="A1832" s="142">
        <v>45603</v>
      </c>
      <c r="B1832" s="81" t="s">
        <v>25</v>
      </c>
      <c r="C1832" s="129" t="str">
        <f t="shared" si="54"/>
        <v>07.11.2024_BOYohB224</v>
      </c>
      <c r="D1832" s="143">
        <f t="shared" si="55"/>
        <v>0</v>
      </c>
      <c r="E1832" s="144">
        <v>0.12853362391033624</v>
      </c>
      <c r="F1832" s="159">
        <v>1.4972375746491138E-2</v>
      </c>
      <c r="G1832" s="146">
        <v>0.20644056509537173</v>
      </c>
      <c r="H1832" s="146">
        <v>4.805332868595328E-2</v>
      </c>
      <c r="I1832" s="147">
        <v>3.9049999999999998</v>
      </c>
      <c r="J1832" s="148">
        <v>1.0569512203093436</v>
      </c>
      <c r="K1832" s="149">
        <v>29.562000000000001</v>
      </c>
      <c r="L1832" s="149">
        <v>147.119</v>
      </c>
      <c r="M1832" s="136"/>
      <c r="N1832" s="135"/>
    </row>
    <row r="1833" spans="1:14" x14ac:dyDescent="0.25">
      <c r="A1833" s="142">
        <v>45603</v>
      </c>
      <c r="B1833" s="81" t="s">
        <v>28</v>
      </c>
      <c r="C1833" s="129" t="str">
        <f t="shared" si="54"/>
        <v>07.11.2024_BOYohBr</v>
      </c>
      <c r="D1833" s="143">
        <f t="shared" si="55"/>
        <v>0</v>
      </c>
      <c r="E1833" s="144">
        <v>0.12108239933582396</v>
      </c>
      <c r="F1833" s="159">
        <v>2.0443995928784157E-2</v>
      </c>
      <c r="G1833" s="146">
        <v>0.12634162583836753</v>
      </c>
      <c r="H1833" s="146">
        <v>4.6821192052980097E-2</v>
      </c>
      <c r="I1833" s="147">
        <v>7.952</v>
      </c>
      <c r="J1833" s="148">
        <v>1.9084759609677637</v>
      </c>
      <c r="K1833" s="149">
        <v>20.74</v>
      </c>
      <c r="L1833" s="149">
        <v>80.168000000000006</v>
      </c>
      <c r="M1833" s="136"/>
      <c r="N1833" s="135"/>
    </row>
    <row r="1834" spans="1:14" x14ac:dyDescent="0.25">
      <c r="A1834" s="142">
        <v>45603</v>
      </c>
      <c r="B1834" s="81" t="s">
        <v>30</v>
      </c>
      <c r="C1834" s="129" t="str">
        <f t="shared" si="54"/>
        <v>07.11.2024_BOYohKi</v>
      </c>
      <c r="D1834" s="143">
        <f t="shared" si="55"/>
        <v>0</v>
      </c>
      <c r="E1834" s="144">
        <v>1.8628061436280614E-2</v>
      </c>
      <c r="F1834" s="159">
        <v>1.8389994701437484E-2</v>
      </c>
      <c r="G1834" s="146">
        <v>0.19653141797079388</v>
      </c>
      <c r="H1834" s="146">
        <v>4.5589055420006921E-2</v>
      </c>
      <c r="I1834" s="147">
        <v>3.9159999999999999</v>
      </c>
      <c r="J1834" s="148">
        <v>1.0509911886627628</v>
      </c>
      <c r="K1834" s="149">
        <v>28.981000000000002</v>
      </c>
      <c r="L1834" s="149">
        <v>117.226</v>
      </c>
      <c r="M1834" s="136"/>
      <c r="N1834" s="135"/>
    </row>
    <row r="1835" spans="1:14" x14ac:dyDescent="0.25">
      <c r="A1835" s="142">
        <v>45603</v>
      </c>
      <c r="B1835" s="81" t="s">
        <v>32</v>
      </c>
      <c r="C1835" s="129" t="str">
        <f t="shared" si="54"/>
        <v>07.11.2024_BOYohSp</v>
      </c>
      <c r="D1835" s="143">
        <f t="shared" si="55"/>
        <v>0</v>
      </c>
      <c r="E1835" s="144">
        <v>0.10617995018679949</v>
      </c>
      <c r="F1835" s="159">
        <v>2.1750194246683854E-2</v>
      </c>
      <c r="G1835" s="146">
        <v>0.18744803310659749</v>
      </c>
      <c r="H1835" s="146">
        <v>6.8999651446497015E-2</v>
      </c>
      <c r="I1835" s="147">
        <v>6.4980000000000002</v>
      </c>
      <c r="J1835" s="148">
        <v>1.6342617271098279</v>
      </c>
      <c r="K1835" s="149">
        <v>26.033999999999999</v>
      </c>
      <c r="L1835" s="149">
        <v>87.328999999999994</v>
      </c>
      <c r="M1835" s="136"/>
      <c r="N1835" s="135"/>
    </row>
    <row r="1836" spans="1:14" x14ac:dyDescent="0.25">
      <c r="A1836" s="142">
        <v>45603</v>
      </c>
      <c r="B1836" s="81" t="s">
        <v>34</v>
      </c>
      <c r="C1836" s="129" t="str">
        <f t="shared" si="54"/>
        <v>07.11.2024_BOYuhHa</v>
      </c>
      <c r="D1836" s="143">
        <f t="shared" si="55"/>
        <v>0</v>
      </c>
      <c r="E1836" s="144">
        <v>5.7746990452469844E-2</v>
      </c>
      <c r="F1836" s="159">
        <v>1.4283594276466383E-2</v>
      </c>
      <c r="G1836" s="146">
        <v>0.24690291585406454</v>
      </c>
      <c r="H1836" s="146">
        <v>4.3124782154060612E-2</v>
      </c>
      <c r="I1836" s="147">
        <v>4.7140000000000004</v>
      </c>
      <c r="J1836" s="148">
        <v>1.2695981650583263</v>
      </c>
      <c r="K1836" s="149">
        <v>36.487000000000002</v>
      </c>
      <c r="L1836" s="149">
        <v>180.37700000000001</v>
      </c>
      <c r="M1836" s="136"/>
      <c r="N1836" s="135"/>
    </row>
    <row r="1837" spans="1:14" x14ac:dyDescent="0.25">
      <c r="A1837" s="142">
        <v>45603</v>
      </c>
      <c r="B1837" s="81" t="s">
        <v>36</v>
      </c>
      <c r="C1837" s="129" t="str">
        <f t="shared" si="54"/>
        <v>07.11.2024_BOYuhSp</v>
      </c>
      <c r="D1837" s="143">
        <f t="shared" si="55"/>
        <v>0</v>
      </c>
      <c r="E1837" s="144">
        <v>0.10617995018679949</v>
      </c>
      <c r="F1837" s="159">
        <v>2.1928059042959532E-2</v>
      </c>
      <c r="G1837" s="146">
        <v>0.21882699900109406</v>
      </c>
      <c r="H1837" s="146">
        <v>6.5303241547577537E-2</v>
      </c>
      <c r="I1837" s="147">
        <v>5.5970000000000004</v>
      </c>
      <c r="J1837" s="148">
        <v>1.4539929383435197</v>
      </c>
      <c r="K1837" s="149">
        <v>26.475000000000001</v>
      </c>
      <c r="L1837" s="149">
        <v>95.039000000000001</v>
      </c>
      <c r="M1837" s="136"/>
      <c r="N1837" s="135"/>
    </row>
    <row r="1838" spans="1:14" x14ac:dyDescent="0.25">
      <c r="A1838" s="142">
        <v>45603</v>
      </c>
      <c r="B1838" s="81" t="s">
        <v>38</v>
      </c>
      <c r="C1838" s="129" t="str">
        <f t="shared" si="54"/>
        <v>07.11.2024_BRAob</v>
      </c>
      <c r="D1838" s="143">
        <f t="shared" si="55"/>
        <v>0</v>
      </c>
      <c r="E1838" s="144">
        <v>1.8628061436280614E-2</v>
      </c>
      <c r="F1838" s="159">
        <v>1.2914304103713792E-2</v>
      </c>
      <c r="G1838" s="146">
        <v>0.18827379536697902</v>
      </c>
      <c r="H1838" s="146">
        <v>-3.6964098989194869E-3</v>
      </c>
      <c r="I1838" s="147">
        <v>2.34</v>
      </c>
      <c r="J1838" s="148">
        <v>0.67360314737077931</v>
      </c>
      <c r="K1838" s="149">
        <v>44.116999999999997</v>
      </c>
      <c r="L1838" s="149">
        <v>116.13800000000001</v>
      </c>
      <c r="M1838" s="136"/>
      <c r="N1838" s="135"/>
    </row>
    <row r="1839" spans="1:14" x14ac:dyDescent="0.25">
      <c r="A1839" s="142">
        <v>45603</v>
      </c>
      <c r="B1839" s="81" t="s">
        <v>41</v>
      </c>
      <c r="C1839" s="129" t="str">
        <f t="shared" si="54"/>
        <v>07.11.2024_BRAohBo</v>
      </c>
      <c r="D1839" s="143">
        <f t="shared" si="55"/>
        <v>0</v>
      </c>
      <c r="E1839" s="144">
        <v>0.27196969696969697</v>
      </c>
      <c r="F1839" s="159">
        <v>2.9879387914066517E-2</v>
      </c>
      <c r="G1839" s="146">
        <v>0.29314560243542787</v>
      </c>
      <c r="H1839" s="146">
        <v>7.7624607877309168E-2</v>
      </c>
      <c r="I1839" s="147">
        <v>3.7970000000000002</v>
      </c>
      <c r="J1839" s="148">
        <v>1.1088858307033322</v>
      </c>
      <c r="K1839" s="149">
        <v>25.594000000000001</v>
      </c>
      <c r="L1839" s="149">
        <v>86.072999999999993</v>
      </c>
      <c r="M1839" s="136"/>
      <c r="N1839" s="135"/>
    </row>
    <row r="1840" spans="1:14" x14ac:dyDescent="0.25">
      <c r="A1840" s="142">
        <v>45603</v>
      </c>
      <c r="B1840" s="81" t="s">
        <v>43</v>
      </c>
      <c r="C1840" s="129" t="str">
        <f t="shared" si="54"/>
        <v>07.11.2024_HAAob</v>
      </c>
      <c r="D1840" s="143">
        <f t="shared" si="55"/>
        <v>0</v>
      </c>
      <c r="E1840" s="144">
        <v>9.3140307181403023E-2</v>
      </c>
      <c r="F1840" s="159">
        <v>1.2620675183577543E-2</v>
      </c>
      <c r="G1840" s="146">
        <v>0.20231175379346428</v>
      </c>
      <c r="H1840" s="146">
        <v>0</v>
      </c>
      <c r="I1840" s="147">
        <v>0.54900000000000004</v>
      </c>
      <c r="J1840" s="148">
        <v>0.28109568370308707</v>
      </c>
      <c r="K1840" s="149">
        <v>27.581</v>
      </c>
      <c r="L1840" s="149">
        <v>152.71899999999999</v>
      </c>
      <c r="M1840" s="136"/>
      <c r="N1840" s="135"/>
    </row>
    <row r="1841" spans="1:14" x14ac:dyDescent="0.25">
      <c r="A1841" s="142">
        <v>45603</v>
      </c>
      <c r="B1841" s="81" t="s">
        <v>45</v>
      </c>
      <c r="C1841" s="129" t="str">
        <f t="shared" si="54"/>
        <v>07.11.2024_HAAun</v>
      </c>
      <c r="D1841" s="143">
        <f t="shared" si="55"/>
        <v>0</v>
      </c>
      <c r="E1841" s="144">
        <v>4.843295973432956E-2</v>
      </c>
      <c r="F1841" s="159">
        <v>3.0577982955307489E-2</v>
      </c>
      <c r="G1841" s="146">
        <v>0.33030490415259489</v>
      </c>
      <c r="H1841" s="146">
        <v>-1.2321366329731793E-3</v>
      </c>
      <c r="I1841" s="147">
        <v>0.214</v>
      </c>
      <c r="J1841" s="148">
        <v>0.30443951102753974</v>
      </c>
      <c r="K1841" s="149">
        <v>29.489000000000001</v>
      </c>
      <c r="L1841" s="149">
        <v>226.17</v>
      </c>
      <c r="M1841" s="136"/>
      <c r="N1841" s="135"/>
    </row>
    <row r="1842" spans="1:14" x14ac:dyDescent="0.25">
      <c r="A1842" s="142">
        <v>45603</v>
      </c>
      <c r="B1842" s="81" t="s">
        <v>47</v>
      </c>
      <c r="C1842" s="129" t="str">
        <f t="shared" si="54"/>
        <v>07.11.2024_KIRob</v>
      </c>
      <c r="D1842" s="143">
        <f t="shared" si="55"/>
        <v>0</v>
      </c>
      <c r="E1842" s="144">
        <v>8.9414694894146926E-2</v>
      </c>
      <c r="F1842" s="159">
        <v>7.8478487661713947E-3</v>
      </c>
      <c r="G1842" s="146">
        <v>0.73905722304143084</v>
      </c>
      <c r="H1842" s="146">
        <v>0.14785639595677932</v>
      </c>
      <c r="I1842" s="147">
        <v>4.0010000000000003</v>
      </c>
      <c r="J1842" s="148">
        <v>1.5225912928684822</v>
      </c>
      <c r="K1842" s="149">
        <v>69.44</v>
      </c>
      <c r="L1842" s="149">
        <v>161.26400000000001</v>
      </c>
      <c r="M1842" s="136"/>
      <c r="N1842" s="135"/>
    </row>
    <row r="1843" spans="1:14" x14ac:dyDescent="0.25">
      <c r="A1843" s="142">
        <v>45603</v>
      </c>
      <c r="B1843" s="81" t="s">
        <v>49</v>
      </c>
      <c r="C1843" s="129" t="str">
        <f t="shared" si="54"/>
        <v>07.11.2024_KIRun</v>
      </c>
      <c r="D1843" s="143">
        <f t="shared" si="55"/>
        <v>0</v>
      </c>
      <c r="E1843" s="144">
        <v>0.1564757160647571</v>
      </c>
      <c r="F1843" s="159">
        <v>8.4836154802658704E-3</v>
      </c>
      <c r="G1843" s="146">
        <v>0.24690291585406463</v>
      </c>
      <c r="H1843" s="146">
        <v>0.10842802370163819</v>
      </c>
      <c r="I1843" s="147">
        <v>3.4249999999999998</v>
      </c>
      <c r="J1843" s="148">
        <v>0.99833330694748634</v>
      </c>
      <c r="K1843" s="149">
        <v>56.573</v>
      </c>
      <c r="L1843" s="149">
        <v>144.37</v>
      </c>
      <c r="M1843" s="136"/>
      <c r="N1843" s="135"/>
    </row>
    <row r="1844" spans="1:14" x14ac:dyDescent="0.25">
      <c r="A1844" s="142">
        <v>45603</v>
      </c>
      <c r="B1844" s="81" t="s">
        <v>50</v>
      </c>
      <c r="C1844" s="129" t="str">
        <f t="shared" ref="C1844:C1907" si="56">CONCATENATE(TEXT(A1844,"TT.MM.JJJJ"),"_",B1844)</f>
        <v>07.11.2024_LIEohBo</v>
      </c>
      <c r="D1844" s="143">
        <f t="shared" si="55"/>
        <v>0</v>
      </c>
      <c r="E1844" s="144">
        <v>0.10245433789954339</v>
      </c>
      <c r="F1844" s="159">
        <v>1.94132948665551E-2</v>
      </c>
      <c r="G1844" s="146">
        <v>7.9273176996622757E-2</v>
      </c>
      <c r="H1844" s="146">
        <v>0</v>
      </c>
      <c r="I1844" s="147">
        <v>9.6869999999999994</v>
      </c>
      <c r="J1844" s="148">
        <v>2.2495575192061072</v>
      </c>
      <c r="K1844" s="149">
        <v>21.602</v>
      </c>
      <c r="L1844" s="149">
        <v>89.453000000000003</v>
      </c>
      <c r="M1844" s="136"/>
      <c r="N1844" s="135"/>
    </row>
    <row r="1845" spans="1:14" x14ac:dyDescent="0.25">
      <c r="A1845" s="142">
        <v>45603</v>
      </c>
      <c r="B1845" s="81" t="s">
        <v>53</v>
      </c>
      <c r="C1845" s="129" t="str">
        <f t="shared" si="56"/>
        <v>07.11.2024_NATohBo</v>
      </c>
      <c r="D1845" s="143">
        <f t="shared" si="55"/>
        <v>0</v>
      </c>
      <c r="E1845" s="144">
        <v>0.10245433789954339</v>
      </c>
      <c r="F1845" s="159">
        <v>1.6733417714605833E-2</v>
      </c>
      <c r="G1845" s="146">
        <v>0.35012319840175055</v>
      </c>
      <c r="H1845" s="146">
        <v>8.6249564308121529E-3</v>
      </c>
      <c r="I1845" s="147">
        <v>1.246</v>
      </c>
      <c r="J1845" s="148">
        <v>0.55592705031233602</v>
      </c>
      <c r="K1845" s="149">
        <v>83.741</v>
      </c>
      <c r="L1845" s="149">
        <v>454.79</v>
      </c>
      <c r="M1845" s="136"/>
      <c r="N1845" s="135"/>
    </row>
    <row r="1846" spans="1:14" x14ac:dyDescent="0.25">
      <c r="A1846" s="142">
        <v>45603</v>
      </c>
      <c r="B1846" s="81" t="s">
        <v>55</v>
      </c>
      <c r="C1846" s="129" t="str">
        <f t="shared" si="56"/>
        <v>07.11.2024_QUAohBo</v>
      </c>
      <c r="D1846" s="143">
        <f t="shared" si="55"/>
        <v>0</v>
      </c>
      <c r="E1846" s="144">
        <v>4.4707347447073421E-2</v>
      </c>
      <c r="F1846" s="159">
        <v>1.2280641009847869E-2</v>
      </c>
      <c r="G1846" s="146">
        <v>7.1015554392807906E-2</v>
      </c>
      <c r="H1846" s="146">
        <v>4.805332868595328E-2</v>
      </c>
      <c r="I1846" s="147">
        <v>0.92800000000000005</v>
      </c>
      <c r="J1846" s="148">
        <v>0.27938006374890989</v>
      </c>
      <c r="K1846" s="149">
        <v>28.027000000000001</v>
      </c>
      <c r="L1846" s="149">
        <v>97.587999999999994</v>
      </c>
      <c r="M1846" s="136"/>
      <c r="N1846" s="135"/>
    </row>
    <row r="1847" spans="1:14" x14ac:dyDescent="0.25">
      <c r="A1847" s="142">
        <v>45603</v>
      </c>
      <c r="B1847" s="81" t="s">
        <v>57</v>
      </c>
      <c r="C1847" s="129" t="str">
        <f t="shared" si="56"/>
        <v>07.11.2024_SCHohVo</v>
      </c>
      <c r="D1847" s="143">
        <f t="shared" si="55"/>
        <v>0</v>
      </c>
      <c r="E1847" s="144">
        <v>1.3039643005396425E-2</v>
      </c>
      <c r="F1847" s="159">
        <v>1.6233291453479185E-2</v>
      </c>
      <c r="G1847" s="146">
        <v>0.12716738809874903</v>
      </c>
      <c r="H1847" s="146">
        <v>4.805332868595328E-2</v>
      </c>
      <c r="I1847" s="147">
        <v>1.08</v>
      </c>
      <c r="J1847" s="148">
        <v>0.35731364110323616</v>
      </c>
      <c r="K1847" s="149">
        <v>20.495999999999999</v>
      </c>
      <c r="L1847" s="149">
        <v>63.981999999999999</v>
      </c>
      <c r="M1847" s="136"/>
      <c r="N1847" s="135"/>
    </row>
    <row r="1848" spans="1:14" x14ac:dyDescent="0.25">
      <c r="A1848" s="142">
        <v>45603</v>
      </c>
      <c r="B1848" s="81" t="s">
        <v>60</v>
      </c>
      <c r="C1848" s="129" t="str">
        <f t="shared" si="56"/>
        <v>07.11.2024_VORohBo</v>
      </c>
      <c r="D1848" s="143">
        <f t="shared" si="55"/>
        <v>0</v>
      </c>
      <c r="E1848" s="144">
        <v>9.872872561228721E-2</v>
      </c>
      <c r="F1848" s="159">
        <v>9.084700063954133E-3</v>
      </c>
      <c r="G1848" s="146">
        <v>0.4946315939685107</v>
      </c>
      <c r="H1848" s="146">
        <v>1.6017776228651127E-2</v>
      </c>
      <c r="I1848" s="147">
        <v>0.95799999999999996</v>
      </c>
      <c r="J1848" s="148">
        <v>0.60533655837342171</v>
      </c>
      <c r="K1848" s="149">
        <v>30.734000000000002</v>
      </c>
      <c r="L1848" s="149">
        <v>196.756</v>
      </c>
      <c r="M1848" s="136"/>
      <c r="N1848" s="135"/>
    </row>
    <row r="1849" spans="1:14" x14ac:dyDescent="0.25">
      <c r="A1849" s="142">
        <v>45603</v>
      </c>
      <c r="B1849" s="81" t="s">
        <v>62</v>
      </c>
      <c r="C1849" s="129" t="str">
        <f t="shared" si="56"/>
        <v>07.11.2024_VORuhSc</v>
      </c>
      <c r="D1849" s="143">
        <f t="shared" si="55"/>
        <v>0</v>
      </c>
      <c r="E1849" s="144">
        <v>5.2158572021585657E-2</v>
      </c>
      <c r="F1849" s="159">
        <v>8.5599448298665573E-3</v>
      </c>
      <c r="G1849" s="146">
        <v>0.30718356086191329</v>
      </c>
      <c r="H1849" s="146">
        <v>2.4642732659463228E-2</v>
      </c>
      <c r="I1849" s="147">
        <v>0.59299999999999997</v>
      </c>
      <c r="J1849" s="148">
        <v>0.37996835313184063</v>
      </c>
      <c r="K1849" s="149">
        <v>26.183</v>
      </c>
      <c r="L1849" s="149">
        <v>170.19499999999999</v>
      </c>
      <c r="M1849" s="136"/>
      <c r="N1849" s="135"/>
    </row>
    <row r="1850" spans="1:14" x14ac:dyDescent="0.25">
      <c r="A1850" s="142">
        <v>45603</v>
      </c>
      <c r="B1850" s="81" t="s">
        <v>64</v>
      </c>
      <c r="C1850" s="129" t="str">
        <f t="shared" si="56"/>
        <v>07.11.2024_WITob</v>
      </c>
      <c r="D1850" s="143">
        <f t="shared" si="55"/>
        <v>0</v>
      </c>
      <c r="E1850" s="144">
        <v>0.1583385222083851</v>
      </c>
      <c r="F1850" s="159">
        <v>9.6090260594766264E-3</v>
      </c>
      <c r="G1850" s="146">
        <v>0.18001617276316412</v>
      </c>
      <c r="H1850" s="146">
        <v>0</v>
      </c>
      <c r="I1850" s="147">
        <v>0.186</v>
      </c>
      <c r="J1850" s="148">
        <v>0.1817925779888693</v>
      </c>
      <c r="K1850" s="149">
        <v>61.706000000000003</v>
      </c>
      <c r="L1850" s="149">
        <v>252.72</v>
      </c>
      <c r="M1850" s="136"/>
      <c r="N1850" s="135"/>
    </row>
    <row r="1851" spans="1:14" x14ac:dyDescent="0.25">
      <c r="A1851" s="142">
        <v>45618</v>
      </c>
      <c r="B1851" s="81" t="s">
        <v>22</v>
      </c>
      <c r="C1851" s="129" t="str">
        <f t="shared" si="56"/>
        <v>22.11.2024_BOYkl</v>
      </c>
      <c r="D1851" s="143">
        <f t="shared" si="55"/>
        <v>0</v>
      </c>
      <c r="E1851" s="144">
        <v>0.16845472965767294</v>
      </c>
      <c r="F1851" s="159">
        <v>3.6627079008492401E-2</v>
      </c>
      <c r="G1851" s="146">
        <v>0.19044711763190791</v>
      </c>
      <c r="H1851" s="146">
        <v>2.1342590845628506E-2</v>
      </c>
      <c r="I1851" s="147">
        <v>17.645</v>
      </c>
      <c r="J1851" s="148">
        <v>4.1398541841529513</v>
      </c>
      <c r="K1851" s="149">
        <v>19.256</v>
      </c>
      <c r="L1851" s="149">
        <v>41.972000000000001</v>
      </c>
      <c r="M1851" s="136"/>
      <c r="N1851" s="135"/>
    </row>
    <row r="1852" spans="1:14" x14ac:dyDescent="0.25">
      <c r="A1852" s="142">
        <v>45618</v>
      </c>
      <c r="B1852" s="81" t="s">
        <v>25</v>
      </c>
      <c r="C1852" s="129" t="str">
        <f t="shared" si="56"/>
        <v>22.11.2024_BOYohB224</v>
      </c>
      <c r="D1852" s="143">
        <f t="shared" si="55"/>
        <v>0</v>
      </c>
      <c r="E1852" s="144">
        <v>0.1320838221179482</v>
      </c>
      <c r="F1852" s="159">
        <v>2.2394849116108596E-2</v>
      </c>
      <c r="G1852" s="146">
        <v>0.13496904423478687</v>
      </c>
      <c r="H1852" s="146">
        <v>4.668691747481224E-2</v>
      </c>
      <c r="I1852" s="147">
        <v>6.33</v>
      </c>
      <c r="J1852" s="148">
        <v>1.5487730451830761</v>
      </c>
      <c r="K1852" s="149">
        <v>28.297000000000001</v>
      </c>
      <c r="L1852" s="149">
        <v>109.13</v>
      </c>
      <c r="M1852" s="136"/>
      <c r="N1852" s="135"/>
    </row>
    <row r="1853" spans="1:14" x14ac:dyDescent="0.25">
      <c r="A1853" s="142">
        <v>45618</v>
      </c>
      <c r="B1853" s="81" t="s">
        <v>28</v>
      </c>
      <c r="C1853" s="129" t="str">
        <f t="shared" si="56"/>
        <v>22.11.2024_BOYohBr</v>
      </c>
      <c r="D1853" s="143">
        <f t="shared" si="55"/>
        <v>0</v>
      </c>
      <c r="E1853" s="144">
        <v>0.10911272261917457</v>
      </c>
      <c r="F1853" s="159">
        <v>4.1323367479427185E-2</v>
      </c>
      <c r="G1853" s="146">
        <v>8.1147032730117294E-2</v>
      </c>
      <c r="H1853" s="146">
        <v>4.4019093619108697E-2</v>
      </c>
      <c r="I1853" s="147">
        <v>9.1069999999999993</v>
      </c>
      <c r="J1853" s="148">
        <v>2.1334095624969462</v>
      </c>
      <c r="K1853" s="149">
        <v>16.283999999999999</v>
      </c>
      <c r="L1853" s="149">
        <v>54.625999999999998</v>
      </c>
      <c r="M1853" s="136"/>
      <c r="N1853" s="135"/>
    </row>
    <row r="1854" spans="1:14" x14ac:dyDescent="0.25">
      <c r="A1854" s="142">
        <v>45618</v>
      </c>
      <c r="B1854" s="81" t="s">
        <v>30</v>
      </c>
      <c r="C1854" s="129" t="str">
        <f t="shared" si="56"/>
        <v>22.11.2024_BOYohKi</v>
      </c>
      <c r="D1854" s="143">
        <f t="shared" si="55"/>
        <v>0</v>
      </c>
      <c r="E1854" s="144">
        <v>2.2971099498773653E-2</v>
      </c>
      <c r="F1854" s="159">
        <v>2.3456859671781315E-2</v>
      </c>
      <c r="G1854" s="146">
        <v>0.15484178694420336</v>
      </c>
      <c r="H1854" s="146">
        <v>3.3347798196294416E-2</v>
      </c>
      <c r="I1854" s="147">
        <v>8.4049999999999994</v>
      </c>
      <c r="J1854" s="148">
        <v>2.028823186305166</v>
      </c>
      <c r="K1854" s="149">
        <v>24.593</v>
      </c>
      <c r="L1854" s="149">
        <v>90.725999999999999</v>
      </c>
      <c r="M1854" s="136"/>
      <c r="N1854" s="135"/>
    </row>
    <row r="1855" spans="1:14" x14ac:dyDescent="0.25">
      <c r="A1855" s="142">
        <v>45618</v>
      </c>
      <c r="B1855" s="81" t="s">
        <v>32</v>
      </c>
      <c r="C1855" s="129" t="str">
        <f t="shared" si="56"/>
        <v>22.11.2024_BOYohSp</v>
      </c>
      <c r="D1855" s="143">
        <f t="shared" si="55"/>
        <v>0</v>
      </c>
      <c r="E1855" s="144">
        <v>0.10336994774448117</v>
      </c>
      <c r="F1855" s="159">
        <v>2.7090805134160043E-2</v>
      </c>
      <c r="G1855" s="146">
        <v>8.3631125568794346E-2</v>
      </c>
      <c r="H1855" s="146">
        <v>7.3365156031847831E-2</v>
      </c>
      <c r="I1855" s="147">
        <v>8.3569999999999993</v>
      </c>
      <c r="J1855" s="148">
        <v>1.974870344446809</v>
      </c>
      <c r="K1855" s="149">
        <v>23.323</v>
      </c>
      <c r="L1855" s="149">
        <v>76.712999999999994</v>
      </c>
      <c r="M1855" s="136"/>
      <c r="N1855" s="135"/>
    </row>
    <row r="1856" spans="1:14" x14ac:dyDescent="0.25">
      <c r="A1856" s="142">
        <v>45618</v>
      </c>
      <c r="B1856" s="81" t="s">
        <v>34</v>
      </c>
      <c r="C1856" s="129" t="str">
        <f t="shared" si="56"/>
        <v>22.11.2024_BOYuhHa</v>
      </c>
      <c r="D1856" s="143">
        <f t="shared" si="55"/>
        <v>0</v>
      </c>
      <c r="E1856" s="144">
        <v>8.6141623120400967E-2</v>
      </c>
      <c r="F1856" s="159">
        <v>2.3536684755923465E-2</v>
      </c>
      <c r="G1856" s="146">
        <v>0.20038348898661618</v>
      </c>
      <c r="H1856" s="146">
        <v>2.5344326629183848E-2</v>
      </c>
      <c r="I1856" s="147">
        <v>7.3220000000000001</v>
      </c>
      <c r="J1856" s="148">
        <v>1.8171319956054726</v>
      </c>
      <c r="K1856" s="149">
        <v>45.94</v>
      </c>
      <c r="L1856" s="149">
        <v>194.012</v>
      </c>
      <c r="M1856" s="136"/>
      <c r="N1856" s="135"/>
    </row>
    <row r="1857" spans="1:14" x14ac:dyDescent="0.25">
      <c r="A1857" s="142">
        <v>45618</v>
      </c>
      <c r="B1857" s="81" t="s">
        <v>36</v>
      </c>
      <c r="C1857" s="129" t="str">
        <f t="shared" si="56"/>
        <v>22.11.2024_BOYuhSp</v>
      </c>
      <c r="D1857" s="143">
        <f t="shared" si="55"/>
        <v>0</v>
      </c>
      <c r="E1857" s="144">
        <v>0.10911272261917457</v>
      </c>
      <c r="F1857" s="159">
        <v>2.4149697429360781E-2</v>
      </c>
      <c r="G1857" s="146">
        <v>7.0382630429183343E-2</v>
      </c>
      <c r="H1857" s="146">
        <v>4.2685181691256902E-2</v>
      </c>
      <c r="I1857" s="147">
        <v>8.8610000000000007</v>
      </c>
      <c r="J1857" s="148">
        <v>2.06908098226786</v>
      </c>
      <c r="K1857" s="149">
        <v>23.381</v>
      </c>
      <c r="L1857" s="149">
        <v>68.593000000000004</v>
      </c>
      <c r="M1857" s="136"/>
      <c r="N1857" s="135"/>
    </row>
    <row r="1858" spans="1:14" x14ac:dyDescent="0.25">
      <c r="A1858" s="142">
        <v>45618</v>
      </c>
      <c r="B1858" s="81" t="s">
        <v>38</v>
      </c>
      <c r="C1858" s="129" t="str">
        <f t="shared" si="56"/>
        <v>22.11.2024_BRAob</v>
      </c>
      <c r="D1858" s="143">
        <f t="shared" si="55"/>
        <v>0</v>
      </c>
      <c r="E1858" s="144">
        <v>3.254239095659596E-2</v>
      </c>
      <c r="F1858" s="159">
        <v>1.4006869805153407E-2</v>
      </c>
      <c r="G1858" s="146">
        <v>0.31630782145821223</v>
      </c>
      <c r="H1858" s="146">
        <v>0</v>
      </c>
      <c r="I1858" s="147">
        <v>3.774</v>
      </c>
      <c r="J1858" s="148">
        <v>1.0980432402840872</v>
      </c>
      <c r="K1858" s="149">
        <v>41.23</v>
      </c>
      <c r="L1858" s="149">
        <v>110.83</v>
      </c>
      <c r="M1858" s="136"/>
      <c r="N1858" s="135"/>
    </row>
    <row r="1859" spans="1:14" x14ac:dyDescent="0.25">
      <c r="A1859" s="142">
        <v>45618</v>
      </c>
      <c r="B1859" s="81" t="s">
        <v>41</v>
      </c>
      <c r="C1859" s="129" t="str">
        <f t="shared" si="56"/>
        <v>22.11.2024_BRAohBo</v>
      </c>
      <c r="D1859" s="143">
        <f t="shared" si="55"/>
        <v>0</v>
      </c>
      <c r="E1859" s="144">
        <v>0.1531406633251573</v>
      </c>
      <c r="F1859" s="159">
        <v>2.6954569576845736E-2</v>
      </c>
      <c r="G1859" s="146">
        <v>0.28070249077050757</v>
      </c>
      <c r="H1859" s="146">
        <v>8.4036451454662112E-2</v>
      </c>
      <c r="I1859" s="147">
        <v>9.625</v>
      </c>
      <c r="J1859" s="148">
        <v>2.4175463247037636</v>
      </c>
      <c r="K1859" s="149">
        <v>27.523</v>
      </c>
      <c r="L1859" s="149">
        <v>79.472999999999999</v>
      </c>
      <c r="M1859" s="136"/>
      <c r="N1859" s="135"/>
    </row>
    <row r="1860" spans="1:14" x14ac:dyDescent="0.25">
      <c r="A1860" s="142">
        <v>45618</v>
      </c>
      <c r="B1860" s="81" t="s">
        <v>43</v>
      </c>
      <c r="C1860" s="129" t="str">
        <f t="shared" si="56"/>
        <v>22.11.2024_HAAob</v>
      </c>
      <c r="D1860" s="143">
        <f t="shared" si="55"/>
        <v>0</v>
      </c>
      <c r="E1860" s="144">
        <v>6.5084781913191808E-2</v>
      </c>
      <c r="F1860" s="159">
        <v>1.4378582298155054E-2</v>
      </c>
      <c r="G1860" s="146">
        <v>9.9363713547082344E-2</v>
      </c>
      <c r="H1860" s="146">
        <v>0</v>
      </c>
      <c r="I1860" s="147">
        <v>1.6850000000000001</v>
      </c>
      <c r="J1860" s="148">
        <v>0.45774587993217397</v>
      </c>
      <c r="K1860" s="149">
        <v>27.835999999999999</v>
      </c>
      <c r="L1860" s="149">
        <v>194.05199999999999</v>
      </c>
      <c r="M1860" s="136"/>
      <c r="N1860" s="135"/>
    </row>
    <row r="1861" spans="1:14" x14ac:dyDescent="0.25">
      <c r="A1861" s="142">
        <v>45618</v>
      </c>
      <c r="B1861" s="81" t="s">
        <v>45</v>
      </c>
      <c r="C1861" s="129" t="str">
        <f t="shared" si="56"/>
        <v>22.11.2024_HAAun</v>
      </c>
      <c r="D1861" s="143">
        <f t="shared" ref="D1861:D1924" si="57">COUNTBLANK(E1861:L1861)</f>
        <v>0</v>
      </c>
      <c r="E1861" s="144">
        <v>8.039884824570756E-2</v>
      </c>
      <c r="F1861" s="159">
        <v>7.4039037201530905E-2</v>
      </c>
      <c r="G1861" s="146">
        <v>0.22688047926583804</v>
      </c>
      <c r="H1861" s="146">
        <v>0</v>
      </c>
      <c r="I1861" s="147">
        <v>0.14499999999999999</v>
      </c>
      <c r="J1861" s="148">
        <v>0.20892157334513056</v>
      </c>
      <c r="K1861" s="149">
        <v>26.289000000000001</v>
      </c>
      <c r="L1861" s="149">
        <v>201.99</v>
      </c>
      <c r="M1861" s="136"/>
      <c r="N1861" s="135"/>
    </row>
    <row r="1862" spans="1:14" x14ac:dyDescent="0.25">
      <c r="A1862" s="142">
        <v>45618</v>
      </c>
      <c r="B1862" s="81" t="s">
        <v>47</v>
      </c>
      <c r="C1862" s="129" t="str">
        <f t="shared" si="56"/>
        <v>22.11.2024_KIRob</v>
      </c>
      <c r="D1862" s="143">
        <f t="shared" si="57"/>
        <v>0</v>
      </c>
      <c r="E1862" s="144">
        <v>9.5712914578223313E-2</v>
      </c>
      <c r="F1862" s="159">
        <v>7.5286672478059183E-3</v>
      </c>
      <c r="G1862" s="146">
        <v>0.82057866770965526</v>
      </c>
      <c r="H1862" s="146">
        <v>0.10537904230029056</v>
      </c>
      <c r="I1862" s="147">
        <v>3.8690000000000002</v>
      </c>
      <c r="J1862" s="148">
        <v>1.5431448091181936</v>
      </c>
      <c r="K1862" s="149">
        <v>63.643999999999998</v>
      </c>
      <c r="L1862" s="149">
        <v>155.51900000000001</v>
      </c>
      <c r="M1862" s="136"/>
      <c r="N1862" s="135"/>
    </row>
    <row r="1863" spans="1:14" x14ac:dyDescent="0.25">
      <c r="A1863" s="142">
        <v>45618</v>
      </c>
      <c r="B1863" s="81" t="s">
        <v>49</v>
      </c>
      <c r="C1863" s="129" t="str">
        <f t="shared" si="56"/>
        <v>22.11.2024_KIRun</v>
      </c>
      <c r="D1863" s="143">
        <f t="shared" si="57"/>
        <v>0</v>
      </c>
      <c r="E1863" s="144">
        <v>0.23162525327930036</v>
      </c>
      <c r="F1863" s="159">
        <v>7.6245080804543891E-3</v>
      </c>
      <c r="G1863" s="146">
        <v>0.30554341915727817</v>
      </c>
      <c r="H1863" s="146">
        <v>0.11471642579525304</v>
      </c>
      <c r="I1863" s="147">
        <v>3.4249999999999998</v>
      </c>
      <c r="J1863" s="148">
        <v>1.0457815753747997</v>
      </c>
      <c r="K1863" s="149">
        <v>52.534999999999997</v>
      </c>
      <c r="L1863" s="149">
        <v>143.09</v>
      </c>
      <c r="M1863" s="136"/>
      <c r="N1863" s="135"/>
    </row>
    <row r="1864" spans="1:14" x14ac:dyDescent="0.25">
      <c r="A1864" s="142">
        <v>45618</v>
      </c>
      <c r="B1864" s="81" t="s">
        <v>50</v>
      </c>
      <c r="C1864" s="129" t="str">
        <f t="shared" si="56"/>
        <v>22.11.2024_LIEohBo</v>
      </c>
      <c r="D1864" s="143">
        <f t="shared" si="57"/>
        <v>0</v>
      </c>
      <c r="E1864" s="144">
        <v>0.13399808040951267</v>
      </c>
      <c r="F1864" s="159">
        <v>2.5748864060299727E-2</v>
      </c>
      <c r="G1864" s="146">
        <v>9.2739465977276905E-2</v>
      </c>
      <c r="H1864" s="146">
        <v>0</v>
      </c>
      <c r="I1864" s="147">
        <v>10.401999999999999</v>
      </c>
      <c r="J1864" s="148">
        <v>2.4215110079366955</v>
      </c>
      <c r="K1864" s="149">
        <v>17.971</v>
      </c>
      <c r="L1864" s="149">
        <v>84.805999999999997</v>
      </c>
      <c r="M1864" s="136"/>
      <c r="N1864" s="135"/>
    </row>
    <row r="1865" spans="1:14" x14ac:dyDescent="0.25">
      <c r="A1865" s="142">
        <v>45618</v>
      </c>
      <c r="B1865" s="81" t="s">
        <v>53</v>
      </c>
      <c r="C1865" s="129" t="str">
        <f t="shared" si="56"/>
        <v>22.11.2024_NATohBo</v>
      </c>
      <c r="D1865" s="143">
        <f t="shared" si="57"/>
        <v>0</v>
      </c>
      <c r="E1865" s="144">
        <v>0.11485549749386798</v>
      </c>
      <c r="F1865" s="159">
        <v>2.8023637516847638E-2</v>
      </c>
      <c r="G1865" s="146">
        <v>0.21860016980358118</v>
      </c>
      <c r="H1865" s="146">
        <v>9.2039923021772788E-2</v>
      </c>
      <c r="I1865" s="147">
        <v>1.1870000000000001</v>
      </c>
      <c r="J1865" s="148">
        <v>0.46587009041476146</v>
      </c>
      <c r="K1865" s="149">
        <v>87.566000000000003</v>
      </c>
      <c r="L1865" s="149">
        <v>121.538</v>
      </c>
      <c r="M1865" s="136"/>
      <c r="N1865" s="135"/>
    </row>
    <row r="1866" spans="1:14" x14ac:dyDescent="0.25">
      <c r="A1866" s="142">
        <v>45618</v>
      </c>
      <c r="B1866" s="81" t="s">
        <v>55</v>
      </c>
      <c r="C1866" s="129" t="str">
        <f t="shared" si="56"/>
        <v>22.11.2024_QUAohBo</v>
      </c>
      <c r="D1866" s="143">
        <f t="shared" si="57"/>
        <v>0</v>
      </c>
      <c r="E1866" s="144">
        <v>0.11102698091073906</v>
      </c>
      <c r="F1866" s="159">
        <v>1.5828163435758772E-2</v>
      </c>
      <c r="G1866" s="146">
        <v>0.14407738464326941</v>
      </c>
      <c r="H1866" s="146">
        <v>7.7366891815403169E-2</v>
      </c>
      <c r="I1866" s="147">
        <v>5</v>
      </c>
      <c r="J1866" s="148">
        <v>1.2647789986148514</v>
      </c>
      <c r="K1866" s="149">
        <v>33.792999999999999</v>
      </c>
      <c r="L1866" s="149">
        <v>86.79</v>
      </c>
      <c r="M1866" s="136"/>
      <c r="N1866" s="135"/>
    </row>
    <row r="1867" spans="1:14" x14ac:dyDescent="0.25">
      <c r="A1867" s="142">
        <v>45618</v>
      </c>
      <c r="B1867" s="81" t="s">
        <v>57</v>
      </c>
      <c r="C1867" s="129" t="str">
        <f t="shared" si="56"/>
        <v>22.11.2024_SCHohVo</v>
      </c>
      <c r="D1867" s="143">
        <f t="shared" si="57"/>
        <v>0</v>
      </c>
      <c r="E1867" s="144">
        <v>1.1485549749386845E-2</v>
      </c>
      <c r="F1867" s="159">
        <v>1.3762243072541336E-2</v>
      </c>
      <c r="G1867" s="146">
        <v>0.34446087362988559</v>
      </c>
      <c r="H1867" s="146">
        <v>5.202256518621938E-2</v>
      </c>
      <c r="I1867" s="147">
        <v>2.7120000000000002</v>
      </c>
      <c r="J1867" s="148">
        <v>0.89586813373581431</v>
      </c>
      <c r="K1867" s="149">
        <v>16.48</v>
      </c>
      <c r="L1867" s="149">
        <v>53.856999999999999</v>
      </c>
      <c r="M1867" s="136"/>
      <c r="N1867" s="135"/>
    </row>
    <row r="1868" spans="1:14" x14ac:dyDescent="0.25">
      <c r="A1868" s="142">
        <v>45618</v>
      </c>
      <c r="B1868" s="81" t="s">
        <v>60</v>
      </c>
      <c r="C1868" s="129" t="str">
        <f t="shared" si="56"/>
        <v>22.11.2024_VORohBo</v>
      </c>
      <c r="D1868" s="143">
        <f t="shared" si="57"/>
        <v>0</v>
      </c>
      <c r="E1868" s="144">
        <v>9.5712914578223313E-2</v>
      </c>
      <c r="F1868" s="159">
        <v>8.088536414411639E-3</v>
      </c>
      <c r="G1868" s="146">
        <v>0.41318744216661757</v>
      </c>
      <c r="H1868" s="146">
        <v>9.3373834949624819E-3</v>
      </c>
      <c r="I1868" s="147">
        <v>2.0070000000000001</v>
      </c>
      <c r="J1868" s="148">
        <v>0.77699977337299819</v>
      </c>
      <c r="K1868" s="149">
        <v>26.091999999999999</v>
      </c>
      <c r="L1868" s="149">
        <v>162.97300000000001</v>
      </c>
      <c r="M1868" s="136"/>
      <c r="N1868" s="135"/>
    </row>
    <row r="1869" spans="1:14" x14ac:dyDescent="0.25">
      <c r="A1869" s="142">
        <v>45618</v>
      </c>
      <c r="B1869" s="81" t="s">
        <v>62</v>
      </c>
      <c r="C1869" s="129" t="str">
        <f t="shared" si="56"/>
        <v>22.11.2024_VORuhSc</v>
      </c>
      <c r="D1869" s="143">
        <f t="shared" si="57"/>
        <v>0</v>
      </c>
      <c r="E1869" s="144">
        <v>5.7427748746933988E-2</v>
      </c>
      <c r="F1869" s="159">
        <v>9.6519604198161343E-3</v>
      </c>
      <c r="G1869" s="146">
        <v>0.29974720253369846</v>
      </c>
      <c r="H1869" s="146">
        <v>2.6678238557035588E-2</v>
      </c>
      <c r="I1869" s="147">
        <v>2.0059999999999998</v>
      </c>
      <c r="J1869" s="148">
        <v>0.69396811502408096</v>
      </c>
      <c r="K1869" s="149">
        <v>22.01</v>
      </c>
      <c r="L1869" s="149">
        <v>144.48500000000001</v>
      </c>
      <c r="M1869" s="136"/>
      <c r="N1869" s="135"/>
    </row>
    <row r="1870" spans="1:14" x14ac:dyDescent="0.25">
      <c r="A1870" s="142">
        <v>45618</v>
      </c>
      <c r="B1870" s="81" t="s">
        <v>64</v>
      </c>
      <c r="C1870" s="129" t="str">
        <f t="shared" si="56"/>
        <v>22.11.2024_WITob</v>
      </c>
      <c r="D1870" s="143">
        <f t="shared" si="57"/>
        <v>0</v>
      </c>
      <c r="E1870" s="144">
        <v>0.1301695638263837</v>
      </c>
      <c r="F1870" s="159">
        <v>1.0893635005442449E-2</v>
      </c>
      <c r="G1870" s="146">
        <v>0.23930094345922334</v>
      </c>
      <c r="H1870" s="146">
        <v>0</v>
      </c>
      <c r="I1870" s="147">
        <v>0.52400000000000002</v>
      </c>
      <c r="J1870" s="148">
        <v>0.30417066958665234</v>
      </c>
      <c r="K1870" s="149">
        <v>47.277999999999999</v>
      </c>
      <c r="L1870" s="149">
        <v>216.02199999999999</v>
      </c>
      <c r="M1870" s="136"/>
      <c r="N1870" s="135"/>
    </row>
    <row r="1871" spans="1:14" x14ac:dyDescent="0.25">
      <c r="A1871" s="142">
        <v>45631</v>
      </c>
      <c r="B1871" s="81" t="s">
        <v>22</v>
      </c>
      <c r="C1871" s="129" t="str">
        <f t="shared" si="56"/>
        <v>05.12.2024_BOYkl</v>
      </c>
      <c r="D1871" s="143">
        <f t="shared" si="57"/>
        <v>0</v>
      </c>
      <c r="E1871" s="144">
        <v>0.14080475691077821</v>
      </c>
      <c r="F1871" s="159">
        <v>2.9845315941216963E-2</v>
      </c>
      <c r="G1871" s="146">
        <v>0.33411481815449362</v>
      </c>
      <c r="H1871" s="146">
        <v>3.6112529959530036E-2</v>
      </c>
      <c r="I1871" s="147">
        <v>15.846</v>
      </c>
      <c r="J1871" s="148">
        <v>3.8495672948949617</v>
      </c>
      <c r="K1871" s="149">
        <v>38.869999999999997</v>
      </c>
      <c r="L1871" s="149">
        <v>90.545000000000002</v>
      </c>
      <c r="M1871" s="136"/>
      <c r="N1871" s="135"/>
    </row>
    <row r="1872" spans="1:14" x14ac:dyDescent="0.25">
      <c r="A1872" s="142">
        <v>45631</v>
      </c>
      <c r="B1872" s="81" t="s">
        <v>25</v>
      </c>
      <c r="C1872" s="129" t="str">
        <f t="shared" si="56"/>
        <v>05.12.2024_BOYohB224</v>
      </c>
      <c r="D1872" s="143">
        <f t="shared" si="57"/>
        <v>0</v>
      </c>
      <c r="E1872" s="144">
        <v>0.10082315926944618</v>
      </c>
      <c r="F1872" s="159">
        <v>1.1207677611174154E-2</v>
      </c>
      <c r="G1872" s="146">
        <v>0.28614367297865945</v>
      </c>
      <c r="H1872" s="146">
        <v>5.8335625319240893E-2</v>
      </c>
      <c r="I1872" s="147">
        <v>5.0650000000000004</v>
      </c>
      <c r="J1872" s="148">
        <v>1.3839795317596422</v>
      </c>
      <c r="K1872" s="149">
        <v>28.131</v>
      </c>
      <c r="L1872" s="149">
        <v>132.96100000000001</v>
      </c>
      <c r="M1872" s="136"/>
      <c r="N1872" s="135"/>
    </row>
    <row r="1873" spans="1:14" x14ac:dyDescent="0.25">
      <c r="A1873" s="142">
        <v>45631</v>
      </c>
      <c r="B1873" s="81" t="s">
        <v>28</v>
      </c>
      <c r="C1873" s="129" t="str">
        <f t="shared" si="56"/>
        <v>05.12.2024_BOYohBr</v>
      </c>
      <c r="D1873" s="143">
        <f t="shared" si="57"/>
        <v>0</v>
      </c>
      <c r="E1873" s="144">
        <v>6.0841561628114049E-2</v>
      </c>
      <c r="F1873" s="159">
        <v>1.6016213110596617E-2</v>
      </c>
      <c r="G1873" s="146">
        <v>0.1203486624586715</v>
      </c>
      <c r="H1873" s="146">
        <v>3.6112529959530036E-2</v>
      </c>
      <c r="I1873" s="147">
        <v>9.3070000000000004</v>
      </c>
      <c r="J1873" s="148">
        <v>2.2066160826587127</v>
      </c>
      <c r="K1873" s="149">
        <v>17.302</v>
      </c>
      <c r="L1873" s="149">
        <v>70.126000000000005</v>
      </c>
      <c r="M1873" s="136"/>
      <c r="N1873" s="135"/>
    </row>
    <row r="1874" spans="1:14" x14ac:dyDescent="0.25">
      <c r="A1874" s="142">
        <v>45631</v>
      </c>
      <c r="B1874" s="81" t="s">
        <v>30</v>
      </c>
      <c r="C1874" s="129" t="str">
        <f t="shared" si="56"/>
        <v>05.12.2024_BOYohKi</v>
      </c>
      <c r="D1874" s="143">
        <f t="shared" si="57"/>
        <v>0</v>
      </c>
      <c r="E1874" s="144">
        <v>0</v>
      </c>
      <c r="F1874" s="159">
        <v>1.2980468260584051E-2</v>
      </c>
      <c r="G1874" s="146">
        <v>0.19525097685602638</v>
      </c>
      <c r="H1874" s="146">
        <v>2.3612038819692746E-2</v>
      </c>
      <c r="I1874" s="147">
        <v>5.5289999999999999</v>
      </c>
      <c r="J1874" s="148">
        <v>1.4076343462375913</v>
      </c>
      <c r="K1874" s="149">
        <v>24.98</v>
      </c>
      <c r="L1874" s="149">
        <v>101.16</v>
      </c>
      <c r="M1874" s="136"/>
      <c r="N1874" s="135"/>
    </row>
    <row r="1875" spans="1:14" x14ac:dyDescent="0.25">
      <c r="A1875" s="142">
        <v>45631</v>
      </c>
      <c r="B1875" s="81" t="s">
        <v>32</v>
      </c>
      <c r="C1875" s="129" t="str">
        <f t="shared" si="56"/>
        <v>05.12.2024_BOYohSp</v>
      </c>
      <c r="D1875" s="143">
        <f t="shared" si="57"/>
        <v>0</v>
      </c>
      <c r="E1875" s="144">
        <v>6.0841561628114049E-2</v>
      </c>
      <c r="F1875" s="159">
        <v>1.2576205482535791E-2</v>
      </c>
      <c r="G1875" s="146">
        <v>0.20619176435226924</v>
      </c>
      <c r="H1875" s="146">
        <v>6.5280342619150514E-2</v>
      </c>
      <c r="I1875" s="147">
        <v>7.5369999999999999</v>
      </c>
      <c r="J1875" s="148">
        <v>1.8823626334122938</v>
      </c>
      <c r="K1875" s="149">
        <v>22.838999999999999</v>
      </c>
      <c r="L1875" s="149">
        <v>79.174000000000007</v>
      </c>
      <c r="M1875" s="136"/>
      <c r="N1875" s="135"/>
    </row>
    <row r="1876" spans="1:14" x14ac:dyDescent="0.25">
      <c r="A1876" s="142">
        <v>45631</v>
      </c>
      <c r="B1876" s="81" t="s">
        <v>34</v>
      </c>
      <c r="C1876" s="129" t="str">
        <f t="shared" si="56"/>
        <v>05.12.2024_BOYuhHa</v>
      </c>
      <c r="D1876" s="143">
        <f t="shared" si="57"/>
        <v>0</v>
      </c>
      <c r="E1876" s="144">
        <v>7.3009873953736856E-2</v>
      </c>
      <c r="F1876" s="159">
        <v>1.1666373890916383E-2</v>
      </c>
      <c r="G1876" s="146">
        <v>0.17168620378719568</v>
      </c>
      <c r="H1876" s="146">
        <v>2.3612038819692746E-2</v>
      </c>
      <c r="I1876" s="147">
        <v>5.0620000000000003</v>
      </c>
      <c r="J1876" s="148">
        <v>1.2838552455973751</v>
      </c>
      <c r="K1876" s="149">
        <v>28.786000000000001</v>
      </c>
      <c r="L1876" s="149">
        <v>147.167</v>
      </c>
      <c r="M1876" s="136"/>
      <c r="N1876" s="135"/>
    </row>
    <row r="1877" spans="1:14" x14ac:dyDescent="0.25">
      <c r="A1877" s="142">
        <v>45631</v>
      </c>
      <c r="B1877" s="81" t="s">
        <v>36</v>
      </c>
      <c r="C1877" s="129" t="str">
        <f t="shared" si="56"/>
        <v>05.12.2024_BOYuhSp</v>
      </c>
      <c r="D1877" s="143">
        <f t="shared" si="57"/>
        <v>0</v>
      </c>
      <c r="E1877" s="144">
        <v>7.3009873953736856E-2</v>
      </c>
      <c r="F1877" s="159">
        <v>1.4478314693144572E-2</v>
      </c>
      <c r="G1877" s="146">
        <v>0.24743011722272318</v>
      </c>
      <c r="H1877" s="146">
        <v>5.9724568779222782E-2</v>
      </c>
      <c r="I1877" s="147">
        <v>7.0220000000000002</v>
      </c>
      <c r="J1877" s="148">
        <v>1.7963692966871068</v>
      </c>
      <c r="K1877" s="149">
        <v>24.635000000000002</v>
      </c>
      <c r="L1877" s="149">
        <v>87.510999999999996</v>
      </c>
      <c r="M1877" s="136"/>
      <c r="N1877" s="135"/>
    </row>
    <row r="1878" spans="1:14" x14ac:dyDescent="0.25">
      <c r="A1878" s="142">
        <v>45631</v>
      </c>
      <c r="B1878" s="81" t="s">
        <v>38</v>
      </c>
      <c r="C1878" s="129" t="str">
        <f t="shared" si="56"/>
        <v>05.12.2024_BRAob</v>
      </c>
      <c r="D1878" s="143">
        <f t="shared" si="57"/>
        <v>0</v>
      </c>
      <c r="E1878" s="144">
        <v>1.3906642657854665E-2</v>
      </c>
      <c r="F1878" s="159">
        <v>1.0067682157505069E-2</v>
      </c>
      <c r="G1878" s="146">
        <v>0.16327021340547043</v>
      </c>
      <c r="H1878" s="146">
        <v>0</v>
      </c>
      <c r="I1878" s="147">
        <v>3.1059999999999999</v>
      </c>
      <c r="J1878" s="148">
        <v>0.82832990800721373</v>
      </c>
      <c r="K1878" s="149">
        <v>39.856999999999999</v>
      </c>
      <c r="L1878" s="149">
        <v>108.336</v>
      </c>
      <c r="M1878" s="136"/>
      <c r="N1878" s="135"/>
    </row>
    <row r="1879" spans="1:14" x14ac:dyDescent="0.25">
      <c r="A1879" s="142">
        <v>45631</v>
      </c>
      <c r="B1879" s="81" t="s">
        <v>41</v>
      </c>
      <c r="C1879" s="129" t="str">
        <f t="shared" si="56"/>
        <v>05.12.2024_BRAohBo</v>
      </c>
      <c r="D1879" s="143">
        <f t="shared" si="57"/>
        <v>0</v>
      </c>
      <c r="E1879" s="144">
        <v>0.12863644458515544</v>
      </c>
      <c r="F1879" s="159">
        <v>1.8795094130889204E-2</v>
      </c>
      <c r="G1879" s="146">
        <v>0.34421400661256396</v>
      </c>
      <c r="H1879" s="146">
        <v>7.6391890299005907E-2</v>
      </c>
      <c r="I1879" s="147">
        <v>7.1840000000000002</v>
      </c>
      <c r="J1879" s="148">
        <v>1.9131863249961221</v>
      </c>
      <c r="K1879" s="149">
        <v>27.408000000000001</v>
      </c>
      <c r="L1879" s="149">
        <v>85.617999999999995</v>
      </c>
      <c r="M1879" s="136"/>
      <c r="N1879" s="135"/>
    </row>
    <row r="1880" spans="1:14" x14ac:dyDescent="0.25">
      <c r="A1880" s="142">
        <v>45631</v>
      </c>
      <c r="B1880" s="81" t="s">
        <v>43</v>
      </c>
      <c r="C1880" s="129" t="str">
        <f t="shared" si="56"/>
        <v>05.12.2024_HAAob</v>
      </c>
      <c r="D1880" s="143">
        <f t="shared" si="57"/>
        <v>0</v>
      </c>
      <c r="E1880" s="144">
        <v>3.6504936976868428E-2</v>
      </c>
      <c r="F1880" s="159">
        <v>9.0679814175250589E-3</v>
      </c>
      <c r="G1880" s="146">
        <v>0.20282536819957914</v>
      </c>
      <c r="H1880" s="146">
        <v>3.0556756119602423E-2</v>
      </c>
      <c r="I1880" s="147">
        <v>2.726</v>
      </c>
      <c r="J1880" s="148">
        <v>0.78251649455390415</v>
      </c>
      <c r="K1880" s="149">
        <v>47.31</v>
      </c>
      <c r="L1880" s="149">
        <v>262.01100000000002</v>
      </c>
      <c r="M1880" s="136"/>
      <c r="N1880" s="135"/>
    </row>
    <row r="1881" spans="1:14" x14ac:dyDescent="0.25">
      <c r="A1881" s="142">
        <v>45631</v>
      </c>
      <c r="B1881" s="81" t="s">
        <v>45</v>
      </c>
      <c r="C1881" s="129" t="str">
        <f t="shared" si="56"/>
        <v>05.12.2024_HAAun</v>
      </c>
      <c r="D1881" s="143">
        <f t="shared" si="57"/>
        <v>0</v>
      </c>
      <c r="E1881" s="144">
        <v>6.2579891960345871E-2</v>
      </c>
      <c r="F1881" s="159">
        <v>4.8578499601803368E-2</v>
      </c>
      <c r="G1881" s="146">
        <v>0.50832581905620688</v>
      </c>
      <c r="H1881" s="146">
        <v>0</v>
      </c>
      <c r="I1881" s="147">
        <v>1.49</v>
      </c>
      <c r="J1881" s="148">
        <v>0.73125621523895412</v>
      </c>
      <c r="K1881" s="149">
        <v>25.094000000000001</v>
      </c>
      <c r="L1881" s="149">
        <v>172.03800000000001</v>
      </c>
      <c r="M1881" s="136"/>
      <c r="N1881" s="135"/>
    </row>
    <row r="1882" spans="1:14" x14ac:dyDescent="0.25">
      <c r="A1882" s="142">
        <v>45631</v>
      </c>
      <c r="B1882" s="81" t="s">
        <v>47</v>
      </c>
      <c r="C1882" s="129" t="str">
        <f t="shared" si="56"/>
        <v>05.12.2024_KIRob</v>
      </c>
      <c r="D1882" s="143">
        <f t="shared" si="57"/>
        <v>0</v>
      </c>
      <c r="E1882" s="144">
        <v>8.5178186279359705E-2</v>
      </c>
      <c r="F1882" s="159">
        <v>6.4632398428644067E-3</v>
      </c>
      <c r="G1882" s="146">
        <v>0.79783588818755635</v>
      </c>
      <c r="H1882" s="146">
        <v>0.11250442025853606</v>
      </c>
      <c r="I1882" s="147">
        <v>4.335</v>
      </c>
      <c r="J1882" s="148">
        <v>1.6329100095664668</v>
      </c>
      <c r="K1882" s="149">
        <v>66.322999999999993</v>
      </c>
      <c r="L1882" s="149">
        <v>155.53299999999999</v>
      </c>
      <c r="M1882" s="136"/>
      <c r="N1882" s="135"/>
    </row>
    <row r="1883" spans="1:14" x14ac:dyDescent="0.25">
      <c r="A1883" s="142">
        <v>45631</v>
      </c>
      <c r="B1883" s="81" t="s">
        <v>49</v>
      </c>
      <c r="C1883" s="129" t="str">
        <f t="shared" si="56"/>
        <v>05.12.2024_KIRun</v>
      </c>
      <c r="D1883" s="143">
        <f t="shared" si="57"/>
        <v>0</v>
      </c>
      <c r="E1883" s="144">
        <v>0.11299147159506896</v>
      </c>
      <c r="F1883" s="159">
        <v>7.0293815154937175E-3</v>
      </c>
      <c r="G1883" s="146">
        <v>0.23817252780282536</v>
      </c>
      <c r="H1883" s="146">
        <v>9.0281324898825205E-2</v>
      </c>
      <c r="I1883" s="147">
        <v>3.62</v>
      </c>
      <c r="J1883" s="148">
        <v>1.0300741354790632</v>
      </c>
      <c r="K1883" s="149">
        <v>52.353999999999999</v>
      </c>
      <c r="L1883" s="149">
        <v>143.07300000000001</v>
      </c>
      <c r="M1883" s="136"/>
      <c r="N1883" s="135"/>
    </row>
    <row r="1884" spans="1:14" x14ac:dyDescent="0.25">
      <c r="A1884" s="142">
        <v>45631</v>
      </c>
      <c r="B1884" s="81" t="s">
        <v>50</v>
      </c>
      <c r="C1884" s="129" t="str">
        <f t="shared" si="56"/>
        <v>05.12.2024_LIEohBo</v>
      </c>
      <c r="D1884" s="143">
        <f t="shared" si="57"/>
        <v>0</v>
      </c>
      <c r="E1884" s="144">
        <v>5.2149909966954879E-2</v>
      </c>
      <c r="F1884" s="159">
        <v>1.4629276020802917E-2</v>
      </c>
      <c r="G1884" s="146">
        <v>6.0595130748422023E-2</v>
      </c>
      <c r="H1884" s="146">
        <v>0</v>
      </c>
      <c r="I1884" s="147">
        <v>9.1820000000000004</v>
      </c>
      <c r="J1884" s="148">
        <v>2.1209898530748421</v>
      </c>
      <c r="K1884" s="149">
        <v>18.148</v>
      </c>
      <c r="L1884" s="149">
        <v>86.012</v>
      </c>
      <c r="M1884" s="136"/>
      <c r="N1884" s="135"/>
    </row>
    <row r="1885" spans="1:14" x14ac:dyDescent="0.25">
      <c r="A1885" s="142">
        <v>45631</v>
      </c>
      <c r="B1885" s="81" t="s">
        <v>53</v>
      </c>
      <c r="C1885" s="129" t="str">
        <f t="shared" si="56"/>
        <v>05.12.2024_NATohBo</v>
      </c>
      <c r="D1885" s="143">
        <f t="shared" si="57"/>
        <v>0</v>
      </c>
      <c r="E1885" s="144">
        <v>8.5178186279359705E-2</v>
      </c>
      <c r="F1885" s="159">
        <v>1.4362546733567757E-2</v>
      </c>
      <c r="G1885" s="146">
        <v>0.3955515479410881</v>
      </c>
      <c r="H1885" s="146">
        <v>2.0834151899728912E-2</v>
      </c>
      <c r="I1885" s="147">
        <v>2.04</v>
      </c>
      <c r="J1885" s="148">
        <v>0.77425957900664799</v>
      </c>
      <c r="K1885" s="149">
        <v>26.395</v>
      </c>
      <c r="L1885" s="149">
        <v>132.76499999999999</v>
      </c>
      <c r="M1885" s="136"/>
      <c r="N1885" s="135"/>
    </row>
    <row r="1886" spans="1:14" x14ac:dyDescent="0.25">
      <c r="A1886" s="142">
        <v>45631</v>
      </c>
      <c r="B1886" s="81" t="s">
        <v>55</v>
      </c>
      <c r="C1886" s="129" t="str">
        <f t="shared" si="56"/>
        <v>05.12.2024_QUAohBo</v>
      </c>
      <c r="D1886" s="143">
        <f t="shared" si="57"/>
        <v>0</v>
      </c>
      <c r="E1886" s="144">
        <v>6.6056552624809542E-2</v>
      </c>
      <c r="F1886" s="159">
        <v>9.0559201195832724E-3</v>
      </c>
      <c r="G1886" s="146">
        <v>0.26510369702434627</v>
      </c>
      <c r="H1886" s="146">
        <v>5.1390908019331216E-2</v>
      </c>
      <c r="I1886" s="147">
        <v>2.9319999999999999</v>
      </c>
      <c r="J1886" s="148">
        <v>0.88374717164891992</v>
      </c>
      <c r="K1886" s="149">
        <v>31.029</v>
      </c>
      <c r="L1886" s="149">
        <v>93.394999999999996</v>
      </c>
      <c r="M1886" s="136"/>
      <c r="N1886" s="135"/>
    </row>
    <row r="1887" spans="1:14" x14ac:dyDescent="0.25">
      <c r="A1887" s="142">
        <v>45631</v>
      </c>
      <c r="B1887" s="81" t="s">
        <v>57</v>
      </c>
      <c r="C1887" s="129" t="str">
        <f t="shared" si="56"/>
        <v>05.12.2024_SCHohVo</v>
      </c>
      <c r="D1887" s="143">
        <f t="shared" si="57"/>
        <v>0</v>
      </c>
      <c r="E1887" s="144">
        <v>5.2149909966955309E-3</v>
      </c>
      <c r="F1887" s="159">
        <v>1.0275139125049747E-2</v>
      </c>
      <c r="G1887" s="146">
        <v>0.1498046287947099</v>
      </c>
      <c r="H1887" s="146">
        <v>5.4168794939295113E-2</v>
      </c>
      <c r="I1887" s="147">
        <v>2.1259999999999999</v>
      </c>
      <c r="J1887" s="148">
        <v>0.61301310583207258</v>
      </c>
      <c r="K1887" s="149">
        <v>18.38</v>
      </c>
      <c r="L1887" s="149">
        <v>67.620999999999995</v>
      </c>
      <c r="M1887" s="136"/>
      <c r="N1887" s="135"/>
    </row>
    <row r="1888" spans="1:14" x14ac:dyDescent="0.25">
      <c r="A1888" s="142">
        <v>45631</v>
      </c>
      <c r="B1888" s="81" t="s">
        <v>60</v>
      </c>
      <c r="C1888" s="129" t="str">
        <f t="shared" si="56"/>
        <v>05.12.2024_VORohBo</v>
      </c>
      <c r="D1888" s="143">
        <f t="shared" si="57"/>
        <v>0</v>
      </c>
      <c r="E1888" s="144">
        <v>5.7364900963650371E-2</v>
      </c>
      <c r="F1888" s="159">
        <v>5.7344752056487742E-3</v>
      </c>
      <c r="G1888" s="146">
        <v>0.4207995190862639</v>
      </c>
      <c r="H1888" s="146">
        <v>-1.3889434599819468E-3</v>
      </c>
      <c r="I1888" s="147">
        <v>1.399</v>
      </c>
      <c r="J1888" s="148">
        <v>0.64231588473890155</v>
      </c>
      <c r="K1888" s="149">
        <v>13.122999999999999</v>
      </c>
      <c r="L1888" s="149">
        <v>87.054000000000002</v>
      </c>
      <c r="M1888" s="136"/>
      <c r="N1888" s="135"/>
    </row>
    <row r="1889" spans="1:14" x14ac:dyDescent="0.25">
      <c r="A1889" s="142">
        <v>45631</v>
      </c>
      <c r="B1889" s="81" t="s">
        <v>62</v>
      </c>
      <c r="C1889" s="129" t="str">
        <f t="shared" si="56"/>
        <v>05.12.2024_VORuhSc</v>
      </c>
      <c r="D1889" s="143">
        <f t="shared" si="57"/>
        <v>0</v>
      </c>
      <c r="E1889" s="144">
        <v>3.4766606644636606E-2</v>
      </c>
      <c r="F1889" s="159">
        <v>6.0245996492176695E-3</v>
      </c>
      <c r="G1889" s="146">
        <v>0.26931169221520879</v>
      </c>
      <c r="H1889" s="146">
        <v>1.6667321519783129E-2</v>
      </c>
      <c r="I1889" s="147">
        <v>1.357</v>
      </c>
      <c r="J1889" s="148">
        <v>0.52069779192488541</v>
      </c>
      <c r="K1889" s="149">
        <v>23.574000000000002</v>
      </c>
      <c r="L1889" s="149">
        <v>157.316</v>
      </c>
      <c r="M1889" s="136"/>
      <c r="N1889" s="135"/>
    </row>
    <row r="1890" spans="1:14" x14ac:dyDescent="0.25">
      <c r="A1890" s="142">
        <v>45631</v>
      </c>
      <c r="B1890" s="81" t="s">
        <v>64</v>
      </c>
      <c r="C1890" s="129" t="str">
        <f t="shared" si="56"/>
        <v>05.12.2024_WITob</v>
      </c>
      <c r="D1890" s="143">
        <f t="shared" si="57"/>
        <v>0</v>
      </c>
      <c r="E1890" s="144">
        <v>8.6916516611591485E-2</v>
      </c>
      <c r="F1890" s="159">
        <v>6.1800015943640398E-3</v>
      </c>
      <c r="G1890" s="146">
        <v>0.2465885181845506</v>
      </c>
      <c r="H1890" s="146">
        <v>0</v>
      </c>
      <c r="I1890" s="147">
        <v>0.64600000000000002</v>
      </c>
      <c r="J1890" s="148">
        <v>0.33738553848512171</v>
      </c>
      <c r="K1890" s="149">
        <v>49.609000000000002</v>
      </c>
      <c r="L1890" s="149">
        <v>222.416</v>
      </c>
      <c r="M1890" s="136"/>
      <c r="N1890" s="135"/>
    </row>
    <row r="1891" spans="1:14" x14ac:dyDescent="0.25">
      <c r="A1891" s="142">
        <v>45646</v>
      </c>
      <c r="B1891" s="81" t="s">
        <v>22</v>
      </c>
      <c r="C1891" s="129" t="str">
        <f t="shared" si="56"/>
        <v>20.12.2024_BOYkl</v>
      </c>
      <c r="D1891" s="143">
        <f t="shared" si="57"/>
        <v>0</v>
      </c>
      <c r="E1891" s="144">
        <v>8.3663479486495759E-2</v>
      </c>
      <c r="F1891" s="159">
        <v>2.9640840192820841E-2</v>
      </c>
      <c r="G1891" s="146">
        <v>6.0039943494568711E-2</v>
      </c>
      <c r="H1891" s="146">
        <v>0</v>
      </c>
      <c r="I1891" s="147">
        <v>16.814</v>
      </c>
      <c r="J1891" s="148">
        <v>3.8443985957240976</v>
      </c>
      <c r="K1891" s="149">
        <v>18.154</v>
      </c>
      <c r="L1891" s="149">
        <v>38.97</v>
      </c>
      <c r="M1891" s="136"/>
      <c r="N1891" s="135"/>
    </row>
    <row r="1892" spans="1:14" x14ac:dyDescent="0.25">
      <c r="A1892" s="142">
        <v>45646</v>
      </c>
      <c r="B1892" s="81" t="s">
        <v>25</v>
      </c>
      <c r="C1892" s="129" t="str">
        <f t="shared" si="56"/>
        <v>20.12.2024_BOYohB224</v>
      </c>
      <c r="D1892" s="143">
        <f t="shared" si="57"/>
        <v>0</v>
      </c>
      <c r="E1892" s="144">
        <v>7.5297131537846201E-2</v>
      </c>
      <c r="F1892" s="159">
        <v>2.2659075336155628E-2</v>
      </c>
      <c r="G1892" s="146">
        <v>0.18350236251156901</v>
      </c>
      <c r="H1892" s="146">
        <v>0</v>
      </c>
      <c r="I1892" s="147">
        <v>6.9340000000000002</v>
      </c>
      <c r="J1892" s="148">
        <v>1.7086703294666081</v>
      </c>
      <c r="K1892" s="149">
        <v>23.36</v>
      </c>
      <c r="L1892" s="149">
        <v>101.655</v>
      </c>
      <c r="M1892" s="136"/>
      <c r="N1892" s="135"/>
    </row>
    <row r="1893" spans="1:14" x14ac:dyDescent="0.25">
      <c r="A1893" s="142">
        <v>45646</v>
      </c>
      <c r="B1893" s="81" t="s">
        <v>28</v>
      </c>
      <c r="C1893" s="129" t="str">
        <f t="shared" si="56"/>
        <v>20.12.2024_BOYohBr</v>
      </c>
      <c r="D1893" s="143">
        <f t="shared" si="57"/>
        <v>0</v>
      </c>
      <c r="E1893" s="144">
        <v>2.0079235076758961E-2</v>
      </c>
      <c r="F1893" s="159">
        <v>2.7275154776716971E-2</v>
      </c>
      <c r="G1893" s="146">
        <v>8.033513566174684E-2</v>
      </c>
      <c r="H1893" s="146">
        <v>0</v>
      </c>
      <c r="I1893" s="147">
        <v>9.5340000000000007</v>
      </c>
      <c r="J1893" s="148">
        <v>2.2158240094899897</v>
      </c>
      <c r="K1893" s="149">
        <v>12.087</v>
      </c>
      <c r="L1893" s="149">
        <v>54.95</v>
      </c>
      <c r="M1893" s="136"/>
      <c r="N1893" s="135"/>
    </row>
    <row r="1894" spans="1:14" x14ac:dyDescent="0.25">
      <c r="A1894" s="142">
        <v>45646</v>
      </c>
      <c r="B1894" s="81" t="s">
        <v>30</v>
      </c>
      <c r="C1894" s="129" t="str">
        <f t="shared" si="56"/>
        <v>20.12.2024_BOYohKi</v>
      </c>
      <c r="D1894" s="143">
        <f t="shared" si="57"/>
        <v>0</v>
      </c>
      <c r="E1894" s="144">
        <v>3.513866138432821E-2</v>
      </c>
      <c r="F1894" s="159">
        <v>6.1261594301739261E-2</v>
      </c>
      <c r="G1894" s="146">
        <v>0.29258902041015156</v>
      </c>
      <c r="H1894" s="146">
        <v>2.4307327616258654E-3</v>
      </c>
      <c r="I1894" s="147">
        <v>7.4219999999999997</v>
      </c>
      <c r="J1894" s="148">
        <v>1.9043396250475553</v>
      </c>
      <c r="K1894" s="149">
        <v>21.093</v>
      </c>
      <c r="L1894" s="149">
        <v>75.186000000000007</v>
      </c>
      <c r="M1894" s="136"/>
      <c r="N1894" s="135"/>
    </row>
    <row r="1895" spans="1:14" x14ac:dyDescent="0.25">
      <c r="A1895" s="142">
        <v>45646</v>
      </c>
      <c r="B1895" s="81" t="s">
        <v>32</v>
      </c>
      <c r="C1895" s="129" t="str">
        <f t="shared" si="56"/>
        <v>20.12.2024_BOYohSp</v>
      </c>
      <c r="D1895" s="143">
        <f t="shared" si="57"/>
        <v>0</v>
      </c>
      <c r="E1895" s="144">
        <v>4.0158470153517957E-2</v>
      </c>
      <c r="F1895" s="159">
        <v>2.4240447423604358E-2</v>
      </c>
      <c r="G1895" s="146">
        <v>0.12177115300306886</v>
      </c>
      <c r="H1895" s="146">
        <v>2.4307327616258654E-3</v>
      </c>
      <c r="I1895" s="147">
        <v>9.8849999999999998</v>
      </c>
      <c r="J1895" s="148">
        <v>2.3280190691846294</v>
      </c>
      <c r="K1895" s="149">
        <v>20.326000000000001</v>
      </c>
      <c r="L1895" s="149">
        <v>64.926000000000002</v>
      </c>
      <c r="M1895" s="136"/>
      <c r="N1895" s="135"/>
    </row>
    <row r="1896" spans="1:14" x14ac:dyDescent="0.25">
      <c r="A1896" s="142">
        <v>45646</v>
      </c>
      <c r="B1896" s="81" t="s">
        <v>34</v>
      </c>
      <c r="C1896" s="129" t="str">
        <f t="shared" si="56"/>
        <v>20.12.2024_BOYuhHa</v>
      </c>
      <c r="D1896" s="143">
        <f t="shared" si="57"/>
        <v>0</v>
      </c>
      <c r="E1896" s="144">
        <v>6.0237705230276953E-2</v>
      </c>
      <c r="F1896" s="159">
        <v>3.9847210399275648E-2</v>
      </c>
      <c r="G1896" s="146">
        <v>0.25622680111062413</v>
      </c>
      <c r="H1896" s="146">
        <v>0</v>
      </c>
      <c r="I1896" s="147">
        <v>6.1609999999999996</v>
      </c>
      <c r="J1896" s="148">
        <v>1.5905426187943883</v>
      </c>
      <c r="K1896" s="149">
        <v>22.69</v>
      </c>
      <c r="L1896" s="149">
        <v>95.201999999999998</v>
      </c>
      <c r="M1896" s="136"/>
      <c r="N1896" s="135"/>
    </row>
    <row r="1897" spans="1:14" x14ac:dyDescent="0.25">
      <c r="A1897" s="142">
        <v>45646</v>
      </c>
      <c r="B1897" s="81" t="s">
        <v>36</v>
      </c>
      <c r="C1897" s="129" t="str">
        <f t="shared" si="56"/>
        <v>20.12.2024_BOYuhSp</v>
      </c>
      <c r="D1897" s="143">
        <f t="shared" si="57"/>
        <v>0</v>
      </c>
      <c r="E1897" s="144">
        <v>3.6811930974058112E-2</v>
      </c>
      <c r="F1897" s="159">
        <v>2.2541174454902058E-2</v>
      </c>
      <c r="G1897" s="146">
        <v>0.10570412587071953</v>
      </c>
      <c r="H1897" s="146">
        <v>0</v>
      </c>
      <c r="I1897" s="147">
        <v>6.9640000000000004</v>
      </c>
      <c r="J1897" s="148">
        <v>1.6550368766973549</v>
      </c>
      <c r="K1897" s="149">
        <v>16.32</v>
      </c>
      <c r="L1897" s="149">
        <v>65.016000000000005</v>
      </c>
      <c r="M1897" s="136"/>
      <c r="N1897" s="135"/>
    </row>
    <row r="1898" spans="1:14" x14ac:dyDescent="0.25">
      <c r="A1898" s="142">
        <v>45646</v>
      </c>
      <c r="B1898" s="81" t="s">
        <v>38</v>
      </c>
      <c r="C1898" s="129" t="str">
        <f t="shared" si="56"/>
        <v>20.12.2024_BRAob</v>
      </c>
      <c r="D1898" s="143">
        <f t="shared" si="57"/>
        <v>0</v>
      </c>
      <c r="E1898" s="144">
        <v>0</v>
      </c>
      <c r="F1898" s="159">
        <v>1.113634038137991E-2</v>
      </c>
      <c r="G1898" s="146">
        <v>0.12177115300306886</v>
      </c>
      <c r="H1898" s="146">
        <v>-4.8614655232517819E-3</v>
      </c>
      <c r="I1898" s="147">
        <v>3.895</v>
      </c>
      <c r="J1898" s="148">
        <v>0.97283765941679889</v>
      </c>
      <c r="K1898" s="149">
        <v>34.725999999999999</v>
      </c>
      <c r="L1898" s="149">
        <v>88.105999999999995</v>
      </c>
      <c r="M1898" s="136"/>
      <c r="N1898" s="135"/>
    </row>
    <row r="1899" spans="1:14" x14ac:dyDescent="0.25">
      <c r="A1899" s="142">
        <v>45646</v>
      </c>
      <c r="B1899" s="81" t="s">
        <v>41</v>
      </c>
      <c r="C1899" s="129" t="str">
        <f t="shared" si="56"/>
        <v>20.12.2024_BRAohBo</v>
      </c>
      <c r="D1899" s="143">
        <f t="shared" si="57"/>
        <v>0</v>
      </c>
      <c r="E1899" s="144">
        <v>1.6732695897299185E-2</v>
      </c>
      <c r="F1899" s="159">
        <v>2.2229184673598867E-2</v>
      </c>
      <c r="G1899" s="146">
        <v>0.21732768279019923</v>
      </c>
      <c r="H1899" s="146">
        <v>0</v>
      </c>
      <c r="I1899" s="147">
        <v>7.8710000000000004</v>
      </c>
      <c r="J1899" s="148">
        <v>1.9465755424097617</v>
      </c>
      <c r="K1899" s="149">
        <v>24.687000000000001</v>
      </c>
      <c r="L1899" s="149">
        <v>66.716999999999999</v>
      </c>
      <c r="M1899" s="136"/>
      <c r="N1899" s="135"/>
    </row>
    <row r="1900" spans="1:14" x14ac:dyDescent="0.25">
      <c r="A1900" s="142">
        <v>45646</v>
      </c>
      <c r="B1900" s="81" t="s">
        <v>43</v>
      </c>
      <c r="C1900" s="129" t="str">
        <f t="shared" si="56"/>
        <v>20.12.2024_HAAob</v>
      </c>
      <c r="D1900" s="143">
        <f t="shared" si="57"/>
        <v>0</v>
      </c>
      <c r="E1900" s="144">
        <v>0</v>
      </c>
      <c r="F1900" s="159">
        <v>9.9870463192983858E-3</v>
      </c>
      <c r="G1900" s="146">
        <v>0.3230318086609188</v>
      </c>
      <c r="H1900" s="146">
        <v>9.7229310465035232E-2</v>
      </c>
      <c r="I1900" s="147">
        <v>4.2910000000000004</v>
      </c>
      <c r="J1900" s="148">
        <v>1.2496406026781968</v>
      </c>
      <c r="K1900" s="149">
        <v>23.084</v>
      </c>
      <c r="L1900" s="149">
        <v>114.738</v>
      </c>
      <c r="M1900" s="136"/>
      <c r="N1900" s="135"/>
    </row>
    <row r="1901" spans="1:14" x14ac:dyDescent="0.25">
      <c r="A1901" s="142">
        <v>45646</v>
      </c>
      <c r="B1901" s="81" t="s">
        <v>45</v>
      </c>
      <c r="C1901" s="129" t="str">
        <f t="shared" si="56"/>
        <v>20.12.2024_HAAun</v>
      </c>
      <c r="D1901" s="143">
        <f t="shared" si="57"/>
        <v>0</v>
      </c>
      <c r="E1901" s="144">
        <v>6.8604053178926511E-2</v>
      </c>
      <c r="F1901" s="159">
        <v>8.6753624023963388E-2</v>
      </c>
      <c r="G1901" s="146">
        <v>0.93019630766233141</v>
      </c>
      <c r="H1901" s="146">
        <v>0</v>
      </c>
      <c r="I1901" s="147">
        <v>1.869</v>
      </c>
      <c r="J1901" s="148">
        <v>1.1444391609367237</v>
      </c>
      <c r="K1901" s="149">
        <v>18.087</v>
      </c>
      <c r="L1901" s="149">
        <v>143.392</v>
      </c>
      <c r="M1901" s="136"/>
      <c r="N1901" s="135"/>
    </row>
    <row r="1902" spans="1:14" x14ac:dyDescent="0.25">
      <c r="A1902" s="142">
        <v>45646</v>
      </c>
      <c r="B1902" s="81" t="s">
        <v>47</v>
      </c>
      <c r="C1902" s="129" t="str">
        <f t="shared" si="56"/>
        <v>20.12.2024_KIRob</v>
      </c>
      <c r="D1902" s="143">
        <f t="shared" si="57"/>
        <v>0</v>
      </c>
      <c r="E1902" s="144">
        <v>0</v>
      </c>
      <c r="F1902" s="159">
        <v>5.8337085184066136E-3</v>
      </c>
      <c r="G1902" s="146">
        <v>0.58686930683423466</v>
      </c>
      <c r="H1902" s="146">
        <v>3.7676357805201094E-2</v>
      </c>
      <c r="I1902" s="147">
        <v>4.6929999999999996</v>
      </c>
      <c r="J1902" s="148">
        <v>1.5271766251975083</v>
      </c>
      <c r="K1902" s="149">
        <v>63.231000000000002</v>
      </c>
      <c r="L1902" s="149">
        <v>147.78</v>
      </c>
      <c r="M1902" s="136"/>
      <c r="N1902" s="135"/>
    </row>
    <row r="1903" spans="1:14" x14ac:dyDescent="0.25">
      <c r="A1903" s="142">
        <v>45646</v>
      </c>
      <c r="B1903" s="81" t="s">
        <v>49</v>
      </c>
      <c r="C1903" s="129" t="str">
        <f t="shared" si="56"/>
        <v>20.12.2024_KIRun</v>
      </c>
      <c r="D1903" s="143">
        <f t="shared" si="57"/>
        <v>0</v>
      </c>
      <c r="E1903" s="144">
        <v>0</v>
      </c>
      <c r="F1903" s="159">
        <v>6.5149262641008739E-3</v>
      </c>
      <c r="G1903" s="146">
        <v>0.11246918992644554</v>
      </c>
      <c r="H1903" s="146">
        <v>2.5522693997071799E-2</v>
      </c>
      <c r="I1903" s="147">
        <v>3.9329999999999998</v>
      </c>
      <c r="J1903" s="148">
        <v>0.98344829547339407</v>
      </c>
      <c r="K1903" s="149">
        <v>50.686999999999998</v>
      </c>
      <c r="L1903" s="149">
        <v>136.28700000000001</v>
      </c>
      <c r="M1903" s="136"/>
      <c r="N1903" s="135"/>
    </row>
    <row r="1904" spans="1:14" x14ac:dyDescent="0.25">
      <c r="A1904" s="142">
        <v>45646</v>
      </c>
      <c r="B1904" s="81" t="s">
        <v>50</v>
      </c>
      <c r="C1904" s="129" t="str">
        <f t="shared" si="56"/>
        <v>20.12.2024_LIEohBo</v>
      </c>
      <c r="D1904" s="143">
        <f t="shared" si="57"/>
        <v>0</v>
      </c>
      <c r="E1904" s="144">
        <v>2.5099043845948708E-2</v>
      </c>
      <c r="F1904" s="159">
        <v>1.7026809323350951E-2</v>
      </c>
      <c r="G1904" s="146">
        <v>3.7207852306493282E-2</v>
      </c>
      <c r="H1904" s="146">
        <v>0</v>
      </c>
      <c r="I1904" s="147">
        <v>10.677</v>
      </c>
      <c r="J1904" s="148">
        <v>2.4405055152374686</v>
      </c>
      <c r="K1904" s="149">
        <v>16.998999999999999</v>
      </c>
      <c r="L1904" s="149">
        <v>77.650999999999996</v>
      </c>
      <c r="M1904" s="136"/>
      <c r="N1904" s="135"/>
    </row>
    <row r="1905" spans="1:14" x14ac:dyDescent="0.25">
      <c r="A1905" s="142">
        <v>45646</v>
      </c>
      <c r="B1905" s="81" t="s">
        <v>53</v>
      </c>
      <c r="C1905" s="129" t="str">
        <f t="shared" si="56"/>
        <v>20.12.2024_NATohBo</v>
      </c>
      <c r="D1905" s="143">
        <f t="shared" si="57"/>
        <v>0</v>
      </c>
      <c r="E1905" s="144">
        <v>4.1831739743247859E-2</v>
      </c>
      <c r="F1905" s="159">
        <v>1.312384050764112E-2</v>
      </c>
      <c r="G1905" s="146">
        <v>0.14460324419114429</v>
      </c>
      <c r="H1905" s="146">
        <v>5.3476120755769345E-2</v>
      </c>
      <c r="I1905" s="147">
        <v>3.048</v>
      </c>
      <c r="J1905" s="148">
        <v>0.81701553804607563</v>
      </c>
      <c r="K1905" s="149">
        <v>38.447000000000003</v>
      </c>
      <c r="L1905" s="149">
        <v>186.404</v>
      </c>
      <c r="M1905" s="136"/>
      <c r="N1905" s="135"/>
    </row>
    <row r="1906" spans="1:14" x14ac:dyDescent="0.25">
      <c r="A1906" s="142">
        <v>45646</v>
      </c>
      <c r="B1906" s="81" t="s">
        <v>55</v>
      </c>
      <c r="C1906" s="129" t="str">
        <f t="shared" si="56"/>
        <v>20.12.2024_QUAohBo</v>
      </c>
      <c r="D1906" s="143">
        <f t="shared" si="57"/>
        <v>0</v>
      </c>
      <c r="E1906" s="144">
        <v>5.3544626871357262E-2</v>
      </c>
      <c r="F1906" s="159">
        <v>1.0184161778023001E-2</v>
      </c>
      <c r="G1906" s="146">
        <v>0.14037507915631547</v>
      </c>
      <c r="H1906" s="146">
        <v>0</v>
      </c>
      <c r="I1906" s="147">
        <v>4.5330000000000004</v>
      </c>
      <c r="J1906" s="148">
        <v>1.1328685552140876</v>
      </c>
      <c r="K1906" s="149">
        <v>25.806000000000001</v>
      </c>
      <c r="L1906" s="149">
        <v>79.504000000000005</v>
      </c>
      <c r="M1906" s="136"/>
      <c r="N1906" s="135"/>
    </row>
    <row r="1907" spans="1:14" x14ac:dyDescent="0.25">
      <c r="A1907" s="142">
        <v>45646</v>
      </c>
      <c r="B1907" s="81" t="s">
        <v>57</v>
      </c>
      <c r="C1907" s="129" t="str">
        <f t="shared" si="56"/>
        <v>20.12.2024_SCHohVo</v>
      </c>
      <c r="D1907" s="143">
        <f t="shared" si="57"/>
        <v>0</v>
      </c>
      <c r="E1907" s="144">
        <v>8.3663479486495926E-3</v>
      </c>
      <c r="F1907" s="159">
        <v>1.0223447044474558E-2</v>
      </c>
      <c r="G1907" s="146">
        <v>0.11754298796824009</v>
      </c>
      <c r="H1907" s="146">
        <v>0</v>
      </c>
      <c r="I1907" s="147">
        <v>3.1379999999999999</v>
      </c>
      <c r="J1907" s="148">
        <v>0.80005101472745865</v>
      </c>
      <c r="K1907" s="149">
        <v>17.158999999999999</v>
      </c>
      <c r="L1907" s="149">
        <v>65.070999999999998</v>
      </c>
      <c r="M1907" s="136"/>
      <c r="N1907" s="135"/>
    </row>
    <row r="1908" spans="1:14" x14ac:dyDescent="0.25">
      <c r="A1908" s="142">
        <v>45646</v>
      </c>
      <c r="B1908" s="81" t="s">
        <v>60</v>
      </c>
      <c r="C1908" s="129" t="str">
        <f t="shared" ref="C1908:C1977" si="58">CONCATENATE(TEXT(A1908,"TT.MM.JJJJ"),"_",B1908)</f>
        <v>20.12.2024_VORohBo</v>
      </c>
      <c r="D1908" s="143">
        <f t="shared" si="57"/>
        <v>0</v>
      </c>
      <c r="E1908" s="144">
        <v>2.1752504666488866E-2</v>
      </c>
      <c r="F1908" s="159">
        <v>6.7447581620949902E-3</v>
      </c>
      <c r="G1908" s="146">
        <v>0.30273661649374062</v>
      </c>
      <c r="H1908" s="146">
        <v>0</v>
      </c>
      <c r="I1908" s="147">
        <v>2.165</v>
      </c>
      <c r="J1908" s="148">
        <v>0.7240805053412247</v>
      </c>
      <c r="K1908" s="149">
        <v>24.268000000000001</v>
      </c>
      <c r="L1908" s="149">
        <v>149.33500000000001</v>
      </c>
      <c r="M1908" s="136"/>
      <c r="N1908" s="135"/>
    </row>
    <row r="1909" spans="1:14" x14ac:dyDescent="0.25">
      <c r="A1909" s="142">
        <v>45646</v>
      </c>
      <c r="B1909" s="81" t="s">
        <v>62</v>
      </c>
      <c r="C1909" s="129" t="str">
        <f t="shared" si="58"/>
        <v>20.12.2024_VORuhSc</v>
      </c>
      <c r="D1909" s="143">
        <f t="shared" si="57"/>
        <v>0</v>
      </c>
      <c r="E1909" s="144">
        <v>2.8445583025408554E-2</v>
      </c>
      <c r="F1909" s="159">
        <v>8.1606565959434618E-3</v>
      </c>
      <c r="G1909" s="146">
        <v>0.2122538847484047</v>
      </c>
      <c r="H1909" s="146">
        <v>0</v>
      </c>
      <c r="I1909" s="147">
        <v>2.1920000000000002</v>
      </c>
      <c r="J1909" s="148">
        <v>0.65992005896828876</v>
      </c>
      <c r="K1909" s="149">
        <v>22.577000000000002</v>
      </c>
      <c r="L1909" s="149">
        <v>135.97200000000001</v>
      </c>
      <c r="M1909" s="136"/>
      <c r="N1909" s="135"/>
    </row>
    <row r="1910" spans="1:14" x14ac:dyDescent="0.25">
      <c r="A1910" s="142">
        <v>45646</v>
      </c>
      <c r="B1910" s="81" t="s">
        <v>64</v>
      </c>
      <c r="C1910" s="129" t="str">
        <f t="shared" si="58"/>
        <v>20.12.2024_WITob</v>
      </c>
      <c r="D1910" s="143">
        <f t="shared" si="57"/>
        <v>0</v>
      </c>
      <c r="E1910" s="144">
        <v>1.6732695897299116E-2</v>
      </c>
      <c r="F1910" s="159">
        <v>7.5562501180728913E-3</v>
      </c>
      <c r="G1910" s="146">
        <v>0.15136830824687036</v>
      </c>
      <c r="H1910" s="146">
        <v>0</v>
      </c>
      <c r="I1910" s="147">
        <v>1.0229999999999999</v>
      </c>
      <c r="J1910" s="148">
        <v>0.34860098767061232</v>
      </c>
      <c r="K1910" s="149">
        <v>53.457999999999998</v>
      </c>
      <c r="L1910" s="149">
        <v>222.417</v>
      </c>
      <c r="M1910" s="136"/>
      <c r="N1910" s="135"/>
    </row>
    <row r="1911" spans="1:14" x14ac:dyDescent="0.25">
      <c r="A1911" s="142">
        <v>45659</v>
      </c>
      <c r="B1911" s="81" t="s">
        <v>22</v>
      </c>
      <c r="C1911" s="129" t="str">
        <f t="shared" si="58"/>
        <v>02.01.2025_BOYkl</v>
      </c>
      <c r="D1911" s="143">
        <f t="shared" si="57"/>
        <v>0</v>
      </c>
      <c r="E1911" s="144">
        <v>0.11153195090986034</v>
      </c>
      <c r="F1911" s="159">
        <v>3.042428021038205E-2</v>
      </c>
      <c r="G1911" s="146">
        <v>0.10870048778779046</v>
      </c>
      <c r="H1911" s="146">
        <v>2.5934571647714025E-2</v>
      </c>
      <c r="I1911" s="147">
        <v>12.959</v>
      </c>
      <c r="J1911" s="148">
        <v>3.0193499521004874</v>
      </c>
      <c r="K1911" s="149">
        <v>16.527000000000001</v>
      </c>
      <c r="L1911" s="149">
        <v>30.834</v>
      </c>
      <c r="M1911" s="136"/>
      <c r="N1911" s="135"/>
    </row>
    <row r="1912" spans="1:14" x14ac:dyDescent="0.25">
      <c r="A1912" s="142">
        <v>45659</v>
      </c>
      <c r="B1912" s="81" t="s">
        <v>25</v>
      </c>
      <c r="C1912" s="129" t="str">
        <f t="shared" si="58"/>
        <v>02.01.2025_BOYohB224</v>
      </c>
      <c r="D1912" s="143">
        <f t="shared" si="57"/>
        <v>0</v>
      </c>
      <c r="E1912" s="144">
        <v>5.5765975454930172E-2</v>
      </c>
      <c r="F1912" s="159">
        <v>1.7639887503875133E-2</v>
      </c>
      <c r="G1912" s="146">
        <v>0.18015395528465963</v>
      </c>
      <c r="H1912" s="146">
        <v>3.6544169139960676E-2</v>
      </c>
      <c r="I1912" s="147">
        <v>5.3129999999999997</v>
      </c>
      <c r="J1912" s="148">
        <v>1.3510609270336462</v>
      </c>
      <c r="K1912" s="149">
        <v>21.768000000000001</v>
      </c>
      <c r="L1912" s="149">
        <v>74.975999999999999</v>
      </c>
      <c r="M1912" s="136"/>
      <c r="N1912" s="135"/>
    </row>
    <row r="1913" spans="1:14" x14ac:dyDescent="0.25">
      <c r="A1913" s="142">
        <v>45659</v>
      </c>
      <c r="B1913" s="81" t="s">
        <v>28</v>
      </c>
      <c r="C1913" s="129" t="str">
        <f t="shared" si="58"/>
        <v>02.01.2025_BOYohBr</v>
      </c>
      <c r="D1913" s="143">
        <f t="shared" si="57"/>
        <v>0</v>
      </c>
      <c r="E1913" s="144">
        <v>7.9665679221328622E-3</v>
      </c>
      <c r="F1913" s="159">
        <v>2.7672871950339493E-2</v>
      </c>
      <c r="G1913" s="146">
        <v>0.10870048778779046</v>
      </c>
      <c r="H1913" s="146">
        <v>0</v>
      </c>
      <c r="I1913" s="147">
        <v>8.6560000000000006</v>
      </c>
      <c r="J1913" s="148">
        <v>2.0395355617623414</v>
      </c>
      <c r="K1913" s="149">
        <v>13.391</v>
      </c>
      <c r="L1913" s="149">
        <v>40.573999999999998</v>
      </c>
      <c r="M1913" s="136"/>
      <c r="N1913" s="135"/>
    </row>
    <row r="1914" spans="1:14" x14ac:dyDescent="0.25">
      <c r="A1914" s="142">
        <v>45659</v>
      </c>
      <c r="B1914" s="81" t="s">
        <v>30</v>
      </c>
      <c r="C1914" s="129" t="str">
        <f t="shared" si="58"/>
        <v>02.01.2025_BOYohKi</v>
      </c>
      <c r="D1914" s="143">
        <f t="shared" si="57"/>
        <v>0</v>
      </c>
      <c r="E1914" s="144">
        <v>-1.3277613203554724E-3</v>
      </c>
      <c r="F1914" s="159">
        <v>1.9830874815895426E-2</v>
      </c>
      <c r="G1914" s="146">
        <v>0.17787352547092977</v>
      </c>
      <c r="H1914" s="146">
        <v>0</v>
      </c>
      <c r="I1914" s="147">
        <v>4.758</v>
      </c>
      <c r="J1914" s="148">
        <v>1.2128064737929221</v>
      </c>
      <c r="K1914" s="149">
        <v>17.968</v>
      </c>
      <c r="L1914" s="149">
        <v>57.651000000000003</v>
      </c>
      <c r="M1914" s="136"/>
      <c r="N1914" s="135"/>
    </row>
    <row r="1915" spans="1:14" x14ac:dyDescent="0.25">
      <c r="A1915" s="142">
        <v>45659</v>
      </c>
      <c r="B1915" s="81" t="s">
        <v>32</v>
      </c>
      <c r="C1915" s="129" t="str">
        <f t="shared" si="58"/>
        <v>02.01.2025_BOYohSp</v>
      </c>
      <c r="D1915" s="143">
        <f t="shared" si="57"/>
        <v>0</v>
      </c>
      <c r="E1915" s="144">
        <v>1.3277613203554807E-2</v>
      </c>
      <c r="F1915" s="159">
        <v>2.1816728052318241E-2</v>
      </c>
      <c r="G1915" s="146">
        <v>0.14898808116368478</v>
      </c>
      <c r="H1915" s="146">
        <v>2.1219194984493275E-2</v>
      </c>
      <c r="I1915" s="147">
        <v>7.0010000000000003</v>
      </c>
      <c r="J1915" s="148">
        <v>1.7034638090558185</v>
      </c>
      <c r="K1915" s="149">
        <v>19.661000000000001</v>
      </c>
      <c r="L1915" s="149">
        <v>49.497</v>
      </c>
      <c r="M1915" s="136"/>
      <c r="N1915" s="135"/>
    </row>
    <row r="1916" spans="1:14" x14ac:dyDescent="0.25">
      <c r="A1916" s="142">
        <v>45659</v>
      </c>
      <c r="B1916" s="81" t="s">
        <v>34</v>
      </c>
      <c r="C1916" s="129" t="str">
        <f t="shared" si="58"/>
        <v>02.01.2025_BOYuhHa</v>
      </c>
      <c r="D1916" s="143">
        <f t="shared" si="57"/>
        <v>0</v>
      </c>
      <c r="E1916" s="144">
        <v>3.584955564959795E-2</v>
      </c>
      <c r="F1916" s="159">
        <v>1.8454437565115653E-2</v>
      </c>
      <c r="G1916" s="146">
        <v>0.19915753706574188</v>
      </c>
      <c r="H1916" s="146">
        <v>2.3576883316103504E-3</v>
      </c>
      <c r="I1916" s="147">
        <v>4.7069999999999999</v>
      </c>
      <c r="J1916" s="148">
        <v>1.2185317241687366</v>
      </c>
      <c r="K1916" s="149">
        <v>24.242999999999999</v>
      </c>
      <c r="L1916" s="149">
        <v>77.936999999999998</v>
      </c>
      <c r="M1916" s="136"/>
      <c r="N1916" s="135"/>
    </row>
    <row r="1917" spans="1:14" x14ac:dyDescent="0.25">
      <c r="A1917" s="142">
        <v>45659</v>
      </c>
      <c r="B1917" s="81" t="s">
        <v>36</v>
      </c>
      <c r="C1917" s="129" t="str">
        <f t="shared" si="58"/>
        <v>02.01.2025_BOYuhSp</v>
      </c>
      <c r="D1917" s="143">
        <f t="shared" si="57"/>
        <v>0</v>
      </c>
      <c r="E1917" s="144">
        <v>7.9665679221329177E-3</v>
      </c>
      <c r="F1917" s="159">
        <v>1.9391686842710764E-2</v>
      </c>
      <c r="G1917" s="146">
        <v>0.17711338219968642</v>
      </c>
      <c r="H1917" s="146">
        <v>-4.7153766632207252E-3</v>
      </c>
      <c r="I1917" s="147">
        <v>6.34</v>
      </c>
      <c r="J1917" s="148">
        <v>1.5681069737191167</v>
      </c>
      <c r="K1917" s="149">
        <v>19.260000000000002</v>
      </c>
      <c r="L1917" s="149">
        <v>52.191000000000003</v>
      </c>
      <c r="M1917" s="136"/>
      <c r="N1917" s="135"/>
    </row>
    <row r="1918" spans="1:14" x14ac:dyDescent="0.25">
      <c r="A1918" s="142">
        <v>45659</v>
      </c>
      <c r="B1918" s="81" t="s">
        <v>38</v>
      </c>
      <c r="C1918" s="129" t="str">
        <f t="shared" si="58"/>
        <v>02.01.2025_BRAob</v>
      </c>
      <c r="D1918" s="143">
        <f t="shared" si="57"/>
        <v>0</v>
      </c>
      <c r="E1918" s="144">
        <v>0</v>
      </c>
      <c r="F1918" s="159">
        <v>9.9111639982655351E-3</v>
      </c>
      <c r="G1918" s="146">
        <v>0.12998449938260254</v>
      </c>
      <c r="H1918" s="146">
        <v>0</v>
      </c>
      <c r="I1918" s="147">
        <v>2.71</v>
      </c>
      <c r="J1918" s="148">
        <v>0.71303936392559697</v>
      </c>
      <c r="K1918" s="149">
        <v>23</v>
      </c>
      <c r="L1918" s="149">
        <v>66.543000000000006</v>
      </c>
      <c r="M1918" s="136"/>
      <c r="N1918" s="135"/>
    </row>
    <row r="1919" spans="1:14" x14ac:dyDescent="0.25">
      <c r="A1919" s="142">
        <v>45659</v>
      </c>
      <c r="B1919" s="81" t="s">
        <v>41</v>
      </c>
      <c r="C1919" s="129" t="str">
        <f t="shared" si="58"/>
        <v>02.01.2025_BRAohBo</v>
      </c>
      <c r="D1919" s="143">
        <f t="shared" si="57"/>
        <v>0</v>
      </c>
      <c r="E1919" s="144">
        <v>0</v>
      </c>
      <c r="F1919" s="159">
        <v>2.1461236929700093E-2</v>
      </c>
      <c r="G1919" s="146">
        <v>0.22044154866055399</v>
      </c>
      <c r="H1919" s="146">
        <v>7.0730649948310756E-3</v>
      </c>
      <c r="I1919" s="147">
        <v>6.0960000000000001</v>
      </c>
      <c r="J1919" s="148">
        <v>1.55022757275711</v>
      </c>
      <c r="K1919" s="149">
        <v>23.251000000000001</v>
      </c>
      <c r="L1919" s="149">
        <v>49.104999999999997</v>
      </c>
      <c r="M1919" s="136"/>
      <c r="N1919" s="135"/>
    </row>
    <row r="1920" spans="1:14" x14ac:dyDescent="0.25">
      <c r="A1920" s="142">
        <v>45659</v>
      </c>
      <c r="B1920" s="81" t="s">
        <v>43</v>
      </c>
      <c r="C1920" s="129" t="str">
        <f t="shared" si="58"/>
        <v>02.01.2025_HAAob</v>
      </c>
      <c r="D1920" s="143">
        <f t="shared" si="57"/>
        <v>0</v>
      </c>
      <c r="E1920" s="144">
        <v>0</v>
      </c>
      <c r="F1920" s="159">
        <v>5.5905267504300664E-3</v>
      </c>
      <c r="G1920" s="146">
        <v>0.16799166294476708</v>
      </c>
      <c r="H1920" s="146">
        <v>6.9551805782505721E-2</v>
      </c>
      <c r="I1920" s="147">
        <v>2.9420000000000002</v>
      </c>
      <c r="J1920" s="148">
        <v>0.81612843363046605</v>
      </c>
      <c r="K1920" s="149">
        <v>15.833</v>
      </c>
      <c r="L1920" s="149">
        <v>66.481999999999999</v>
      </c>
      <c r="M1920" s="136"/>
      <c r="N1920" s="135"/>
    </row>
    <row r="1921" spans="1:14" x14ac:dyDescent="0.25">
      <c r="A1921" s="142">
        <v>45659</v>
      </c>
      <c r="B1921" s="81" t="s">
        <v>45</v>
      </c>
      <c r="C1921" s="129" t="str">
        <f t="shared" si="58"/>
        <v>02.01.2025_HAAun</v>
      </c>
      <c r="D1921" s="143">
        <f t="shared" si="57"/>
        <v>0</v>
      </c>
      <c r="E1921" s="144">
        <v>3.9832839610664727E-3</v>
      </c>
      <c r="F1921" s="159">
        <v>4.0473615580138421E-2</v>
      </c>
      <c r="G1921" s="146">
        <v>0.57922917268738683</v>
      </c>
      <c r="H1921" s="146">
        <v>0.35247440557574944</v>
      </c>
      <c r="I1921" s="147">
        <v>2.8010000000000002</v>
      </c>
      <c r="J1921" s="148">
        <v>1.189738363077566</v>
      </c>
      <c r="K1921" s="149">
        <v>21</v>
      </c>
      <c r="L1921" s="149">
        <v>133.46</v>
      </c>
      <c r="M1921" s="136"/>
      <c r="N1921" s="135"/>
    </row>
    <row r="1922" spans="1:14" x14ac:dyDescent="0.25">
      <c r="A1922" s="142">
        <v>45659</v>
      </c>
      <c r="B1922" s="81" t="s">
        <v>47</v>
      </c>
      <c r="C1922" s="129" t="str">
        <f t="shared" si="58"/>
        <v>02.01.2025_KIRob</v>
      </c>
      <c r="D1922" s="143">
        <f t="shared" si="57"/>
        <v>0</v>
      </c>
      <c r="E1922" s="144">
        <v>-3.9832839610664172E-3</v>
      </c>
      <c r="F1922" s="159">
        <v>5.4999724900208439E-3</v>
      </c>
      <c r="G1922" s="146">
        <v>0.44088309732110809</v>
      </c>
      <c r="H1922" s="146">
        <v>1.4146129989662175E-2</v>
      </c>
      <c r="I1922" s="147">
        <v>3.6960000000000002</v>
      </c>
      <c r="J1922" s="148">
        <v>1.1814636255142199</v>
      </c>
      <c r="K1922" s="149">
        <v>41</v>
      </c>
      <c r="L1922" s="149">
        <v>106.496</v>
      </c>
      <c r="M1922" s="136"/>
      <c r="N1922" s="135"/>
    </row>
    <row r="1923" spans="1:14" x14ac:dyDescent="0.25">
      <c r="A1923" s="142">
        <v>45659</v>
      </c>
      <c r="B1923" s="81" t="s">
        <v>49</v>
      </c>
      <c r="C1923" s="129" t="str">
        <f t="shared" si="58"/>
        <v>02.01.2025_KIRun</v>
      </c>
      <c r="D1923" s="143">
        <f t="shared" si="57"/>
        <v>0</v>
      </c>
      <c r="E1923" s="144">
        <v>5.3110452814219201E-2</v>
      </c>
      <c r="F1923" s="159">
        <v>5.2921136868559612E-3</v>
      </c>
      <c r="G1923" s="146">
        <v>0.11554177722898</v>
      </c>
      <c r="H1923" s="146">
        <v>3.1828792476739927E-2</v>
      </c>
      <c r="I1923" s="147">
        <v>2.7949999999999999</v>
      </c>
      <c r="J1923" s="148">
        <v>0.7307139604700742</v>
      </c>
      <c r="K1923" s="149">
        <v>29</v>
      </c>
      <c r="L1923" s="149">
        <v>88.305000000000007</v>
      </c>
      <c r="M1923" s="136"/>
      <c r="N1923" s="135"/>
    </row>
    <row r="1924" spans="1:14" x14ac:dyDescent="0.25">
      <c r="A1924" s="142">
        <v>45659</v>
      </c>
      <c r="B1924" s="81" t="s">
        <v>50</v>
      </c>
      <c r="C1924" s="129" t="str">
        <f t="shared" si="58"/>
        <v>02.01.2025_LIEohBo</v>
      </c>
      <c r="D1924" s="143">
        <f t="shared" si="57"/>
        <v>0</v>
      </c>
      <c r="E1924" s="144">
        <v>3.0538510368176057E-2</v>
      </c>
      <c r="F1924" s="159">
        <v>1.8789717556425535E-2</v>
      </c>
      <c r="G1924" s="146">
        <v>4.2568023189624223E-2</v>
      </c>
      <c r="H1924" s="146">
        <v>0</v>
      </c>
      <c r="I1924" s="147">
        <v>9.3070000000000004</v>
      </c>
      <c r="J1924" s="148">
        <v>2.1352257343265113</v>
      </c>
      <c r="K1924" s="149">
        <v>15.212</v>
      </c>
      <c r="L1924" s="149">
        <v>54.768999999999998</v>
      </c>
      <c r="M1924" s="136"/>
      <c r="N1924" s="135"/>
    </row>
    <row r="1925" spans="1:14" x14ac:dyDescent="0.25">
      <c r="A1925" s="142">
        <v>45659</v>
      </c>
      <c r="B1925" s="81" t="s">
        <v>53</v>
      </c>
      <c r="C1925" s="129" t="str">
        <f t="shared" si="58"/>
        <v>02.01.2025_NATohBo</v>
      </c>
      <c r="D1925" s="143">
        <f t="shared" ref="D1925:D2000" si="59">COUNTBLANK(E1925:L1925)</f>
        <v>0</v>
      </c>
      <c r="E1925" s="144">
        <v>2.1244181125687697E-2</v>
      </c>
      <c r="F1925" s="159">
        <v>1.3358071654000304E-2</v>
      </c>
      <c r="G1925" s="146">
        <v>0.19611696398076875</v>
      </c>
      <c r="H1925" s="146">
        <v>5.8942208290259004E-3</v>
      </c>
      <c r="I1925" s="147">
        <v>3.552</v>
      </c>
      <c r="J1925" s="148">
        <v>0.95636759689282402</v>
      </c>
      <c r="K1925" s="149">
        <v>36</v>
      </c>
      <c r="L1925" s="149">
        <v>167.26499999999999</v>
      </c>
      <c r="M1925" s="136"/>
      <c r="N1925" s="135"/>
    </row>
    <row r="1926" spans="1:14" x14ac:dyDescent="0.25">
      <c r="A1926" s="142">
        <v>45659</v>
      </c>
      <c r="B1926" s="81" t="s">
        <v>55</v>
      </c>
      <c r="C1926" s="129" t="str">
        <f t="shared" si="58"/>
        <v>02.01.2025_QUAohBo</v>
      </c>
      <c r="D1926" s="143">
        <f t="shared" si="59"/>
        <v>0</v>
      </c>
      <c r="E1926" s="144">
        <v>4.7799407532797281E-2</v>
      </c>
      <c r="F1926" s="159">
        <v>9.3173395726854191E-3</v>
      </c>
      <c r="G1926" s="146">
        <v>0.16723151967352373</v>
      </c>
      <c r="H1926" s="146">
        <v>3.5365324974155475E-2</v>
      </c>
      <c r="I1926" s="147">
        <v>3.9630000000000001</v>
      </c>
      <c r="J1926" s="148">
        <v>1.0357433858996761</v>
      </c>
      <c r="K1926" s="149">
        <v>27</v>
      </c>
      <c r="L1926" s="149">
        <v>63.91</v>
      </c>
      <c r="M1926" s="136"/>
      <c r="N1926" s="135"/>
    </row>
    <row r="1927" spans="1:14" x14ac:dyDescent="0.25">
      <c r="A1927" s="142">
        <v>45659</v>
      </c>
      <c r="B1927" s="81" t="s">
        <v>356</v>
      </c>
      <c r="C1927" s="129" t="str">
        <f t="shared" si="58"/>
        <v>02.01.2025_ROTB</v>
      </c>
      <c r="D1927" s="143">
        <f t="shared" si="59"/>
        <v>0</v>
      </c>
      <c r="E1927" s="144">
        <v>3.0538510368176029E-2</v>
      </c>
      <c r="F1927" s="159">
        <v>7.0887223757946077E-3</v>
      </c>
      <c r="G1927" s="146">
        <v>0.10565991470281728</v>
      </c>
      <c r="H1927" s="146">
        <v>0</v>
      </c>
      <c r="I1927" s="147">
        <v>3.5539999999999998</v>
      </c>
      <c r="J1927" s="148">
        <v>0.88478584716759057</v>
      </c>
      <c r="K1927" s="149">
        <v>19.596</v>
      </c>
      <c r="L1927" s="149">
        <v>62.365000000000002</v>
      </c>
      <c r="M1927" s="136"/>
      <c r="N1927" s="135"/>
    </row>
    <row r="1928" spans="1:14" x14ac:dyDescent="0.25">
      <c r="A1928" s="142">
        <v>45659</v>
      </c>
      <c r="B1928" s="81" t="s">
        <v>57</v>
      </c>
      <c r="C1928" s="129" t="str">
        <f t="shared" si="58"/>
        <v>02.01.2025_SCHohVo</v>
      </c>
      <c r="D1928" s="143">
        <f t="shared" si="59"/>
        <v>0</v>
      </c>
      <c r="E1928" s="144">
        <v>0</v>
      </c>
      <c r="F1928" s="159">
        <v>8.9729382037110721E-3</v>
      </c>
      <c r="G1928" s="146">
        <v>0.15278879751990124</v>
      </c>
      <c r="H1928" s="146">
        <v>0</v>
      </c>
      <c r="I1928" s="147">
        <v>2.9209999999999998</v>
      </c>
      <c r="J1928" s="148">
        <v>0.77840524338622796</v>
      </c>
      <c r="K1928" s="149">
        <v>15.234999999999999</v>
      </c>
      <c r="L1928" s="149">
        <v>48.704999999999998</v>
      </c>
      <c r="M1928" s="136"/>
      <c r="N1928" s="135"/>
    </row>
    <row r="1929" spans="1:14" x14ac:dyDescent="0.25">
      <c r="A1929" s="142">
        <v>45659</v>
      </c>
      <c r="B1929" s="81" t="s">
        <v>357</v>
      </c>
      <c r="C1929" s="129" t="str">
        <f t="shared" si="58"/>
        <v>02.01.2025_SCHW</v>
      </c>
      <c r="D1929" s="143">
        <f t="shared" si="59"/>
        <v>0</v>
      </c>
      <c r="E1929" s="144">
        <v>6.3732543377063064E-2</v>
      </c>
      <c r="F1929" s="159">
        <v>3.0922903607354214E-2</v>
      </c>
      <c r="G1929" s="146">
        <v>0.22652269483050033</v>
      </c>
      <c r="H1929" s="146">
        <v>2.3576883316103504E-3</v>
      </c>
      <c r="I1929" s="147">
        <v>4.1710000000000003</v>
      </c>
      <c r="J1929" s="148">
        <v>1.118714175521494</v>
      </c>
      <c r="K1929" s="149">
        <v>12.618</v>
      </c>
      <c r="L1929" s="149">
        <v>142.75</v>
      </c>
      <c r="M1929" s="136"/>
      <c r="N1929" s="135"/>
    </row>
    <row r="1930" spans="1:14" x14ac:dyDescent="0.25">
      <c r="A1930" s="142">
        <v>45659</v>
      </c>
      <c r="B1930" s="81" t="s">
        <v>358</v>
      </c>
      <c r="C1930" s="129" t="str">
        <f t="shared" si="58"/>
        <v>02.01.2025_SPE</v>
      </c>
      <c r="D1930" s="143">
        <f t="shared" si="59"/>
        <v>8</v>
      </c>
      <c r="E1930" s="144"/>
      <c r="F1930" s="159"/>
      <c r="G1930" s="146"/>
      <c r="H1930" s="146"/>
      <c r="I1930" s="147"/>
      <c r="J1930" s="148"/>
      <c r="K1930" s="149"/>
      <c r="L1930" s="149"/>
      <c r="M1930" s="136"/>
      <c r="N1930" s="135" t="s">
        <v>359</v>
      </c>
    </row>
    <row r="1931" spans="1:14" x14ac:dyDescent="0.25">
      <c r="A1931" s="142">
        <v>45659</v>
      </c>
      <c r="B1931" s="81" t="s">
        <v>60</v>
      </c>
      <c r="C1931" s="129" t="str">
        <f t="shared" si="58"/>
        <v>02.01.2025_VORohBo</v>
      </c>
      <c r="D1931" s="143">
        <f t="shared" si="59"/>
        <v>0</v>
      </c>
      <c r="E1931" s="144">
        <v>3.3194033008886972E-2</v>
      </c>
      <c r="F1931" s="159">
        <v>6.644420504278963E-3</v>
      </c>
      <c r="G1931" s="146">
        <v>0.30633773831104577</v>
      </c>
      <c r="H1931" s="146">
        <v>1.0609597492246626E-2</v>
      </c>
      <c r="I1931" s="147">
        <v>1.734</v>
      </c>
      <c r="J1931" s="148">
        <v>0.63275686237765838</v>
      </c>
      <c r="K1931" s="149">
        <v>23.401</v>
      </c>
      <c r="L1931" s="149">
        <v>113.968</v>
      </c>
      <c r="M1931" s="136"/>
      <c r="N1931" s="135"/>
    </row>
    <row r="1932" spans="1:14" x14ac:dyDescent="0.25">
      <c r="A1932" s="142">
        <v>45659</v>
      </c>
      <c r="B1932" s="81" t="s">
        <v>62</v>
      </c>
      <c r="C1932" s="129" t="str">
        <f t="shared" si="58"/>
        <v>02.01.2025_VORuhSc</v>
      </c>
      <c r="D1932" s="143">
        <f t="shared" si="59"/>
        <v>0</v>
      </c>
      <c r="E1932" s="144">
        <v>0</v>
      </c>
      <c r="F1932" s="159">
        <v>1.0924053409113165E-2</v>
      </c>
      <c r="G1932" s="146">
        <v>0.26452985839266485</v>
      </c>
      <c r="H1932" s="146">
        <v>0</v>
      </c>
      <c r="I1932" s="147">
        <v>1.863</v>
      </c>
      <c r="J1932" s="148">
        <v>0.62620059974332032</v>
      </c>
      <c r="K1932" s="149">
        <v>20.129000000000001</v>
      </c>
      <c r="L1932" s="149">
        <v>96.975999999999999</v>
      </c>
      <c r="M1932" s="136"/>
      <c r="N1932" s="135"/>
    </row>
    <row r="1933" spans="1:14" x14ac:dyDescent="0.25">
      <c r="A1933" s="142">
        <v>45659</v>
      </c>
      <c r="B1933" s="81" t="s">
        <v>64</v>
      </c>
      <c r="C1933" s="129" t="str">
        <f t="shared" si="58"/>
        <v>02.01.2025_WITob</v>
      </c>
      <c r="D1933" s="143">
        <f t="shared" si="59"/>
        <v>0</v>
      </c>
      <c r="E1933" s="144">
        <v>1.3277613203554999E-3</v>
      </c>
      <c r="F1933" s="159">
        <v>4.8496261735043759E-3</v>
      </c>
      <c r="G1933" s="146">
        <v>0.15734965714736099</v>
      </c>
      <c r="H1933" s="146">
        <v>0</v>
      </c>
      <c r="I1933" s="147">
        <v>0.86299999999999999</v>
      </c>
      <c r="J1933" s="148">
        <v>0.31710624527835429</v>
      </c>
      <c r="K1933" s="149">
        <v>42</v>
      </c>
      <c r="L1933" s="149">
        <v>176.49700000000001</v>
      </c>
      <c r="M1933" s="136"/>
      <c r="N1933" s="135"/>
    </row>
    <row r="1934" spans="1:14" x14ac:dyDescent="0.25">
      <c r="A1934" s="142">
        <v>45701</v>
      </c>
      <c r="B1934" s="81" t="s">
        <v>22</v>
      </c>
      <c r="C1934" s="129" t="str">
        <f t="shared" si="58"/>
        <v>13.02.2025_BOYkl</v>
      </c>
      <c r="D1934" s="143">
        <f t="shared" si="59"/>
        <v>0</v>
      </c>
      <c r="E1934" s="144">
        <v>0.10727568634774949</v>
      </c>
      <c r="F1934" s="159">
        <v>2.3094637073412354E-2</v>
      </c>
      <c r="G1934" s="146">
        <v>0.24572578280607033</v>
      </c>
      <c r="H1934" s="146">
        <v>8.7322347049269097E-2</v>
      </c>
      <c r="I1934" s="147">
        <v>14.742000000000001</v>
      </c>
      <c r="J1934" s="148">
        <v>3.5471644416502355</v>
      </c>
      <c r="K1934" s="149">
        <v>17.795000000000002</v>
      </c>
      <c r="L1934" s="149">
        <v>35.369</v>
      </c>
      <c r="M1934" s="136"/>
      <c r="N1934" s="135"/>
    </row>
    <row r="1935" spans="1:14" x14ac:dyDescent="0.25">
      <c r="A1935" s="142">
        <v>45701</v>
      </c>
      <c r="B1935" s="81" t="s">
        <v>25</v>
      </c>
      <c r="C1935" s="129" t="str">
        <f t="shared" si="58"/>
        <v>13.02.2025_BOYohB224</v>
      </c>
      <c r="D1935" s="143">
        <f t="shared" si="59"/>
        <v>0</v>
      </c>
      <c r="E1935" s="144">
        <v>7.8541127504602321E-2</v>
      </c>
      <c r="F1935" s="159">
        <v>1.70136500185365E-2</v>
      </c>
      <c r="G1935" s="146">
        <v>0.30540204434468748</v>
      </c>
      <c r="H1935" s="146">
        <v>7.536038170005413E-2</v>
      </c>
      <c r="I1935" s="147">
        <v>5.4470000000000001</v>
      </c>
      <c r="J1935" s="148">
        <v>1.4903989916217877</v>
      </c>
      <c r="K1935" s="149">
        <v>21</v>
      </c>
      <c r="L1935" s="149">
        <v>111.685</v>
      </c>
      <c r="M1935" s="136"/>
      <c r="N1935" s="135"/>
    </row>
    <row r="1936" spans="1:14" x14ac:dyDescent="0.25">
      <c r="A1936" s="142">
        <v>45701</v>
      </c>
      <c r="B1936" s="81" t="s">
        <v>28</v>
      </c>
      <c r="C1936" s="129" t="str">
        <f t="shared" si="58"/>
        <v>13.02.2025_BOYohBr</v>
      </c>
      <c r="D1936" s="143">
        <f t="shared" si="59"/>
        <v>0</v>
      </c>
      <c r="E1936" s="144">
        <v>1.5325098049678488E-2</v>
      </c>
      <c r="F1936" s="159">
        <v>1.7992072330681858E-2</v>
      </c>
      <c r="G1936" s="146">
        <v>0.14216991719494074</v>
      </c>
      <c r="H1936" s="146">
        <v>0.13517020844612881</v>
      </c>
      <c r="I1936" s="147">
        <v>10.55</v>
      </c>
      <c r="J1936" s="148">
        <v>2.534474588964124</v>
      </c>
      <c r="K1936" s="149">
        <v>15.436</v>
      </c>
      <c r="L1936" s="149">
        <v>52.366</v>
      </c>
      <c r="M1936" s="136"/>
      <c r="N1936" s="135"/>
    </row>
    <row r="1937" spans="1:14" x14ac:dyDescent="0.25">
      <c r="A1937" s="142">
        <v>45701</v>
      </c>
      <c r="B1937" s="81" t="s">
        <v>30</v>
      </c>
      <c r="C1937" s="129" t="str">
        <f t="shared" si="58"/>
        <v>13.02.2025_BOYohKi</v>
      </c>
      <c r="D1937" s="143">
        <f t="shared" si="59"/>
        <v>0</v>
      </c>
      <c r="E1937" s="144">
        <v>0</v>
      </c>
      <c r="F1937" s="159">
        <v>8.9592563118569384E-3</v>
      </c>
      <c r="G1937" s="146">
        <v>0.22729634909561511</v>
      </c>
      <c r="H1937" s="146">
        <v>4.0670682187330803E-2</v>
      </c>
      <c r="I1937" s="147">
        <v>5.7119999999999997</v>
      </c>
      <c r="J1937" s="148">
        <v>1.4790449713011871</v>
      </c>
      <c r="K1937" s="149">
        <v>21.988</v>
      </c>
      <c r="L1937" s="149">
        <v>78.364999999999995</v>
      </c>
      <c r="M1937" s="136"/>
      <c r="N1937" s="135"/>
    </row>
    <row r="1938" spans="1:14" x14ac:dyDescent="0.25">
      <c r="A1938" s="142">
        <v>45701</v>
      </c>
      <c r="B1938" s="81" t="s">
        <v>32</v>
      </c>
      <c r="C1938" s="129" t="str">
        <f t="shared" si="58"/>
        <v>13.02.2025_BOYohSp</v>
      </c>
      <c r="D1938" s="143">
        <f t="shared" si="59"/>
        <v>0</v>
      </c>
      <c r="E1938" s="144">
        <v>2.2987647074517732E-2</v>
      </c>
      <c r="F1938" s="159">
        <v>1.0158842669009939E-2</v>
      </c>
      <c r="G1938" s="146">
        <v>0.39140606832681207</v>
      </c>
      <c r="H1938" s="146">
        <v>6.3398416350839176E-2</v>
      </c>
      <c r="I1938" s="147">
        <v>7.891</v>
      </c>
      <c r="J1938" s="148">
        <v>2.1055647158530992</v>
      </c>
      <c r="K1938" s="149">
        <v>23.106000000000002</v>
      </c>
      <c r="L1938" s="149">
        <v>63.250999999999998</v>
      </c>
      <c r="M1938" s="136"/>
      <c r="N1938" s="135"/>
    </row>
    <row r="1939" spans="1:14" x14ac:dyDescent="0.25">
      <c r="A1939" s="142">
        <v>45701</v>
      </c>
      <c r="B1939" s="81" t="s">
        <v>34</v>
      </c>
      <c r="C1939" s="129" t="str">
        <f t="shared" si="58"/>
        <v>13.02.2025_BOYuhHa</v>
      </c>
      <c r="D1939" s="143">
        <f t="shared" si="59"/>
        <v>0</v>
      </c>
      <c r="E1939" s="144">
        <v>4.4059656892825705E-2</v>
      </c>
      <c r="F1939" s="159">
        <v>7.4800207363872511E-3</v>
      </c>
      <c r="G1939" s="146">
        <v>0.26678799276087639</v>
      </c>
      <c r="H1939" s="146">
        <v>7.1771792095289638E-2</v>
      </c>
      <c r="I1939" s="147">
        <v>5.5839999999999996</v>
      </c>
      <c r="J1939" s="148">
        <v>1.4902672106023038</v>
      </c>
      <c r="K1939" s="149">
        <v>23</v>
      </c>
      <c r="L1939" s="149">
        <v>129.66999999999999</v>
      </c>
      <c r="M1939" s="136"/>
      <c r="N1939" s="135"/>
    </row>
    <row r="1940" spans="1:14" x14ac:dyDescent="0.25">
      <c r="A1940" s="142">
        <v>45701</v>
      </c>
      <c r="B1940" s="81" t="s">
        <v>36</v>
      </c>
      <c r="C1940" s="129" t="str">
        <f t="shared" si="58"/>
        <v>13.02.2025_BOYuhSp</v>
      </c>
      <c r="D1940" s="143">
        <f t="shared" si="59"/>
        <v>0</v>
      </c>
      <c r="E1940" s="144">
        <v>3.8312745124196019E-3</v>
      </c>
      <c r="F1940" s="159">
        <v>1.0302387021091156E-2</v>
      </c>
      <c r="G1940" s="146">
        <v>0.33348499095109552</v>
      </c>
      <c r="H1940" s="146">
        <v>5.1436451001624264E-2</v>
      </c>
      <c r="I1940" s="147">
        <v>6.5940000000000003</v>
      </c>
      <c r="J1940" s="148">
        <v>1.7639943681310606</v>
      </c>
      <c r="K1940" s="149">
        <v>21.411000000000001</v>
      </c>
      <c r="L1940" s="149">
        <v>65.484999999999999</v>
      </c>
      <c r="M1940" s="136"/>
      <c r="N1940" s="135"/>
    </row>
    <row r="1941" spans="1:14" x14ac:dyDescent="0.25">
      <c r="A1941" s="142">
        <v>45701</v>
      </c>
      <c r="B1941" s="81" t="s">
        <v>38</v>
      </c>
      <c r="C1941" s="129" t="str">
        <f t="shared" si="58"/>
        <v>13.02.2025_BRAob</v>
      </c>
      <c r="D1941" s="143">
        <f t="shared" si="59"/>
        <v>0</v>
      </c>
      <c r="E1941" s="144">
        <v>0</v>
      </c>
      <c r="F1941" s="159">
        <v>6.5917533818732835E-3</v>
      </c>
      <c r="G1941" s="146">
        <v>0.16937527171989852</v>
      </c>
      <c r="H1941" s="146">
        <v>1.794294802382243E-2</v>
      </c>
      <c r="I1941" s="147">
        <v>3.2360000000000002</v>
      </c>
      <c r="J1941" s="148">
        <v>0.86789625526363678</v>
      </c>
      <c r="K1941" s="149">
        <v>27</v>
      </c>
      <c r="L1941" s="149">
        <v>79.602999999999994</v>
      </c>
      <c r="M1941" s="136"/>
      <c r="N1941" s="135"/>
    </row>
    <row r="1942" spans="1:14" x14ac:dyDescent="0.25">
      <c r="A1942" s="142">
        <v>45701</v>
      </c>
      <c r="B1942" s="81" t="s">
        <v>41</v>
      </c>
      <c r="C1942" s="129" t="str">
        <f t="shared" si="58"/>
        <v>13.02.2025_BRAohBo</v>
      </c>
      <c r="D1942" s="143">
        <f t="shared" si="59"/>
        <v>0</v>
      </c>
      <c r="E1942" s="144">
        <v>0</v>
      </c>
      <c r="F1942" s="159">
        <v>1.2531131970654589E-2</v>
      </c>
      <c r="G1942" s="146">
        <v>0.37122145045345628</v>
      </c>
      <c r="H1942" s="146">
        <v>4.1866878722252289E-2</v>
      </c>
      <c r="I1942" s="147">
        <v>6.7640000000000002</v>
      </c>
      <c r="J1942" s="148">
        <v>1.8287807952895938</v>
      </c>
      <c r="K1942" s="149">
        <v>26.315000000000001</v>
      </c>
      <c r="L1942" s="149">
        <v>63.939</v>
      </c>
      <c r="M1942" s="136"/>
      <c r="N1942" s="135"/>
    </row>
    <row r="1943" spans="1:14" x14ac:dyDescent="0.25">
      <c r="A1943" s="142">
        <v>45701</v>
      </c>
      <c r="B1943" s="81" t="s">
        <v>43</v>
      </c>
      <c r="C1943" s="129" t="str">
        <f t="shared" si="58"/>
        <v>13.02.2025_HAAob</v>
      </c>
      <c r="D1943" s="143">
        <f t="shared" si="59"/>
        <v>0</v>
      </c>
      <c r="E1943" s="144">
        <v>1.915637256209813E-2</v>
      </c>
      <c r="F1943" s="159">
        <v>5.0066821628195401E-3</v>
      </c>
      <c r="G1943" s="146">
        <v>0.16323212714974675</v>
      </c>
      <c r="H1943" s="146">
        <v>3.2297306442880369E-2</v>
      </c>
      <c r="I1943" s="147">
        <v>4.9950000000000001</v>
      </c>
      <c r="J1943" s="148">
        <v>1.2648016793570418</v>
      </c>
      <c r="K1943" s="149">
        <v>18.707000000000001</v>
      </c>
      <c r="L1943" s="149">
        <v>84.909000000000006</v>
      </c>
      <c r="M1943" s="136"/>
      <c r="N1943" s="135"/>
    </row>
    <row r="1944" spans="1:14" x14ac:dyDescent="0.25">
      <c r="A1944" s="142">
        <v>45701</v>
      </c>
      <c r="B1944" s="81" t="s">
        <v>45</v>
      </c>
      <c r="C1944" s="129" t="str">
        <f t="shared" si="58"/>
        <v>13.02.2025_HAAun</v>
      </c>
      <c r="D1944" s="143">
        <f t="shared" si="59"/>
        <v>0</v>
      </c>
      <c r="E1944" s="144">
        <v>0</v>
      </c>
      <c r="F1944" s="159">
        <v>8.5939435518524159E-3</v>
      </c>
      <c r="G1944" s="146">
        <v>0.23080671742141604</v>
      </c>
      <c r="H1944" s="146">
        <v>3.8278289117487804E-2</v>
      </c>
      <c r="I1944" s="147">
        <v>4.0209999999999999</v>
      </c>
      <c r="J1944" s="148">
        <v>1.0990962031323743</v>
      </c>
      <c r="K1944" s="149">
        <v>22.437000000000001</v>
      </c>
      <c r="L1944" s="149">
        <v>138.62899999999999</v>
      </c>
      <c r="M1944" s="136"/>
      <c r="N1944" s="135"/>
    </row>
    <row r="1945" spans="1:14" x14ac:dyDescent="0.25">
      <c r="A1945" s="142">
        <v>45701</v>
      </c>
      <c r="B1945" s="81" t="s">
        <v>47</v>
      </c>
      <c r="C1945" s="129" t="str">
        <f t="shared" si="58"/>
        <v>13.02.2025_KIRob</v>
      </c>
      <c r="D1945" s="143">
        <f t="shared" si="59"/>
        <v>0</v>
      </c>
      <c r="E1945" s="144">
        <v>0</v>
      </c>
      <c r="F1945" s="159">
        <v>4.0709091876859615E-3</v>
      </c>
      <c r="G1945" s="146">
        <v>0.79685360995682819</v>
      </c>
      <c r="H1945" s="146">
        <v>9.9284312398484009E-2</v>
      </c>
      <c r="I1945" s="147">
        <v>4.2359999999999998</v>
      </c>
      <c r="J1945" s="148">
        <v>1.605761288505096</v>
      </c>
      <c r="K1945" s="149">
        <v>43</v>
      </c>
      <c r="L1945" s="149">
        <v>113.39100000000001</v>
      </c>
      <c r="M1945" s="136"/>
      <c r="N1945" s="135"/>
    </row>
    <row r="1946" spans="1:14" x14ac:dyDescent="0.25">
      <c r="A1946" s="142">
        <v>45701</v>
      </c>
      <c r="B1946" s="81" t="s">
        <v>49</v>
      </c>
      <c r="C1946" s="129" t="str">
        <f t="shared" si="58"/>
        <v>13.02.2025_KIRun</v>
      </c>
      <c r="D1946" s="143">
        <f t="shared" si="59"/>
        <v>0</v>
      </c>
      <c r="E1946" s="144">
        <v>4.0228382380406061E-2</v>
      </c>
      <c r="F1946" s="159">
        <v>4.5825942076722463E-3</v>
      </c>
      <c r="G1946" s="146">
        <v>0.21588765203676186</v>
      </c>
      <c r="H1946" s="146">
        <v>0.12679683270167832</v>
      </c>
      <c r="I1946" s="147">
        <v>3.2</v>
      </c>
      <c r="J1946" s="148">
        <v>0.92902189864605111</v>
      </c>
      <c r="K1946" s="149">
        <v>37</v>
      </c>
      <c r="L1946" s="149">
        <v>105.185</v>
      </c>
      <c r="M1946" s="136"/>
      <c r="N1946" s="135"/>
    </row>
    <row r="1947" spans="1:14" x14ac:dyDescent="0.25">
      <c r="A1947" s="142">
        <v>45701</v>
      </c>
      <c r="B1947" s="81" t="s">
        <v>50</v>
      </c>
      <c r="C1947" s="129" t="str">
        <f t="shared" si="58"/>
        <v>13.02.2025_LIEohBo</v>
      </c>
      <c r="D1947" s="143">
        <f t="shared" si="59"/>
        <v>0</v>
      </c>
      <c r="E1947" s="144">
        <v>3.831274512419626E-2</v>
      </c>
      <c r="F1947" s="159">
        <v>1.0720322999221229E-2</v>
      </c>
      <c r="G1947" s="146">
        <v>5.6165893212816072E-2</v>
      </c>
      <c r="H1947" s="146">
        <v>3.2297306442880369E-2</v>
      </c>
      <c r="I1947" s="147">
        <v>11.728</v>
      </c>
      <c r="J1947" s="148">
        <v>2.7024485293673539</v>
      </c>
      <c r="K1947" s="149">
        <v>16.939</v>
      </c>
      <c r="L1947" s="149">
        <v>64.694000000000003</v>
      </c>
      <c r="M1947" s="136"/>
      <c r="N1947" s="135"/>
    </row>
    <row r="1948" spans="1:14" x14ac:dyDescent="0.25">
      <c r="A1948" s="142">
        <v>45701</v>
      </c>
      <c r="B1948" s="81" t="s">
        <v>53</v>
      </c>
      <c r="C1948" s="129" t="str">
        <f t="shared" si="58"/>
        <v>13.02.2025_NATohBo</v>
      </c>
      <c r="D1948" s="143">
        <f t="shared" si="59"/>
        <v>0</v>
      </c>
      <c r="E1948" s="144">
        <v>2.8734558843147174E-2</v>
      </c>
      <c r="F1948" s="159">
        <v>7.132752395504224E-3</v>
      </c>
      <c r="G1948" s="146">
        <v>0.40018198914131459</v>
      </c>
      <c r="H1948" s="146">
        <v>3.4689699512723347E-2</v>
      </c>
      <c r="I1948" s="147">
        <v>4.2089999999999996</v>
      </c>
      <c r="J1948" s="148">
        <v>1.2719854217649877</v>
      </c>
      <c r="K1948" s="149">
        <v>49</v>
      </c>
      <c r="L1948" s="149">
        <v>297.75799999999998</v>
      </c>
      <c r="M1948" s="136"/>
      <c r="N1948" s="135"/>
    </row>
    <row r="1949" spans="1:14" x14ac:dyDescent="0.25">
      <c r="A1949" s="142">
        <v>45701</v>
      </c>
      <c r="B1949" s="81" t="s">
        <v>55</v>
      </c>
      <c r="C1949" s="129" t="str">
        <f t="shared" si="58"/>
        <v>13.02.2025_QUAohBo</v>
      </c>
      <c r="D1949" s="143">
        <f t="shared" si="59"/>
        <v>0</v>
      </c>
      <c r="E1949" s="144">
        <v>5.7469117686294348E-2</v>
      </c>
      <c r="F1949" s="159">
        <v>5.9377728257153147E-3</v>
      </c>
      <c r="G1949" s="146">
        <v>0.29048297896003317</v>
      </c>
      <c r="H1949" s="146">
        <v>6.220221981591767E-2</v>
      </c>
      <c r="I1949" s="147">
        <v>2.8119999999999998</v>
      </c>
      <c r="J1949" s="148">
        <v>0.87964103415563233</v>
      </c>
      <c r="K1949" s="149">
        <v>26</v>
      </c>
      <c r="L1949" s="149">
        <v>78.796999999999997</v>
      </c>
      <c r="M1949" s="136"/>
      <c r="N1949" s="135"/>
    </row>
    <row r="1950" spans="1:14" x14ac:dyDescent="0.25">
      <c r="A1950" s="142">
        <v>45701</v>
      </c>
      <c r="B1950" s="81" t="s">
        <v>356</v>
      </c>
      <c r="C1950" s="129" t="str">
        <f t="shared" ref="C1950:C1953" si="60">CONCATENATE(TEXT(A1950,"TT.MM.JJJJ"),"_",B1950)</f>
        <v>13.02.2025_ROTB</v>
      </c>
      <c r="D1950" s="143">
        <f t="shared" ref="D1950:D1953" si="61">COUNTBLANK(E1950:L1950)</f>
        <v>0</v>
      </c>
      <c r="E1950" s="144">
        <v>3.831274512419626E-2</v>
      </c>
      <c r="F1950" s="159">
        <v>6.8909217407267858E-3</v>
      </c>
      <c r="G1950" s="146">
        <v>8.6881616063574918E-2</v>
      </c>
      <c r="H1950" s="146">
        <v>3.4689699512723347E-2</v>
      </c>
      <c r="I1950" s="147">
        <v>4.6120000000000001</v>
      </c>
      <c r="J1950" s="148">
        <v>1.119736425073854</v>
      </c>
      <c r="K1950" s="149">
        <v>25.957000000000001</v>
      </c>
      <c r="L1950" s="149">
        <v>89.616</v>
      </c>
      <c r="M1950" s="136"/>
      <c r="N1950" s="135"/>
    </row>
    <row r="1951" spans="1:14" x14ac:dyDescent="0.25">
      <c r="A1951" s="142">
        <v>45701</v>
      </c>
      <c r="B1951" s="81" t="s">
        <v>57</v>
      </c>
      <c r="C1951" s="129" t="str">
        <f t="shared" si="60"/>
        <v>13.02.2025_SCHohVo</v>
      </c>
      <c r="D1951" s="143">
        <f t="shared" si="61"/>
        <v>0</v>
      </c>
      <c r="E1951" s="144">
        <v>0</v>
      </c>
      <c r="F1951" s="159">
        <v>7.8534291016805584E-3</v>
      </c>
      <c r="G1951" s="146">
        <v>0.15533379841669448</v>
      </c>
      <c r="H1951" s="146">
        <v>3.1101109907958859E-2</v>
      </c>
      <c r="I1951" s="147">
        <v>3.7869999999999999</v>
      </c>
      <c r="J1951" s="148">
        <v>0.98545356404405715</v>
      </c>
      <c r="K1951" s="149">
        <v>15.147</v>
      </c>
      <c r="L1951" s="149">
        <v>57.591999999999999</v>
      </c>
      <c r="M1951" s="136"/>
      <c r="N1951" s="135"/>
    </row>
    <row r="1952" spans="1:14" x14ac:dyDescent="0.25">
      <c r="A1952" s="142">
        <v>45701</v>
      </c>
      <c r="B1952" s="81" t="s">
        <v>357</v>
      </c>
      <c r="C1952" s="129" t="str">
        <f t="shared" si="60"/>
        <v>13.02.2025_SCHW</v>
      </c>
      <c r="D1952" s="143">
        <f t="shared" si="61"/>
        <v>0</v>
      </c>
      <c r="E1952" s="144">
        <v>8.0456764760812122E-2</v>
      </c>
      <c r="F1952" s="159">
        <v>5.8826958354922035E-3</v>
      </c>
      <c r="G1952" s="146">
        <v>0.17639600837150052</v>
      </c>
      <c r="H1952" s="146">
        <v>3.7082092582566319E-2</v>
      </c>
      <c r="I1952" s="147">
        <v>4.3920000000000003</v>
      </c>
      <c r="J1952" s="148">
        <v>1.1402804196271488</v>
      </c>
      <c r="K1952" s="149">
        <v>14.27</v>
      </c>
      <c r="L1952" s="149">
        <v>158.61600000000001</v>
      </c>
      <c r="M1952" s="136"/>
      <c r="N1952" s="135"/>
    </row>
    <row r="1953" spans="1:14" x14ac:dyDescent="0.25">
      <c r="A1953" s="142">
        <v>45701</v>
      </c>
      <c r="B1953" s="81" t="s">
        <v>358</v>
      </c>
      <c r="C1953" s="129" t="str">
        <f t="shared" si="60"/>
        <v>13.02.2025_SPE</v>
      </c>
      <c r="D1953" s="143">
        <f t="shared" si="61"/>
        <v>0</v>
      </c>
      <c r="E1953" s="144">
        <v>0.11876950988500838</v>
      </c>
      <c r="F1953" s="159">
        <v>1.1046103731921596E-2</v>
      </c>
      <c r="G1953" s="146">
        <v>0.24748096696897087</v>
      </c>
      <c r="H1953" s="146">
        <v>6.1006023280996205E-2</v>
      </c>
      <c r="I1953" s="147">
        <v>3.9079999999999999</v>
      </c>
      <c r="J1953" s="148">
        <v>1.0934397398296354</v>
      </c>
      <c r="K1953" s="149">
        <v>20.297000000000001</v>
      </c>
      <c r="L1953" s="149">
        <v>84.58</v>
      </c>
      <c r="M1953" s="136"/>
      <c r="N1953" s="135"/>
    </row>
    <row r="1954" spans="1:14" x14ac:dyDescent="0.25">
      <c r="A1954" s="142">
        <v>45701</v>
      </c>
      <c r="B1954" s="81" t="s">
        <v>60</v>
      </c>
      <c r="C1954" s="129" t="str">
        <f t="shared" si="58"/>
        <v>13.02.2025_VORohBo</v>
      </c>
      <c r="D1954" s="143">
        <f t="shared" si="59"/>
        <v>0</v>
      </c>
      <c r="E1954" s="144">
        <v>1.1493823537258845E-2</v>
      </c>
      <c r="F1954" s="159">
        <v>4.5075778692906599E-3</v>
      </c>
      <c r="G1954" s="146">
        <v>0.50812581515969546</v>
      </c>
      <c r="H1954" s="146">
        <v>4.6651664861938266E-2</v>
      </c>
      <c r="I1954" s="147">
        <v>2.1110000000000002</v>
      </c>
      <c r="J1954" s="148">
        <v>0.88556928358056908</v>
      </c>
      <c r="K1954" s="149">
        <v>21.664000000000001</v>
      </c>
      <c r="L1954" s="149">
        <v>122.88500000000001</v>
      </c>
      <c r="M1954" s="136"/>
      <c r="N1954" s="135"/>
    </row>
    <row r="1955" spans="1:14" x14ac:dyDescent="0.25">
      <c r="A1955" s="142">
        <v>45701</v>
      </c>
      <c r="B1955" s="81" t="s">
        <v>62</v>
      </c>
      <c r="C1955" s="129" t="str">
        <f t="shared" si="58"/>
        <v>13.02.2025_VORuhSc</v>
      </c>
      <c r="D1955" s="143">
        <f t="shared" si="59"/>
        <v>0</v>
      </c>
      <c r="E1955" s="144">
        <v>-3.8312745124196019E-3</v>
      </c>
      <c r="F1955" s="159">
        <v>4.9847550227709331E-3</v>
      </c>
      <c r="G1955" s="146">
        <v>0.32558666221804317</v>
      </c>
      <c r="H1955" s="146">
        <v>3.5885896047644861E-2</v>
      </c>
      <c r="I1955" s="147">
        <v>2.7229999999999999</v>
      </c>
      <c r="J1955" s="148">
        <v>0.87878425839739371</v>
      </c>
      <c r="K1955" s="149">
        <v>20.628</v>
      </c>
      <c r="L1955" s="149">
        <v>111.866</v>
      </c>
      <c r="M1955" s="136"/>
      <c r="N1955" s="135"/>
    </row>
    <row r="1956" spans="1:14" x14ac:dyDescent="0.25">
      <c r="A1956" s="142">
        <v>45701</v>
      </c>
      <c r="B1956" s="81" t="s">
        <v>64</v>
      </c>
      <c r="C1956" s="129" t="str">
        <f t="shared" si="58"/>
        <v>13.02.2025_WITob</v>
      </c>
      <c r="D1956" s="143">
        <f t="shared" si="59"/>
        <v>0</v>
      </c>
      <c r="E1956" s="144">
        <v>1.7240735305888287E-2</v>
      </c>
      <c r="F1956" s="159">
        <v>4.7242486881705912E-3</v>
      </c>
      <c r="G1956" s="146">
        <v>0.26591040067942617</v>
      </c>
      <c r="H1956" s="146">
        <v>4.7847861396859729E-3</v>
      </c>
      <c r="I1956" s="147">
        <v>0.89600000000000002</v>
      </c>
      <c r="J1956" s="148">
        <v>0.41031301516379504</v>
      </c>
      <c r="K1956" s="149">
        <v>45</v>
      </c>
      <c r="L1956" s="149">
        <v>199.42099999999999</v>
      </c>
      <c r="M1956" s="136"/>
      <c r="N1956" s="135"/>
    </row>
    <row r="1957" spans="1:14" x14ac:dyDescent="0.25">
      <c r="A1957" s="142">
        <v>45720</v>
      </c>
      <c r="B1957" s="81" t="s">
        <v>22</v>
      </c>
      <c r="C1957" s="129" t="str">
        <f t="shared" si="58"/>
        <v>04.03.2025_BOYkl</v>
      </c>
      <c r="D1957" s="143">
        <f t="shared" si="59"/>
        <v>0</v>
      </c>
      <c r="E1957" s="144">
        <v>6.8976659898255466E-2</v>
      </c>
      <c r="F1957" s="159">
        <v>2.4210169113014254E-2</v>
      </c>
      <c r="G1957" s="146">
        <v>9.7004285791786465E-2</v>
      </c>
      <c r="H1957" s="146">
        <v>0.1294642576590731</v>
      </c>
      <c r="I1957" s="147">
        <v>15.173</v>
      </c>
      <c r="J1957" s="148">
        <v>3.5418637611187687</v>
      </c>
      <c r="K1957" s="149">
        <v>20.481000000000002</v>
      </c>
      <c r="L1957" s="149">
        <v>38.857999999999997</v>
      </c>
      <c r="M1957" s="136"/>
      <c r="N1957" s="135"/>
    </row>
    <row r="1958" spans="1:14" x14ac:dyDescent="0.25">
      <c r="A1958" s="142">
        <v>45720</v>
      </c>
      <c r="B1958" s="81" t="s">
        <v>25</v>
      </c>
      <c r="C1958" s="129" t="str">
        <f t="shared" si="58"/>
        <v>04.03.2025_BOYohB224</v>
      </c>
      <c r="D1958" s="143">
        <f t="shared" si="59"/>
        <v>0</v>
      </c>
      <c r="E1958" s="144">
        <v>6.5841357175607504E-2</v>
      </c>
      <c r="F1958" s="159">
        <v>1.3347358123142894E-2</v>
      </c>
      <c r="G1958" s="146">
        <v>0.23544729561113217</v>
      </c>
      <c r="H1958" s="146">
        <v>8.0144540455616642E-2</v>
      </c>
      <c r="I1958" s="147">
        <v>5.0579999999999998</v>
      </c>
      <c r="J1958" s="148">
        <v>1.3496729359108002</v>
      </c>
      <c r="K1958" s="149">
        <v>28</v>
      </c>
      <c r="L1958" s="149">
        <v>134.55000000000001</v>
      </c>
      <c r="M1958" s="136"/>
      <c r="N1958" s="135"/>
    </row>
    <row r="1959" spans="1:14" x14ac:dyDescent="0.25">
      <c r="A1959" s="142">
        <v>45720</v>
      </c>
      <c r="B1959" s="81" t="s">
        <v>28</v>
      </c>
      <c r="C1959" s="129" t="str">
        <f t="shared" si="58"/>
        <v>04.03.2025_BOYohBr</v>
      </c>
      <c r="D1959" s="143">
        <f t="shared" si="59"/>
        <v>0</v>
      </c>
      <c r="E1959" s="144">
        <v>-1.5676513613240115E-3</v>
      </c>
      <c r="F1959" s="159">
        <v>1.7491264778027368E-2</v>
      </c>
      <c r="G1959" s="146">
        <v>0.10453859925134269</v>
      </c>
      <c r="H1959" s="146">
        <v>3.6989787902592303E-2</v>
      </c>
      <c r="I1959" s="147">
        <v>10.946999999999999</v>
      </c>
      <c r="J1959" s="148">
        <v>2.5650336078596188</v>
      </c>
      <c r="K1959" s="149">
        <v>17.948</v>
      </c>
      <c r="L1959" s="149">
        <v>64.736000000000004</v>
      </c>
      <c r="M1959" s="136"/>
      <c r="N1959" s="135"/>
    </row>
    <row r="1960" spans="1:14" x14ac:dyDescent="0.25">
      <c r="A1960" s="142">
        <v>45720</v>
      </c>
      <c r="B1960" s="81" t="s">
        <v>30</v>
      </c>
      <c r="C1960" s="129" t="str">
        <f t="shared" si="58"/>
        <v>04.03.2025_BOYohKi</v>
      </c>
      <c r="D1960" s="143">
        <f t="shared" si="59"/>
        <v>0</v>
      </c>
      <c r="E1960" s="144">
        <v>0</v>
      </c>
      <c r="F1960" s="159">
        <v>1.2783361761607645E-2</v>
      </c>
      <c r="G1960" s="146">
        <v>0.19118320403623942</v>
      </c>
      <c r="H1960" s="146">
        <v>2.7742340926944282E-2</v>
      </c>
      <c r="I1960" s="147">
        <v>5.74</v>
      </c>
      <c r="J1960" s="148">
        <v>1.4533918017973078</v>
      </c>
      <c r="K1960" s="149">
        <v>23</v>
      </c>
      <c r="L1960" s="149">
        <v>96.721999999999994</v>
      </c>
      <c r="M1960" s="136"/>
      <c r="N1960" s="135"/>
    </row>
    <row r="1961" spans="1:14" x14ac:dyDescent="0.25">
      <c r="A1961" s="142">
        <v>45720</v>
      </c>
      <c r="B1961" s="81" t="s">
        <v>32</v>
      </c>
      <c r="C1961" s="129" t="str">
        <f t="shared" si="58"/>
        <v>04.03.2025_BOYohSp</v>
      </c>
      <c r="D1961" s="143">
        <f t="shared" si="59"/>
        <v>0</v>
      </c>
      <c r="E1961" s="144">
        <v>9.4059081679439063E-3</v>
      </c>
      <c r="F1961" s="159">
        <v>1.7242830449549707E-2</v>
      </c>
      <c r="G1961" s="146">
        <v>0.19024141485379484</v>
      </c>
      <c r="H1961" s="146">
        <v>5.3943440691280466E-2</v>
      </c>
      <c r="I1961" s="147">
        <v>7.5709999999999997</v>
      </c>
      <c r="J1961" s="148">
        <v>1.8742054067382834</v>
      </c>
      <c r="K1961" s="149">
        <v>21</v>
      </c>
      <c r="L1961" s="149">
        <v>76.757000000000005</v>
      </c>
      <c r="M1961" s="136"/>
      <c r="N1961" s="135"/>
    </row>
    <row r="1962" spans="1:14" x14ac:dyDescent="0.25">
      <c r="A1962" s="142">
        <v>45720</v>
      </c>
      <c r="B1962" s="81" t="s">
        <v>34</v>
      </c>
      <c r="C1962" s="129" t="str">
        <f t="shared" si="58"/>
        <v>04.03.2025_BOYuhHa</v>
      </c>
      <c r="D1962" s="143">
        <f t="shared" si="59"/>
        <v>0</v>
      </c>
      <c r="E1962" s="144">
        <v>1.2541210890591896E-2</v>
      </c>
      <c r="F1962" s="159">
        <v>1.3064825054093027E-2</v>
      </c>
      <c r="G1962" s="146">
        <v>0.4454662832962622</v>
      </c>
      <c r="H1962" s="146">
        <v>2.4659858601728243E-2</v>
      </c>
      <c r="I1962" s="147">
        <v>5.4649999999999999</v>
      </c>
      <c r="J1962" s="148">
        <v>1.5877873582680107</v>
      </c>
      <c r="K1962" s="149">
        <v>28</v>
      </c>
      <c r="L1962" s="149">
        <v>150.858</v>
      </c>
      <c r="M1962" s="136"/>
      <c r="N1962" s="135"/>
    </row>
    <row r="1963" spans="1:14" x14ac:dyDescent="0.25">
      <c r="A1963" s="142">
        <v>45720</v>
      </c>
      <c r="B1963" s="81" t="s">
        <v>36</v>
      </c>
      <c r="C1963" s="129" t="str">
        <f t="shared" si="58"/>
        <v>04.03.2025_BOYuhSp</v>
      </c>
      <c r="D1963" s="143">
        <f t="shared" si="59"/>
        <v>0</v>
      </c>
      <c r="E1963" s="144">
        <v>0</v>
      </c>
      <c r="F1963" s="159">
        <v>1.6910335890801889E-2</v>
      </c>
      <c r="G1963" s="146">
        <v>0.24298160907068844</v>
      </c>
      <c r="H1963" s="146">
        <v>4.4695993715632383E-2</v>
      </c>
      <c r="I1963" s="147">
        <v>6.7919999999999998</v>
      </c>
      <c r="J1963" s="148">
        <v>1.7363895249140231</v>
      </c>
      <c r="K1963" s="149">
        <v>22</v>
      </c>
      <c r="L1963" s="149">
        <v>82.51</v>
      </c>
      <c r="M1963" s="136"/>
      <c r="N1963" s="135"/>
    </row>
    <row r="1964" spans="1:14" x14ac:dyDescent="0.25">
      <c r="A1964" s="142">
        <v>45720</v>
      </c>
      <c r="B1964" s="81" t="s">
        <v>38</v>
      </c>
      <c r="C1964" s="129" t="str">
        <f t="shared" si="58"/>
        <v>04.03.2025_BRAob</v>
      </c>
      <c r="D1964" s="143">
        <f t="shared" si="59"/>
        <v>0</v>
      </c>
      <c r="E1964" s="144">
        <v>0</v>
      </c>
      <c r="F1964" s="159">
        <v>1.0690109323878864E-2</v>
      </c>
      <c r="G1964" s="146">
        <v>0.13938479900179027</v>
      </c>
      <c r="H1964" s="146">
        <v>1.5412411626080354E-3</v>
      </c>
      <c r="I1964" s="147">
        <v>3.2309999999999999</v>
      </c>
      <c r="J1964" s="148">
        <v>0.8384861034488561</v>
      </c>
      <c r="K1964" s="149">
        <v>33</v>
      </c>
      <c r="L1964" s="149">
        <v>99.128</v>
      </c>
      <c r="M1964" s="136"/>
      <c r="N1964" s="135"/>
    </row>
    <row r="1965" spans="1:14" x14ac:dyDescent="0.25">
      <c r="A1965" s="142">
        <v>45720</v>
      </c>
      <c r="B1965" s="81" t="s">
        <v>41</v>
      </c>
      <c r="C1965" s="129" t="str">
        <f t="shared" si="58"/>
        <v>04.03.2025_BRAohBo</v>
      </c>
      <c r="D1965" s="143">
        <f t="shared" si="59"/>
        <v>0</v>
      </c>
      <c r="E1965" s="144">
        <v>0</v>
      </c>
      <c r="F1965" s="159">
        <v>2.1459059938163751E-2</v>
      </c>
      <c r="G1965" s="146">
        <v>0.20436825259046279</v>
      </c>
      <c r="H1965" s="146">
        <v>2.0036135113904202E-2</v>
      </c>
      <c r="I1965" s="147">
        <v>6.6319999999999997</v>
      </c>
      <c r="J1965" s="148">
        <v>1.6627597457893966</v>
      </c>
      <c r="K1965" s="149">
        <v>25</v>
      </c>
      <c r="L1965" s="149">
        <v>80.566999999999993</v>
      </c>
      <c r="M1965" s="136"/>
      <c r="N1965" s="135"/>
    </row>
    <row r="1966" spans="1:14" x14ac:dyDescent="0.25">
      <c r="A1966" s="142">
        <v>45720</v>
      </c>
      <c r="B1966" s="81" t="s">
        <v>43</v>
      </c>
      <c r="C1966" s="129" t="str">
        <f t="shared" si="58"/>
        <v>04.03.2025_HAAob</v>
      </c>
      <c r="D1966" s="143">
        <f t="shared" si="59"/>
        <v>0</v>
      </c>
      <c r="E1966" s="144">
        <v>0</v>
      </c>
      <c r="F1966" s="159">
        <v>1.108783322778277E-2</v>
      </c>
      <c r="G1966" s="146">
        <v>0.16104595019801443</v>
      </c>
      <c r="H1966" s="146">
        <v>2.4659858601728243E-2</v>
      </c>
      <c r="I1966" s="147">
        <v>4.6360000000000001</v>
      </c>
      <c r="J1966" s="148">
        <v>1.1796915838205524</v>
      </c>
      <c r="K1966" s="149">
        <v>22.827999999999999</v>
      </c>
      <c r="L1966" s="149">
        <v>100.631</v>
      </c>
      <c r="M1966" s="136"/>
      <c r="N1966" s="135"/>
    </row>
    <row r="1967" spans="1:14" x14ac:dyDescent="0.25">
      <c r="A1967" s="142">
        <v>45720</v>
      </c>
      <c r="B1967" s="81" t="s">
        <v>45</v>
      </c>
      <c r="C1967" s="129" t="str">
        <f t="shared" si="58"/>
        <v>04.03.2025_HAAun</v>
      </c>
      <c r="D1967" s="143">
        <f t="shared" si="59"/>
        <v>0</v>
      </c>
      <c r="E1967" s="144">
        <v>0</v>
      </c>
      <c r="F1967" s="159">
        <v>1.7800043271264786E-2</v>
      </c>
      <c r="G1967" s="146">
        <v>0.29101285737535948</v>
      </c>
      <c r="H1967" s="146">
        <v>2.9283582089552285E-2</v>
      </c>
      <c r="I1967" s="147">
        <v>3.8479999999999999</v>
      </c>
      <c r="J1967" s="148">
        <v>1.104031720190557</v>
      </c>
      <c r="K1967" s="149">
        <v>21</v>
      </c>
      <c r="L1967" s="149">
        <v>184.40299999999999</v>
      </c>
      <c r="M1967" s="136"/>
      <c r="N1967" s="135"/>
    </row>
    <row r="1968" spans="1:14" x14ac:dyDescent="0.25">
      <c r="A1968" s="142">
        <v>45720</v>
      </c>
      <c r="B1968" s="81" t="s">
        <v>47</v>
      </c>
      <c r="C1968" s="129" t="str">
        <f t="shared" si="58"/>
        <v>04.03.2025_KIRob</v>
      </c>
      <c r="D1968" s="143">
        <f t="shared" si="59"/>
        <v>0</v>
      </c>
      <c r="E1968" s="144">
        <v>0</v>
      </c>
      <c r="F1968" s="159">
        <v>6.9417031274081444E-3</v>
      </c>
      <c r="G1968" s="146">
        <v>0.86456246948407756</v>
      </c>
      <c r="H1968" s="146">
        <v>0.12638177533385711</v>
      </c>
      <c r="I1968" s="147">
        <v>4.6020000000000003</v>
      </c>
      <c r="J1968" s="148">
        <v>1.749254783430084</v>
      </c>
      <c r="K1968" s="149">
        <v>56</v>
      </c>
      <c r="L1968" s="149">
        <v>150.14400000000001</v>
      </c>
      <c r="M1968" s="136"/>
      <c r="N1968" s="135"/>
    </row>
    <row r="1969" spans="1:14" x14ac:dyDescent="0.25">
      <c r="A1969" s="142">
        <v>45720</v>
      </c>
      <c r="B1969" s="81" t="s">
        <v>49</v>
      </c>
      <c r="C1969" s="129" t="str">
        <f t="shared" si="58"/>
        <v>04.03.2025_KIRun</v>
      </c>
      <c r="D1969" s="143">
        <f t="shared" si="59"/>
        <v>0</v>
      </c>
      <c r="E1969" s="144">
        <v>3.2920678587803752E-2</v>
      </c>
      <c r="F1969" s="159">
        <v>7.0508867505444817E-3</v>
      </c>
      <c r="G1969" s="146">
        <v>0.34657841913958659</v>
      </c>
      <c r="H1969" s="146">
        <v>0.10788688138256093</v>
      </c>
      <c r="I1969" s="147">
        <v>3.6549999999999998</v>
      </c>
      <c r="J1969" s="148">
        <v>1.1275156877146184</v>
      </c>
      <c r="K1969" s="149">
        <v>45</v>
      </c>
      <c r="L1969" s="149">
        <v>131.767</v>
      </c>
      <c r="M1969" s="136"/>
      <c r="N1969" s="135"/>
    </row>
    <row r="1970" spans="1:14" x14ac:dyDescent="0.25">
      <c r="A1970" s="142">
        <v>45720</v>
      </c>
      <c r="B1970" s="81" t="s">
        <v>50</v>
      </c>
      <c r="C1970" s="129" t="str">
        <f t="shared" si="58"/>
        <v>04.03.2025_LIEohBo</v>
      </c>
      <c r="D1970" s="143">
        <f t="shared" si="59"/>
        <v>0</v>
      </c>
      <c r="E1970" s="144">
        <v>1.5676513613239886E-2</v>
      </c>
      <c r="F1970" s="159">
        <v>1.9546750687617659E-2</v>
      </c>
      <c r="G1970" s="146">
        <v>5.4623772581782665E-2</v>
      </c>
      <c r="H1970" s="146">
        <v>7.7062058130400804E-3</v>
      </c>
      <c r="I1970" s="147">
        <v>14.195</v>
      </c>
      <c r="J1970" s="148">
        <v>3.2509856175318084</v>
      </c>
      <c r="K1970" s="149">
        <v>21.369</v>
      </c>
      <c r="L1970" s="149">
        <v>81.962999999999994</v>
      </c>
      <c r="M1970" s="136"/>
      <c r="N1970" s="135"/>
    </row>
    <row r="1971" spans="1:14" x14ac:dyDescent="0.25">
      <c r="A1971" s="142">
        <v>45720</v>
      </c>
      <c r="B1971" s="81" t="s">
        <v>53</v>
      </c>
      <c r="C1971" s="129" t="str">
        <f t="shared" si="58"/>
        <v>04.03.2025_NATohBo</v>
      </c>
      <c r="D1971" s="143">
        <f t="shared" si="59"/>
        <v>0</v>
      </c>
      <c r="E1971" s="144">
        <v>1.5676513613239886E-2</v>
      </c>
      <c r="F1971" s="159">
        <v>1.7246065989825515E-2</v>
      </c>
      <c r="G1971" s="146">
        <v>0.33716052731514135</v>
      </c>
      <c r="H1971" s="146">
        <v>3.853102906520034E-2</v>
      </c>
      <c r="I1971" s="147">
        <v>4.1779999999999999</v>
      </c>
      <c r="J1971" s="148">
        <v>1.2172174096538342</v>
      </c>
      <c r="K1971" s="149">
        <v>58</v>
      </c>
      <c r="L1971" s="149">
        <v>358.10899999999998</v>
      </c>
      <c r="M1971" s="136"/>
      <c r="N1971" s="135"/>
    </row>
    <row r="1972" spans="1:14" x14ac:dyDescent="0.25">
      <c r="A1972" s="142">
        <v>45720</v>
      </c>
      <c r="B1972" s="81" t="s">
        <v>55</v>
      </c>
      <c r="C1972" s="129" t="str">
        <f t="shared" si="58"/>
        <v>04.03.2025_QUAohBo</v>
      </c>
      <c r="D1972" s="143">
        <f t="shared" si="59"/>
        <v>0</v>
      </c>
      <c r="E1972" s="144">
        <v>2.8217724503831785E-2</v>
      </c>
      <c r="F1972" s="159">
        <v>1.1015531613599989E-2</v>
      </c>
      <c r="G1972" s="146">
        <v>0.21661151196224157</v>
      </c>
      <c r="H1972" s="146">
        <v>5.8567164179104507E-2</v>
      </c>
      <c r="I1972" s="147">
        <v>1.8169999999999999</v>
      </c>
      <c r="J1972" s="148">
        <v>0.59643323605788934</v>
      </c>
      <c r="K1972" s="149">
        <v>31</v>
      </c>
      <c r="L1972" s="149">
        <v>90.453000000000003</v>
      </c>
      <c r="M1972" s="136"/>
      <c r="N1972" s="135"/>
    </row>
    <row r="1973" spans="1:14" x14ac:dyDescent="0.25">
      <c r="A1973" s="142">
        <v>45720</v>
      </c>
      <c r="B1973" s="81" t="s">
        <v>356</v>
      </c>
      <c r="C1973" s="129" t="str">
        <f t="shared" ref="C1973:C1976" si="62">CONCATENATE(TEXT(A1973,"TT.MM.JJJJ"),"_",B1973)</f>
        <v>04.03.2025_ROTB</v>
      </c>
      <c r="D1973" s="143">
        <f t="shared" ref="D1973:D1976" si="63">COUNTBLANK(E1973:L1973)</f>
        <v>0</v>
      </c>
      <c r="E1973" s="144">
        <v>2.6650073142507804E-2</v>
      </c>
      <c r="F1973" s="159">
        <v>8.8119035694262833E-3</v>
      </c>
      <c r="G1973" s="146">
        <v>9.0411761514674824E-2</v>
      </c>
      <c r="H1973" s="146">
        <v>1.6953652788688163E-2</v>
      </c>
      <c r="I1973" s="147">
        <v>5.0190000000000001</v>
      </c>
      <c r="J1973" s="148">
        <v>1.2090068982900459</v>
      </c>
      <c r="K1973" s="149">
        <v>27</v>
      </c>
      <c r="L1973" s="149">
        <v>111.453</v>
      </c>
      <c r="M1973" s="136"/>
      <c r="N1973" s="135"/>
    </row>
    <row r="1974" spans="1:14" x14ac:dyDescent="0.25">
      <c r="A1974" s="142">
        <v>45720</v>
      </c>
      <c r="B1974" s="81" t="s">
        <v>57</v>
      </c>
      <c r="C1974" s="129" t="str">
        <f t="shared" si="62"/>
        <v>04.03.2025_SCHohVo</v>
      </c>
      <c r="D1974" s="143">
        <f t="shared" si="63"/>
        <v>0</v>
      </c>
      <c r="E1974" s="144">
        <v>0</v>
      </c>
      <c r="F1974" s="159">
        <v>1.1865908636290083E-2</v>
      </c>
      <c r="G1974" s="146">
        <v>0.13467585308956767</v>
      </c>
      <c r="H1974" s="146">
        <v>2.3118617439120241E-2</v>
      </c>
      <c r="I1974" s="147">
        <v>3.3370000000000002</v>
      </c>
      <c r="J1974" s="148">
        <v>0.8653411062448586</v>
      </c>
      <c r="K1974" s="149">
        <v>20.332999999999998</v>
      </c>
      <c r="L1974" s="149">
        <v>73.188999999999993</v>
      </c>
      <c r="M1974" s="136"/>
      <c r="N1974" s="135"/>
    </row>
    <row r="1975" spans="1:14" x14ac:dyDescent="0.25">
      <c r="A1975" s="142">
        <v>45720</v>
      </c>
      <c r="B1975" s="81" t="s">
        <v>357</v>
      </c>
      <c r="C1975" s="129" t="str">
        <f t="shared" si="62"/>
        <v>04.03.2025_SCHW</v>
      </c>
      <c r="D1975" s="143">
        <f t="shared" si="63"/>
        <v>0</v>
      </c>
      <c r="E1975" s="144">
        <v>4.7029540839719629E-2</v>
      </c>
      <c r="F1975" s="159">
        <v>1.2471924505399822E-2</v>
      </c>
      <c r="G1975" s="146">
        <v>9.4178918244452875E-2</v>
      </c>
      <c r="H1975" s="146">
        <v>1.84948939512962E-2</v>
      </c>
      <c r="I1975" s="147">
        <v>3.1739999999999999</v>
      </c>
      <c r="J1975" s="148">
        <v>0.79567113869110739</v>
      </c>
      <c r="K1975" s="149">
        <v>18.329000000000001</v>
      </c>
      <c r="L1975" s="149">
        <v>201.52500000000001</v>
      </c>
      <c r="M1975" s="136"/>
      <c r="N1975" s="135"/>
    </row>
    <row r="1976" spans="1:14" x14ac:dyDescent="0.25">
      <c r="A1976" s="142">
        <v>45720</v>
      </c>
      <c r="B1976" s="81" t="s">
        <v>358</v>
      </c>
      <c r="C1976" s="129" t="str">
        <f t="shared" si="62"/>
        <v>04.03.2025_SPE</v>
      </c>
      <c r="D1976" s="143">
        <f t="shared" si="63"/>
        <v>0</v>
      </c>
      <c r="E1976" s="144">
        <v>6.740900853693152E-2</v>
      </c>
      <c r="F1976" s="159">
        <v>1.6185753653707863E-2</v>
      </c>
      <c r="G1976" s="146">
        <v>0.2260294037866869</v>
      </c>
      <c r="H1976" s="146">
        <v>7.0897093479968559E-2</v>
      </c>
      <c r="I1976" s="147">
        <v>3.23</v>
      </c>
      <c r="J1976" s="148">
        <v>0.92665429185630088</v>
      </c>
      <c r="K1976" s="149">
        <v>23</v>
      </c>
      <c r="L1976" s="149">
        <v>107.944</v>
      </c>
      <c r="M1976" s="136"/>
      <c r="N1976" s="135"/>
    </row>
    <row r="1977" spans="1:14" x14ac:dyDescent="0.25">
      <c r="A1977" s="142">
        <v>45720</v>
      </c>
      <c r="B1977" s="81" t="s">
        <v>60</v>
      </c>
      <c r="C1977" s="129" t="str">
        <f t="shared" si="58"/>
        <v>04.03.2025_VORohBo</v>
      </c>
      <c r="D1977" s="143">
        <f t="shared" si="59"/>
        <v>0</v>
      </c>
      <c r="E1977" s="144">
        <v>6.270605445295948E-3</v>
      </c>
      <c r="F1977" s="159">
        <v>6.9856146043724031E-3</v>
      </c>
      <c r="G1977" s="146">
        <v>0.37577388379536697</v>
      </c>
      <c r="H1977" s="146">
        <v>3.3907305577376326E-2</v>
      </c>
      <c r="I1977" s="147">
        <v>1.913</v>
      </c>
      <c r="J1977" s="148">
        <v>0.73419705221129672</v>
      </c>
      <c r="K1977" s="149">
        <v>24</v>
      </c>
      <c r="L1977" s="149">
        <v>159.30199999999999</v>
      </c>
      <c r="M1977" s="136"/>
      <c r="N1977" s="135"/>
    </row>
    <row r="1978" spans="1:14" x14ac:dyDescent="0.25">
      <c r="A1978" s="142">
        <v>45720</v>
      </c>
      <c r="B1978" s="81" t="s">
        <v>62</v>
      </c>
      <c r="C1978" s="129" t="str">
        <f t="shared" ref="C1978:C2047" si="64">CONCATENATE(TEXT(A1978,"TT.MM.JJJJ"),"_",B1978)</f>
        <v>04.03.2025_VORuhSc</v>
      </c>
      <c r="D1978" s="143">
        <f t="shared" si="59"/>
        <v>0</v>
      </c>
      <c r="E1978" s="144">
        <v>0</v>
      </c>
      <c r="F1978" s="159">
        <v>7.4752335843744043E-3</v>
      </c>
      <c r="G1978" s="146">
        <v>0.43510660228937237</v>
      </c>
      <c r="H1978" s="146">
        <v>6.3190887666928555E-2</v>
      </c>
      <c r="I1978" s="147">
        <v>2.109</v>
      </c>
      <c r="J1978" s="148">
        <v>0.83345422136187119</v>
      </c>
      <c r="K1978" s="149">
        <v>26.425000000000001</v>
      </c>
      <c r="L1978" s="149">
        <v>139.55199999999999</v>
      </c>
      <c r="M1978" s="136"/>
      <c r="N1978" s="135"/>
    </row>
    <row r="1979" spans="1:14" x14ac:dyDescent="0.25">
      <c r="A1979" s="142">
        <v>45720</v>
      </c>
      <c r="B1979" s="81" t="s">
        <v>64</v>
      </c>
      <c r="C1979" s="129" t="str">
        <f t="shared" si="64"/>
        <v>04.03.2025_WITob</v>
      </c>
      <c r="D1979" s="143">
        <f t="shared" si="59"/>
        <v>0</v>
      </c>
      <c r="E1979" s="144">
        <v>-3.1353027226479579E-3</v>
      </c>
      <c r="F1979" s="159">
        <v>7.2695525707799609E-3</v>
      </c>
      <c r="G1979" s="146">
        <v>0.26275918190202358</v>
      </c>
      <c r="H1979" s="146">
        <v>6.1649646504320773E-3</v>
      </c>
      <c r="I1979" s="147">
        <v>0.77900000000000003</v>
      </c>
      <c r="J1979" s="148">
        <v>0.38185953064292633</v>
      </c>
      <c r="K1979" s="149">
        <v>49</v>
      </c>
      <c r="L1979" s="149">
        <v>213.499</v>
      </c>
      <c r="M1979" s="136"/>
      <c r="N1979" s="135"/>
    </row>
    <row r="1980" spans="1:14" x14ac:dyDescent="0.25">
      <c r="A1980" s="142">
        <v>45733</v>
      </c>
      <c r="B1980" s="81" t="s">
        <v>22</v>
      </c>
      <c r="C1980" s="129" t="str">
        <f t="shared" si="64"/>
        <v>17.03.2025_BOYkl</v>
      </c>
      <c r="D1980" s="143">
        <f t="shared" si="59"/>
        <v>0</v>
      </c>
      <c r="E1980" s="144">
        <v>9.8336920367834077E-2</v>
      </c>
      <c r="F1980" s="159">
        <v>2.6790006370850328E-2</v>
      </c>
      <c r="G1980" s="146">
        <v>9.5388167078277672E-2</v>
      </c>
      <c r="H1980" s="146">
        <v>7.7405004633920291E-2</v>
      </c>
      <c r="I1980" s="147">
        <v>14.494</v>
      </c>
      <c r="J1980" s="148">
        <v>3.3713936915154088</v>
      </c>
      <c r="K1980" s="149">
        <v>16.605</v>
      </c>
      <c r="L1980" s="149">
        <v>39.255000000000003</v>
      </c>
      <c r="M1980" s="136"/>
      <c r="N1980" s="135"/>
    </row>
    <row r="1981" spans="1:14" x14ac:dyDescent="0.25">
      <c r="A1981" s="142">
        <v>45733</v>
      </c>
      <c r="B1981" s="81" t="s">
        <v>25</v>
      </c>
      <c r="C1981" s="129" t="str">
        <f t="shared" si="64"/>
        <v>17.03.2025_BOYohB224</v>
      </c>
      <c r="D1981" s="143">
        <f t="shared" si="59"/>
        <v>0</v>
      </c>
      <c r="E1981" s="144">
        <v>7.7264723146155359E-2</v>
      </c>
      <c r="F1981" s="159">
        <v>1.2470188147621616E-2</v>
      </c>
      <c r="G1981" s="146">
        <v>0.30979276280468154</v>
      </c>
      <c r="H1981" s="146">
        <v>5.4828544949026857E-2</v>
      </c>
      <c r="I1981" s="147">
        <v>4.2220000000000004</v>
      </c>
      <c r="J1981" s="148">
        <v>1.2108666728999384</v>
      </c>
      <c r="K1981" s="149">
        <v>26.693999999999999</v>
      </c>
      <c r="L1981" s="149">
        <v>150.68700000000001</v>
      </c>
      <c r="M1981" s="136"/>
      <c r="N1981" s="135"/>
    </row>
    <row r="1982" spans="1:14" x14ac:dyDescent="0.25">
      <c r="A1982" s="142">
        <v>45733</v>
      </c>
      <c r="B1982" s="81" t="s">
        <v>28</v>
      </c>
      <c r="C1982" s="129" t="str">
        <f t="shared" si="64"/>
        <v>17.03.2025_BOYohBr</v>
      </c>
      <c r="D1982" s="143">
        <f t="shared" si="59"/>
        <v>0</v>
      </c>
      <c r="E1982" s="144">
        <v>0</v>
      </c>
      <c r="F1982" s="159">
        <v>1.848295743142887E-2</v>
      </c>
      <c r="G1982" s="146">
        <v>8.0511113497261921E-2</v>
      </c>
      <c r="H1982" s="146">
        <v>2.0426320667284531E-2</v>
      </c>
      <c r="I1982" s="147">
        <v>8.4710000000000001</v>
      </c>
      <c r="J1982" s="148">
        <v>1.9820796378466434</v>
      </c>
      <c r="K1982" s="149">
        <v>12.923999999999999</v>
      </c>
      <c r="L1982" s="149">
        <v>64.412000000000006</v>
      </c>
      <c r="M1982" s="136"/>
      <c r="N1982" s="135"/>
    </row>
    <row r="1983" spans="1:14" x14ac:dyDescent="0.25">
      <c r="A1983" s="142">
        <v>45733</v>
      </c>
      <c r="B1983" s="81" t="s">
        <v>30</v>
      </c>
      <c r="C1983" s="129" t="str">
        <f t="shared" si="64"/>
        <v>17.03.2025_BOYohKi</v>
      </c>
      <c r="D1983" s="143">
        <f t="shared" si="59"/>
        <v>0</v>
      </c>
      <c r="E1983" s="144">
        <v>0</v>
      </c>
      <c r="F1983" s="159">
        <v>1.2415644829451282E-2</v>
      </c>
      <c r="G1983" s="146">
        <v>0.26953720605605064</v>
      </c>
      <c r="H1983" s="146">
        <v>2.6876737720111229E-2</v>
      </c>
      <c r="I1983" s="147">
        <v>5.1369999999999996</v>
      </c>
      <c r="J1983" s="148">
        <v>1.3777697579293506</v>
      </c>
      <c r="K1983" s="149">
        <v>22.994</v>
      </c>
      <c r="L1983" s="149">
        <v>106.081</v>
      </c>
      <c r="M1983" s="136"/>
      <c r="N1983" s="135"/>
    </row>
    <row r="1984" spans="1:14" x14ac:dyDescent="0.25">
      <c r="A1984" s="142">
        <v>45733</v>
      </c>
      <c r="B1984" s="81" t="s">
        <v>32</v>
      </c>
      <c r="C1984" s="129" t="str">
        <f t="shared" si="64"/>
        <v>17.03.2025_BOYohSp</v>
      </c>
      <c r="D1984" s="143">
        <f t="shared" si="59"/>
        <v>0</v>
      </c>
      <c r="E1984" s="144">
        <v>1.7560164351399202E-3</v>
      </c>
      <c r="F1984" s="159">
        <v>1.5831080551360371E-2</v>
      </c>
      <c r="G1984" s="146">
        <v>0.14176956941909158</v>
      </c>
      <c r="H1984" s="146">
        <v>4.3002780352177951E-2</v>
      </c>
      <c r="I1984" s="147">
        <v>6.5279999999999996</v>
      </c>
      <c r="J1984" s="148">
        <v>1.597654209436451</v>
      </c>
      <c r="K1984" s="149">
        <v>20.632999999999999</v>
      </c>
      <c r="L1984" s="149">
        <v>78.070999999999998</v>
      </c>
      <c r="M1984" s="136"/>
      <c r="N1984" s="135"/>
    </row>
    <row r="1985" spans="1:14" x14ac:dyDescent="0.25">
      <c r="A1985" s="142">
        <v>45733</v>
      </c>
      <c r="B1985" s="81" t="s">
        <v>34</v>
      </c>
      <c r="C1985" s="129" t="str">
        <f t="shared" si="64"/>
        <v>17.03.2025_BOYuhHa</v>
      </c>
      <c r="D1985" s="143">
        <f t="shared" si="59"/>
        <v>0</v>
      </c>
      <c r="E1985" s="144">
        <v>3.3364312267658007E-2</v>
      </c>
      <c r="F1985" s="159">
        <v>1.1748438745312869E-2</v>
      </c>
      <c r="G1985" s="146">
        <v>0.28703962203371625</v>
      </c>
      <c r="H1985" s="146">
        <v>2.4726598702502323E-2</v>
      </c>
      <c r="I1985" s="147">
        <v>4.4980000000000002</v>
      </c>
      <c r="J1985" s="148">
        <v>1.2463746690879371</v>
      </c>
      <c r="K1985" s="149">
        <v>30.076000000000001</v>
      </c>
      <c r="L1985" s="149">
        <v>174.39</v>
      </c>
      <c r="M1985" s="136"/>
      <c r="N1985" s="135"/>
    </row>
    <row r="1986" spans="1:14" x14ac:dyDescent="0.25">
      <c r="A1986" s="142">
        <v>45733</v>
      </c>
      <c r="B1986" s="81" t="s">
        <v>36</v>
      </c>
      <c r="C1986" s="129" t="str">
        <f t="shared" si="64"/>
        <v>17.03.2025_BOYuhSp</v>
      </c>
      <c r="D1986" s="143">
        <f t="shared" si="59"/>
        <v>0</v>
      </c>
      <c r="E1986" s="144">
        <v>0</v>
      </c>
      <c r="F1986" s="159">
        <v>1.6138715490837147E-2</v>
      </c>
      <c r="G1986" s="146">
        <v>0.26253623966498446</v>
      </c>
      <c r="H1986" s="146">
        <v>4.1927710843373482E-2</v>
      </c>
      <c r="I1986" s="147">
        <v>6.5469999999999997</v>
      </c>
      <c r="J1986" s="148">
        <v>1.6953925463037287</v>
      </c>
      <c r="K1986" s="149">
        <v>21.562000000000001</v>
      </c>
      <c r="L1986" s="149">
        <v>83.046999999999997</v>
      </c>
      <c r="M1986" s="136"/>
      <c r="N1986" s="135"/>
    </row>
    <row r="1987" spans="1:14" x14ac:dyDescent="0.25">
      <c r="A1987" s="142">
        <v>45733</v>
      </c>
      <c r="B1987" s="81" t="s">
        <v>38</v>
      </c>
      <c r="C1987" s="129" t="str">
        <f t="shared" si="64"/>
        <v>17.03.2025_BRAob</v>
      </c>
      <c r="D1987" s="143">
        <f t="shared" si="59"/>
        <v>0</v>
      </c>
      <c r="E1987" s="144">
        <v>0</v>
      </c>
      <c r="F1987" s="159">
        <v>1.3455599683176148E-2</v>
      </c>
      <c r="G1987" s="146">
        <v>0.14702029421239127</v>
      </c>
      <c r="H1987" s="146">
        <v>1.1825764596848929E-2</v>
      </c>
      <c r="I1987" s="147">
        <v>2.4390000000000001</v>
      </c>
      <c r="J1987" s="148">
        <v>0.66865707228449034</v>
      </c>
      <c r="K1987" s="149">
        <v>33.591000000000001</v>
      </c>
      <c r="L1987" s="149">
        <v>104.955</v>
      </c>
      <c r="M1987" s="136"/>
      <c r="N1987" s="135"/>
    </row>
    <row r="1988" spans="1:14" x14ac:dyDescent="0.25">
      <c r="A1988" s="142">
        <v>45733</v>
      </c>
      <c r="B1988" s="81" t="s">
        <v>41</v>
      </c>
      <c r="C1988" s="129" t="str">
        <f t="shared" si="64"/>
        <v>17.03.2025_BRAohBo</v>
      </c>
      <c r="D1988" s="143">
        <f t="shared" si="59"/>
        <v>0</v>
      </c>
      <c r="E1988" s="144">
        <v>0</v>
      </c>
      <c r="F1988" s="159">
        <v>2.7519081775325045E-2</v>
      </c>
      <c r="G1988" s="146">
        <v>0.27478793084935033</v>
      </c>
      <c r="H1988" s="146">
        <v>3.0101946246524555E-2</v>
      </c>
      <c r="I1988" s="147">
        <v>6.4169999999999998</v>
      </c>
      <c r="J1988" s="148">
        <v>1.6719424079599665</v>
      </c>
      <c r="K1988" s="149">
        <v>26.619</v>
      </c>
      <c r="L1988" s="149">
        <v>87.983999999999995</v>
      </c>
      <c r="M1988" s="136"/>
      <c r="N1988" s="135"/>
    </row>
    <row r="1989" spans="1:14" x14ac:dyDescent="0.25">
      <c r="A1989" s="142">
        <v>45733</v>
      </c>
      <c r="B1989" s="81" t="s">
        <v>43</v>
      </c>
      <c r="C1989" s="129" t="str">
        <f t="shared" si="64"/>
        <v>17.03.2025_HAAob</v>
      </c>
      <c r="D1989" s="143">
        <f t="shared" si="59"/>
        <v>0</v>
      </c>
      <c r="E1989" s="144">
        <v>0</v>
      </c>
      <c r="F1989" s="159">
        <v>9.7734708309373582E-3</v>
      </c>
      <c r="G1989" s="146">
        <v>0.14351981101685812</v>
      </c>
      <c r="H1989" s="146">
        <v>1.5050973123262278E-2</v>
      </c>
      <c r="I1989" s="147">
        <v>3.5470000000000002</v>
      </c>
      <c r="J1989" s="148">
        <v>0.91718485682385742</v>
      </c>
      <c r="K1989" s="149">
        <v>18.866</v>
      </c>
      <c r="L1989" s="149">
        <v>108.706</v>
      </c>
      <c r="M1989" s="136"/>
      <c r="N1989" s="135"/>
    </row>
    <row r="1990" spans="1:14" x14ac:dyDescent="0.25">
      <c r="A1990" s="142">
        <v>45733</v>
      </c>
      <c r="B1990" s="81" t="s">
        <v>45</v>
      </c>
      <c r="C1990" s="129" t="str">
        <f t="shared" si="64"/>
        <v>17.03.2025_HAAun</v>
      </c>
      <c r="D1990" s="143">
        <f t="shared" si="59"/>
        <v>0</v>
      </c>
      <c r="E1990" s="144">
        <v>0</v>
      </c>
      <c r="F1990" s="159">
        <v>1.4170367003572654E-2</v>
      </c>
      <c r="G1990" s="146">
        <v>0.22490604531300326</v>
      </c>
      <c r="H1990" s="146">
        <v>2.1501390176088841E-3</v>
      </c>
      <c r="I1990" s="147">
        <v>2.6459999999999999</v>
      </c>
      <c r="J1990" s="148">
        <v>0.77294392494900488</v>
      </c>
      <c r="K1990" s="149">
        <v>21.463000000000001</v>
      </c>
      <c r="L1990" s="149">
        <v>173.91499999999999</v>
      </c>
      <c r="M1990" s="136"/>
      <c r="N1990" s="135"/>
    </row>
    <row r="1991" spans="1:14" x14ac:dyDescent="0.25">
      <c r="A1991" s="142">
        <v>45733</v>
      </c>
      <c r="B1991" s="81" t="s">
        <v>47</v>
      </c>
      <c r="C1991" s="129" t="str">
        <f t="shared" si="64"/>
        <v>17.03.2025_KIRob</v>
      </c>
      <c r="D1991" s="143">
        <f t="shared" si="59"/>
        <v>0</v>
      </c>
      <c r="E1991" s="144">
        <v>0</v>
      </c>
      <c r="F1991" s="159">
        <v>8.2950449886956372E-3</v>
      </c>
      <c r="G1991" s="146">
        <v>0.78935896059271982</v>
      </c>
      <c r="H1991" s="146">
        <v>9.353104726598703E-2</v>
      </c>
      <c r="I1991" s="147">
        <v>4.4630000000000001</v>
      </c>
      <c r="J1991" s="148">
        <v>1.6494626766507707</v>
      </c>
      <c r="K1991" s="149">
        <v>54.567999999999998</v>
      </c>
      <c r="L1991" s="149">
        <v>144.03</v>
      </c>
      <c r="M1991" s="136"/>
      <c r="N1991" s="135"/>
    </row>
    <row r="1992" spans="1:14" x14ac:dyDescent="0.25">
      <c r="A1992" s="142">
        <v>45733</v>
      </c>
      <c r="B1992" s="81" t="s">
        <v>49</v>
      </c>
      <c r="C1992" s="129" t="str">
        <f t="shared" si="64"/>
        <v>17.03.2025_KIRun</v>
      </c>
      <c r="D1992" s="143">
        <f t="shared" si="59"/>
        <v>0</v>
      </c>
      <c r="E1992" s="144">
        <v>5.6192525924476641E-2</v>
      </c>
      <c r="F1992" s="159">
        <v>1.1040643013800672E-2</v>
      </c>
      <c r="G1992" s="146">
        <v>0.36054976913991199</v>
      </c>
      <c r="H1992" s="146">
        <v>8.170528266913811E-2</v>
      </c>
      <c r="I1992" s="147">
        <v>3.46</v>
      </c>
      <c r="J1992" s="148">
        <v>1.0863486635480692</v>
      </c>
      <c r="K1992" s="149">
        <v>44.866999999999997</v>
      </c>
      <c r="L1992" s="149">
        <v>133.57400000000001</v>
      </c>
      <c r="M1992" s="136"/>
      <c r="N1992" s="135"/>
    </row>
    <row r="1993" spans="1:14" x14ac:dyDescent="0.25">
      <c r="A1993" s="142">
        <v>45733</v>
      </c>
      <c r="B1993" s="81" t="s">
        <v>50</v>
      </c>
      <c r="C1993" s="129" t="str">
        <f t="shared" si="64"/>
        <v>17.03.2025_LIEohBo</v>
      </c>
      <c r="D1993" s="143">
        <f t="shared" si="59"/>
        <v>0</v>
      </c>
      <c r="E1993" s="144">
        <v>3.1608295832518091E-2</v>
      </c>
      <c r="F1993" s="159">
        <v>2.0398658197358806E-2</v>
      </c>
      <c r="G1993" s="146">
        <v>6.0383335122946434E-2</v>
      </c>
      <c r="H1993" s="146">
        <v>3.2252085264133485E-3</v>
      </c>
      <c r="I1993" s="147">
        <v>10.050000000000001</v>
      </c>
      <c r="J1993" s="148">
        <v>2.3178624706254833</v>
      </c>
      <c r="K1993" s="149">
        <v>14.555</v>
      </c>
      <c r="L1993" s="149">
        <v>81.006</v>
      </c>
      <c r="M1993" s="136"/>
      <c r="N1993" s="135"/>
    </row>
    <row r="1994" spans="1:14" x14ac:dyDescent="0.25">
      <c r="A1994" s="142">
        <v>45733</v>
      </c>
      <c r="B1994" s="81" t="s">
        <v>53</v>
      </c>
      <c r="C1994" s="129" t="str">
        <f t="shared" si="64"/>
        <v>17.03.2025_NATohBo</v>
      </c>
      <c r="D1994" s="143">
        <f t="shared" si="59"/>
        <v>0</v>
      </c>
      <c r="E1994" s="144">
        <v>4.0388378008217582E-2</v>
      </c>
      <c r="F1994" s="159">
        <v>1.2726697876306273E-2</v>
      </c>
      <c r="G1994" s="146">
        <v>0.37805218511757754</v>
      </c>
      <c r="H1994" s="146">
        <v>1.3975903614457835E-2</v>
      </c>
      <c r="I1994" s="147">
        <v>2.2749999999999999</v>
      </c>
      <c r="J1994" s="148">
        <v>0.81166295507736941</v>
      </c>
      <c r="K1994" s="149">
        <v>63.295999999999999</v>
      </c>
      <c r="L1994" s="149">
        <v>367.62200000000001</v>
      </c>
      <c r="M1994" s="136"/>
      <c r="N1994" s="135"/>
    </row>
    <row r="1995" spans="1:14" x14ac:dyDescent="0.25">
      <c r="A1995" s="142">
        <v>45733</v>
      </c>
      <c r="B1995" s="81" t="s">
        <v>55</v>
      </c>
      <c r="C1995" s="129" t="str">
        <f t="shared" si="64"/>
        <v>17.03.2025_QUAohBo</v>
      </c>
      <c r="D1995" s="143">
        <f t="shared" si="59"/>
        <v>0</v>
      </c>
      <c r="E1995" s="144">
        <v>5.6192525924476606E-2</v>
      </c>
      <c r="F1995" s="159">
        <v>1.2901993947406092E-2</v>
      </c>
      <c r="G1995" s="146">
        <v>0.30366691721249867</v>
      </c>
      <c r="H1995" s="146">
        <v>5.697868396663576E-2</v>
      </c>
      <c r="I1995" s="147">
        <v>0.88</v>
      </c>
      <c r="J1995" s="148">
        <v>0.45190708487997533</v>
      </c>
      <c r="K1995" s="149">
        <v>31.774000000000001</v>
      </c>
      <c r="L1995" s="149">
        <v>94.980999999999995</v>
      </c>
      <c r="M1995" s="136"/>
      <c r="N1995" s="135"/>
    </row>
    <row r="1996" spans="1:14" x14ac:dyDescent="0.25">
      <c r="A1996" s="142">
        <v>45733</v>
      </c>
      <c r="B1996" s="81" t="s">
        <v>356</v>
      </c>
      <c r="C1996" s="129" t="str">
        <f t="shared" ref="C1996:C1999" si="65">CONCATENATE(TEXT(A1996,"TT.MM.JJJJ"),"_",B1996)</f>
        <v>17.03.2025_ROTB</v>
      </c>
      <c r="D1996" s="143">
        <f t="shared" ref="D1996:D1999" si="66">COUNTBLANK(E1996:L1996)</f>
        <v>0</v>
      </c>
      <c r="E1996" s="144">
        <v>4.5656427313637268E-2</v>
      </c>
      <c r="F1996" s="159">
        <v>9.2747058967085488E-3</v>
      </c>
      <c r="G1996" s="146">
        <v>0.12339203264254264</v>
      </c>
      <c r="H1996" s="146">
        <v>2.902687673772009E-2</v>
      </c>
      <c r="I1996" s="147">
        <v>7.2670000000000003</v>
      </c>
      <c r="J1996" s="148">
        <v>1.7460472020494067</v>
      </c>
      <c r="K1996" s="149">
        <v>48.991</v>
      </c>
      <c r="L1996" s="149">
        <v>216.578</v>
      </c>
      <c r="M1996" s="136"/>
      <c r="N1996" s="135"/>
    </row>
    <row r="1997" spans="1:14" x14ac:dyDescent="0.25">
      <c r="A1997" s="142">
        <v>45733</v>
      </c>
      <c r="B1997" s="81" t="s">
        <v>57</v>
      </c>
      <c r="C1997" s="129" t="str">
        <f t="shared" si="65"/>
        <v>17.03.2025_SCHohVo</v>
      </c>
      <c r="D1997" s="143">
        <f t="shared" si="66"/>
        <v>0</v>
      </c>
      <c r="E1997" s="144">
        <v>0</v>
      </c>
      <c r="F1997" s="159">
        <v>9.8015080343567141E-3</v>
      </c>
      <c r="G1997" s="146">
        <v>0.10676473746376035</v>
      </c>
      <c r="H1997" s="146">
        <v>3.1177015755328996E-2</v>
      </c>
      <c r="I1997" s="147">
        <v>2.8839999999999999</v>
      </c>
      <c r="J1997" s="148">
        <v>0.74380267343994511</v>
      </c>
      <c r="K1997" s="149">
        <v>18.05</v>
      </c>
      <c r="L1997" s="149">
        <v>82.084000000000003</v>
      </c>
      <c r="M1997" s="136"/>
      <c r="N1997" s="135"/>
    </row>
    <row r="1998" spans="1:14" x14ac:dyDescent="0.25">
      <c r="A1998" s="142">
        <v>45733</v>
      </c>
      <c r="B1998" s="81" t="s">
        <v>357</v>
      </c>
      <c r="C1998" s="129" t="str">
        <f t="shared" si="65"/>
        <v>17.03.2025_SCHW</v>
      </c>
      <c r="D1998" s="143">
        <f t="shared" si="66"/>
        <v>0</v>
      </c>
      <c r="E1998" s="144">
        <v>5.7948542359616488E-2</v>
      </c>
      <c r="F1998" s="159">
        <v>1.531572174743762E-2</v>
      </c>
      <c r="G1998" s="146">
        <v>0.11026522065929345</v>
      </c>
      <c r="H1998" s="146">
        <v>8.6005560704355815E-3</v>
      </c>
      <c r="I1998" s="147">
        <v>1.8380000000000001</v>
      </c>
      <c r="J1998" s="148">
        <v>0.50338734048537892</v>
      </c>
      <c r="K1998" s="149">
        <v>15.260999999999999</v>
      </c>
      <c r="L1998" s="149">
        <v>233.15299999999999</v>
      </c>
      <c r="M1998" s="136"/>
      <c r="N1998" s="135"/>
    </row>
    <row r="1999" spans="1:14" x14ac:dyDescent="0.25">
      <c r="A1999" s="142">
        <v>45733</v>
      </c>
      <c r="B1999" s="81" t="s">
        <v>360</v>
      </c>
      <c r="C1999" s="129" t="str">
        <f t="shared" si="65"/>
        <v>17.03.2025_SPR</v>
      </c>
      <c r="D1999" s="143">
        <f t="shared" si="66"/>
        <v>0</v>
      </c>
      <c r="E1999" s="144">
        <v>8.9556838192134613E-2</v>
      </c>
      <c r="F1999" s="159">
        <v>1.6059607980852299E-2</v>
      </c>
      <c r="G1999" s="146">
        <v>0.29579083002254908</v>
      </c>
      <c r="H1999" s="146">
        <v>4.8378127896200183E-2</v>
      </c>
      <c r="I1999" s="147">
        <v>2.9969999999999999</v>
      </c>
      <c r="J1999" s="148">
        <v>0.92133973264220725</v>
      </c>
      <c r="K1999" s="149">
        <v>22.47</v>
      </c>
      <c r="L1999" s="149">
        <v>113.21299999999999</v>
      </c>
      <c r="M1999" s="136"/>
      <c r="N1999" s="135"/>
    </row>
    <row r="2000" spans="1:14" x14ac:dyDescent="0.25">
      <c r="A2000" s="142">
        <v>45733</v>
      </c>
      <c r="B2000" s="81" t="s">
        <v>60</v>
      </c>
      <c r="C2000" s="129" t="str">
        <f t="shared" si="64"/>
        <v>17.03.2025_VORohBo</v>
      </c>
      <c r="D2000" s="143">
        <f t="shared" si="59"/>
        <v>0</v>
      </c>
      <c r="E2000" s="144">
        <v>3.6876345137937777E-2</v>
      </c>
      <c r="F2000" s="159">
        <v>7.3381005247001238E-3</v>
      </c>
      <c r="G2000" s="146">
        <v>0.51282078814560295</v>
      </c>
      <c r="H2000" s="146">
        <v>2.7951807228915649E-2</v>
      </c>
      <c r="I2000" s="147">
        <v>1.5760000000000001</v>
      </c>
      <c r="J2000" s="148">
        <v>0.76268126149802251</v>
      </c>
      <c r="K2000" s="149">
        <v>23.986999999999998</v>
      </c>
      <c r="L2000" s="149">
        <v>166.21</v>
      </c>
      <c r="M2000" s="136"/>
      <c r="N2000" s="135"/>
    </row>
    <row r="2001" spans="1:14" x14ac:dyDescent="0.25">
      <c r="A2001" s="142">
        <v>45733</v>
      </c>
      <c r="B2001" s="81" t="s">
        <v>62</v>
      </c>
      <c r="C2001" s="129" t="str">
        <f t="shared" si="64"/>
        <v>17.03.2025_VORuhSc</v>
      </c>
      <c r="D2001" s="143">
        <f t="shared" ref="D2001:D2048" si="67">COUNTBLANK(E2001:L2001)</f>
        <v>0</v>
      </c>
      <c r="E2001" s="144">
        <v>-1.7560164351398838E-3</v>
      </c>
      <c r="F2001" s="159">
        <v>8.3187263354463272E-3</v>
      </c>
      <c r="G2001" s="146">
        <v>0.32204445398904752</v>
      </c>
      <c r="H2001" s="146">
        <v>1.8276181649675625E-2</v>
      </c>
      <c r="I2001" s="147">
        <v>1.589</v>
      </c>
      <c r="J2001" s="148">
        <v>0.61453591158119925</v>
      </c>
      <c r="K2001" s="149">
        <v>21.983000000000001</v>
      </c>
      <c r="L2001" s="149">
        <v>161.60300000000001</v>
      </c>
      <c r="M2001" s="136"/>
      <c r="N2001" s="135"/>
    </row>
    <row r="2002" spans="1:14" x14ac:dyDescent="0.25">
      <c r="A2002" s="142">
        <v>45733</v>
      </c>
      <c r="B2002" s="81" t="s">
        <v>64</v>
      </c>
      <c r="C2002" s="129" t="str">
        <f t="shared" si="64"/>
        <v>17.03.2025_WITob</v>
      </c>
      <c r="D2002" s="143">
        <f t="shared" si="67"/>
        <v>0</v>
      </c>
      <c r="E2002" s="144">
        <v>3.6554435210859346E-17</v>
      </c>
      <c r="F2002" s="159">
        <v>7.9902071730268247E-3</v>
      </c>
      <c r="G2002" s="146">
        <v>0.19515193815097176</v>
      </c>
      <c r="H2002" s="146">
        <v>4.3002780352177907E-3</v>
      </c>
      <c r="I2002" s="147">
        <v>0.51900000000000002</v>
      </c>
      <c r="J2002" s="148">
        <v>0.27006927810267012</v>
      </c>
      <c r="K2002" s="149">
        <v>51.082000000000001</v>
      </c>
      <c r="L2002" s="149">
        <v>217.63900000000001</v>
      </c>
      <c r="M2002" s="136"/>
      <c r="N2002" s="135"/>
    </row>
    <row r="2003" spans="1:14" x14ac:dyDescent="0.25">
      <c r="A2003" s="142">
        <v>45772</v>
      </c>
      <c r="B2003" s="81" t="s">
        <v>22</v>
      </c>
      <c r="C2003" s="129" t="str">
        <f t="shared" si="64"/>
        <v>25.04.2025_BOYkl</v>
      </c>
      <c r="D2003" s="143">
        <f t="shared" si="67"/>
        <v>0</v>
      </c>
      <c r="E2003" s="144">
        <v>7.1481007255655121E-2</v>
      </c>
      <c r="F2003" s="159">
        <v>3.1071993989140616E-2</v>
      </c>
      <c r="G2003" s="146">
        <v>0.13150903936422365</v>
      </c>
      <c r="H2003" s="146">
        <v>0.10364762560220238</v>
      </c>
      <c r="I2003" s="147">
        <v>24.170999999999999</v>
      </c>
      <c r="J2003" s="148">
        <v>5.5931747435905157</v>
      </c>
      <c r="K2003" s="149">
        <v>23.963000000000001</v>
      </c>
      <c r="L2003" s="149">
        <v>43.804000000000002</v>
      </c>
      <c r="M2003" s="136"/>
      <c r="N2003" s="135"/>
    </row>
    <row r="2004" spans="1:14" x14ac:dyDescent="0.25">
      <c r="A2004" s="142">
        <v>45772</v>
      </c>
      <c r="B2004" s="81" t="s">
        <v>25</v>
      </c>
      <c r="C2004" s="129" t="str">
        <f t="shared" si="64"/>
        <v>25.04.2025_BOYohB224</v>
      </c>
      <c r="D2004" s="143">
        <f t="shared" si="67"/>
        <v>0</v>
      </c>
      <c r="E2004" s="144">
        <v>8.0921895006402053E-2</v>
      </c>
      <c r="F2004" s="159">
        <v>2.8663551806652376E-2</v>
      </c>
      <c r="G2004" s="146">
        <v>0.26947251010828649</v>
      </c>
      <c r="H2004" s="146">
        <v>9.8465244322092249E-2</v>
      </c>
      <c r="I2004" s="147">
        <v>8.0649999999999995</v>
      </c>
      <c r="J2004" s="148">
        <v>2.0608620030078444</v>
      </c>
      <c r="K2004" s="149">
        <v>25</v>
      </c>
      <c r="L2004" s="149">
        <v>100.1</v>
      </c>
      <c r="M2004" s="136"/>
      <c r="N2004" s="135"/>
    </row>
    <row r="2005" spans="1:14" x14ac:dyDescent="0.25">
      <c r="A2005" s="142">
        <v>45772</v>
      </c>
      <c r="B2005" s="81" t="s">
        <v>28</v>
      </c>
      <c r="C2005" s="129" t="str">
        <f t="shared" si="64"/>
        <v>25.04.2025_BOYohBr</v>
      </c>
      <c r="D2005" s="143">
        <f t="shared" si="67"/>
        <v>0</v>
      </c>
      <c r="E2005" s="144">
        <v>1.3486982501067009E-2</v>
      </c>
      <c r="F2005" s="159">
        <v>3.8572738881714849E-2</v>
      </c>
      <c r="G2005" s="146">
        <v>0.19201933355021614</v>
      </c>
      <c r="H2005" s="146">
        <v>4.3186510667584339E-2</v>
      </c>
      <c r="I2005" s="147">
        <v>13.847</v>
      </c>
      <c r="J2005" s="148">
        <v>3.2898711154811533</v>
      </c>
      <c r="K2005" s="149">
        <v>25.06</v>
      </c>
      <c r="L2005" s="149">
        <v>63.274999999999999</v>
      </c>
      <c r="M2005" s="136"/>
      <c r="N2005" s="135"/>
    </row>
    <row r="2006" spans="1:14" x14ac:dyDescent="0.25">
      <c r="A2006" s="142">
        <v>45772</v>
      </c>
      <c r="B2006" s="81" t="s">
        <v>30</v>
      </c>
      <c r="C2006" s="129" t="str">
        <f t="shared" si="64"/>
        <v>25.04.2025_BOYohKi</v>
      </c>
      <c r="D2006" s="143">
        <f t="shared" si="67"/>
        <v>0</v>
      </c>
      <c r="E2006" s="144">
        <v>1.4835680751173702E-2</v>
      </c>
      <c r="F2006" s="159">
        <v>6.1030522412441876E-2</v>
      </c>
      <c r="G2006" s="146">
        <v>0.39614072593763078</v>
      </c>
      <c r="H2006" s="146">
        <v>6.0461114934618067E-2</v>
      </c>
      <c r="I2006" s="147">
        <v>8.6989999999999998</v>
      </c>
      <c r="J2006" s="148">
        <v>2.2908498287251549</v>
      </c>
      <c r="K2006" s="149">
        <v>21</v>
      </c>
      <c r="L2006" s="149">
        <v>72.837000000000003</v>
      </c>
      <c r="M2006" s="136"/>
      <c r="N2006" s="135"/>
    </row>
    <row r="2007" spans="1:14" x14ac:dyDescent="0.25">
      <c r="A2007" s="142">
        <v>45772</v>
      </c>
      <c r="B2007" s="81" t="s">
        <v>32</v>
      </c>
      <c r="C2007" s="129" t="str">
        <f t="shared" si="64"/>
        <v>25.04.2025_BOYohSp</v>
      </c>
      <c r="D2007" s="143">
        <f t="shared" si="67"/>
        <v>0</v>
      </c>
      <c r="E2007" s="144">
        <v>3.2368758002560789E-2</v>
      </c>
      <c r="F2007" s="159">
        <v>3.1698965857984637E-2</v>
      </c>
      <c r="G2007" s="146">
        <v>0.27996096110052521</v>
      </c>
      <c r="H2007" s="146">
        <v>8.2918100481761889E-2</v>
      </c>
      <c r="I2007" s="147">
        <v>10.877000000000001</v>
      </c>
      <c r="J2007" s="148">
        <v>2.6994192923766192</v>
      </c>
      <c r="K2007" s="149">
        <v>25</v>
      </c>
      <c r="L2007" s="149">
        <v>69.203999999999994</v>
      </c>
      <c r="M2007" s="136"/>
      <c r="N2007" s="135"/>
    </row>
    <row r="2008" spans="1:14" x14ac:dyDescent="0.25">
      <c r="A2008" s="142">
        <v>45772</v>
      </c>
      <c r="B2008" s="81" t="s">
        <v>34</v>
      </c>
      <c r="C2008" s="129" t="str">
        <f t="shared" si="64"/>
        <v>25.04.2025_BOYuhHa</v>
      </c>
      <c r="D2008" s="143">
        <f t="shared" si="67"/>
        <v>0</v>
      </c>
      <c r="E2008" s="144">
        <v>4.1809645753307687E-2</v>
      </c>
      <c r="F2008" s="159">
        <v>4.9009438486946222E-2</v>
      </c>
      <c r="G2008" s="146">
        <v>0.47198029465074132</v>
      </c>
      <c r="H2008" s="146">
        <v>9.6737783895388854E-2</v>
      </c>
      <c r="I2008" s="147">
        <v>5.3239999999999998</v>
      </c>
      <c r="J2008" s="148">
        <v>1.5984716773003054</v>
      </c>
      <c r="K2008" s="149">
        <v>22.213999999999999</v>
      </c>
      <c r="L2008" s="149">
        <v>74.498999999999995</v>
      </c>
      <c r="M2008" s="136"/>
      <c r="N2008" s="135"/>
    </row>
    <row r="2009" spans="1:14" x14ac:dyDescent="0.25">
      <c r="A2009" s="142">
        <v>45772</v>
      </c>
      <c r="B2009" s="81" t="s">
        <v>36</v>
      </c>
      <c r="C2009" s="129" t="str">
        <f t="shared" si="64"/>
        <v>25.04.2025_BOYuhSp</v>
      </c>
      <c r="D2009" s="143">
        <f t="shared" si="67"/>
        <v>0</v>
      </c>
      <c r="E2009" s="144">
        <v>2.1579172001707218E-2</v>
      </c>
      <c r="F2009" s="159">
        <v>2.8200501105774715E-2</v>
      </c>
      <c r="G2009" s="146">
        <v>0.35822094158107542</v>
      </c>
      <c r="H2009" s="146">
        <v>9.5010323468685529E-2</v>
      </c>
      <c r="I2009" s="147">
        <v>10.711</v>
      </c>
      <c r="J2009" s="148">
        <v>2.7263744419083302</v>
      </c>
      <c r="K2009" s="149">
        <v>25</v>
      </c>
      <c r="L2009" s="149">
        <v>73.804000000000002</v>
      </c>
      <c r="M2009" s="136"/>
      <c r="N2009" s="135"/>
    </row>
    <row r="2010" spans="1:14" x14ac:dyDescent="0.25">
      <c r="A2010" s="142">
        <v>45772</v>
      </c>
      <c r="B2010" s="81" t="s">
        <v>38</v>
      </c>
      <c r="C2010" s="129" t="str">
        <f t="shared" si="64"/>
        <v>25.04.2025_BRAob</v>
      </c>
      <c r="D2010" s="143">
        <f t="shared" si="67"/>
        <v>0</v>
      </c>
      <c r="E2010" s="144">
        <v>0</v>
      </c>
      <c r="F2010" s="159">
        <v>1.3371830364693051E-2</v>
      </c>
      <c r="G2010" s="146">
        <v>0.21057582376725381</v>
      </c>
      <c r="H2010" s="146">
        <v>0</v>
      </c>
      <c r="I2010" s="147">
        <v>5.7789999999999999</v>
      </c>
      <c r="J2010" s="148">
        <v>1.4688127513970348</v>
      </c>
      <c r="K2010" s="149">
        <v>32</v>
      </c>
      <c r="L2010" s="149">
        <v>98.283000000000001</v>
      </c>
      <c r="M2010" s="136"/>
      <c r="N2010" s="135"/>
    </row>
    <row r="2011" spans="1:14" x14ac:dyDescent="0.25">
      <c r="A2011" s="142">
        <v>45772</v>
      </c>
      <c r="B2011" s="81" t="s">
        <v>41</v>
      </c>
      <c r="C2011" s="129" t="str">
        <f t="shared" si="64"/>
        <v>25.04.2025_BRAohBo</v>
      </c>
      <c r="D2011" s="143">
        <f t="shared" si="67"/>
        <v>0</v>
      </c>
      <c r="E2011" s="144">
        <v>0</v>
      </c>
      <c r="F2011" s="159">
        <v>3.2443170222009661E-2</v>
      </c>
      <c r="G2011" s="146">
        <v>0.42276525537946741</v>
      </c>
      <c r="H2011" s="146">
        <v>7.2553337921541644E-2</v>
      </c>
      <c r="I2011" s="147">
        <v>11.667999999999999</v>
      </c>
      <c r="J2011" s="148">
        <v>2.9858130168798156</v>
      </c>
      <c r="K2011" s="149">
        <v>27</v>
      </c>
      <c r="L2011" s="149">
        <v>74.123000000000005</v>
      </c>
      <c r="M2011" s="136"/>
      <c r="N2011" s="135"/>
    </row>
    <row r="2012" spans="1:14" x14ac:dyDescent="0.25">
      <c r="A2012" s="142">
        <v>45772</v>
      </c>
      <c r="B2012" s="81" t="s">
        <v>43</v>
      </c>
      <c r="C2012" s="129" t="str">
        <f t="shared" si="64"/>
        <v>25.04.2025_HAAob</v>
      </c>
      <c r="D2012" s="143">
        <f t="shared" si="67"/>
        <v>0</v>
      </c>
      <c r="E2012" s="144">
        <v>0</v>
      </c>
      <c r="F2012" s="159">
        <v>9.8459824483202833E-3</v>
      </c>
      <c r="G2012" s="146">
        <v>0.2275187061393317</v>
      </c>
      <c r="H2012" s="146">
        <v>3.2821748107364095E-2</v>
      </c>
      <c r="I2012" s="147">
        <v>2.66</v>
      </c>
      <c r="J2012" s="148">
        <v>0.78747278134141663</v>
      </c>
      <c r="K2012" s="149">
        <v>23</v>
      </c>
      <c r="L2012" s="149">
        <v>106.241</v>
      </c>
      <c r="M2012" s="136"/>
      <c r="N2012" s="135"/>
    </row>
    <row r="2013" spans="1:14" x14ac:dyDescent="0.25">
      <c r="A2013" s="142">
        <v>45772</v>
      </c>
      <c r="B2013" s="81" t="s">
        <v>45</v>
      </c>
      <c r="C2013" s="129" t="str">
        <f t="shared" si="64"/>
        <v>25.04.2025_HAAun</v>
      </c>
      <c r="D2013" s="143">
        <f t="shared" si="67"/>
        <v>0</v>
      </c>
      <c r="E2013" s="144">
        <v>1.0789586000853595E-2</v>
      </c>
      <c r="F2013" s="159">
        <v>5.1730798564781626E-2</v>
      </c>
      <c r="G2013" s="146">
        <v>0.36790258865083425</v>
      </c>
      <c r="H2013" s="146">
        <v>7.9463179628355127E-2</v>
      </c>
      <c r="I2013" s="147">
        <v>2.476</v>
      </c>
      <c r="J2013" s="148">
        <v>0.86911936609933904</v>
      </c>
      <c r="K2013" s="149">
        <v>24</v>
      </c>
      <c r="L2013" s="149">
        <v>138.38900000000001</v>
      </c>
      <c r="M2013" s="136"/>
      <c r="N2013" s="135"/>
    </row>
    <row r="2014" spans="1:14" x14ac:dyDescent="0.25">
      <c r="A2014" s="142">
        <v>45772</v>
      </c>
      <c r="B2014" s="81" t="s">
        <v>47</v>
      </c>
      <c r="C2014" s="129" t="str">
        <f t="shared" si="64"/>
        <v>25.04.2025_KIRob</v>
      </c>
      <c r="D2014" s="143">
        <f t="shared" si="67"/>
        <v>0</v>
      </c>
      <c r="E2014" s="144">
        <v>0</v>
      </c>
      <c r="F2014" s="159">
        <v>4.9587618784574048E-3</v>
      </c>
      <c r="G2014" s="146">
        <v>0.67045405958079674</v>
      </c>
      <c r="H2014" s="146">
        <v>0.11919476944253274</v>
      </c>
      <c r="I2014" s="147">
        <v>4.1900000000000004</v>
      </c>
      <c r="J2014" s="148">
        <v>1.503285020280672</v>
      </c>
      <c r="K2014" s="149">
        <v>54</v>
      </c>
      <c r="L2014" s="149">
        <v>154.631</v>
      </c>
      <c r="M2014" s="136"/>
      <c r="N2014" s="135"/>
    </row>
    <row r="2015" spans="1:14" x14ac:dyDescent="0.25">
      <c r="A2015" s="142">
        <v>45772</v>
      </c>
      <c r="B2015" s="81" t="s">
        <v>49</v>
      </c>
      <c r="C2015" s="129" t="str">
        <f t="shared" si="64"/>
        <v>25.04.2025_KIRun</v>
      </c>
      <c r="D2015" s="143">
        <f t="shared" si="67"/>
        <v>0</v>
      </c>
      <c r="E2015" s="144">
        <v>6.7434912505334905E-3</v>
      </c>
      <c r="F2015" s="159">
        <v>5.7904666787475948E-3</v>
      </c>
      <c r="G2015" s="146">
        <v>0.25495003950364831</v>
      </c>
      <c r="H2015" s="146">
        <v>0.14510667584308329</v>
      </c>
      <c r="I2015" s="147">
        <v>4.0410000000000004</v>
      </c>
      <c r="J2015" s="148">
        <v>1.1548845536346146</v>
      </c>
      <c r="K2015" s="149">
        <v>51</v>
      </c>
      <c r="L2015" s="149">
        <v>135.26499999999999</v>
      </c>
      <c r="M2015" s="136"/>
      <c r="N2015" s="135"/>
    </row>
    <row r="2016" spans="1:14" x14ac:dyDescent="0.25">
      <c r="A2016" s="142">
        <v>45772</v>
      </c>
      <c r="B2016" s="81" t="s">
        <v>50</v>
      </c>
      <c r="C2016" s="129" t="str">
        <f t="shared" si="64"/>
        <v>25.04.2025_LIEohBo</v>
      </c>
      <c r="D2016" s="143">
        <f t="shared" si="67"/>
        <v>0</v>
      </c>
      <c r="E2016" s="144">
        <v>1.6184379001280395E-2</v>
      </c>
      <c r="F2016" s="159">
        <v>2.0518777801258374E-2</v>
      </c>
      <c r="G2016" s="146">
        <v>2.8238137286796468E-2</v>
      </c>
      <c r="H2016" s="146">
        <v>8.6373021335168828E-3</v>
      </c>
      <c r="I2016" s="147">
        <v>11.638</v>
      </c>
      <c r="J2016" s="148">
        <v>2.653231317856374</v>
      </c>
      <c r="K2016" s="149">
        <v>19.797000000000001</v>
      </c>
      <c r="L2016" s="149">
        <v>65.064999999999998</v>
      </c>
      <c r="M2016" s="136"/>
      <c r="N2016" s="135"/>
    </row>
    <row r="2017" spans="1:14" x14ac:dyDescent="0.25">
      <c r="A2017" s="142">
        <v>45772</v>
      </c>
      <c r="B2017" s="81" t="s">
        <v>53</v>
      </c>
      <c r="C2017" s="129" t="str">
        <f t="shared" si="64"/>
        <v>25.04.2025_NATohBo</v>
      </c>
      <c r="D2017" s="143">
        <f t="shared" si="67"/>
        <v>0</v>
      </c>
      <c r="E2017" s="144">
        <v>1.7533077251387114E-2</v>
      </c>
      <c r="F2017" s="159">
        <v>1.9582912448168864E-2</v>
      </c>
      <c r="G2017" s="146">
        <v>0.14925872565878145</v>
      </c>
      <c r="H2017" s="146">
        <v>1.2092222986923643E-2</v>
      </c>
      <c r="I2017" s="147">
        <v>2.044</v>
      </c>
      <c r="J2017" s="148">
        <v>0.58125766517515609</v>
      </c>
      <c r="K2017" s="149">
        <v>32</v>
      </c>
      <c r="L2017" s="149">
        <v>137.25</v>
      </c>
      <c r="M2017" s="136"/>
      <c r="N2017" s="135"/>
    </row>
    <row r="2018" spans="1:14" x14ac:dyDescent="0.25">
      <c r="A2018" s="142">
        <v>45772</v>
      </c>
      <c r="B2018" s="81" t="s">
        <v>55</v>
      </c>
      <c r="C2018" s="129" t="str">
        <f t="shared" si="64"/>
        <v>25.04.2025_QUAohBo</v>
      </c>
      <c r="D2018" s="143">
        <f t="shared" si="67"/>
        <v>0</v>
      </c>
      <c r="E2018" s="144">
        <v>6.2040119504908245E-2</v>
      </c>
      <c r="F2018" s="159">
        <v>1.5875948478712536E-2</v>
      </c>
      <c r="G2018" s="146">
        <v>0.14683831389134175</v>
      </c>
      <c r="H2018" s="146">
        <v>7.773571920165176E-2</v>
      </c>
      <c r="I2018" s="147">
        <v>6.5960000000000001</v>
      </c>
      <c r="J2018" s="148">
        <v>1.6275236420644308</v>
      </c>
      <c r="K2018" s="149">
        <v>36</v>
      </c>
      <c r="L2018" s="149">
        <v>77.019000000000005</v>
      </c>
      <c r="M2018" s="136"/>
      <c r="N2018" s="135"/>
    </row>
    <row r="2019" spans="1:14" x14ac:dyDescent="0.25">
      <c r="A2019" s="142">
        <v>45772</v>
      </c>
      <c r="B2019" s="81" t="s">
        <v>356</v>
      </c>
      <c r="C2019" s="129" t="str">
        <f t="shared" ref="C2019:C2022" si="68">CONCATENATE(TEXT(A2019,"TT.MM.JJJJ"),"_",B2019)</f>
        <v>25.04.2025_ROTB</v>
      </c>
      <c r="D2019" s="143">
        <f t="shared" ref="D2019:D2022" si="69">COUNTBLANK(E2019:L2019)</f>
        <v>0</v>
      </c>
      <c r="E2019" s="144">
        <v>2.1579172001707218E-2</v>
      </c>
      <c r="F2019" s="159">
        <v>1.5719801760238006E-2</v>
      </c>
      <c r="G2019" s="146">
        <v>0.21138262768973368</v>
      </c>
      <c r="H2019" s="146">
        <v>4.6641431520991067E-2</v>
      </c>
      <c r="I2019" s="147">
        <v>5.9820000000000002</v>
      </c>
      <c r="J2019" s="148">
        <v>1.5294908204013669</v>
      </c>
      <c r="K2019" s="149">
        <v>25.007000000000001</v>
      </c>
      <c r="L2019" s="149">
        <v>66.525000000000006</v>
      </c>
      <c r="M2019" s="136"/>
      <c r="N2019" s="135"/>
    </row>
    <row r="2020" spans="1:14" x14ac:dyDescent="0.25">
      <c r="A2020" s="142">
        <v>45772</v>
      </c>
      <c r="B2020" s="81" t="s">
        <v>57</v>
      </c>
      <c r="C2020" s="129" t="str">
        <f t="shared" si="68"/>
        <v>25.04.2025_SCHohVo</v>
      </c>
      <c r="D2020" s="143">
        <f t="shared" si="69"/>
        <v>0</v>
      </c>
      <c r="E2020" s="144">
        <v>0</v>
      </c>
      <c r="F2020" s="159">
        <v>1.1807136566974682E-2</v>
      </c>
      <c r="G2020" s="146">
        <v>0.11860017660454522</v>
      </c>
      <c r="H2020" s="146">
        <v>2.0729525120440524E-2</v>
      </c>
      <c r="I2020" s="147">
        <v>4.59</v>
      </c>
      <c r="J2020" s="148">
        <v>1.1351462550545814</v>
      </c>
      <c r="K2020" s="149">
        <v>20.423999999999999</v>
      </c>
      <c r="L2020" s="149">
        <v>55.347000000000001</v>
      </c>
      <c r="M2020" s="136"/>
      <c r="N2020" s="135"/>
    </row>
    <row r="2021" spans="1:14" x14ac:dyDescent="0.25">
      <c r="A2021" s="142">
        <v>45772</v>
      </c>
      <c r="B2021" s="81" t="s">
        <v>357</v>
      </c>
      <c r="C2021" s="129" t="str">
        <f t="shared" si="68"/>
        <v>25.04.2025_SCHW</v>
      </c>
      <c r="D2021" s="143">
        <f t="shared" si="69"/>
        <v>0</v>
      </c>
      <c r="E2021" s="144">
        <v>3.7763551002987582E-2</v>
      </c>
      <c r="F2021" s="159">
        <v>8.3720895741285217E-3</v>
      </c>
      <c r="G2021" s="146">
        <v>0.25091601989124879</v>
      </c>
      <c r="H2021" s="146">
        <v>5.182381280110158E-3</v>
      </c>
      <c r="I2021" s="147">
        <v>2.2040000000000002</v>
      </c>
      <c r="J2021" s="148">
        <v>0.69422903626608534</v>
      </c>
      <c r="K2021" s="149">
        <v>23.951000000000001</v>
      </c>
      <c r="L2021" s="149">
        <v>239.54400000000001</v>
      </c>
      <c r="M2021" s="136"/>
      <c r="N2021" s="135"/>
    </row>
    <row r="2022" spans="1:14" x14ac:dyDescent="0.25">
      <c r="A2022" s="142">
        <v>45772</v>
      </c>
      <c r="B2022" s="81" t="s">
        <v>358</v>
      </c>
      <c r="C2022" s="129" t="str">
        <f t="shared" si="68"/>
        <v>25.04.2025_SPE</v>
      </c>
      <c r="D2022" s="143">
        <f t="shared" si="69"/>
        <v>0</v>
      </c>
      <c r="E2022" s="144">
        <v>7.9573196756295331E-2</v>
      </c>
      <c r="F2022" s="159">
        <v>1.696544854173385E-2</v>
      </c>
      <c r="G2022" s="146">
        <v>0.19766696100757536</v>
      </c>
      <c r="H2022" s="146">
        <v>5.8733654507914707E-2</v>
      </c>
      <c r="I2022" s="147">
        <v>6.3579999999999997</v>
      </c>
      <c r="J2022" s="148">
        <v>1.6074493396677068</v>
      </c>
      <c r="K2022" s="149">
        <v>20.204999999999998</v>
      </c>
      <c r="L2022" s="149">
        <v>86.588999999999999</v>
      </c>
      <c r="M2022" s="136"/>
      <c r="N2022" s="135"/>
    </row>
    <row r="2023" spans="1:14" x14ac:dyDescent="0.25">
      <c r="A2023" s="142">
        <v>45772</v>
      </c>
      <c r="B2023" s="81" t="s">
        <v>60</v>
      </c>
      <c r="C2023" s="129" t="str">
        <f t="shared" si="64"/>
        <v>25.04.2025_VORohBo</v>
      </c>
      <c r="D2023" s="143">
        <f t="shared" si="67"/>
        <v>0</v>
      </c>
      <c r="E2023" s="144">
        <v>1.7533077251387114E-2</v>
      </c>
      <c r="F2023" s="159">
        <v>9.5636028988760231E-3</v>
      </c>
      <c r="G2023" s="146">
        <v>0.3808114514105127</v>
      </c>
      <c r="H2023" s="146">
        <v>5.5278733654507944E-2</v>
      </c>
      <c r="I2023" s="147">
        <v>3.57</v>
      </c>
      <c r="J2023" s="148">
        <v>1.1188817943668639</v>
      </c>
      <c r="K2023" s="149">
        <v>22</v>
      </c>
      <c r="L2023" s="149">
        <v>124.492</v>
      </c>
      <c r="M2023" s="136"/>
      <c r="N2023" s="135"/>
    </row>
    <row r="2024" spans="1:14" x14ac:dyDescent="0.25">
      <c r="A2024" s="142">
        <v>45772</v>
      </c>
      <c r="B2024" s="81" t="s">
        <v>62</v>
      </c>
      <c r="C2024" s="129" t="str">
        <f t="shared" si="64"/>
        <v>25.04.2025_VORuhSc</v>
      </c>
      <c r="D2024" s="143">
        <f t="shared" si="67"/>
        <v>0</v>
      </c>
      <c r="E2024" s="144">
        <v>-2.6973965002134131E-3</v>
      </c>
      <c r="F2024" s="159">
        <v>1.0523191992870615E-2</v>
      </c>
      <c r="G2024" s="146">
        <v>0.2678589022633267</v>
      </c>
      <c r="H2024" s="146">
        <v>4.49139710942877E-2</v>
      </c>
      <c r="I2024" s="147">
        <v>3.51</v>
      </c>
      <c r="J2024" s="148">
        <v>1.0144675175181064</v>
      </c>
      <c r="K2024" s="149">
        <v>22.984999999999999</v>
      </c>
      <c r="L2024" s="149">
        <v>110.07599999999999</v>
      </c>
      <c r="M2024" s="136"/>
      <c r="N2024" s="135"/>
    </row>
    <row r="2025" spans="1:14" x14ac:dyDescent="0.25">
      <c r="A2025" s="142">
        <v>45772</v>
      </c>
      <c r="B2025" s="81" t="s">
        <v>64</v>
      </c>
      <c r="C2025" s="129" t="str">
        <f t="shared" si="64"/>
        <v>25.04.2025_WITob</v>
      </c>
      <c r="D2025" s="143">
        <f t="shared" si="67"/>
        <v>0</v>
      </c>
      <c r="E2025" s="144">
        <v>-4.0460947503201334E-3</v>
      </c>
      <c r="F2025" s="159">
        <v>6.1900434719138493E-3</v>
      </c>
      <c r="G2025" s="146">
        <v>0.15329274527118092</v>
      </c>
      <c r="H2025" s="146">
        <v>0</v>
      </c>
      <c r="I2025" s="147">
        <v>1.2350000000000001</v>
      </c>
      <c r="J2025" s="148">
        <v>0.39797973377561924</v>
      </c>
      <c r="K2025" s="149">
        <v>57</v>
      </c>
      <c r="L2025" s="149">
        <v>220.49600000000001</v>
      </c>
      <c r="M2025" s="136"/>
      <c r="N2025" s="135"/>
    </row>
    <row r="2026" spans="1:14" x14ac:dyDescent="0.25">
      <c r="A2026" s="142">
        <v>45796</v>
      </c>
      <c r="B2026" s="81" t="s">
        <v>22</v>
      </c>
      <c r="C2026" s="129" t="str">
        <f t="shared" si="64"/>
        <v>19.05.2025_BOYkl</v>
      </c>
      <c r="D2026" s="143">
        <f t="shared" si="67"/>
        <v>0</v>
      </c>
      <c r="E2026" s="144">
        <v>0.22301571003183077</v>
      </c>
      <c r="F2026" s="159">
        <v>0.11105237373556393</v>
      </c>
      <c r="G2026" s="146">
        <v>4.9283060992743981E-2</v>
      </c>
      <c r="H2026" s="146">
        <v>0.12563064105531127</v>
      </c>
      <c r="I2026" s="147">
        <v>26</v>
      </c>
      <c r="J2026" s="148">
        <v>5.9491360526995454</v>
      </c>
      <c r="K2026" s="149">
        <v>23.718</v>
      </c>
      <c r="L2026" s="149">
        <v>47.856999999999999</v>
      </c>
      <c r="M2026" s="136"/>
      <c r="N2026" s="135"/>
    </row>
    <row r="2027" spans="1:14" x14ac:dyDescent="0.25">
      <c r="A2027" s="142">
        <v>45796</v>
      </c>
      <c r="B2027" s="81" t="s">
        <v>25</v>
      </c>
      <c r="C2027" s="129" t="str">
        <f t="shared" si="64"/>
        <v>19.05.2025_BOYohB224</v>
      </c>
      <c r="D2027" s="143">
        <f t="shared" si="67"/>
        <v>0</v>
      </c>
      <c r="E2027" s="144">
        <v>0.10137077728719585</v>
      </c>
      <c r="F2027" s="159">
        <v>1.0752869602823262E-2</v>
      </c>
      <c r="G2027" s="146">
        <v>0.21968550917104523</v>
      </c>
      <c r="H2027" s="146">
        <v>6.0531127053922697E-2</v>
      </c>
      <c r="I2027" s="147">
        <v>3.9390000000000001</v>
      </c>
      <c r="J2027" s="148">
        <v>1.0787142326477916</v>
      </c>
      <c r="K2027" s="149">
        <v>38.555</v>
      </c>
      <c r="L2027" s="149">
        <v>207.32</v>
      </c>
      <c r="M2027" s="136"/>
      <c r="N2027" s="135"/>
    </row>
    <row r="2028" spans="1:14" x14ac:dyDescent="0.25">
      <c r="A2028" s="142">
        <v>45796</v>
      </c>
      <c r="B2028" s="81" t="s">
        <v>28</v>
      </c>
      <c r="C2028" s="129" t="str">
        <f t="shared" si="64"/>
        <v>19.05.2025_BOYohBr</v>
      </c>
      <c r="D2028" s="143">
        <f t="shared" si="67"/>
        <v>0</v>
      </c>
      <c r="E2028" s="144">
        <v>1.6587945374268383E-2</v>
      </c>
      <c r="F2028" s="159">
        <v>1.4371639399288531E-2</v>
      </c>
      <c r="G2028" s="146">
        <v>0.21049714186731339</v>
      </c>
      <c r="H2028" s="146">
        <v>2.855241842166167E-2</v>
      </c>
      <c r="I2028" s="147">
        <v>8.7799999999999994</v>
      </c>
      <c r="J2028" s="148">
        <v>2.1552803094770248</v>
      </c>
      <c r="K2028" s="149">
        <v>19.879000000000001</v>
      </c>
      <c r="L2028" s="149">
        <v>75.673000000000002</v>
      </c>
      <c r="M2028" s="136"/>
      <c r="N2028" s="135"/>
    </row>
    <row r="2029" spans="1:14" x14ac:dyDescent="0.25">
      <c r="A2029" s="142">
        <v>45796</v>
      </c>
      <c r="B2029" s="81" t="s">
        <v>30</v>
      </c>
      <c r="C2029" s="129" t="str">
        <f t="shared" si="64"/>
        <v>19.05.2025_BOYohKi</v>
      </c>
      <c r="D2029" s="143">
        <f t="shared" si="67"/>
        <v>0</v>
      </c>
      <c r="E2029" s="144">
        <v>1.6587945374268383E-2</v>
      </c>
      <c r="F2029" s="159">
        <v>1.0927040378704556E-2</v>
      </c>
      <c r="G2029" s="146">
        <v>0.25059183555632542</v>
      </c>
      <c r="H2029" s="146">
        <v>3.9973385790326332E-2</v>
      </c>
      <c r="I2029" s="147">
        <v>4.6769999999999996</v>
      </c>
      <c r="J2029" s="148">
        <v>1.2631459416949959</v>
      </c>
      <c r="K2029" s="149">
        <v>28.777000000000001</v>
      </c>
      <c r="L2029" s="149">
        <v>134.36699999999999</v>
      </c>
      <c r="M2029" s="136"/>
      <c r="N2029" s="135"/>
    </row>
    <row r="2030" spans="1:14" x14ac:dyDescent="0.25">
      <c r="A2030" s="142">
        <v>45796</v>
      </c>
      <c r="B2030" s="81" t="s">
        <v>32</v>
      </c>
      <c r="C2030" s="129" t="str">
        <f t="shared" si="64"/>
        <v>19.05.2025_BOYohSp</v>
      </c>
      <c r="D2030" s="143">
        <f t="shared" si="67"/>
        <v>0</v>
      </c>
      <c r="E2030" s="144">
        <v>4.607762603963441E-2</v>
      </c>
      <c r="F2030" s="159">
        <v>1.9750867017007297E-2</v>
      </c>
      <c r="G2030" s="146">
        <v>0.25810959062301519</v>
      </c>
      <c r="H2030" s="146">
        <v>0.12106225410784539</v>
      </c>
      <c r="I2030" s="147">
        <v>7.5030000000000001</v>
      </c>
      <c r="J2030" s="148">
        <v>1.9319795292859985</v>
      </c>
      <c r="K2030" s="149">
        <v>25.3</v>
      </c>
      <c r="L2030" s="149">
        <v>89.962000000000003</v>
      </c>
      <c r="M2030" s="136"/>
      <c r="N2030" s="135"/>
    </row>
    <row r="2031" spans="1:14" x14ac:dyDescent="0.25">
      <c r="A2031" s="142">
        <v>45796</v>
      </c>
      <c r="B2031" s="81" t="s">
        <v>34</v>
      </c>
      <c r="C2031" s="129" t="str">
        <f t="shared" si="64"/>
        <v>19.05.2025_BOYuhHa</v>
      </c>
      <c r="D2031" s="143">
        <f t="shared" si="67"/>
        <v>0</v>
      </c>
      <c r="E2031" s="144">
        <v>9.2155252079268741E-3</v>
      </c>
      <c r="F2031" s="159">
        <v>1.084405671473215E-2</v>
      </c>
      <c r="G2031" s="146">
        <v>0.25810959062301519</v>
      </c>
      <c r="H2031" s="146">
        <v>3.0836611895394588E-2</v>
      </c>
      <c r="I2031" s="147">
        <v>4.88</v>
      </c>
      <c r="J2031" s="148">
        <v>1.3120533225144178</v>
      </c>
      <c r="K2031" s="149">
        <v>39.869999999999997</v>
      </c>
      <c r="L2031" s="149">
        <v>223.08099999999999</v>
      </c>
      <c r="M2031" s="136"/>
      <c r="N2031" s="135"/>
    </row>
    <row r="2032" spans="1:14" x14ac:dyDescent="0.25">
      <c r="A2032" s="142">
        <v>45796</v>
      </c>
      <c r="B2032" s="81" t="s">
        <v>36</v>
      </c>
      <c r="C2032" s="129" t="str">
        <f t="shared" si="64"/>
        <v>19.05.2025_BOYuhSp</v>
      </c>
      <c r="D2032" s="143">
        <f t="shared" si="67"/>
        <v>0</v>
      </c>
      <c r="E2032" s="144">
        <v>6.6351781497073603E-2</v>
      </c>
      <c r="F2032" s="159">
        <v>1.9114776993584943E-2</v>
      </c>
      <c r="G2032" s="146">
        <v>0.28818061088977426</v>
      </c>
      <c r="H2032" s="146">
        <v>9.0225642212450871E-2</v>
      </c>
      <c r="I2032" s="147">
        <v>6.9619999999999997</v>
      </c>
      <c r="J2032" s="148">
        <v>1.8237454993213813</v>
      </c>
      <c r="K2032" s="149">
        <v>23.460999999999999</v>
      </c>
      <c r="L2032" s="149">
        <v>89.203000000000003</v>
      </c>
      <c r="M2032" s="136"/>
      <c r="N2032" s="135"/>
    </row>
    <row r="2033" spans="1:14" x14ac:dyDescent="0.25">
      <c r="A2033" s="142">
        <v>45796</v>
      </c>
      <c r="B2033" s="81" t="s">
        <v>38</v>
      </c>
      <c r="C2033" s="129" t="str">
        <f t="shared" si="64"/>
        <v>19.05.2025_BRAob</v>
      </c>
      <c r="D2033" s="143">
        <f t="shared" si="67"/>
        <v>0</v>
      </c>
      <c r="E2033" s="144">
        <v>0</v>
      </c>
      <c r="F2033" s="159">
        <v>1.5862403878796245E-2</v>
      </c>
      <c r="G2033" s="146">
        <v>0.26228612121562056</v>
      </c>
      <c r="H2033" s="146">
        <v>2.3774664255345178E-17</v>
      </c>
      <c r="I2033" s="147">
        <v>2.5129999999999999</v>
      </c>
      <c r="J2033" s="148">
        <v>0.77127386026271716</v>
      </c>
      <c r="K2033" s="149">
        <v>34.271999999999998</v>
      </c>
      <c r="L2033" s="149">
        <v>119.96899999999999</v>
      </c>
      <c r="M2033" s="136"/>
      <c r="N2033" s="135"/>
    </row>
    <row r="2034" spans="1:14" x14ac:dyDescent="0.25">
      <c r="A2034" s="142">
        <v>45796</v>
      </c>
      <c r="B2034" s="81" t="s">
        <v>41</v>
      </c>
      <c r="C2034" s="129" t="str">
        <f t="shared" si="64"/>
        <v>19.05.2025_BRAohBo</v>
      </c>
      <c r="D2034" s="143">
        <f t="shared" si="67"/>
        <v>0</v>
      </c>
      <c r="E2034" s="144">
        <v>3.8367331011952385E-17</v>
      </c>
      <c r="F2034" s="159">
        <v>4.5039470709411632E-2</v>
      </c>
      <c r="G2034" s="146">
        <v>0.63733856843158754</v>
      </c>
      <c r="H2034" s="146">
        <v>0.1724566072668364</v>
      </c>
      <c r="I2034" s="147">
        <v>5.7830000000000004</v>
      </c>
      <c r="J2034" s="148">
        <v>1.8535976490838317</v>
      </c>
      <c r="K2034" s="149">
        <v>33.753999999999998</v>
      </c>
      <c r="L2034" s="149">
        <v>106.449</v>
      </c>
      <c r="M2034" s="136"/>
      <c r="N2034" s="135"/>
    </row>
    <row r="2035" spans="1:14" x14ac:dyDescent="0.25">
      <c r="A2035" s="142">
        <v>45796</v>
      </c>
      <c r="B2035" s="81" t="s">
        <v>43</v>
      </c>
      <c r="C2035" s="129" t="str">
        <f t="shared" si="64"/>
        <v>19.05.2025_HAAob</v>
      </c>
      <c r="D2035" s="143">
        <f t="shared" si="67"/>
        <v>0</v>
      </c>
      <c r="E2035" s="144">
        <v>0</v>
      </c>
      <c r="F2035" s="159">
        <v>1.4432260099000782E-2</v>
      </c>
      <c r="G2035" s="146">
        <v>0.13782550955597897</v>
      </c>
      <c r="H2035" s="146">
        <v>0</v>
      </c>
      <c r="I2035" s="147">
        <v>0.91800000000000004</v>
      </c>
      <c r="J2035" s="148">
        <v>0.31436878991512207</v>
      </c>
      <c r="K2035" s="149">
        <v>26.047000000000001</v>
      </c>
      <c r="L2035" s="149">
        <v>129.31100000000001</v>
      </c>
      <c r="M2035" s="136"/>
      <c r="N2035" s="135"/>
    </row>
    <row r="2036" spans="1:14" x14ac:dyDescent="0.25">
      <c r="A2036" s="142">
        <v>45796</v>
      </c>
      <c r="B2036" s="81" t="s">
        <v>45</v>
      </c>
      <c r="C2036" s="129" t="str">
        <f t="shared" si="64"/>
        <v>19.05.2025_HAAun</v>
      </c>
      <c r="D2036" s="143">
        <f t="shared" si="67"/>
        <v>0</v>
      </c>
      <c r="E2036" s="144">
        <v>0</v>
      </c>
      <c r="F2036" s="159">
        <v>1.4731335866840209E-2</v>
      </c>
      <c r="G2036" s="146">
        <v>0.18460265219315977</v>
      </c>
      <c r="H2036" s="146">
        <v>0</v>
      </c>
      <c r="I2036" s="147">
        <v>1.242</v>
      </c>
      <c r="J2036" s="148">
        <v>0.42387265340146663</v>
      </c>
      <c r="K2036" s="149">
        <v>32.070999999999998</v>
      </c>
      <c r="L2036" s="149">
        <v>245.506</v>
      </c>
      <c r="M2036" s="136"/>
      <c r="N2036" s="135"/>
    </row>
    <row r="2037" spans="1:14" x14ac:dyDescent="0.25">
      <c r="A2037" s="142">
        <v>45796</v>
      </c>
      <c r="B2037" s="81" t="s">
        <v>47</v>
      </c>
      <c r="C2037" s="129" t="str">
        <f t="shared" si="64"/>
        <v>19.05.2025_KIRob</v>
      </c>
      <c r="D2037" s="143">
        <f t="shared" si="67"/>
        <v>0</v>
      </c>
      <c r="E2037" s="144">
        <v>0</v>
      </c>
      <c r="F2037" s="159">
        <v>6.2174367194612187E-3</v>
      </c>
      <c r="G2037" s="146">
        <v>0.65738591527609358</v>
      </c>
      <c r="H2037" s="146">
        <v>0.12106225410784539</v>
      </c>
      <c r="I2037" s="147">
        <v>5.4989999999999997</v>
      </c>
      <c r="J2037" s="148">
        <v>1.7893701226158671</v>
      </c>
      <c r="K2037" s="149">
        <v>78.061000000000007</v>
      </c>
      <c r="L2037" s="149">
        <v>169.863</v>
      </c>
      <c r="M2037" s="136"/>
      <c r="N2037" s="135"/>
    </row>
    <row r="2038" spans="1:14" x14ac:dyDescent="0.25">
      <c r="A2038" s="142">
        <v>45796</v>
      </c>
      <c r="B2038" s="81" t="s">
        <v>49</v>
      </c>
      <c r="C2038" s="129" t="str">
        <f t="shared" si="64"/>
        <v>19.05.2025_KIRun</v>
      </c>
      <c r="D2038" s="143">
        <f t="shared" si="67"/>
        <v>0</v>
      </c>
      <c r="E2038" s="144">
        <v>1.1058630249512242E-2</v>
      </c>
      <c r="F2038" s="159">
        <v>7.0217225635951291E-3</v>
      </c>
      <c r="G2038" s="146">
        <v>0.24808591720076217</v>
      </c>
      <c r="H2038" s="146">
        <v>7.8804674843786185E-2</v>
      </c>
      <c r="I2038" s="147">
        <v>3.7730000000000001</v>
      </c>
      <c r="J2038" s="148">
        <v>1.0688358271034104</v>
      </c>
      <c r="K2038" s="149">
        <v>54.944000000000003</v>
      </c>
      <c r="L2038" s="149">
        <v>141.47200000000001</v>
      </c>
      <c r="M2038" s="136"/>
      <c r="N2038" s="135"/>
    </row>
    <row r="2039" spans="1:14" x14ac:dyDescent="0.25">
      <c r="A2039" s="142">
        <v>45796</v>
      </c>
      <c r="B2039" s="81" t="s">
        <v>50</v>
      </c>
      <c r="C2039" s="129" t="str">
        <f t="shared" si="64"/>
        <v>19.05.2025_LIEohBo</v>
      </c>
      <c r="D2039" s="143">
        <f t="shared" si="67"/>
        <v>0</v>
      </c>
      <c r="E2039" s="144">
        <v>1.8431050415853786E-2</v>
      </c>
      <c r="F2039" s="159">
        <v>1.0857695081489583E-2</v>
      </c>
      <c r="G2039" s="146">
        <v>0.11527224435590967</v>
      </c>
      <c r="H2039" s="146">
        <v>0</v>
      </c>
      <c r="I2039" s="147">
        <v>7.1109999999999998</v>
      </c>
      <c r="J2039" s="148">
        <v>1.69566931501992</v>
      </c>
      <c r="K2039" s="149">
        <v>19.920999999999999</v>
      </c>
      <c r="L2039" s="149">
        <v>89.046000000000006</v>
      </c>
      <c r="M2039" s="136"/>
      <c r="N2039" s="135"/>
    </row>
    <row r="2040" spans="1:14" x14ac:dyDescent="0.25">
      <c r="A2040" s="142">
        <v>45796</v>
      </c>
      <c r="B2040" s="81" t="s">
        <v>53</v>
      </c>
      <c r="C2040" s="129" t="str">
        <f t="shared" si="64"/>
        <v>19.05.2025_NATohBo</v>
      </c>
      <c r="D2040" s="143">
        <f t="shared" si="67"/>
        <v>0</v>
      </c>
      <c r="E2040" s="144">
        <v>3.6862100831707573E-2</v>
      </c>
      <c r="F2040" s="159">
        <v>1.1792688306835546E-2</v>
      </c>
      <c r="G2040" s="146">
        <v>0.41264122254941588</v>
      </c>
      <c r="H2040" s="146">
        <v>-1.1420967368664591E-3</v>
      </c>
      <c r="I2040" s="147">
        <v>3.4889999999999999</v>
      </c>
      <c r="J2040" s="148">
        <v>1.108124501545857</v>
      </c>
      <c r="K2040" s="149">
        <v>110.217</v>
      </c>
      <c r="L2040" s="149">
        <v>564.27700000000004</v>
      </c>
      <c r="M2040" s="136"/>
      <c r="N2040" s="135"/>
    </row>
    <row r="2041" spans="1:14" x14ac:dyDescent="0.25">
      <c r="A2041" s="142">
        <v>45796</v>
      </c>
      <c r="B2041" s="81" t="s">
        <v>55</v>
      </c>
      <c r="C2041" s="129" t="str">
        <f t="shared" si="64"/>
        <v>19.05.2025_QUAohBo</v>
      </c>
      <c r="D2041" s="143">
        <f t="shared" si="67"/>
        <v>0</v>
      </c>
      <c r="E2041" s="144">
        <v>6.6351781497073603E-2</v>
      </c>
      <c r="F2041" s="159">
        <v>1.0863083757395902E-2</v>
      </c>
      <c r="G2041" s="146">
        <v>0.31073387608984343</v>
      </c>
      <c r="H2041" s="146">
        <v>6.8525804211987978E-2</v>
      </c>
      <c r="I2041" s="147">
        <v>0.93500000000000005</v>
      </c>
      <c r="J2041" s="148">
        <v>0.47333287853734229</v>
      </c>
      <c r="K2041" s="149">
        <v>31.515000000000001</v>
      </c>
      <c r="L2041" s="149">
        <v>105.64</v>
      </c>
      <c r="M2041" s="136"/>
      <c r="N2041" s="135"/>
    </row>
    <row r="2042" spans="1:14" x14ac:dyDescent="0.25">
      <c r="A2042" s="142">
        <v>45796</v>
      </c>
      <c r="B2042" s="81" t="s">
        <v>356</v>
      </c>
      <c r="C2042" s="129" t="str">
        <f t="shared" ref="C2042:C2045" si="70">CONCATENATE(TEXT(A2042,"TT.MM.JJJJ"),"_",B2042)</f>
        <v>19.05.2025_ROTB</v>
      </c>
      <c r="D2042" s="143">
        <f t="shared" ref="D2042:D2045" si="71">COUNTBLANK(E2042:L2042)</f>
        <v>0</v>
      </c>
      <c r="E2042" s="144">
        <v>2.9489680665365992E-2</v>
      </c>
      <c r="F2042" s="159">
        <v>7.2759524314367384E-3</v>
      </c>
      <c r="G2042" s="146">
        <v>0.20966183574879232</v>
      </c>
      <c r="H2042" s="146">
        <v>-4.5683869474658608E-3</v>
      </c>
      <c r="I2042" s="147">
        <v>4.9240000000000004</v>
      </c>
      <c r="J2042" s="148">
        <v>1.2735933534344239</v>
      </c>
      <c r="K2042" s="149">
        <v>59.237000000000002</v>
      </c>
      <c r="L2042" s="149">
        <v>261.435</v>
      </c>
      <c r="M2042" s="136"/>
      <c r="N2042" s="135"/>
    </row>
    <row r="2043" spans="1:14" x14ac:dyDescent="0.25">
      <c r="A2043" s="142">
        <v>45796</v>
      </c>
      <c r="B2043" s="81" t="s">
        <v>57</v>
      </c>
      <c r="C2043" s="129" t="str">
        <f t="shared" si="70"/>
        <v>19.05.2025_SCHohVo</v>
      </c>
      <c r="D2043" s="143">
        <f t="shared" si="71"/>
        <v>0</v>
      </c>
      <c r="E2043" s="144">
        <v>0</v>
      </c>
      <c r="F2043" s="159">
        <v>2.2343609907770345E-2</v>
      </c>
      <c r="G2043" s="146">
        <v>0.14868448909675308</v>
      </c>
      <c r="H2043" s="146">
        <v>9.1367738949317458E-3</v>
      </c>
      <c r="I2043" s="147">
        <v>2.8250000000000002</v>
      </c>
      <c r="J2043" s="148">
        <v>0.75631645975104977</v>
      </c>
      <c r="K2043" s="149">
        <v>29.536999999999999</v>
      </c>
      <c r="L2043" s="149">
        <v>97.98</v>
      </c>
      <c r="M2043" s="136"/>
      <c r="N2043" s="135"/>
    </row>
    <row r="2044" spans="1:14" x14ac:dyDescent="0.25">
      <c r="A2044" s="142">
        <v>45796</v>
      </c>
      <c r="B2044" s="81" t="s">
        <v>357</v>
      </c>
      <c r="C2044" s="129" t="str">
        <f t="shared" si="70"/>
        <v>19.05.2025_SCHW</v>
      </c>
      <c r="D2044" s="143">
        <f t="shared" si="71"/>
        <v>0</v>
      </c>
      <c r="E2044" s="144">
        <v>3.8705205873292903E-2</v>
      </c>
      <c r="F2044" s="159">
        <v>7.5070275932228895E-3</v>
      </c>
      <c r="G2044" s="146">
        <v>0.22052081528956635</v>
      </c>
      <c r="H2044" s="146">
        <v>2.2841934737329421E-3</v>
      </c>
      <c r="I2044" s="147">
        <v>0.84099999999999997</v>
      </c>
      <c r="J2044" s="148">
        <v>0.36188430056727339</v>
      </c>
      <c r="K2044" s="149">
        <v>23.184000000000001</v>
      </c>
      <c r="L2044" s="149">
        <v>333.10700000000003</v>
      </c>
      <c r="M2044" s="136"/>
      <c r="N2044" s="135"/>
    </row>
    <row r="2045" spans="1:14" x14ac:dyDescent="0.25">
      <c r="A2045" s="142">
        <v>45796</v>
      </c>
      <c r="B2045" s="81" t="s">
        <v>358</v>
      </c>
      <c r="C2045" s="129" t="str">
        <f t="shared" si="70"/>
        <v>19.05.2025_SPE</v>
      </c>
      <c r="D2045" s="143">
        <f t="shared" si="71"/>
        <v>0</v>
      </c>
      <c r="E2045" s="144">
        <v>0.12901735291097646</v>
      </c>
      <c r="F2045" s="159">
        <v>2.9139226065176303E-2</v>
      </c>
      <c r="G2045" s="146">
        <v>0.11026040764478323</v>
      </c>
      <c r="H2045" s="146">
        <v>3.8831289053459873E-2</v>
      </c>
      <c r="I2045" s="147">
        <v>5.1719999999999997</v>
      </c>
      <c r="J2045" s="148">
        <v>1.2656379298844234</v>
      </c>
      <c r="K2045" s="149">
        <v>28.145</v>
      </c>
      <c r="L2045" s="149">
        <v>102.599</v>
      </c>
      <c r="M2045" s="136"/>
      <c r="N2045" s="135"/>
    </row>
    <row r="2046" spans="1:14" x14ac:dyDescent="0.25">
      <c r="A2046" s="142">
        <v>45796</v>
      </c>
      <c r="B2046" s="81" t="s">
        <v>60</v>
      </c>
      <c r="C2046" s="129" t="str">
        <f t="shared" si="64"/>
        <v>19.05.2025_VORohBo</v>
      </c>
      <c r="D2046" s="143">
        <f t="shared" si="67"/>
        <v>0</v>
      </c>
      <c r="E2046" s="144">
        <v>2.9489680665366069E-2</v>
      </c>
      <c r="F2046" s="159">
        <v>6.0186554025156236E-3</v>
      </c>
      <c r="G2046" s="146">
        <v>0.38758203899378335</v>
      </c>
      <c r="H2046" s="146">
        <v>3.8831289053459873E-2</v>
      </c>
      <c r="I2046" s="147">
        <v>1.5309999999999999</v>
      </c>
      <c r="J2046" s="148">
        <v>0.65858273341060869</v>
      </c>
      <c r="K2046" s="149">
        <v>30.797999999999998</v>
      </c>
      <c r="L2046" s="149">
        <v>201.60499999999999</v>
      </c>
      <c r="M2046" s="136"/>
      <c r="N2046" s="135"/>
    </row>
    <row r="2047" spans="1:14" x14ac:dyDescent="0.25">
      <c r="A2047" s="142">
        <v>45796</v>
      </c>
      <c r="B2047" s="81" t="s">
        <v>62</v>
      </c>
      <c r="C2047" s="129" t="str">
        <f t="shared" si="64"/>
        <v>19.05.2025_VORuhSc</v>
      </c>
      <c r="D2047" s="143">
        <f t="shared" si="67"/>
        <v>0</v>
      </c>
      <c r="E2047" s="144">
        <v>0</v>
      </c>
      <c r="F2047" s="159">
        <v>4.888227161577721E-3</v>
      </c>
      <c r="G2047" s="146">
        <v>0.37421714109744597</v>
      </c>
      <c r="H2047" s="146">
        <v>1.1420967368664688E-2</v>
      </c>
      <c r="I2047" s="147">
        <v>1.075</v>
      </c>
      <c r="J2047" s="148">
        <v>0.53686323140614578</v>
      </c>
      <c r="K2047" s="149">
        <v>31.158000000000001</v>
      </c>
      <c r="L2047" s="149">
        <v>216.13399999999999</v>
      </c>
      <c r="M2047" s="136"/>
      <c r="N2047" s="135"/>
    </row>
    <row r="2048" spans="1:14" x14ac:dyDescent="0.25">
      <c r="A2048" s="142">
        <v>45796</v>
      </c>
      <c r="B2048" s="81" t="s">
        <v>64</v>
      </c>
      <c r="C2048" s="129" t="str">
        <f t="shared" ref="C2048" si="72">CONCATENATE(TEXT(A2048,"TT.MM.JJJJ"),"_",B2048)</f>
        <v>19.05.2025_WITob</v>
      </c>
      <c r="D2048" s="143">
        <f t="shared" si="67"/>
        <v>0</v>
      </c>
      <c r="E2048" s="144">
        <v>0</v>
      </c>
      <c r="F2048" s="159">
        <v>6.4336877048059406E-3</v>
      </c>
      <c r="G2048" s="146">
        <v>0.25894489674153626</v>
      </c>
      <c r="H2048" s="146">
        <v>0</v>
      </c>
      <c r="I2048" s="147">
        <v>0.57799999999999996</v>
      </c>
      <c r="J2048" s="148">
        <v>0.33162098287083552</v>
      </c>
      <c r="K2048" s="149">
        <v>73.394999999999996</v>
      </c>
      <c r="L2048" s="149">
        <v>278.30900000000003</v>
      </c>
      <c r="M2048" s="136"/>
      <c r="N2048" s="135"/>
    </row>
    <row r="2049" spans="1:1" x14ac:dyDescent="0.25">
      <c r="A2049" s="59"/>
    </row>
    <row r="2050" spans="1:1" x14ac:dyDescent="0.25">
      <c r="A2050" s="59"/>
    </row>
    <row r="2051" spans="1:1" x14ac:dyDescent="0.25">
      <c r="A2051" s="59"/>
    </row>
    <row r="2052" spans="1:1" x14ac:dyDescent="0.25">
      <c r="A2052" s="59"/>
    </row>
    <row r="2053" spans="1:1" x14ac:dyDescent="0.25">
      <c r="A2053" s="59"/>
    </row>
    <row r="2054" spans="1:1" x14ac:dyDescent="0.25">
      <c r="A2054" s="59"/>
    </row>
    <row r="2055" spans="1:1" x14ac:dyDescent="0.25">
      <c r="A2055" s="59"/>
    </row>
    <row r="2056" spans="1:1" x14ac:dyDescent="0.25">
      <c r="A2056" s="59"/>
    </row>
    <row r="2057" spans="1:1" x14ac:dyDescent="0.25">
      <c r="A2057" s="59"/>
    </row>
    <row r="2058" spans="1:1" x14ac:dyDescent="0.25">
      <c r="A2058" s="59"/>
    </row>
    <row r="2059" spans="1:1" x14ac:dyDescent="0.25">
      <c r="A2059" s="59"/>
    </row>
    <row r="2060" spans="1:1" x14ac:dyDescent="0.25">
      <c r="A2060" s="59"/>
    </row>
    <row r="2061" spans="1:1" x14ac:dyDescent="0.25">
      <c r="A2061" s="59"/>
    </row>
    <row r="2062" spans="1:1" x14ac:dyDescent="0.25">
      <c r="A2062" s="59"/>
    </row>
    <row r="2063" spans="1:1" x14ac:dyDescent="0.25">
      <c r="A2063" s="59"/>
    </row>
    <row r="2064" spans="1:1" x14ac:dyDescent="0.25">
      <c r="A2064" s="59"/>
    </row>
    <row r="2065" spans="1:1" x14ac:dyDescent="0.25">
      <c r="A2065" s="59"/>
    </row>
    <row r="2066" spans="1:1" x14ac:dyDescent="0.25">
      <c r="A2066" s="59"/>
    </row>
    <row r="2067" spans="1:1" x14ac:dyDescent="0.25">
      <c r="A2067" s="59"/>
    </row>
    <row r="2068" spans="1:1" x14ac:dyDescent="0.25">
      <c r="A2068" s="59"/>
    </row>
    <row r="2069" spans="1:1" x14ac:dyDescent="0.25">
      <c r="A2069" s="59"/>
    </row>
    <row r="2070" spans="1:1" x14ac:dyDescent="0.25">
      <c r="A2070" s="59"/>
    </row>
    <row r="2071" spans="1:1" x14ac:dyDescent="0.25">
      <c r="A2071" s="59"/>
    </row>
    <row r="2072" spans="1:1" x14ac:dyDescent="0.25">
      <c r="A2072" s="59"/>
    </row>
    <row r="2073" spans="1:1" x14ac:dyDescent="0.25">
      <c r="A2073" s="59"/>
    </row>
    <row r="2074" spans="1:1" x14ac:dyDescent="0.25">
      <c r="A2074" s="59"/>
    </row>
    <row r="2075" spans="1:1" x14ac:dyDescent="0.25">
      <c r="A2075" s="59"/>
    </row>
    <row r="2076" spans="1:1" x14ac:dyDescent="0.25">
      <c r="A2076" s="59"/>
    </row>
    <row r="2077" spans="1:1" x14ac:dyDescent="0.25">
      <c r="A2077" s="59"/>
    </row>
    <row r="2078" spans="1:1" x14ac:dyDescent="0.25">
      <c r="A2078" s="59"/>
    </row>
    <row r="2079" spans="1:1" x14ac:dyDescent="0.25">
      <c r="A2079" s="59"/>
    </row>
    <row r="2080" spans="1:1" x14ac:dyDescent="0.25">
      <c r="A2080" s="59"/>
    </row>
    <row r="2081" spans="1:1" x14ac:dyDescent="0.25">
      <c r="A2081" s="59"/>
    </row>
    <row r="2082" spans="1:1" x14ac:dyDescent="0.25">
      <c r="A2082" s="59"/>
    </row>
    <row r="2083" spans="1:1" x14ac:dyDescent="0.25">
      <c r="A2083" s="59"/>
    </row>
    <row r="2084" spans="1:1" x14ac:dyDescent="0.25">
      <c r="A2084" s="59"/>
    </row>
    <row r="2085" spans="1:1" x14ac:dyDescent="0.25">
      <c r="A2085" s="59"/>
    </row>
    <row r="2086" spans="1:1" x14ac:dyDescent="0.25">
      <c r="A2086" s="59"/>
    </row>
    <row r="2087" spans="1:1" x14ac:dyDescent="0.25">
      <c r="A2087" s="59"/>
    </row>
    <row r="2088" spans="1:1" x14ac:dyDescent="0.25">
      <c r="A2088" s="59"/>
    </row>
    <row r="2089" spans="1:1" x14ac:dyDescent="0.25">
      <c r="A2089" s="59"/>
    </row>
    <row r="2090" spans="1:1" x14ac:dyDescent="0.25">
      <c r="A2090" s="59"/>
    </row>
    <row r="2091" spans="1:1" x14ac:dyDescent="0.25">
      <c r="A2091" s="59"/>
    </row>
    <row r="2092" spans="1:1" x14ac:dyDescent="0.25">
      <c r="A2092" s="59"/>
    </row>
    <row r="2093" spans="1:1" x14ac:dyDescent="0.25">
      <c r="A2093" s="59"/>
    </row>
    <row r="2094" spans="1:1" x14ac:dyDescent="0.25">
      <c r="A2094" s="59"/>
    </row>
    <row r="2095" spans="1:1" x14ac:dyDescent="0.25">
      <c r="A2095" s="59"/>
    </row>
    <row r="2096" spans="1:1" x14ac:dyDescent="0.25">
      <c r="A2096" s="59"/>
    </row>
    <row r="2097" spans="1:1" x14ac:dyDescent="0.25">
      <c r="A2097" s="59"/>
    </row>
    <row r="2098" spans="1:1" x14ac:dyDescent="0.25">
      <c r="A2098" s="59"/>
    </row>
    <row r="2099" spans="1:1" x14ac:dyDescent="0.25">
      <c r="A2099" s="59"/>
    </row>
    <row r="2100" spans="1:1" x14ac:dyDescent="0.25">
      <c r="A2100" s="59"/>
    </row>
    <row r="2101" spans="1:1" x14ac:dyDescent="0.25">
      <c r="A2101" s="59"/>
    </row>
    <row r="2102" spans="1:1" x14ac:dyDescent="0.25">
      <c r="A2102" s="59"/>
    </row>
    <row r="2103" spans="1:1" x14ac:dyDescent="0.25">
      <c r="A2103" s="59"/>
    </row>
    <row r="2104" spans="1:1" x14ac:dyDescent="0.25">
      <c r="A2104" s="59"/>
    </row>
    <row r="2105" spans="1:1" x14ac:dyDescent="0.25">
      <c r="A2105" s="59"/>
    </row>
    <row r="2106" spans="1:1" x14ac:dyDescent="0.25">
      <c r="A2106" s="59"/>
    </row>
    <row r="2107" spans="1:1" x14ac:dyDescent="0.25">
      <c r="A2107" s="59"/>
    </row>
    <row r="2108" spans="1:1" x14ac:dyDescent="0.25">
      <c r="A2108" s="59"/>
    </row>
    <row r="2109" spans="1:1" x14ac:dyDescent="0.25">
      <c r="A2109" s="59"/>
    </row>
    <row r="2110" spans="1:1" x14ac:dyDescent="0.25">
      <c r="A2110" s="59"/>
    </row>
    <row r="2111" spans="1:1" x14ac:dyDescent="0.25">
      <c r="A2111" s="59"/>
    </row>
    <row r="2112" spans="1:1" x14ac:dyDescent="0.25">
      <c r="A2112" s="59"/>
    </row>
    <row r="2113" spans="1:1" x14ac:dyDescent="0.25">
      <c r="A2113" s="59"/>
    </row>
    <row r="2114" spans="1:1" x14ac:dyDescent="0.25">
      <c r="A2114" s="59"/>
    </row>
    <row r="2115" spans="1:1" x14ac:dyDescent="0.25">
      <c r="A2115" s="59"/>
    </row>
    <row r="2116" spans="1:1" x14ac:dyDescent="0.25">
      <c r="A2116" s="59"/>
    </row>
    <row r="2117" spans="1:1" x14ac:dyDescent="0.25">
      <c r="A2117" s="59"/>
    </row>
    <row r="2118" spans="1:1" x14ac:dyDescent="0.25">
      <c r="A2118" s="59"/>
    </row>
    <row r="2119" spans="1:1" x14ac:dyDescent="0.25">
      <c r="A2119" s="59"/>
    </row>
    <row r="2120" spans="1:1" x14ac:dyDescent="0.25">
      <c r="A2120" s="59"/>
    </row>
    <row r="2121" spans="1:1" x14ac:dyDescent="0.25">
      <c r="A2121" s="59"/>
    </row>
    <row r="2122" spans="1:1" x14ac:dyDescent="0.25">
      <c r="A2122" s="59"/>
    </row>
    <row r="2123" spans="1:1" x14ac:dyDescent="0.25">
      <c r="A2123" s="59"/>
    </row>
    <row r="2124" spans="1:1" x14ac:dyDescent="0.25">
      <c r="A2124" s="59"/>
    </row>
    <row r="2125" spans="1:1" x14ac:dyDescent="0.25">
      <c r="A2125" s="59"/>
    </row>
    <row r="2126" spans="1:1" x14ac:dyDescent="0.25">
      <c r="A2126" s="59"/>
    </row>
    <row r="2127" spans="1:1" x14ac:dyDescent="0.25">
      <c r="A2127" s="59"/>
    </row>
    <row r="2128" spans="1:1" x14ac:dyDescent="0.25">
      <c r="A2128" s="59"/>
    </row>
    <row r="2129" spans="1:1" x14ac:dyDescent="0.25">
      <c r="A2129" s="59"/>
    </row>
    <row r="2130" spans="1:1" x14ac:dyDescent="0.25">
      <c r="A2130" s="59"/>
    </row>
    <row r="2131" spans="1:1" x14ac:dyDescent="0.25">
      <c r="A2131" s="59"/>
    </row>
    <row r="2132" spans="1:1" x14ac:dyDescent="0.25">
      <c r="A2132" s="59"/>
    </row>
    <row r="2133" spans="1:1" x14ac:dyDescent="0.25">
      <c r="A2133" s="59"/>
    </row>
    <row r="2134" spans="1:1" x14ac:dyDescent="0.25">
      <c r="A2134" s="59"/>
    </row>
    <row r="2135" spans="1:1" x14ac:dyDescent="0.25">
      <c r="A2135" s="59"/>
    </row>
    <row r="2136" spans="1:1" x14ac:dyDescent="0.25">
      <c r="A2136" s="59"/>
    </row>
    <row r="2137" spans="1:1" x14ac:dyDescent="0.25">
      <c r="A2137" s="59"/>
    </row>
    <row r="2138" spans="1:1" x14ac:dyDescent="0.25">
      <c r="A2138" s="59"/>
    </row>
    <row r="2139" spans="1:1" x14ac:dyDescent="0.25">
      <c r="A2139" s="59"/>
    </row>
    <row r="2140" spans="1:1" x14ac:dyDescent="0.25">
      <c r="A2140" s="59"/>
    </row>
    <row r="2141" spans="1:1" x14ac:dyDescent="0.25">
      <c r="A2141" s="59"/>
    </row>
    <row r="2142" spans="1:1" x14ac:dyDescent="0.25">
      <c r="A2142" s="59"/>
    </row>
    <row r="2143" spans="1:1" x14ac:dyDescent="0.25">
      <c r="A2143" s="59"/>
    </row>
    <row r="2144" spans="1:1" x14ac:dyDescent="0.25">
      <c r="A2144" s="59"/>
    </row>
    <row r="2145" spans="1:1" x14ac:dyDescent="0.25">
      <c r="A2145" s="59"/>
    </row>
    <row r="2146" spans="1:1" x14ac:dyDescent="0.25">
      <c r="A2146" s="59"/>
    </row>
    <row r="2147" spans="1:1" x14ac:dyDescent="0.25">
      <c r="A2147" s="59"/>
    </row>
    <row r="2148" spans="1:1" x14ac:dyDescent="0.25">
      <c r="A2148" s="59"/>
    </row>
    <row r="2149" spans="1:1" x14ac:dyDescent="0.25">
      <c r="A2149" s="59"/>
    </row>
    <row r="2150" spans="1:1" x14ac:dyDescent="0.25">
      <c r="A2150" s="59"/>
    </row>
    <row r="2151" spans="1:1" x14ac:dyDescent="0.25">
      <c r="A2151" s="59"/>
    </row>
    <row r="2152" spans="1:1" x14ac:dyDescent="0.25">
      <c r="A2152" s="59"/>
    </row>
    <row r="2153" spans="1:1" x14ac:dyDescent="0.25">
      <c r="A2153" s="59"/>
    </row>
    <row r="2154" spans="1:1" x14ac:dyDescent="0.25">
      <c r="A2154" s="59"/>
    </row>
    <row r="2155" spans="1:1" x14ac:dyDescent="0.25">
      <c r="A2155" s="59"/>
    </row>
    <row r="2156" spans="1:1" x14ac:dyDescent="0.25">
      <c r="A2156" s="59"/>
    </row>
    <row r="2157" spans="1:1" x14ac:dyDescent="0.25">
      <c r="A2157" s="59"/>
    </row>
    <row r="2158" spans="1:1" x14ac:dyDescent="0.25">
      <c r="A2158" s="59"/>
    </row>
    <row r="2159" spans="1:1" x14ac:dyDescent="0.25">
      <c r="A2159" s="59"/>
    </row>
    <row r="2160" spans="1:1" x14ac:dyDescent="0.25">
      <c r="A2160" s="59"/>
    </row>
    <row r="2161" spans="1:1" x14ac:dyDescent="0.25">
      <c r="A2161" s="59"/>
    </row>
    <row r="2162" spans="1:1" x14ac:dyDescent="0.25">
      <c r="A2162" s="59"/>
    </row>
    <row r="2163" spans="1:1" x14ac:dyDescent="0.25">
      <c r="A2163" s="59"/>
    </row>
    <row r="2164" spans="1:1" x14ac:dyDescent="0.25">
      <c r="A2164" s="59"/>
    </row>
    <row r="2165" spans="1:1" x14ac:dyDescent="0.25">
      <c r="A2165" s="59"/>
    </row>
    <row r="2166" spans="1:1" x14ac:dyDescent="0.25">
      <c r="A2166" s="59"/>
    </row>
    <row r="2167" spans="1:1" x14ac:dyDescent="0.25">
      <c r="A2167" s="59"/>
    </row>
    <row r="2168" spans="1:1" x14ac:dyDescent="0.25">
      <c r="A2168" s="59"/>
    </row>
    <row r="2169" spans="1:1" x14ac:dyDescent="0.25">
      <c r="A2169" s="59"/>
    </row>
    <row r="2170" spans="1:1" x14ac:dyDescent="0.25">
      <c r="A2170" s="59"/>
    </row>
    <row r="2171" spans="1:1" x14ac:dyDescent="0.25">
      <c r="A2171" s="59"/>
    </row>
    <row r="2172" spans="1:1" x14ac:dyDescent="0.25">
      <c r="A2172" s="59"/>
    </row>
    <row r="2173" spans="1:1" x14ac:dyDescent="0.25">
      <c r="A2173" s="59"/>
    </row>
    <row r="2174" spans="1:1" x14ac:dyDescent="0.25">
      <c r="A2174" s="59"/>
    </row>
    <row r="2175" spans="1:1" x14ac:dyDescent="0.25">
      <c r="A2175" s="59"/>
    </row>
    <row r="2176" spans="1:1" x14ac:dyDescent="0.25">
      <c r="A2176" s="59"/>
    </row>
    <row r="2177" spans="1:1" x14ac:dyDescent="0.25">
      <c r="A2177" s="59"/>
    </row>
    <row r="2178" spans="1:1" x14ac:dyDescent="0.25">
      <c r="A2178" s="59"/>
    </row>
    <row r="2179" spans="1:1" x14ac:dyDescent="0.25">
      <c r="A2179" s="59"/>
    </row>
    <row r="2180" spans="1:1" x14ac:dyDescent="0.25">
      <c r="A2180" s="59"/>
    </row>
    <row r="2181" spans="1:1" x14ac:dyDescent="0.25">
      <c r="A2181" s="59"/>
    </row>
    <row r="2182" spans="1:1" x14ac:dyDescent="0.25">
      <c r="A2182" s="59"/>
    </row>
    <row r="2183" spans="1:1" x14ac:dyDescent="0.25">
      <c r="A2183" s="59"/>
    </row>
    <row r="2184" spans="1:1" x14ac:dyDescent="0.25">
      <c r="A2184" s="59"/>
    </row>
    <row r="2185" spans="1:1" x14ac:dyDescent="0.25">
      <c r="A2185" s="59"/>
    </row>
    <row r="2186" spans="1:1" x14ac:dyDescent="0.25">
      <c r="A2186" s="59"/>
    </row>
    <row r="2187" spans="1:1" x14ac:dyDescent="0.25">
      <c r="A2187" s="59"/>
    </row>
    <row r="2188" spans="1:1" x14ac:dyDescent="0.25">
      <c r="A2188" s="59"/>
    </row>
    <row r="2189" spans="1:1" x14ac:dyDescent="0.25">
      <c r="A2189" s="59"/>
    </row>
    <row r="2190" spans="1:1" x14ac:dyDescent="0.25">
      <c r="A2190" s="59"/>
    </row>
    <row r="2191" spans="1:1" x14ac:dyDescent="0.25">
      <c r="A2191" s="59"/>
    </row>
    <row r="2192" spans="1:1" x14ac:dyDescent="0.25">
      <c r="A2192" s="59"/>
    </row>
    <row r="2193" spans="1:1" x14ac:dyDescent="0.25">
      <c r="A2193" s="59"/>
    </row>
    <row r="2194" spans="1:1" x14ac:dyDescent="0.25">
      <c r="A2194" s="59"/>
    </row>
    <row r="2195" spans="1:1" x14ac:dyDescent="0.25">
      <c r="A2195" s="59"/>
    </row>
    <row r="2196" spans="1:1" x14ac:dyDescent="0.25">
      <c r="A2196" s="59"/>
    </row>
    <row r="2197" spans="1:1" x14ac:dyDescent="0.25">
      <c r="A2197" s="59"/>
    </row>
    <row r="2198" spans="1:1" x14ac:dyDescent="0.25">
      <c r="A2198" s="59"/>
    </row>
    <row r="2199" spans="1:1" x14ac:dyDescent="0.25">
      <c r="A2199" s="59"/>
    </row>
    <row r="2200" spans="1:1" x14ac:dyDescent="0.25">
      <c r="A2200" s="59"/>
    </row>
    <row r="2201" spans="1:1" x14ac:dyDescent="0.25">
      <c r="A2201" s="59"/>
    </row>
    <row r="2202" spans="1:1" x14ac:dyDescent="0.25">
      <c r="A2202" s="59"/>
    </row>
    <row r="2203" spans="1:1" x14ac:dyDescent="0.25">
      <c r="A2203" s="59"/>
    </row>
    <row r="2204" spans="1:1" x14ac:dyDescent="0.25">
      <c r="A2204" s="59"/>
    </row>
    <row r="2205" spans="1:1" x14ac:dyDescent="0.25">
      <c r="A2205" s="59"/>
    </row>
    <row r="2206" spans="1:1" x14ac:dyDescent="0.25">
      <c r="A2206" s="59"/>
    </row>
    <row r="2207" spans="1:1" x14ac:dyDescent="0.25">
      <c r="A2207" s="59"/>
    </row>
    <row r="2208" spans="1:1" x14ac:dyDescent="0.25">
      <c r="A2208" s="59"/>
    </row>
    <row r="2209" spans="1:1" x14ac:dyDescent="0.25">
      <c r="A2209" s="59"/>
    </row>
    <row r="2210" spans="1:1" x14ac:dyDescent="0.25">
      <c r="A2210" s="59"/>
    </row>
    <row r="2211" spans="1:1" x14ac:dyDescent="0.25">
      <c r="A2211" s="59"/>
    </row>
    <row r="2212" spans="1:1" x14ac:dyDescent="0.25">
      <c r="A2212" s="59"/>
    </row>
    <row r="2213" spans="1:1" x14ac:dyDescent="0.25">
      <c r="A2213" s="59"/>
    </row>
    <row r="2214" spans="1:1" x14ac:dyDescent="0.25">
      <c r="A2214" s="59"/>
    </row>
    <row r="2215" spans="1:1" x14ac:dyDescent="0.25">
      <c r="A2215" s="59"/>
    </row>
    <row r="2216" spans="1:1" x14ac:dyDescent="0.25">
      <c r="A2216" s="59"/>
    </row>
    <row r="2217" spans="1:1" x14ac:dyDescent="0.25">
      <c r="A2217" s="59"/>
    </row>
    <row r="2218" spans="1:1" x14ac:dyDescent="0.25">
      <c r="A2218" s="59"/>
    </row>
    <row r="2219" spans="1:1" x14ac:dyDescent="0.25">
      <c r="A2219" s="59"/>
    </row>
    <row r="2220" spans="1:1" x14ac:dyDescent="0.25">
      <c r="A2220" s="59"/>
    </row>
    <row r="2221" spans="1:1" x14ac:dyDescent="0.25">
      <c r="A2221" s="59"/>
    </row>
    <row r="2222" spans="1:1" x14ac:dyDescent="0.25">
      <c r="A2222" s="59"/>
    </row>
    <row r="2223" spans="1:1" x14ac:dyDescent="0.25">
      <c r="A2223" s="59"/>
    </row>
    <row r="2224" spans="1:1" x14ac:dyDescent="0.25">
      <c r="A2224" s="59"/>
    </row>
    <row r="2225" spans="1:1" x14ac:dyDescent="0.25">
      <c r="A2225" s="59"/>
    </row>
    <row r="2226" spans="1:1" x14ac:dyDescent="0.25">
      <c r="A2226" s="59"/>
    </row>
    <row r="2227" spans="1:1" x14ac:dyDescent="0.25">
      <c r="A2227" s="59"/>
    </row>
    <row r="2228" spans="1:1" x14ac:dyDescent="0.25">
      <c r="A2228" s="59"/>
    </row>
    <row r="2229" spans="1:1" x14ac:dyDescent="0.25">
      <c r="A2229" s="59"/>
    </row>
    <row r="2230" spans="1:1" x14ac:dyDescent="0.25">
      <c r="A2230" s="59"/>
    </row>
    <row r="2231" spans="1:1" x14ac:dyDescent="0.25">
      <c r="A2231" s="59"/>
    </row>
    <row r="2232" spans="1:1" x14ac:dyDescent="0.25">
      <c r="A2232" s="59"/>
    </row>
    <row r="2233" spans="1:1" x14ac:dyDescent="0.25">
      <c r="A2233" s="59"/>
    </row>
    <row r="2234" spans="1:1" x14ac:dyDescent="0.25">
      <c r="A2234" s="59"/>
    </row>
    <row r="2235" spans="1:1" x14ac:dyDescent="0.25">
      <c r="A2235" s="59"/>
    </row>
    <row r="2236" spans="1:1" x14ac:dyDescent="0.25">
      <c r="A2236" s="59"/>
    </row>
    <row r="2237" spans="1:1" x14ac:dyDescent="0.25">
      <c r="A2237" s="59"/>
    </row>
    <row r="2238" spans="1:1" x14ac:dyDescent="0.25">
      <c r="A2238" s="59"/>
    </row>
    <row r="2239" spans="1:1" x14ac:dyDescent="0.25">
      <c r="A2239" s="59"/>
    </row>
    <row r="2240" spans="1:1" x14ac:dyDescent="0.25">
      <c r="A2240" s="59"/>
    </row>
    <row r="2241" spans="1:1" x14ac:dyDescent="0.25">
      <c r="A2241" s="59"/>
    </row>
    <row r="2242" spans="1:1" x14ac:dyDescent="0.25">
      <c r="A2242" s="59"/>
    </row>
    <row r="2243" spans="1:1" x14ac:dyDescent="0.25">
      <c r="A2243" s="59"/>
    </row>
    <row r="2244" spans="1:1" x14ac:dyDescent="0.25">
      <c r="A2244" s="59"/>
    </row>
    <row r="2245" spans="1:1" x14ac:dyDescent="0.25">
      <c r="A2245" s="59"/>
    </row>
    <row r="2246" spans="1:1" x14ac:dyDescent="0.25">
      <c r="A2246" s="59"/>
    </row>
    <row r="2247" spans="1:1" x14ac:dyDescent="0.25">
      <c r="A2247" s="59"/>
    </row>
    <row r="2248" spans="1:1" x14ac:dyDescent="0.25">
      <c r="A2248" s="59"/>
    </row>
    <row r="2249" spans="1:1" x14ac:dyDescent="0.25">
      <c r="A2249" s="59"/>
    </row>
    <row r="2250" spans="1:1" x14ac:dyDescent="0.25">
      <c r="A2250" s="59"/>
    </row>
    <row r="2251" spans="1:1" x14ac:dyDescent="0.25">
      <c r="A2251" s="59"/>
    </row>
    <row r="2252" spans="1:1" x14ac:dyDescent="0.25">
      <c r="A2252" s="59"/>
    </row>
    <row r="2253" spans="1:1" x14ac:dyDescent="0.25">
      <c r="A2253" s="59"/>
    </row>
    <row r="2254" spans="1:1" x14ac:dyDescent="0.25">
      <c r="A2254" s="59"/>
    </row>
    <row r="2255" spans="1:1" x14ac:dyDescent="0.25">
      <c r="A2255" s="59"/>
    </row>
    <row r="2256" spans="1:1" x14ac:dyDescent="0.25">
      <c r="A2256" s="59"/>
    </row>
    <row r="2257" spans="1:1" x14ac:dyDescent="0.25">
      <c r="A2257" s="59"/>
    </row>
    <row r="2258" spans="1:1" x14ac:dyDescent="0.25">
      <c r="A2258" s="59"/>
    </row>
    <row r="2259" spans="1:1" x14ac:dyDescent="0.25">
      <c r="A2259" s="59"/>
    </row>
    <row r="2260" spans="1:1" x14ac:dyDescent="0.25">
      <c r="A2260" s="59"/>
    </row>
    <row r="2261" spans="1:1" x14ac:dyDescent="0.25">
      <c r="A2261" s="59"/>
    </row>
    <row r="2262" spans="1:1" x14ac:dyDescent="0.25">
      <c r="A2262" s="59"/>
    </row>
    <row r="2263" spans="1:1" x14ac:dyDescent="0.25">
      <c r="A2263" s="59"/>
    </row>
    <row r="2264" spans="1:1" x14ac:dyDescent="0.25">
      <c r="A2264" s="59"/>
    </row>
    <row r="2265" spans="1:1" x14ac:dyDescent="0.25">
      <c r="A2265" s="59"/>
    </row>
    <row r="2266" spans="1:1" x14ac:dyDescent="0.25">
      <c r="A2266" s="59"/>
    </row>
    <row r="2267" spans="1:1" x14ac:dyDescent="0.25">
      <c r="A2267" s="59"/>
    </row>
    <row r="2268" spans="1:1" x14ac:dyDescent="0.25">
      <c r="A2268" s="59"/>
    </row>
    <row r="2269" spans="1:1" x14ac:dyDescent="0.25">
      <c r="A2269" s="59"/>
    </row>
    <row r="2270" spans="1:1" x14ac:dyDescent="0.25">
      <c r="A2270" s="59"/>
    </row>
    <row r="2271" spans="1:1" x14ac:dyDescent="0.25">
      <c r="A2271" s="59"/>
    </row>
    <row r="2272" spans="1:1" x14ac:dyDescent="0.25">
      <c r="A2272" s="59"/>
    </row>
    <row r="2273" spans="1:1" x14ac:dyDescent="0.25">
      <c r="A2273" s="59"/>
    </row>
    <row r="2274" spans="1:1" x14ac:dyDescent="0.25">
      <c r="A2274" s="59"/>
    </row>
    <row r="2275" spans="1:1" x14ac:dyDescent="0.25">
      <c r="A2275" s="59"/>
    </row>
    <row r="2276" spans="1:1" x14ac:dyDescent="0.25">
      <c r="A2276" s="59"/>
    </row>
    <row r="2277" spans="1:1" x14ac:dyDescent="0.25">
      <c r="A2277" s="59"/>
    </row>
    <row r="2278" spans="1:1" x14ac:dyDescent="0.25">
      <c r="A2278" s="59"/>
    </row>
    <row r="2279" spans="1:1" x14ac:dyDescent="0.25">
      <c r="A2279" s="59"/>
    </row>
    <row r="2280" spans="1:1" x14ac:dyDescent="0.25">
      <c r="A2280" s="59"/>
    </row>
    <row r="2281" spans="1:1" x14ac:dyDescent="0.25">
      <c r="A2281" s="59"/>
    </row>
    <row r="2282" spans="1:1" x14ac:dyDescent="0.25">
      <c r="A2282" s="59"/>
    </row>
    <row r="2283" spans="1:1" x14ac:dyDescent="0.25">
      <c r="A2283" s="59"/>
    </row>
    <row r="2284" spans="1:1" x14ac:dyDescent="0.25">
      <c r="A2284" s="59"/>
    </row>
    <row r="2285" spans="1:1" x14ac:dyDescent="0.25">
      <c r="A2285" s="59"/>
    </row>
    <row r="2286" spans="1:1" x14ac:dyDescent="0.25">
      <c r="A2286" s="59"/>
    </row>
    <row r="2287" spans="1:1" x14ac:dyDescent="0.25">
      <c r="A2287" s="59"/>
    </row>
    <row r="2288" spans="1:1" x14ac:dyDescent="0.25">
      <c r="A2288" s="59"/>
    </row>
    <row r="2289" spans="1:1" x14ac:dyDescent="0.25">
      <c r="A2289" s="59"/>
    </row>
    <row r="2290" spans="1:1" x14ac:dyDescent="0.25">
      <c r="A2290" s="59"/>
    </row>
    <row r="2291" spans="1:1" x14ac:dyDescent="0.25">
      <c r="A2291" s="59"/>
    </row>
    <row r="2292" spans="1:1" x14ac:dyDescent="0.25">
      <c r="A2292" s="59"/>
    </row>
    <row r="2293" spans="1:1" x14ac:dyDescent="0.25">
      <c r="A2293" s="59"/>
    </row>
    <row r="2294" spans="1:1" x14ac:dyDescent="0.25">
      <c r="A2294" s="59"/>
    </row>
    <row r="2295" spans="1:1" x14ac:dyDescent="0.25">
      <c r="A2295" s="59"/>
    </row>
    <row r="2296" spans="1:1" x14ac:dyDescent="0.25">
      <c r="A2296" s="59"/>
    </row>
    <row r="2297" spans="1:1" x14ac:dyDescent="0.25">
      <c r="A2297" s="59"/>
    </row>
    <row r="2298" spans="1:1" x14ac:dyDescent="0.25">
      <c r="A2298" s="59"/>
    </row>
    <row r="2299" spans="1:1" x14ac:dyDescent="0.25">
      <c r="A2299" s="59"/>
    </row>
    <row r="2300" spans="1:1" x14ac:dyDescent="0.25">
      <c r="A2300" s="59"/>
    </row>
    <row r="2301" spans="1:1" x14ac:dyDescent="0.25">
      <c r="A2301" s="59"/>
    </row>
    <row r="2302" spans="1:1" x14ac:dyDescent="0.25">
      <c r="A2302" s="59"/>
    </row>
    <row r="2303" spans="1:1" x14ac:dyDescent="0.25">
      <c r="A2303" s="59"/>
    </row>
    <row r="2304" spans="1:1" x14ac:dyDescent="0.25">
      <c r="A2304" s="59"/>
    </row>
    <row r="2305" spans="1:1" x14ac:dyDescent="0.25">
      <c r="A2305" s="59"/>
    </row>
    <row r="2306" spans="1:1" x14ac:dyDescent="0.25">
      <c r="A2306" s="59"/>
    </row>
    <row r="2307" spans="1:1" x14ac:dyDescent="0.25">
      <c r="A2307" s="59"/>
    </row>
    <row r="2308" spans="1:1" x14ac:dyDescent="0.25">
      <c r="A2308" s="59"/>
    </row>
    <row r="2309" spans="1:1" x14ac:dyDescent="0.25">
      <c r="A2309" s="59"/>
    </row>
    <row r="2310" spans="1:1" x14ac:dyDescent="0.25">
      <c r="A2310" s="59"/>
    </row>
    <row r="2311" spans="1:1" x14ac:dyDescent="0.25">
      <c r="A2311" s="59"/>
    </row>
    <row r="2312" spans="1:1" x14ac:dyDescent="0.25">
      <c r="A2312" s="59"/>
    </row>
    <row r="2313" spans="1:1" x14ac:dyDescent="0.25">
      <c r="A2313" s="59"/>
    </row>
    <row r="2314" spans="1:1" x14ac:dyDescent="0.25">
      <c r="A2314" s="59"/>
    </row>
    <row r="2315" spans="1:1" x14ac:dyDescent="0.25">
      <c r="A2315" s="59"/>
    </row>
    <row r="2316" spans="1:1" x14ac:dyDescent="0.25">
      <c r="A2316" s="59"/>
    </row>
    <row r="2317" spans="1:1" x14ac:dyDescent="0.25">
      <c r="A2317" s="59"/>
    </row>
    <row r="2318" spans="1:1" x14ac:dyDescent="0.25">
      <c r="A2318" s="59"/>
    </row>
    <row r="2319" spans="1:1" x14ac:dyDescent="0.25">
      <c r="A2319" s="59"/>
    </row>
    <row r="2320" spans="1:1" x14ac:dyDescent="0.25">
      <c r="A2320" s="59"/>
    </row>
    <row r="2321" spans="1:1" x14ac:dyDescent="0.25">
      <c r="A2321" s="59"/>
    </row>
    <row r="2322" spans="1:1" x14ac:dyDescent="0.25">
      <c r="A2322" s="59"/>
    </row>
    <row r="2323" spans="1:1" x14ac:dyDescent="0.25">
      <c r="A2323" s="59"/>
    </row>
    <row r="2324" spans="1:1" x14ac:dyDescent="0.25">
      <c r="A2324" s="59"/>
    </row>
    <row r="2325" spans="1:1" x14ac:dyDescent="0.25">
      <c r="A2325" s="59"/>
    </row>
    <row r="2326" spans="1:1" x14ac:dyDescent="0.25">
      <c r="A2326" s="59"/>
    </row>
    <row r="2327" spans="1:1" x14ac:dyDescent="0.25">
      <c r="A2327" s="59"/>
    </row>
    <row r="2328" spans="1:1" x14ac:dyDescent="0.25">
      <c r="A2328" s="59"/>
    </row>
    <row r="2329" spans="1:1" x14ac:dyDescent="0.25">
      <c r="A2329" s="59"/>
    </row>
    <row r="2330" spans="1:1" x14ac:dyDescent="0.25">
      <c r="A2330" s="59"/>
    </row>
    <row r="2331" spans="1:1" x14ac:dyDescent="0.25">
      <c r="A2331" s="59"/>
    </row>
    <row r="2332" spans="1:1" x14ac:dyDescent="0.25">
      <c r="A2332" s="59"/>
    </row>
    <row r="2333" spans="1:1" x14ac:dyDescent="0.25">
      <c r="A2333" s="59"/>
    </row>
    <row r="2334" spans="1:1" x14ac:dyDescent="0.25">
      <c r="A2334" s="59"/>
    </row>
    <row r="2335" spans="1:1" x14ac:dyDescent="0.25">
      <c r="A2335" s="59"/>
    </row>
    <row r="2336" spans="1:1" x14ac:dyDescent="0.25">
      <c r="A2336" s="59"/>
    </row>
    <row r="2337" spans="1:1" x14ac:dyDescent="0.25">
      <c r="A2337" s="59"/>
    </row>
    <row r="2338" spans="1:1" x14ac:dyDescent="0.25">
      <c r="A2338" s="59"/>
    </row>
    <row r="2339" spans="1:1" x14ac:dyDescent="0.25">
      <c r="A2339" s="59"/>
    </row>
    <row r="2340" spans="1:1" x14ac:dyDescent="0.25">
      <c r="A2340" s="59"/>
    </row>
    <row r="2341" spans="1:1" x14ac:dyDescent="0.25">
      <c r="A2341" s="59"/>
    </row>
    <row r="2342" spans="1:1" x14ac:dyDescent="0.25">
      <c r="A2342" s="59"/>
    </row>
    <row r="2343" spans="1:1" x14ac:dyDescent="0.25">
      <c r="A2343" s="59"/>
    </row>
    <row r="2344" spans="1:1" x14ac:dyDescent="0.25">
      <c r="A2344" s="59"/>
    </row>
    <row r="2345" spans="1:1" x14ac:dyDescent="0.25">
      <c r="A2345" s="59"/>
    </row>
    <row r="2346" spans="1:1" x14ac:dyDescent="0.25">
      <c r="A2346" s="59"/>
    </row>
    <row r="2347" spans="1:1" x14ac:dyDescent="0.25">
      <c r="A2347" s="59"/>
    </row>
    <row r="2348" spans="1:1" x14ac:dyDescent="0.25">
      <c r="A2348" s="59"/>
    </row>
    <row r="2349" spans="1:1" x14ac:dyDescent="0.25">
      <c r="A2349" s="59"/>
    </row>
    <row r="2350" spans="1:1" x14ac:dyDescent="0.25">
      <c r="A2350" s="59"/>
    </row>
    <row r="2351" spans="1:1" x14ac:dyDescent="0.25">
      <c r="A2351" s="59"/>
    </row>
    <row r="2352" spans="1:1" x14ac:dyDescent="0.25">
      <c r="A2352" s="59"/>
    </row>
    <row r="2353" spans="1:1" x14ac:dyDescent="0.25">
      <c r="A2353" s="59"/>
    </row>
    <row r="2354" spans="1:1" x14ac:dyDescent="0.25">
      <c r="A2354" s="59"/>
    </row>
    <row r="2355" spans="1:1" x14ac:dyDescent="0.25">
      <c r="A2355" s="59"/>
    </row>
    <row r="2356" spans="1:1" x14ac:dyDescent="0.25">
      <c r="A2356" s="59"/>
    </row>
    <row r="2357" spans="1:1" x14ac:dyDescent="0.25">
      <c r="A2357" s="59"/>
    </row>
    <row r="2358" spans="1:1" x14ac:dyDescent="0.25">
      <c r="A2358" s="59"/>
    </row>
    <row r="2359" spans="1:1" x14ac:dyDescent="0.25">
      <c r="A2359" s="59"/>
    </row>
    <row r="2360" spans="1:1" x14ac:dyDescent="0.25">
      <c r="A2360" s="59"/>
    </row>
    <row r="2361" spans="1:1" x14ac:dyDescent="0.25">
      <c r="A2361" s="59"/>
    </row>
    <row r="2362" spans="1:1" x14ac:dyDescent="0.25">
      <c r="A2362" s="59"/>
    </row>
    <row r="2363" spans="1:1" x14ac:dyDescent="0.25">
      <c r="A2363" s="59"/>
    </row>
    <row r="2364" spans="1:1" x14ac:dyDescent="0.25">
      <c r="A2364" s="59"/>
    </row>
    <row r="2365" spans="1:1" x14ac:dyDescent="0.25">
      <c r="A2365" s="59"/>
    </row>
    <row r="2366" spans="1:1" x14ac:dyDescent="0.25">
      <c r="A2366" s="59"/>
    </row>
    <row r="2367" spans="1:1" x14ac:dyDescent="0.25">
      <c r="A2367" s="59"/>
    </row>
    <row r="2368" spans="1:1" x14ac:dyDescent="0.25">
      <c r="A2368" s="59"/>
    </row>
    <row r="2369" spans="1:1" x14ac:dyDescent="0.25">
      <c r="A2369" s="59"/>
    </row>
    <row r="2370" spans="1:1" x14ac:dyDescent="0.25">
      <c r="A2370" s="59"/>
    </row>
    <row r="2371" spans="1:1" x14ac:dyDescent="0.25">
      <c r="A2371" s="59"/>
    </row>
    <row r="2372" spans="1:1" x14ac:dyDescent="0.25">
      <c r="A2372" s="59"/>
    </row>
    <row r="2373" spans="1:1" x14ac:dyDescent="0.25">
      <c r="A2373" s="59"/>
    </row>
    <row r="2374" spans="1:1" x14ac:dyDescent="0.25">
      <c r="A2374" s="59"/>
    </row>
    <row r="2375" spans="1:1" x14ac:dyDescent="0.25">
      <c r="A2375" s="59"/>
    </row>
    <row r="2376" spans="1:1" x14ac:dyDescent="0.25">
      <c r="A2376" s="59"/>
    </row>
    <row r="2377" spans="1:1" x14ac:dyDescent="0.25">
      <c r="A2377" s="59"/>
    </row>
    <row r="2378" spans="1:1" x14ac:dyDescent="0.25">
      <c r="A2378" s="59"/>
    </row>
    <row r="2379" spans="1:1" x14ac:dyDescent="0.25">
      <c r="A2379" s="59"/>
    </row>
    <row r="2380" spans="1:1" x14ac:dyDescent="0.25">
      <c r="A2380" s="59"/>
    </row>
    <row r="2381" spans="1:1" x14ac:dyDescent="0.25">
      <c r="A2381" s="59"/>
    </row>
    <row r="2382" spans="1:1" x14ac:dyDescent="0.25">
      <c r="A2382" s="59"/>
    </row>
    <row r="2383" spans="1:1" x14ac:dyDescent="0.25">
      <c r="A2383" s="59"/>
    </row>
    <row r="2384" spans="1:1" x14ac:dyDescent="0.25">
      <c r="A2384" s="59"/>
    </row>
    <row r="2385" spans="1:1" x14ac:dyDescent="0.25">
      <c r="A2385" s="59"/>
    </row>
    <row r="2386" spans="1:1" x14ac:dyDescent="0.25">
      <c r="A2386" s="59"/>
    </row>
    <row r="2387" spans="1:1" x14ac:dyDescent="0.25">
      <c r="A2387" s="59"/>
    </row>
    <row r="2388" spans="1:1" x14ac:dyDescent="0.25">
      <c r="A2388" s="59"/>
    </row>
    <row r="2389" spans="1:1" x14ac:dyDescent="0.25">
      <c r="A2389" s="59"/>
    </row>
    <row r="2390" spans="1:1" x14ac:dyDescent="0.25">
      <c r="A2390" s="59"/>
    </row>
    <row r="2391" spans="1:1" x14ac:dyDescent="0.25">
      <c r="A2391" s="59"/>
    </row>
    <row r="2392" spans="1:1" x14ac:dyDescent="0.25">
      <c r="A2392" s="59"/>
    </row>
    <row r="2393" spans="1:1" x14ac:dyDescent="0.25">
      <c r="A2393" s="59"/>
    </row>
    <row r="2394" spans="1:1" x14ac:dyDescent="0.25">
      <c r="A2394" s="59"/>
    </row>
    <row r="2395" spans="1:1" x14ac:dyDescent="0.25">
      <c r="A2395" s="59"/>
    </row>
    <row r="2396" spans="1:1" x14ac:dyDescent="0.25">
      <c r="A2396" s="59"/>
    </row>
    <row r="2397" spans="1:1" x14ac:dyDescent="0.25">
      <c r="A2397" s="59"/>
    </row>
    <row r="2398" spans="1:1" x14ac:dyDescent="0.25">
      <c r="A2398" s="59"/>
    </row>
    <row r="2399" spans="1:1" x14ac:dyDescent="0.25">
      <c r="A2399" s="59"/>
    </row>
    <row r="2400" spans="1:1" x14ac:dyDescent="0.25">
      <c r="A2400" s="59"/>
    </row>
    <row r="2401" spans="1:1" x14ac:dyDescent="0.25">
      <c r="A2401" s="59"/>
    </row>
    <row r="2402" spans="1:1" x14ac:dyDescent="0.25">
      <c r="A2402" s="59"/>
    </row>
    <row r="2403" spans="1:1" x14ac:dyDescent="0.25">
      <c r="A2403" s="59"/>
    </row>
    <row r="2404" spans="1:1" x14ac:dyDescent="0.25">
      <c r="A2404" s="59"/>
    </row>
    <row r="2405" spans="1:1" x14ac:dyDescent="0.25">
      <c r="A2405" s="59"/>
    </row>
    <row r="2406" spans="1:1" x14ac:dyDescent="0.25">
      <c r="A2406" s="59"/>
    </row>
    <row r="2407" spans="1:1" x14ac:dyDescent="0.25">
      <c r="A2407" s="59"/>
    </row>
    <row r="2408" spans="1:1" x14ac:dyDescent="0.25">
      <c r="A2408" s="59"/>
    </row>
    <row r="2409" spans="1:1" x14ac:dyDescent="0.25">
      <c r="A2409" s="59"/>
    </row>
    <row r="2410" spans="1:1" x14ac:dyDescent="0.25">
      <c r="A2410" s="59"/>
    </row>
    <row r="2411" spans="1:1" x14ac:dyDescent="0.25">
      <c r="A2411" s="59"/>
    </row>
    <row r="2412" spans="1:1" x14ac:dyDescent="0.25">
      <c r="A2412" s="59"/>
    </row>
    <row r="2413" spans="1:1" x14ac:dyDescent="0.25">
      <c r="A2413" s="59"/>
    </row>
    <row r="2414" spans="1:1" x14ac:dyDescent="0.25">
      <c r="A2414" s="59"/>
    </row>
    <row r="2415" spans="1:1" x14ac:dyDescent="0.25">
      <c r="A2415" s="59"/>
    </row>
    <row r="2416" spans="1:1" x14ac:dyDescent="0.25">
      <c r="A2416" s="59"/>
    </row>
    <row r="2417" spans="1:1" x14ac:dyDescent="0.25">
      <c r="A2417" s="59"/>
    </row>
    <row r="2418" spans="1:1" x14ac:dyDescent="0.25">
      <c r="A2418" s="59"/>
    </row>
    <row r="2419" spans="1:1" x14ac:dyDescent="0.25">
      <c r="A2419" s="59"/>
    </row>
    <row r="2420" spans="1:1" x14ac:dyDescent="0.25">
      <c r="A2420" s="59"/>
    </row>
    <row r="2421" spans="1:1" x14ac:dyDescent="0.25">
      <c r="A2421" s="59"/>
    </row>
    <row r="2422" spans="1:1" x14ac:dyDescent="0.25">
      <c r="A2422" s="59"/>
    </row>
    <row r="2423" spans="1:1" x14ac:dyDescent="0.25">
      <c r="A2423" s="59"/>
    </row>
    <row r="2424" spans="1:1" x14ac:dyDescent="0.25">
      <c r="A2424" s="59"/>
    </row>
    <row r="2425" spans="1:1" x14ac:dyDescent="0.25">
      <c r="A2425" s="59"/>
    </row>
    <row r="2426" spans="1:1" x14ac:dyDescent="0.25">
      <c r="A2426" s="59"/>
    </row>
    <row r="2427" spans="1:1" x14ac:dyDescent="0.25">
      <c r="A2427" s="59"/>
    </row>
    <row r="2428" spans="1:1" x14ac:dyDescent="0.25">
      <c r="A2428" s="59"/>
    </row>
    <row r="2429" spans="1:1" x14ac:dyDescent="0.25">
      <c r="A2429" s="59"/>
    </row>
    <row r="2430" spans="1:1" x14ac:dyDescent="0.25">
      <c r="A2430" s="59"/>
    </row>
    <row r="2431" spans="1:1" x14ac:dyDescent="0.25">
      <c r="A2431" s="59"/>
    </row>
    <row r="2432" spans="1:1" x14ac:dyDescent="0.25">
      <c r="A2432" s="59"/>
    </row>
    <row r="2433" spans="1:1" x14ac:dyDescent="0.25">
      <c r="A2433" s="59"/>
    </row>
    <row r="2434" spans="1:1" x14ac:dyDescent="0.25">
      <c r="A2434" s="59"/>
    </row>
    <row r="2435" spans="1:1" x14ac:dyDescent="0.25">
      <c r="A2435" s="59"/>
    </row>
    <row r="2436" spans="1:1" x14ac:dyDescent="0.25">
      <c r="A2436" s="59"/>
    </row>
    <row r="2437" spans="1:1" x14ac:dyDescent="0.25">
      <c r="A2437" s="59"/>
    </row>
    <row r="2438" spans="1:1" x14ac:dyDescent="0.25">
      <c r="A2438" s="59"/>
    </row>
    <row r="2439" spans="1:1" x14ac:dyDescent="0.25">
      <c r="A2439" s="59"/>
    </row>
    <row r="2440" spans="1:1" x14ac:dyDescent="0.25">
      <c r="A2440" s="59"/>
    </row>
    <row r="2441" spans="1:1" x14ac:dyDescent="0.25">
      <c r="A2441" s="59"/>
    </row>
    <row r="2442" spans="1:1" x14ac:dyDescent="0.25">
      <c r="A2442" s="59"/>
    </row>
    <row r="2443" spans="1:1" x14ac:dyDescent="0.25">
      <c r="A2443" s="59"/>
    </row>
    <row r="2444" spans="1:1" x14ac:dyDescent="0.25">
      <c r="A2444" s="59"/>
    </row>
    <row r="2445" spans="1:1" x14ac:dyDescent="0.25">
      <c r="A2445" s="59"/>
    </row>
    <row r="2446" spans="1:1" x14ac:dyDescent="0.25">
      <c r="A2446" s="59"/>
    </row>
    <row r="2447" spans="1:1" x14ac:dyDescent="0.25">
      <c r="A2447" s="59"/>
    </row>
    <row r="2448" spans="1:1" x14ac:dyDescent="0.25">
      <c r="A2448" s="59"/>
    </row>
    <row r="2449" spans="1:1" x14ac:dyDescent="0.25">
      <c r="A2449" s="59"/>
    </row>
    <row r="2450" spans="1:1" x14ac:dyDescent="0.25">
      <c r="A2450" s="59"/>
    </row>
    <row r="2451" spans="1:1" x14ac:dyDescent="0.25">
      <c r="A2451" s="59"/>
    </row>
    <row r="2452" spans="1:1" x14ac:dyDescent="0.25">
      <c r="A2452" s="59"/>
    </row>
    <row r="2453" spans="1:1" x14ac:dyDescent="0.25">
      <c r="A2453" s="59"/>
    </row>
    <row r="2454" spans="1:1" x14ac:dyDescent="0.25">
      <c r="A2454" s="59"/>
    </row>
    <row r="2455" spans="1:1" x14ac:dyDescent="0.25">
      <c r="A2455" s="59"/>
    </row>
    <row r="2456" spans="1:1" x14ac:dyDescent="0.25">
      <c r="A2456" s="59"/>
    </row>
    <row r="2457" spans="1:1" x14ac:dyDescent="0.25">
      <c r="A2457" s="59"/>
    </row>
    <row r="2458" spans="1:1" x14ac:dyDescent="0.25">
      <c r="A2458" s="59"/>
    </row>
    <row r="2459" spans="1:1" x14ac:dyDescent="0.25">
      <c r="A2459" s="59"/>
    </row>
    <row r="2460" spans="1:1" x14ac:dyDescent="0.25">
      <c r="A2460" s="59"/>
    </row>
    <row r="2461" spans="1:1" x14ac:dyDescent="0.25">
      <c r="A2461" s="59"/>
    </row>
    <row r="2462" spans="1:1" x14ac:dyDescent="0.25">
      <c r="A2462" s="59"/>
    </row>
    <row r="2463" spans="1:1" x14ac:dyDescent="0.25">
      <c r="A2463" s="59"/>
    </row>
    <row r="2464" spans="1:1" x14ac:dyDescent="0.25">
      <c r="A2464" s="59"/>
    </row>
    <row r="2465" spans="1:1" x14ac:dyDescent="0.25">
      <c r="A2465" s="59"/>
    </row>
    <row r="2466" spans="1:1" x14ac:dyDescent="0.25">
      <c r="A2466" s="59"/>
    </row>
    <row r="2467" spans="1:1" x14ac:dyDescent="0.25">
      <c r="A2467" s="59"/>
    </row>
    <row r="2468" spans="1:1" x14ac:dyDescent="0.25">
      <c r="A2468" s="59"/>
    </row>
    <row r="2469" spans="1:1" x14ac:dyDescent="0.25">
      <c r="A2469" s="59"/>
    </row>
    <row r="2470" spans="1:1" x14ac:dyDescent="0.25">
      <c r="A2470" s="59"/>
    </row>
    <row r="2471" spans="1:1" x14ac:dyDescent="0.25">
      <c r="A2471" s="59"/>
    </row>
    <row r="2472" spans="1:1" x14ac:dyDescent="0.25">
      <c r="A2472" s="59"/>
    </row>
    <row r="2473" spans="1:1" x14ac:dyDescent="0.25">
      <c r="A2473" s="59"/>
    </row>
    <row r="2474" spans="1:1" x14ac:dyDescent="0.25">
      <c r="A2474" s="59"/>
    </row>
    <row r="2475" spans="1:1" x14ac:dyDescent="0.25">
      <c r="A2475" s="59"/>
    </row>
    <row r="2476" spans="1:1" x14ac:dyDescent="0.25">
      <c r="A2476" s="59"/>
    </row>
    <row r="2477" spans="1:1" x14ac:dyDescent="0.25">
      <c r="A2477" s="59"/>
    </row>
    <row r="2478" spans="1:1" x14ac:dyDescent="0.25">
      <c r="A2478" s="59"/>
    </row>
    <row r="2479" spans="1:1" x14ac:dyDescent="0.25">
      <c r="A2479" s="59"/>
    </row>
    <row r="2480" spans="1:1" x14ac:dyDescent="0.25">
      <c r="A2480" s="59"/>
    </row>
    <row r="2481" spans="1:1" x14ac:dyDescent="0.25">
      <c r="A2481" s="59"/>
    </row>
    <row r="2482" spans="1:1" x14ac:dyDescent="0.25">
      <c r="A2482" s="59"/>
    </row>
    <row r="2483" spans="1:1" x14ac:dyDescent="0.25">
      <c r="A2483" s="59"/>
    </row>
    <row r="2484" spans="1:1" x14ac:dyDescent="0.25">
      <c r="A2484" s="59"/>
    </row>
    <row r="2485" spans="1:1" x14ac:dyDescent="0.25">
      <c r="A2485" s="59"/>
    </row>
    <row r="2486" spans="1:1" x14ac:dyDescent="0.25">
      <c r="A2486" s="59"/>
    </row>
    <row r="2487" spans="1:1" x14ac:dyDescent="0.25">
      <c r="A2487" s="59"/>
    </row>
    <row r="2488" spans="1:1" x14ac:dyDescent="0.25">
      <c r="A2488" s="59"/>
    </row>
    <row r="2489" spans="1:1" x14ac:dyDescent="0.25">
      <c r="A2489" s="59"/>
    </row>
    <row r="2490" spans="1:1" x14ac:dyDescent="0.25">
      <c r="A2490" s="59"/>
    </row>
    <row r="2491" spans="1:1" x14ac:dyDescent="0.25">
      <c r="A2491" s="59"/>
    </row>
    <row r="2492" spans="1:1" x14ac:dyDescent="0.25">
      <c r="A2492" s="59"/>
    </row>
    <row r="2493" spans="1:1" x14ac:dyDescent="0.25">
      <c r="A2493" s="59"/>
    </row>
    <row r="2494" spans="1:1" x14ac:dyDescent="0.25">
      <c r="A2494" s="59"/>
    </row>
    <row r="2495" spans="1:1" x14ac:dyDescent="0.25">
      <c r="A2495" s="59"/>
    </row>
    <row r="2496" spans="1:1" x14ac:dyDescent="0.25">
      <c r="A2496" s="59"/>
    </row>
    <row r="2497" spans="1:1" x14ac:dyDescent="0.25">
      <c r="A2497" s="59"/>
    </row>
    <row r="2498" spans="1:1" x14ac:dyDescent="0.25">
      <c r="A2498" s="59"/>
    </row>
    <row r="2499" spans="1:1" x14ac:dyDescent="0.25">
      <c r="A2499" s="59"/>
    </row>
    <row r="2500" spans="1:1" x14ac:dyDescent="0.25">
      <c r="A2500" s="59"/>
    </row>
    <row r="2501" spans="1:1" x14ac:dyDescent="0.25">
      <c r="A2501" s="59"/>
    </row>
    <row r="2502" spans="1:1" x14ac:dyDescent="0.25">
      <c r="A2502" s="59"/>
    </row>
    <row r="2503" spans="1:1" x14ac:dyDescent="0.25">
      <c r="A2503" s="59"/>
    </row>
    <row r="2504" spans="1:1" x14ac:dyDescent="0.25">
      <c r="A2504" s="59"/>
    </row>
    <row r="2505" spans="1:1" x14ac:dyDescent="0.25">
      <c r="A2505" s="59"/>
    </row>
    <row r="2506" spans="1:1" x14ac:dyDescent="0.25">
      <c r="A2506" s="59"/>
    </row>
    <row r="2507" spans="1:1" x14ac:dyDescent="0.25">
      <c r="A2507" s="59"/>
    </row>
    <row r="2508" spans="1:1" x14ac:dyDescent="0.25">
      <c r="A2508" s="59"/>
    </row>
    <row r="2509" spans="1:1" x14ac:dyDescent="0.25">
      <c r="A2509" s="59"/>
    </row>
    <row r="2510" spans="1:1" x14ac:dyDescent="0.25">
      <c r="A2510" s="59"/>
    </row>
    <row r="2511" spans="1:1" x14ac:dyDescent="0.25">
      <c r="A2511" s="59"/>
    </row>
    <row r="2512" spans="1:1" x14ac:dyDescent="0.25">
      <c r="A2512" s="59"/>
    </row>
    <row r="2513" spans="1:1" x14ac:dyDescent="0.25">
      <c r="A2513" s="59"/>
    </row>
    <row r="2514" spans="1:1" x14ac:dyDescent="0.25">
      <c r="A2514" s="59"/>
    </row>
    <row r="2515" spans="1:1" x14ac:dyDescent="0.25">
      <c r="A2515" s="59"/>
    </row>
    <row r="2516" spans="1:1" x14ac:dyDescent="0.25">
      <c r="A2516" s="59"/>
    </row>
    <row r="2517" spans="1:1" x14ac:dyDescent="0.25">
      <c r="A2517" s="59"/>
    </row>
    <row r="2518" spans="1:1" x14ac:dyDescent="0.25">
      <c r="A2518" s="59"/>
    </row>
    <row r="2519" spans="1:1" x14ac:dyDescent="0.25">
      <c r="A2519" s="59"/>
    </row>
    <row r="2520" spans="1:1" x14ac:dyDescent="0.25">
      <c r="A2520" s="59"/>
    </row>
    <row r="2521" spans="1:1" x14ac:dyDescent="0.25">
      <c r="A2521" s="59"/>
    </row>
    <row r="2522" spans="1:1" x14ac:dyDescent="0.25">
      <c r="A2522" s="59"/>
    </row>
    <row r="2523" spans="1:1" x14ac:dyDescent="0.25">
      <c r="A2523" s="59"/>
    </row>
    <row r="2524" spans="1:1" x14ac:dyDescent="0.25">
      <c r="A2524" s="59"/>
    </row>
    <row r="2525" spans="1:1" x14ac:dyDescent="0.25">
      <c r="A2525" s="59"/>
    </row>
    <row r="2526" spans="1:1" x14ac:dyDescent="0.25">
      <c r="A2526" s="59"/>
    </row>
    <row r="2527" spans="1:1" x14ac:dyDescent="0.25">
      <c r="A2527" s="59"/>
    </row>
    <row r="2528" spans="1:1" x14ac:dyDescent="0.25">
      <c r="A2528" s="59"/>
    </row>
    <row r="2529" spans="1:1" x14ac:dyDescent="0.25">
      <c r="A2529" s="59"/>
    </row>
    <row r="2530" spans="1:1" x14ac:dyDescent="0.25">
      <c r="A2530" s="59"/>
    </row>
    <row r="2531" spans="1:1" x14ac:dyDescent="0.25">
      <c r="A2531" s="59"/>
    </row>
    <row r="2532" spans="1:1" x14ac:dyDescent="0.25">
      <c r="A2532" s="59"/>
    </row>
    <row r="2533" spans="1:1" x14ac:dyDescent="0.25">
      <c r="A2533" s="59"/>
    </row>
    <row r="2534" spans="1:1" x14ac:dyDescent="0.25">
      <c r="A2534" s="59"/>
    </row>
    <row r="2535" spans="1:1" x14ac:dyDescent="0.25">
      <c r="A2535" s="59"/>
    </row>
    <row r="2536" spans="1:1" x14ac:dyDescent="0.25">
      <c r="A2536" s="59"/>
    </row>
    <row r="2537" spans="1:1" x14ac:dyDescent="0.25">
      <c r="A2537" s="59"/>
    </row>
    <row r="2538" spans="1:1" x14ac:dyDescent="0.25">
      <c r="A2538" s="59"/>
    </row>
    <row r="2539" spans="1:1" x14ac:dyDescent="0.25">
      <c r="A2539" s="59"/>
    </row>
    <row r="2540" spans="1:1" x14ac:dyDescent="0.25">
      <c r="A2540" s="59"/>
    </row>
    <row r="2541" spans="1:1" x14ac:dyDescent="0.25">
      <c r="A2541" s="59"/>
    </row>
    <row r="2542" spans="1:1" x14ac:dyDescent="0.25">
      <c r="A2542" s="59"/>
    </row>
    <row r="2543" spans="1:1" x14ac:dyDescent="0.25">
      <c r="A2543" s="59"/>
    </row>
    <row r="2544" spans="1:1" x14ac:dyDescent="0.25">
      <c r="A2544" s="59"/>
    </row>
    <row r="2545" spans="1:1" x14ac:dyDescent="0.25">
      <c r="A2545" s="59"/>
    </row>
    <row r="2546" spans="1:1" x14ac:dyDescent="0.25">
      <c r="A2546" s="59"/>
    </row>
    <row r="2547" spans="1:1" x14ac:dyDescent="0.25">
      <c r="A2547" s="59"/>
    </row>
    <row r="2548" spans="1:1" x14ac:dyDescent="0.25">
      <c r="A2548" s="59"/>
    </row>
    <row r="2549" spans="1:1" x14ac:dyDescent="0.25">
      <c r="A2549" s="59"/>
    </row>
    <row r="2550" spans="1:1" x14ac:dyDescent="0.25">
      <c r="A2550" s="59"/>
    </row>
    <row r="2551" spans="1:1" x14ac:dyDescent="0.25">
      <c r="A2551" s="59"/>
    </row>
    <row r="2552" spans="1:1" x14ac:dyDescent="0.25">
      <c r="A2552" s="59"/>
    </row>
    <row r="2553" spans="1:1" x14ac:dyDescent="0.25">
      <c r="A2553" s="59"/>
    </row>
    <row r="2554" spans="1:1" x14ac:dyDescent="0.25">
      <c r="A2554" s="59"/>
    </row>
    <row r="2555" spans="1:1" x14ac:dyDescent="0.25">
      <c r="A2555" s="59"/>
    </row>
    <row r="2556" spans="1:1" x14ac:dyDescent="0.25">
      <c r="A2556" s="59"/>
    </row>
    <row r="2557" spans="1:1" x14ac:dyDescent="0.25">
      <c r="A2557" s="59"/>
    </row>
    <row r="2558" spans="1:1" x14ac:dyDescent="0.25">
      <c r="A2558" s="59"/>
    </row>
    <row r="2559" spans="1:1" x14ac:dyDescent="0.25">
      <c r="A2559" s="59"/>
    </row>
    <row r="2560" spans="1:1" x14ac:dyDescent="0.25">
      <c r="A2560" s="59"/>
    </row>
    <row r="2561" spans="1:1" x14ac:dyDescent="0.25">
      <c r="A2561" s="59"/>
    </row>
    <row r="2562" spans="1:1" x14ac:dyDescent="0.25">
      <c r="A2562" s="59"/>
    </row>
    <row r="2563" spans="1:1" x14ac:dyDescent="0.25">
      <c r="A2563" s="59"/>
    </row>
    <row r="2564" spans="1:1" x14ac:dyDescent="0.25">
      <c r="A2564" s="59"/>
    </row>
    <row r="2565" spans="1:1" x14ac:dyDescent="0.25">
      <c r="A2565" s="59"/>
    </row>
    <row r="2566" spans="1:1" x14ac:dyDescent="0.25">
      <c r="A2566" s="59"/>
    </row>
    <row r="2567" spans="1:1" x14ac:dyDescent="0.25">
      <c r="A2567" s="59"/>
    </row>
    <row r="2568" spans="1:1" x14ac:dyDescent="0.25">
      <c r="A2568" s="59"/>
    </row>
    <row r="2569" spans="1:1" x14ac:dyDescent="0.25">
      <c r="A2569" s="59"/>
    </row>
    <row r="2570" spans="1:1" x14ac:dyDescent="0.25">
      <c r="A2570" s="59"/>
    </row>
    <row r="2571" spans="1:1" x14ac:dyDescent="0.25">
      <c r="A2571" s="59"/>
    </row>
    <row r="2572" spans="1:1" x14ac:dyDescent="0.25">
      <c r="A2572" s="59"/>
    </row>
    <row r="2573" spans="1:1" x14ac:dyDescent="0.25">
      <c r="A2573" s="59"/>
    </row>
    <row r="2574" spans="1:1" x14ac:dyDescent="0.25">
      <c r="A2574" s="59"/>
    </row>
    <row r="2575" spans="1:1" x14ac:dyDescent="0.25">
      <c r="A2575" s="59"/>
    </row>
    <row r="2576" spans="1:1" x14ac:dyDescent="0.25">
      <c r="A2576" s="59"/>
    </row>
    <row r="2577" spans="1:1" x14ac:dyDescent="0.25">
      <c r="A2577" s="59"/>
    </row>
    <row r="2578" spans="1:1" x14ac:dyDescent="0.25">
      <c r="A2578" s="59"/>
    </row>
    <row r="2579" spans="1:1" x14ac:dyDescent="0.25">
      <c r="A2579" s="59"/>
    </row>
    <row r="2580" spans="1:1" x14ac:dyDescent="0.25">
      <c r="A2580" s="59"/>
    </row>
    <row r="2581" spans="1:1" x14ac:dyDescent="0.25">
      <c r="A2581" s="59"/>
    </row>
    <row r="2582" spans="1:1" x14ac:dyDescent="0.25">
      <c r="A2582" s="59"/>
    </row>
    <row r="2583" spans="1:1" x14ac:dyDescent="0.25">
      <c r="A2583" s="59"/>
    </row>
    <row r="2584" spans="1:1" x14ac:dyDescent="0.25">
      <c r="A2584" s="59"/>
    </row>
    <row r="2585" spans="1:1" x14ac:dyDescent="0.25">
      <c r="A2585" s="59"/>
    </row>
    <row r="2586" spans="1:1" x14ac:dyDescent="0.25">
      <c r="A2586" s="59"/>
    </row>
    <row r="2587" spans="1:1" x14ac:dyDescent="0.25">
      <c r="A2587" s="59"/>
    </row>
    <row r="2588" spans="1:1" x14ac:dyDescent="0.25">
      <c r="A2588" s="59"/>
    </row>
    <row r="2589" spans="1:1" x14ac:dyDescent="0.25">
      <c r="A2589" s="59"/>
    </row>
    <row r="2590" spans="1:1" x14ac:dyDescent="0.25">
      <c r="A2590" s="59"/>
    </row>
    <row r="2591" spans="1:1" x14ac:dyDescent="0.25">
      <c r="A2591" s="59"/>
    </row>
    <row r="2592" spans="1:1" x14ac:dyDescent="0.25">
      <c r="A2592" s="59"/>
    </row>
    <row r="2593" spans="1:1" x14ac:dyDescent="0.25">
      <c r="A2593" s="59"/>
    </row>
    <row r="2594" spans="1:1" x14ac:dyDescent="0.25">
      <c r="A2594" s="59"/>
    </row>
    <row r="2595" spans="1:1" x14ac:dyDescent="0.25">
      <c r="A2595" s="59"/>
    </row>
    <row r="2596" spans="1:1" x14ac:dyDescent="0.25">
      <c r="A2596" s="59"/>
    </row>
    <row r="2597" spans="1:1" x14ac:dyDescent="0.25">
      <c r="A2597" s="59"/>
    </row>
    <row r="2598" spans="1:1" x14ac:dyDescent="0.25">
      <c r="A2598" s="59"/>
    </row>
    <row r="2599" spans="1:1" x14ac:dyDescent="0.25">
      <c r="A2599" s="59"/>
    </row>
    <row r="2600" spans="1:1" x14ac:dyDescent="0.25">
      <c r="A2600" s="59"/>
    </row>
    <row r="2601" spans="1:1" x14ac:dyDescent="0.25">
      <c r="A2601" s="59"/>
    </row>
    <row r="2602" spans="1:1" x14ac:dyDescent="0.25">
      <c r="A2602" s="59"/>
    </row>
    <row r="2603" spans="1:1" x14ac:dyDescent="0.25">
      <c r="A2603" s="59"/>
    </row>
    <row r="2604" spans="1:1" x14ac:dyDescent="0.25">
      <c r="A2604" s="59"/>
    </row>
    <row r="2605" spans="1:1" x14ac:dyDescent="0.25">
      <c r="A2605" s="59"/>
    </row>
    <row r="2606" spans="1:1" x14ac:dyDescent="0.25">
      <c r="A2606" s="59"/>
    </row>
    <row r="2607" spans="1:1" x14ac:dyDescent="0.25">
      <c r="A2607" s="59"/>
    </row>
    <row r="2608" spans="1:1" x14ac:dyDescent="0.25">
      <c r="A2608" s="59"/>
    </row>
    <row r="2609" spans="1:1" x14ac:dyDescent="0.25">
      <c r="A2609" s="59"/>
    </row>
    <row r="2610" spans="1:1" x14ac:dyDescent="0.25">
      <c r="A2610" s="59"/>
    </row>
    <row r="2611" spans="1:1" x14ac:dyDescent="0.25">
      <c r="A2611" s="59"/>
    </row>
    <row r="2612" spans="1:1" x14ac:dyDescent="0.25">
      <c r="A2612" s="59"/>
    </row>
    <row r="2613" spans="1:1" x14ac:dyDescent="0.25">
      <c r="A2613" s="59"/>
    </row>
    <row r="2614" spans="1:1" x14ac:dyDescent="0.25">
      <c r="A2614" s="59"/>
    </row>
    <row r="2615" spans="1:1" x14ac:dyDescent="0.25">
      <c r="A2615" s="59"/>
    </row>
    <row r="2616" spans="1:1" x14ac:dyDescent="0.25">
      <c r="A2616" s="59"/>
    </row>
    <row r="2617" spans="1:1" x14ac:dyDescent="0.25">
      <c r="A2617" s="59"/>
    </row>
    <row r="2618" spans="1:1" x14ac:dyDescent="0.25">
      <c r="A2618" s="59"/>
    </row>
    <row r="2619" spans="1:1" x14ac:dyDescent="0.25">
      <c r="A2619" s="59"/>
    </row>
    <row r="2620" spans="1:1" x14ac:dyDescent="0.25">
      <c r="A2620" s="59"/>
    </row>
    <row r="2621" spans="1:1" x14ac:dyDescent="0.25">
      <c r="A2621" s="59"/>
    </row>
    <row r="2622" spans="1:1" x14ac:dyDescent="0.25">
      <c r="A2622" s="59"/>
    </row>
    <row r="2623" spans="1:1" x14ac:dyDescent="0.25">
      <c r="A2623" s="59"/>
    </row>
    <row r="2624" spans="1:1" x14ac:dyDescent="0.25">
      <c r="A2624" s="59"/>
    </row>
    <row r="2625" spans="1:1" x14ac:dyDescent="0.25">
      <c r="A2625" s="59"/>
    </row>
    <row r="2626" spans="1:1" x14ac:dyDescent="0.25">
      <c r="A2626" s="59"/>
    </row>
    <row r="2627" spans="1:1" x14ac:dyDescent="0.25">
      <c r="A2627" s="59"/>
    </row>
    <row r="2628" spans="1:1" x14ac:dyDescent="0.25">
      <c r="A2628" s="59"/>
    </row>
    <row r="2629" spans="1:1" x14ac:dyDescent="0.25">
      <c r="A2629" s="59"/>
    </row>
    <row r="2630" spans="1:1" x14ac:dyDescent="0.25">
      <c r="A2630" s="59"/>
    </row>
    <row r="2631" spans="1:1" x14ac:dyDescent="0.25">
      <c r="A2631" s="59"/>
    </row>
    <row r="2632" spans="1:1" x14ac:dyDescent="0.25">
      <c r="A2632" s="59"/>
    </row>
    <row r="2633" spans="1:1" x14ac:dyDescent="0.25">
      <c r="A2633" s="59"/>
    </row>
    <row r="2634" spans="1:1" x14ac:dyDescent="0.25">
      <c r="A2634" s="59"/>
    </row>
    <row r="2635" spans="1:1" x14ac:dyDescent="0.25">
      <c r="A2635" s="59"/>
    </row>
    <row r="2636" spans="1:1" x14ac:dyDescent="0.25">
      <c r="A2636" s="59"/>
    </row>
    <row r="2637" spans="1:1" x14ac:dyDescent="0.25">
      <c r="A2637" s="59"/>
    </row>
    <row r="2638" spans="1:1" x14ac:dyDescent="0.25">
      <c r="A2638" s="59"/>
    </row>
    <row r="2639" spans="1:1" x14ac:dyDescent="0.25">
      <c r="A2639" s="59"/>
    </row>
    <row r="2640" spans="1:1" x14ac:dyDescent="0.25">
      <c r="A2640" s="59"/>
    </row>
    <row r="2641" spans="1:1" x14ac:dyDescent="0.25">
      <c r="A2641" s="59"/>
    </row>
    <row r="2642" spans="1:1" x14ac:dyDescent="0.25">
      <c r="A2642" s="59"/>
    </row>
    <row r="2643" spans="1:1" x14ac:dyDescent="0.25">
      <c r="A2643" s="59"/>
    </row>
    <row r="2644" spans="1:1" x14ac:dyDescent="0.25">
      <c r="A2644" s="59"/>
    </row>
    <row r="2645" spans="1:1" x14ac:dyDescent="0.25">
      <c r="A2645" s="59"/>
    </row>
    <row r="2646" spans="1:1" x14ac:dyDescent="0.25">
      <c r="A2646" s="59"/>
    </row>
    <row r="2647" spans="1:1" x14ac:dyDescent="0.25">
      <c r="A2647" s="59"/>
    </row>
    <row r="2648" spans="1:1" x14ac:dyDescent="0.25">
      <c r="A2648" s="59"/>
    </row>
    <row r="2649" spans="1:1" x14ac:dyDescent="0.25">
      <c r="A2649" s="59"/>
    </row>
    <row r="2650" spans="1:1" x14ac:dyDescent="0.25">
      <c r="A2650" s="59"/>
    </row>
    <row r="2651" spans="1:1" x14ac:dyDescent="0.25">
      <c r="A2651" s="59"/>
    </row>
    <row r="2652" spans="1:1" x14ac:dyDescent="0.25">
      <c r="A2652" s="59"/>
    </row>
    <row r="2653" spans="1:1" x14ac:dyDescent="0.25">
      <c r="A2653" s="59"/>
    </row>
    <row r="2654" spans="1:1" x14ac:dyDescent="0.25">
      <c r="A2654" s="59"/>
    </row>
    <row r="2655" spans="1:1" x14ac:dyDescent="0.25">
      <c r="A2655" s="59"/>
    </row>
    <row r="2656" spans="1:1" x14ac:dyDescent="0.25">
      <c r="A2656" s="59"/>
    </row>
    <row r="2657" spans="1:1" x14ac:dyDescent="0.25">
      <c r="A2657" s="59"/>
    </row>
    <row r="2658" spans="1:1" x14ac:dyDescent="0.25">
      <c r="A2658" s="59"/>
    </row>
    <row r="2659" spans="1:1" x14ac:dyDescent="0.25">
      <c r="A2659" s="59"/>
    </row>
    <row r="2660" spans="1:1" x14ac:dyDescent="0.25">
      <c r="A2660" s="59"/>
    </row>
    <row r="2661" spans="1:1" x14ac:dyDescent="0.25">
      <c r="A2661" s="59"/>
    </row>
    <row r="2662" spans="1:1" x14ac:dyDescent="0.25">
      <c r="A2662" s="59"/>
    </row>
    <row r="2663" spans="1:1" x14ac:dyDescent="0.25">
      <c r="A2663" s="59"/>
    </row>
    <row r="2664" spans="1:1" x14ac:dyDescent="0.25">
      <c r="A2664" s="59"/>
    </row>
    <row r="2665" spans="1:1" x14ac:dyDescent="0.25">
      <c r="A2665" s="59"/>
    </row>
    <row r="2666" spans="1:1" x14ac:dyDescent="0.25">
      <c r="A2666" s="59"/>
    </row>
    <row r="2667" spans="1:1" x14ac:dyDescent="0.25">
      <c r="A2667" s="59"/>
    </row>
    <row r="2668" spans="1:1" x14ac:dyDescent="0.25">
      <c r="A2668" s="59"/>
    </row>
    <row r="2669" spans="1:1" x14ac:dyDescent="0.25">
      <c r="A2669" s="59"/>
    </row>
    <row r="2670" spans="1:1" x14ac:dyDescent="0.25">
      <c r="A2670" s="59"/>
    </row>
    <row r="2671" spans="1:1" x14ac:dyDescent="0.25">
      <c r="A2671" s="59"/>
    </row>
    <row r="2672" spans="1:1" x14ac:dyDescent="0.25">
      <c r="A2672" s="59"/>
    </row>
    <row r="2673" spans="1:1" x14ac:dyDescent="0.25">
      <c r="A2673" s="59"/>
    </row>
    <row r="2674" spans="1:1" x14ac:dyDescent="0.25">
      <c r="A2674" s="59"/>
    </row>
    <row r="2675" spans="1:1" x14ac:dyDescent="0.25">
      <c r="A2675" s="59"/>
    </row>
    <row r="2676" spans="1:1" x14ac:dyDescent="0.25">
      <c r="A2676" s="59"/>
    </row>
    <row r="2677" spans="1:1" x14ac:dyDescent="0.25">
      <c r="A2677" s="59"/>
    </row>
    <row r="2678" spans="1:1" x14ac:dyDescent="0.25">
      <c r="A2678" s="59"/>
    </row>
    <row r="2679" spans="1:1" x14ac:dyDescent="0.25">
      <c r="A2679" s="59"/>
    </row>
    <row r="2680" spans="1:1" x14ac:dyDescent="0.25">
      <c r="A2680" s="59"/>
    </row>
    <row r="2681" spans="1:1" x14ac:dyDescent="0.25">
      <c r="A2681" s="59"/>
    </row>
    <row r="2682" spans="1:1" x14ac:dyDescent="0.25">
      <c r="A2682" s="59"/>
    </row>
    <row r="2683" spans="1:1" x14ac:dyDescent="0.25">
      <c r="A2683" s="59"/>
    </row>
    <row r="2684" spans="1:1" x14ac:dyDescent="0.25">
      <c r="A2684" s="59"/>
    </row>
    <row r="2685" spans="1:1" x14ac:dyDescent="0.25">
      <c r="A2685" s="59"/>
    </row>
    <row r="2686" spans="1:1" x14ac:dyDescent="0.25">
      <c r="A2686" s="59"/>
    </row>
    <row r="2687" spans="1:1" x14ac:dyDescent="0.25">
      <c r="A2687" s="59"/>
    </row>
    <row r="2688" spans="1:1" x14ac:dyDescent="0.25">
      <c r="A2688" s="59"/>
    </row>
    <row r="2689" spans="1:1" x14ac:dyDescent="0.25">
      <c r="A2689" s="59"/>
    </row>
    <row r="2690" spans="1:1" x14ac:dyDescent="0.25">
      <c r="A2690" s="59"/>
    </row>
    <row r="2691" spans="1:1" x14ac:dyDescent="0.25">
      <c r="A2691" s="59"/>
    </row>
    <row r="2692" spans="1:1" x14ac:dyDescent="0.25">
      <c r="A2692" s="59"/>
    </row>
    <row r="2693" spans="1:1" x14ac:dyDescent="0.25">
      <c r="A2693" s="59"/>
    </row>
    <row r="2694" spans="1:1" x14ac:dyDescent="0.25">
      <c r="A2694" s="59"/>
    </row>
    <row r="2695" spans="1:1" x14ac:dyDescent="0.25">
      <c r="A2695" s="59"/>
    </row>
    <row r="2696" spans="1:1" x14ac:dyDescent="0.25">
      <c r="A2696" s="59"/>
    </row>
    <row r="2697" spans="1:1" x14ac:dyDescent="0.25">
      <c r="A2697" s="59"/>
    </row>
    <row r="2698" spans="1:1" x14ac:dyDescent="0.25">
      <c r="A2698" s="59"/>
    </row>
    <row r="2699" spans="1:1" x14ac:dyDescent="0.25">
      <c r="A2699" s="59"/>
    </row>
    <row r="2700" spans="1:1" x14ac:dyDescent="0.25">
      <c r="A2700" s="59"/>
    </row>
    <row r="2701" spans="1:1" x14ac:dyDescent="0.25">
      <c r="A2701" s="59"/>
    </row>
    <row r="2702" spans="1:1" x14ac:dyDescent="0.25">
      <c r="A2702" s="59"/>
    </row>
    <row r="2703" spans="1:1" x14ac:dyDescent="0.25">
      <c r="A2703" s="59"/>
    </row>
    <row r="2704" spans="1:1" x14ac:dyDescent="0.25">
      <c r="A2704" s="59"/>
    </row>
    <row r="2705" spans="1:1" x14ac:dyDescent="0.25">
      <c r="A2705" s="59"/>
    </row>
    <row r="2706" spans="1:1" x14ac:dyDescent="0.25">
      <c r="A2706" s="59"/>
    </row>
    <row r="2707" spans="1:1" x14ac:dyDescent="0.25">
      <c r="A2707" s="59"/>
    </row>
    <row r="2708" spans="1:1" x14ac:dyDescent="0.25">
      <c r="A2708" s="59"/>
    </row>
    <row r="2709" spans="1:1" x14ac:dyDescent="0.25">
      <c r="A2709" s="59"/>
    </row>
    <row r="2710" spans="1:1" x14ac:dyDescent="0.25">
      <c r="A2710" s="59"/>
    </row>
    <row r="2711" spans="1:1" x14ac:dyDescent="0.25">
      <c r="A2711" s="59"/>
    </row>
    <row r="2712" spans="1:1" x14ac:dyDescent="0.25">
      <c r="A2712" s="59"/>
    </row>
    <row r="2713" spans="1:1" x14ac:dyDescent="0.25">
      <c r="A2713" s="59"/>
    </row>
    <row r="2714" spans="1:1" x14ac:dyDescent="0.25">
      <c r="A2714" s="59"/>
    </row>
    <row r="2715" spans="1:1" x14ac:dyDescent="0.25">
      <c r="A2715" s="59"/>
    </row>
    <row r="2716" spans="1:1" x14ac:dyDescent="0.25">
      <c r="A2716" s="59"/>
    </row>
    <row r="2717" spans="1:1" x14ac:dyDescent="0.25">
      <c r="A2717" s="59"/>
    </row>
    <row r="2718" spans="1:1" x14ac:dyDescent="0.25">
      <c r="A2718" s="59"/>
    </row>
    <row r="2719" spans="1:1" x14ac:dyDescent="0.25">
      <c r="A2719" s="59"/>
    </row>
    <row r="2720" spans="1:1" x14ac:dyDescent="0.25">
      <c r="A2720" s="59"/>
    </row>
    <row r="2721" spans="1:1" x14ac:dyDescent="0.25">
      <c r="A2721" s="59"/>
    </row>
    <row r="2722" spans="1:1" x14ac:dyDescent="0.25">
      <c r="A2722" s="59"/>
    </row>
    <row r="2723" spans="1:1" x14ac:dyDescent="0.25">
      <c r="A2723" s="59"/>
    </row>
    <row r="2724" spans="1:1" x14ac:dyDescent="0.25">
      <c r="A2724" s="59"/>
    </row>
    <row r="2725" spans="1:1" x14ac:dyDescent="0.25">
      <c r="A2725" s="59"/>
    </row>
    <row r="2726" spans="1:1" x14ac:dyDescent="0.25">
      <c r="A2726" s="59"/>
    </row>
    <row r="2727" spans="1:1" x14ac:dyDescent="0.25">
      <c r="A2727" s="59"/>
    </row>
    <row r="2728" spans="1:1" x14ac:dyDescent="0.25">
      <c r="A2728" s="59"/>
    </row>
    <row r="2729" spans="1:1" x14ac:dyDescent="0.25">
      <c r="A2729" s="59"/>
    </row>
    <row r="2730" spans="1:1" x14ac:dyDescent="0.25">
      <c r="A2730" s="59"/>
    </row>
    <row r="2731" spans="1:1" x14ac:dyDescent="0.25">
      <c r="A2731" s="59"/>
    </row>
    <row r="2732" spans="1:1" x14ac:dyDescent="0.25">
      <c r="A2732" s="59"/>
    </row>
    <row r="2733" spans="1:1" x14ac:dyDescent="0.25">
      <c r="A2733" s="59"/>
    </row>
    <row r="2734" spans="1:1" x14ac:dyDescent="0.25">
      <c r="A2734" s="59"/>
    </row>
    <row r="2735" spans="1:1" x14ac:dyDescent="0.25">
      <c r="A2735" s="59"/>
    </row>
    <row r="2736" spans="1:1" x14ac:dyDescent="0.25">
      <c r="A2736" s="59"/>
    </row>
    <row r="2737" spans="1:1" x14ac:dyDescent="0.25">
      <c r="A2737" s="59"/>
    </row>
    <row r="2738" spans="1:1" x14ac:dyDescent="0.25">
      <c r="A2738" s="59"/>
    </row>
    <row r="2739" spans="1:1" x14ac:dyDescent="0.25">
      <c r="A2739" s="59"/>
    </row>
    <row r="2740" spans="1:1" x14ac:dyDescent="0.25">
      <c r="A2740" s="59"/>
    </row>
    <row r="2741" spans="1:1" x14ac:dyDescent="0.25">
      <c r="A2741" s="59"/>
    </row>
    <row r="2742" spans="1:1" x14ac:dyDescent="0.25">
      <c r="A2742" s="59"/>
    </row>
    <row r="2743" spans="1:1" x14ac:dyDescent="0.25">
      <c r="A2743" s="59"/>
    </row>
    <row r="2744" spans="1:1" x14ac:dyDescent="0.25">
      <c r="A2744" s="59"/>
    </row>
    <row r="2745" spans="1:1" x14ac:dyDescent="0.25">
      <c r="A2745" s="59"/>
    </row>
    <row r="2746" spans="1:1" x14ac:dyDescent="0.25">
      <c r="A2746" s="59"/>
    </row>
    <row r="2747" spans="1:1" x14ac:dyDescent="0.25">
      <c r="A2747" s="59"/>
    </row>
    <row r="2748" spans="1:1" x14ac:dyDescent="0.25">
      <c r="A2748" s="59"/>
    </row>
    <row r="2749" spans="1:1" x14ac:dyDescent="0.25">
      <c r="A2749" s="59"/>
    </row>
    <row r="2750" spans="1:1" x14ac:dyDescent="0.25">
      <c r="A2750" s="59"/>
    </row>
    <row r="2751" spans="1:1" x14ac:dyDescent="0.25">
      <c r="A2751" s="59"/>
    </row>
    <row r="2752" spans="1:1" x14ac:dyDescent="0.25">
      <c r="A2752" s="59"/>
    </row>
    <row r="2753" spans="1:1" x14ac:dyDescent="0.25">
      <c r="A2753" s="59"/>
    </row>
    <row r="2754" spans="1:1" x14ac:dyDescent="0.25">
      <c r="A2754" s="59"/>
    </row>
    <row r="2755" spans="1:1" x14ac:dyDescent="0.25">
      <c r="A2755" s="59"/>
    </row>
    <row r="2756" spans="1:1" x14ac:dyDescent="0.25">
      <c r="A2756" s="59"/>
    </row>
    <row r="2757" spans="1:1" x14ac:dyDescent="0.25">
      <c r="A2757" s="59"/>
    </row>
    <row r="2758" spans="1:1" x14ac:dyDescent="0.25">
      <c r="A2758" s="59"/>
    </row>
    <row r="2759" spans="1:1" x14ac:dyDescent="0.25">
      <c r="A2759" s="59"/>
    </row>
    <row r="2760" spans="1:1" x14ac:dyDescent="0.25">
      <c r="A2760" s="59"/>
    </row>
    <row r="2761" spans="1:1" x14ac:dyDescent="0.25">
      <c r="A2761" s="59"/>
    </row>
    <row r="2762" spans="1:1" x14ac:dyDescent="0.25">
      <c r="A2762" s="59"/>
    </row>
    <row r="2763" spans="1:1" x14ac:dyDescent="0.25">
      <c r="A2763" s="59"/>
    </row>
    <row r="2764" spans="1:1" x14ac:dyDescent="0.25">
      <c r="A2764" s="59"/>
    </row>
    <row r="2765" spans="1:1" x14ac:dyDescent="0.25">
      <c r="A2765" s="59"/>
    </row>
    <row r="2766" spans="1:1" x14ac:dyDescent="0.25">
      <c r="A2766" s="59"/>
    </row>
    <row r="2767" spans="1:1" x14ac:dyDescent="0.25">
      <c r="A2767" s="59"/>
    </row>
    <row r="2768" spans="1:1" x14ac:dyDescent="0.25">
      <c r="A2768" s="59"/>
    </row>
  </sheetData>
  <autoFilter ref="A3:N2048" xr:uid="{00000000-0009-0000-0000-000002000000}"/>
  <mergeCells count="2">
    <mergeCell ref="P1:P3"/>
    <mergeCell ref="Q1:Q3"/>
  </mergeCells>
  <pageMargins left="0.7" right="0.7" top="0.78749999999999998" bottom="0.78749999999999998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6"/>
  <sheetViews>
    <sheetView showGridLines="0" zoomScaleNormal="100" workbookViewId="0">
      <pane ySplit="3" topLeftCell="A978" activePane="bottomLeft" state="frozen"/>
      <selection pane="bottomLeft" activeCell="M994" sqref="M994"/>
    </sheetView>
  </sheetViews>
  <sheetFormatPr baseColWidth="10" defaultColWidth="14.140625" defaultRowHeight="15.75" x14ac:dyDescent="0.25"/>
  <cols>
    <col min="1" max="2" width="13.7109375" style="25" customWidth="1"/>
    <col min="3" max="3" width="20.7109375" style="58" customWidth="1"/>
    <col min="4" max="4" width="7.28515625" style="58" customWidth="1"/>
    <col min="5" max="10" width="9.7109375" style="27" customWidth="1"/>
    <col min="11" max="14" width="8.7109375" style="27" customWidth="1"/>
    <col min="15" max="15" width="9.7109375" style="27" customWidth="1"/>
    <col min="16" max="16" width="10.7109375" style="27" customWidth="1"/>
    <col min="17" max="17" width="14.7109375" style="25" customWidth="1"/>
    <col min="18" max="18" width="24.7109375" style="123" customWidth="1"/>
    <col min="19" max="19" width="3.7109375" style="23" customWidth="1"/>
    <col min="20" max="20" width="15.7109375" style="37" customWidth="1"/>
    <col min="21" max="21" width="21.7109375" style="37" customWidth="1"/>
    <col min="22" max="16384" width="14.140625" style="25"/>
  </cols>
  <sheetData>
    <row r="1" spans="1:21" s="35" customFormat="1" ht="33" customHeight="1" x14ac:dyDescent="0.25">
      <c r="A1" s="60" t="s">
        <v>218</v>
      </c>
      <c r="B1" s="61" t="s">
        <v>3</v>
      </c>
      <c r="C1" s="61" t="s">
        <v>219</v>
      </c>
      <c r="D1" s="82" t="s">
        <v>75</v>
      </c>
      <c r="E1" s="61" t="s">
        <v>186</v>
      </c>
      <c r="F1" s="60" t="s">
        <v>187</v>
      </c>
      <c r="G1" s="62" t="s">
        <v>188</v>
      </c>
      <c r="H1" s="60" t="s">
        <v>189</v>
      </c>
      <c r="I1" s="60" t="s">
        <v>190</v>
      </c>
      <c r="J1" s="61" t="s">
        <v>191</v>
      </c>
      <c r="K1" s="61" t="s">
        <v>192</v>
      </c>
      <c r="L1" s="61" t="s">
        <v>193</v>
      </c>
      <c r="M1" s="61" t="s">
        <v>194</v>
      </c>
      <c r="N1" s="61" t="s">
        <v>195</v>
      </c>
      <c r="O1" s="61" t="s">
        <v>196</v>
      </c>
      <c r="P1" s="61" t="s">
        <v>197</v>
      </c>
      <c r="Q1" s="125" t="s">
        <v>297</v>
      </c>
      <c r="R1" s="124" t="s">
        <v>2</v>
      </c>
      <c r="S1" s="55"/>
      <c r="T1" s="216" t="s">
        <v>340</v>
      </c>
      <c r="U1" s="219" t="s">
        <v>364</v>
      </c>
    </row>
    <row r="2" spans="1:21" customFormat="1" ht="12" customHeight="1" x14ac:dyDescent="0.25">
      <c r="A2" s="13"/>
      <c r="B2" s="13"/>
      <c r="C2" s="57"/>
      <c r="D2" s="57"/>
      <c r="E2" s="140" t="s">
        <v>17</v>
      </c>
      <c r="F2" s="140" t="s">
        <v>17</v>
      </c>
      <c r="G2" s="140" t="s">
        <v>17</v>
      </c>
      <c r="H2" s="140" t="s">
        <v>17</v>
      </c>
      <c r="I2" s="140" t="s">
        <v>17</v>
      </c>
      <c r="J2" s="140" t="s">
        <v>17</v>
      </c>
      <c r="K2" s="140"/>
      <c r="L2" s="140"/>
      <c r="M2" s="140"/>
      <c r="N2" s="140"/>
      <c r="O2" s="140"/>
      <c r="P2" s="140" t="s">
        <v>17</v>
      </c>
      <c r="Q2" s="140"/>
      <c r="R2" s="161"/>
      <c r="S2" s="13"/>
      <c r="T2" s="217"/>
      <c r="U2" s="222"/>
    </row>
    <row r="3" spans="1:21" customFormat="1" ht="12" customHeight="1" x14ac:dyDescent="0.25">
      <c r="A3" s="13"/>
      <c r="B3" s="13"/>
      <c r="C3" s="120" t="s">
        <v>339</v>
      </c>
      <c r="D3" s="57"/>
      <c r="E3" s="139">
        <f>COUNTBLANK(E4:E1016)</f>
        <v>31</v>
      </c>
      <c r="F3" s="139">
        <f t="shared" ref="F3:P3" si="0">COUNTBLANK(F4:F1016)</f>
        <v>31</v>
      </c>
      <c r="G3" s="139">
        <f t="shared" si="0"/>
        <v>31</v>
      </c>
      <c r="H3" s="139">
        <f t="shared" si="0"/>
        <v>31</v>
      </c>
      <c r="I3" s="139">
        <f t="shared" si="0"/>
        <v>31</v>
      </c>
      <c r="J3" s="139">
        <f t="shared" si="0"/>
        <v>31</v>
      </c>
      <c r="K3" s="139">
        <f t="shared" si="0"/>
        <v>72</v>
      </c>
      <c r="L3" s="139">
        <f t="shared" si="0"/>
        <v>72</v>
      </c>
      <c r="M3" s="139">
        <f t="shared" si="0"/>
        <v>74</v>
      </c>
      <c r="N3" s="139">
        <f t="shared" si="0"/>
        <v>50</v>
      </c>
      <c r="O3" s="139">
        <f t="shared" si="0"/>
        <v>31</v>
      </c>
      <c r="P3" s="139">
        <f t="shared" si="0"/>
        <v>31</v>
      </c>
      <c r="Q3" s="138"/>
      <c r="R3" s="160"/>
      <c r="S3" s="13"/>
      <c r="T3" s="218"/>
      <c r="U3" s="223"/>
    </row>
    <row r="4" spans="1:21" x14ac:dyDescent="0.25">
      <c r="A4" s="127">
        <v>44295</v>
      </c>
      <c r="B4" s="128" t="s">
        <v>22</v>
      </c>
      <c r="C4" s="141" t="str">
        <f>CONCATENATE(TEXT(A4,"TT.MM.JJJJ"),"_",B4)</f>
        <v>09.04.2021_BOYkl</v>
      </c>
      <c r="D4" s="143">
        <f>COUNTBLANK(E4:P4)</f>
        <v>0</v>
      </c>
      <c r="E4" s="130">
        <v>6.9999999999999994E-5</v>
      </c>
      <c r="F4" s="131">
        <v>1.47E-3</v>
      </c>
      <c r="G4" s="131">
        <v>0.1845</v>
      </c>
      <c r="H4" s="131">
        <v>4.7000000000000002E-3</v>
      </c>
      <c r="I4" s="131">
        <v>1E-4</v>
      </c>
      <c r="J4" s="131">
        <v>1.35E-2</v>
      </c>
      <c r="K4" s="132">
        <v>63</v>
      </c>
      <c r="L4" s="133">
        <v>5.3</v>
      </c>
      <c r="M4" s="133">
        <v>13</v>
      </c>
      <c r="N4" s="133">
        <v>4.9000000000000004</v>
      </c>
      <c r="O4" s="131">
        <v>5.9999999999999995E-4</v>
      </c>
      <c r="P4" s="133">
        <v>106.628</v>
      </c>
      <c r="Q4" s="134"/>
      <c r="R4" s="135"/>
      <c r="S4" s="13"/>
      <c r="T4" s="13"/>
      <c r="U4" s="13"/>
    </row>
    <row r="5" spans="1:21" x14ac:dyDescent="0.25">
      <c r="A5" s="127">
        <v>44295</v>
      </c>
      <c r="B5" s="128" t="s">
        <v>28</v>
      </c>
      <c r="C5" s="129" t="str">
        <f t="shared" ref="C5:C68" si="1">CONCATENATE(TEXT(A5,"TT.MM.JJJJ"),"_",B5)</f>
        <v>09.04.2021_BOYohBr</v>
      </c>
      <c r="D5" s="143">
        <f t="shared" ref="D5:D68" si="2">COUNTBLANK(E5:P5)</f>
        <v>0</v>
      </c>
      <c r="E5" s="130">
        <v>1.0000000000000001E-5</v>
      </c>
      <c r="F5" s="131">
        <v>2.0200000000000001E-3</v>
      </c>
      <c r="G5" s="131">
        <v>0.21229999999999999</v>
      </c>
      <c r="H5" s="131">
        <v>3.5999999999999999E-3</v>
      </c>
      <c r="I5" s="131">
        <v>1E-4</v>
      </c>
      <c r="J5" s="131">
        <v>1.1599999999999999E-2</v>
      </c>
      <c r="K5" s="132">
        <v>202</v>
      </c>
      <c r="L5" s="133">
        <v>18</v>
      </c>
      <c r="M5" s="133">
        <v>31</v>
      </c>
      <c r="N5" s="133">
        <v>10</v>
      </c>
      <c r="O5" s="131">
        <v>2.0000000000000001E-4</v>
      </c>
      <c r="P5" s="133">
        <v>131.02799999999999</v>
      </c>
      <c r="Q5" s="134"/>
      <c r="R5" s="135"/>
      <c r="S5" s="13"/>
      <c r="T5" s="13"/>
      <c r="U5" s="13"/>
    </row>
    <row r="6" spans="1:21" x14ac:dyDescent="0.25">
      <c r="A6" s="127">
        <v>44295</v>
      </c>
      <c r="B6" s="128" t="s">
        <v>30</v>
      </c>
      <c r="C6" s="129" t="str">
        <f t="shared" si="1"/>
        <v>09.04.2021_BOYohKi</v>
      </c>
      <c r="D6" s="143">
        <f t="shared" si="2"/>
        <v>0</v>
      </c>
      <c r="E6" s="130">
        <v>2.0000000000000002E-5</v>
      </c>
      <c r="F6" s="131">
        <v>1.4400000000000001E-3</v>
      </c>
      <c r="G6" s="131">
        <v>0.27529999999999999</v>
      </c>
      <c r="H6" s="131">
        <v>4.0000000000000001E-3</v>
      </c>
      <c r="I6" s="131">
        <v>1E-4</v>
      </c>
      <c r="J6" s="131">
        <v>1.2699999999999999E-2</v>
      </c>
      <c r="K6" s="132">
        <v>271</v>
      </c>
      <c r="L6" s="133">
        <v>20</v>
      </c>
      <c r="M6" s="133">
        <v>44</v>
      </c>
      <c r="N6" s="133">
        <v>7.5</v>
      </c>
      <c r="O6" s="131">
        <v>5.9999999999999995E-4</v>
      </c>
      <c r="P6" s="133">
        <v>181.78</v>
      </c>
      <c r="Q6" s="134"/>
      <c r="R6" s="135"/>
      <c r="S6" s="13"/>
      <c r="T6" s="13"/>
      <c r="U6" s="13"/>
    </row>
    <row r="7" spans="1:21" x14ac:dyDescent="0.25">
      <c r="A7" s="127">
        <v>44295</v>
      </c>
      <c r="B7" s="128" t="s">
        <v>32</v>
      </c>
      <c r="C7" s="129" t="str">
        <f t="shared" si="1"/>
        <v>09.04.2021_BOYohSp</v>
      </c>
      <c r="D7" s="143">
        <f t="shared" si="2"/>
        <v>0</v>
      </c>
      <c r="E7" s="130">
        <v>2.0000000000000002E-5</v>
      </c>
      <c r="F7" s="131">
        <v>1.9499999999999999E-3</v>
      </c>
      <c r="G7" s="131">
        <v>0.35010000000000002</v>
      </c>
      <c r="H7" s="131">
        <v>4.7999999999999996E-3</v>
      </c>
      <c r="I7" s="131">
        <v>1E-4</v>
      </c>
      <c r="J7" s="131">
        <v>1.3100000000000001E-2</v>
      </c>
      <c r="K7" s="132">
        <v>336</v>
      </c>
      <c r="L7" s="133">
        <v>22</v>
      </c>
      <c r="M7" s="133">
        <v>65</v>
      </c>
      <c r="N7" s="133">
        <v>12</v>
      </c>
      <c r="O7" s="131">
        <v>4.0000000000000002E-4</v>
      </c>
      <c r="P7" s="133">
        <v>162.99199999999999</v>
      </c>
      <c r="Q7" s="134"/>
      <c r="R7" s="135"/>
      <c r="S7" s="13"/>
      <c r="T7" s="13"/>
      <c r="U7" s="13"/>
    </row>
    <row r="8" spans="1:21" x14ac:dyDescent="0.25">
      <c r="A8" s="127">
        <v>44295</v>
      </c>
      <c r="B8" s="128" t="s">
        <v>36</v>
      </c>
      <c r="C8" s="129" t="str">
        <f t="shared" si="1"/>
        <v>09.04.2021_BOYuhSp</v>
      </c>
      <c r="D8" s="143">
        <f t="shared" si="2"/>
        <v>0</v>
      </c>
      <c r="E8" s="130">
        <v>4.0000000000000003E-5</v>
      </c>
      <c r="F8" s="131">
        <v>1.7700000000000001E-3</v>
      </c>
      <c r="G8" s="131">
        <v>0.316</v>
      </c>
      <c r="H8" s="131">
        <v>4.7000000000000002E-3</v>
      </c>
      <c r="I8" s="131">
        <v>1E-4</v>
      </c>
      <c r="J8" s="131">
        <v>1.4800000000000001E-2</v>
      </c>
      <c r="K8" s="132">
        <v>320</v>
      </c>
      <c r="L8" s="133">
        <v>20</v>
      </c>
      <c r="M8" s="133">
        <v>54</v>
      </c>
      <c r="N8" s="133">
        <v>10</v>
      </c>
      <c r="O8" s="131">
        <v>8.0000000000000004E-4</v>
      </c>
      <c r="P8" s="133">
        <v>166.65199999999999</v>
      </c>
      <c r="Q8" s="134"/>
      <c r="R8" s="135"/>
      <c r="S8" s="13"/>
      <c r="T8" s="13"/>
      <c r="U8" s="13"/>
    </row>
    <row r="9" spans="1:21" x14ac:dyDescent="0.25">
      <c r="A9" s="127">
        <v>44295</v>
      </c>
      <c r="B9" s="128" t="s">
        <v>38</v>
      </c>
      <c r="C9" s="129" t="str">
        <f t="shared" si="1"/>
        <v>09.04.2021_BRAob</v>
      </c>
      <c r="D9" s="143">
        <f t="shared" si="2"/>
        <v>0</v>
      </c>
      <c r="E9" s="130">
        <v>2.0000000000000002E-5</v>
      </c>
      <c r="F9" s="131">
        <v>9.7999999999999997E-4</v>
      </c>
      <c r="G9" s="131">
        <v>0.38030000000000003</v>
      </c>
      <c r="H9" s="131">
        <v>3.5999999999999999E-3</v>
      </c>
      <c r="I9" s="131">
        <v>2.0000000000000001E-4</v>
      </c>
      <c r="J9" s="131">
        <v>1.8100000000000002E-2</v>
      </c>
      <c r="K9" s="132">
        <v>134</v>
      </c>
      <c r="L9" s="133">
        <v>5</v>
      </c>
      <c r="M9" s="133">
        <v>18</v>
      </c>
      <c r="N9" s="133">
        <v>2.7</v>
      </c>
      <c r="O9" s="131">
        <v>4.0000000000000002E-4</v>
      </c>
      <c r="P9" s="133">
        <v>183.488</v>
      </c>
      <c r="Q9" s="134"/>
      <c r="R9" s="135"/>
      <c r="S9" s="13"/>
      <c r="T9" s="13"/>
    </row>
    <row r="10" spans="1:21" x14ac:dyDescent="0.25">
      <c r="A10" s="127">
        <v>44295</v>
      </c>
      <c r="B10" s="128" t="s">
        <v>41</v>
      </c>
      <c r="C10" s="129" t="str">
        <f t="shared" si="1"/>
        <v>09.04.2021_BRAohBo</v>
      </c>
      <c r="D10" s="143">
        <f t="shared" si="2"/>
        <v>0</v>
      </c>
      <c r="E10" s="130">
        <v>3.0000000000000001E-5</v>
      </c>
      <c r="F10" s="131">
        <v>1.41E-3</v>
      </c>
      <c r="G10" s="131">
        <v>0.35830000000000001</v>
      </c>
      <c r="H10" s="131">
        <v>4.1000000000000003E-3</v>
      </c>
      <c r="I10" s="131">
        <v>1E-4</v>
      </c>
      <c r="J10" s="131">
        <v>1.35E-2</v>
      </c>
      <c r="K10" s="132">
        <v>133</v>
      </c>
      <c r="L10" s="133">
        <v>6.8</v>
      </c>
      <c r="M10" s="133">
        <v>20</v>
      </c>
      <c r="N10" s="133">
        <v>3.4</v>
      </c>
      <c r="O10" s="131">
        <v>5.0000000000000001E-4</v>
      </c>
      <c r="P10" s="133">
        <v>179.096</v>
      </c>
      <c r="Q10" s="134"/>
      <c r="R10" s="135"/>
      <c r="S10" s="13"/>
      <c r="T10" s="13"/>
    </row>
    <row r="11" spans="1:21" x14ac:dyDescent="0.25">
      <c r="A11" s="127">
        <v>44295</v>
      </c>
      <c r="B11" s="128" t="s">
        <v>43</v>
      </c>
      <c r="C11" s="129" t="str">
        <f t="shared" si="1"/>
        <v>09.04.2021_HAAob</v>
      </c>
      <c r="D11" s="143">
        <f t="shared" si="2"/>
        <v>0</v>
      </c>
      <c r="E11" s="130">
        <v>1.0000000000000001E-5</v>
      </c>
      <c r="F11" s="131">
        <v>7.6000000000000004E-4</v>
      </c>
      <c r="G11" s="131">
        <v>0.28189999999999998</v>
      </c>
      <c r="H11" s="131">
        <v>2.7000000000000001E-3</v>
      </c>
      <c r="I11" s="131">
        <v>1E-4</v>
      </c>
      <c r="J11" s="131">
        <v>1.3599999999999999E-2</v>
      </c>
      <c r="K11" s="132">
        <v>280</v>
      </c>
      <c r="L11" s="133">
        <v>34</v>
      </c>
      <c r="M11" s="133">
        <v>46</v>
      </c>
      <c r="N11" s="133">
        <v>7.5</v>
      </c>
      <c r="O11" s="131">
        <v>2.0000000000000001E-4</v>
      </c>
      <c r="P11" s="133">
        <v>174.21600000000001</v>
      </c>
      <c r="Q11" s="134"/>
      <c r="R11" s="135"/>
      <c r="S11" s="13"/>
    </row>
    <row r="12" spans="1:21" x14ac:dyDescent="0.25">
      <c r="A12" s="127">
        <v>44295</v>
      </c>
      <c r="B12" s="128" t="s">
        <v>45</v>
      </c>
      <c r="C12" s="129" t="str">
        <f t="shared" si="1"/>
        <v>09.04.2021_HAAun</v>
      </c>
      <c r="D12" s="143">
        <f t="shared" si="2"/>
        <v>0</v>
      </c>
      <c r="E12" s="130">
        <v>1.0000000000000001E-5</v>
      </c>
      <c r="F12" s="131">
        <v>1.16E-3</v>
      </c>
      <c r="G12" s="131">
        <v>0.37069999999999997</v>
      </c>
      <c r="H12" s="131">
        <v>3.5000000000000001E-3</v>
      </c>
      <c r="I12" s="131">
        <v>1E-4</v>
      </c>
      <c r="J12" s="131">
        <v>1.3899999999999999E-2</v>
      </c>
      <c r="K12" s="132">
        <v>392</v>
      </c>
      <c r="L12" s="133">
        <v>52</v>
      </c>
      <c r="M12" s="133">
        <v>64</v>
      </c>
      <c r="N12" s="133">
        <v>11</v>
      </c>
      <c r="O12" s="131">
        <v>2.9999999999999997E-4</v>
      </c>
      <c r="P12" s="133">
        <v>250.1</v>
      </c>
      <c r="Q12" s="134"/>
      <c r="R12" s="135"/>
      <c r="S12" s="13"/>
    </row>
    <row r="13" spans="1:21" x14ac:dyDescent="0.25">
      <c r="A13" s="127">
        <v>44295</v>
      </c>
      <c r="B13" s="128" t="s">
        <v>47</v>
      </c>
      <c r="C13" s="129" t="str">
        <f t="shared" si="1"/>
        <v>09.04.2021_KIRob</v>
      </c>
      <c r="D13" s="143">
        <f t="shared" si="2"/>
        <v>0</v>
      </c>
      <c r="E13" s="130">
        <v>1.0000000000000001E-5</v>
      </c>
      <c r="F13" s="131">
        <v>1.09E-3</v>
      </c>
      <c r="G13" s="131">
        <v>0.38869999999999999</v>
      </c>
      <c r="H13" s="131">
        <v>4.8999999999999998E-3</v>
      </c>
      <c r="I13" s="131">
        <v>1E-4</v>
      </c>
      <c r="J13" s="131">
        <v>1.18E-2</v>
      </c>
      <c r="K13" s="132">
        <v>307</v>
      </c>
      <c r="L13" s="133">
        <v>24</v>
      </c>
      <c r="M13" s="133">
        <v>117</v>
      </c>
      <c r="N13" s="133">
        <v>11</v>
      </c>
      <c r="O13" s="131">
        <v>5.0000000000000001E-4</v>
      </c>
      <c r="P13" s="133">
        <v>221.06399999999999</v>
      </c>
      <c r="Q13" s="134"/>
      <c r="R13" s="135"/>
      <c r="S13" s="13"/>
    </row>
    <row r="14" spans="1:21" x14ac:dyDescent="0.25">
      <c r="A14" s="127">
        <v>44295</v>
      </c>
      <c r="B14" s="128" t="s">
        <v>49</v>
      </c>
      <c r="C14" s="129" t="str">
        <f t="shared" si="1"/>
        <v>09.04.2021_KIRun</v>
      </c>
      <c r="D14" s="143">
        <f t="shared" si="2"/>
        <v>0</v>
      </c>
      <c r="E14" s="130">
        <v>1.0000000000000001E-5</v>
      </c>
      <c r="F14" s="131">
        <v>7.5000000000000002E-4</v>
      </c>
      <c r="G14" s="131">
        <v>0.26860000000000001</v>
      </c>
      <c r="H14" s="131">
        <v>3.0999999999999999E-3</v>
      </c>
      <c r="I14" s="131">
        <v>1E-4</v>
      </c>
      <c r="J14" s="131">
        <v>1.0399999999999999E-3</v>
      </c>
      <c r="K14" s="132">
        <v>206</v>
      </c>
      <c r="L14" s="133">
        <v>16</v>
      </c>
      <c r="M14" s="133">
        <v>58</v>
      </c>
      <c r="N14" s="133">
        <v>6.4</v>
      </c>
      <c r="O14" s="131">
        <v>2.0000000000000001E-4</v>
      </c>
      <c r="P14" s="133">
        <v>211.548</v>
      </c>
      <c r="Q14" s="134"/>
      <c r="R14" s="135"/>
      <c r="S14" s="13"/>
    </row>
    <row r="15" spans="1:21" x14ac:dyDescent="0.25">
      <c r="A15" s="127">
        <v>44295</v>
      </c>
      <c r="B15" s="128" t="s">
        <v>55</v>
      </c>
      <c r="C15" s="129" t="str">
        <f t="shared" si="1"/>
        <v>09.04.2021_QUAohBo</v>
      </c>
      <c r="D15" s="143">
        <f t="shared" si="2"/>
        <v>0</v>
      </c>
      <c r="E15" s="130">
        <v>1.0000000000000001E-5</v>
      </c>
      <c r="F15" s="131">
        <v>1.14E-3</v>
      </c>
      <c r="G15" s="131">
        <v>0.36359999999999998</v>
      </c>
      <c r="H15" s="131">
        <v>3.5999999999999999E-3</v>
      </c>
      <c r="I15" s="131">
        <v>1E-4</v>
      </c>
      <c r="J15" s="131">
        <v>1.38E-2</v>
      </c>
      <c r="K15" s="132">
        <v>356</v>
      </c>
      <c r="L15" s="133">
        <v>17</v>
      </c>
      <c r="M15" s="133">
        <v>92</v>
      </c>
      <c r="N15" s="133">
        <v>7.9</v>
      </c>
      <c r="O15" s="131">
        <v>2.9999999999999997E-4</v>
      </c>
      <c r="P15" s="133">
        <v>207.64400000000001</v>
      </c>
      <c r="Q15" s="134"/>
      <c r="R15" s="135"/>
      <c r="S15" s="13"/>
    </row>
    <row r="16" spans="1:21" x14ac:dyDescent="0.25">
      <c r="A16" s="127">
        <v>44295</v>
      </c>
      <c r="B16" s="128" t="s">
        <v>57</v>
      </c>
      <c r="C16" s="129" t="str">
        <f t="shared" si="1"/>
        <v>09.04.2021_SCHohVo</v>
      </c>
      <c r="D16" s="143">
        <f t="shared" si="2"/>
        <v>0</v>
      </c>
      <c r="E16" s="130">
        <v>2.9E-4</v>
      </c>
      <c r="F16" s="131">
        <v>1.33E-3</v>
      </c>
      <c r="G16" s="131">
        <v>0.20319999999999999</v>
      </c>
      <c r="H16" s="131">
        <v>1.0800000000000001E-2</v>
      </c>
      <c r="I16" s="131">
        <v>1E-4</v>
      </c>
      <c r="J16" s="131">
        <v>7.7899999999999997E-2</v>
      </c>
      <c r="K16" s="132">
        <v>176</v>
      </c>
      <c r="L16" s="133">
        <v>13</v>
      </c>
      <c r="M16" s="133">
        <v>22</v>
      </c>
      <c r="N16" s="133">
        <v>3</v>
      </c>
      <c r="O16" s="131">
        <v>1.6999999999999999E-3</v>
      </c>
      <c r="P16" s="133">
        <v>109.8</v>
      </c>
      <c r="Q16" s="134"/>
      <c r="R16" s="135"/>
      <c r="S16" s="13"/>
    </row>
    <row r="17" spans="1:19" x14ac:dyDescent="0.25">
      <c r="A17" s="127">
        <v>44295</v>
      </c>
      <c r="B17" s="128" t="s">
        <v>60</v>
      </c>
      <c r="C17" s="129" t="str">
        <f t="shared" si="1"/>
        <v>09.04.2021_VORohBo</v>
      </c>
      <c r="D17" s="143">
        <f t="shared" si="2"/>
        <v>0</v>
      </c>
      <c r="E17" s="130">
        <v>1.0000000000000001E-5</v>
      </c>
      <c r="F17" s="131">
        <v>8.0999999999999996E-4</v>
      </c>
      <c r="G17" s="131">
        <v>0.40139999999999998</v>
      </c>
      <c r="H17" s="131">
        <v>5.5999999999999999E-3</v>
      </c>
      <c r="I17" s="131">
        <v>1E-4</v>
      </c>
      <c r="J17" s="131">
        <v>1.11E-2</v>
      </c>
      <c r="K17" s="132">
        <v>364</v>
      </c>
      <c r="L17" s="133">
        <v>33</v>
      </c>
      <c r="M17" s="133">
        <v>53</v>
      </c>
      <c r="N17" s="133">
        <v>11</v>
      </c>
      <c r="O17" s="131">
        <v>5.9999999999999995E-4</v>
      </c>
      <c r="P17" s="133">
        <v>238.14400000000001</v>
      </c>
      <c r="Q17" s="134"/>
      <c r="R17" s="135"/>
      <c r="S17" s="13"/>
    </row>
    <row r="18" spans="1:19" x14ac:dyDescent="0.25">
      <c r="A18" s="127">
        <v>44295</v>
      </c>
      <c r="B18" s="128" t="s">
        <v>62</v>
      </c>
      <c r="C18" s="129" t="str">
        <f t="shared" si="1"/>
        <v>09.04.2021_VORuhSc</v>
      </c>
      <c r="D18" s="143">
        <f t="shared" si="2"/>
        <v>0</v>
      </c>
      <c r="E18" s="130">
        <v>2.0000000000000002E-5</v>
      </c>
      <c r="F18" s="131">
        <v>9.7999999999999997E-4</v>
      </c>
      <c r="G18" s="131">
        <v>0.54369999999999996</v>
      </c>
      <c r="H18" s="131">
        <v>7.6E-3</v>
      </c>
      <c r="I18" s="131">
        <v>1E-4</v>
      </c>
      <c r="J18" s="131">
        <v>2.3900000000000001E-2</v>
      </c>
      <c r="K18" s="132">
        <v>432</v>
      </c>
      <c r="L18" s="133">
        <v>28</v>
      </c>
      <c r="M18" s="133">
        <v>46</v>
      </c>
      <c r="N18" s="133">
        <v>9.4</v>
      </c>
      <c r="O18" s="131">
        <v>8.9999999999999998E-4</v>
      </c>
      <c r="P18" s="133">
        <v>266.93599999999998</v>
      </c>
      <c r="Q18" s="134"/>
      <c r="R18" s="135"/>
      <c r="S18" s="13"/>
    </row>
    <row r="19" spans="1:19" x14ac:dyDescent="0.25">
      <c r="A19" s="127">
        <v>44295</v>
      </c>
      <c r="B19" s="128" t="s">
        <v>64</v>
      </c>
      <c r="C19" s="129" t="str">
        <f t="shared" si="1"/>
        <v>09.04.2021_WITob</v>
      </c>
      <c r="D19" s="143">
        <f t="shared" si="2"/>
        <v>0</v>
      </c>
      <c r="E19" s="130">
        <v>1.0000000000000001E-5</v>
      </c>
      <c r="F19" s="131">
        <v>1.09E-3</v>
      </c>
      <c r="G19" s="131">
        <v>0.51390000000000002</v>
      </c>
      <c r="H19" s="131">
        <v>4.7000000000000002E-3</v>
      </c>
      <c r="I19" s="131">
        <v>1E-4</v>
      </c>
      <c r="J19" s="131">
        <v>9.7999999999999997E-3</v>
      </c>
      <c r="K19" s="132">
        <v>576</v>
      </c>
      <c r="L19" s="133">
        <v>51</v>
      </c>
      <c r="M19" s="133">
        <v>129</v>
      </c>
      <c r="N19" s="133">
        <v>11</v>
      </c>
      <c r="O19" s="131">
        <v>2.9999999999999997E-4</v>
      </c>
      <c r="P19" s="133">
        <v>300.36399999999998</v>
      </c>
      <c r="Q19" s="134"/>
      <c r="R19" s="135"/>
      <c r="S19" s="13"/>
    </row>
    <row r="20" spans="1:19" x14ac:dyDescent="0.25">
      <c r="A20" s="127">
        <v>44323</v>
      </c>
      <c r="B20" s="128" t="s">
        <v>22</v>
      </c>
      <c r="C20" s="129" t="str">
        <f t="shared" si="1"/>
        <v>07.05.2021_BOYkl</v>
      </c>
      <c r="D20" s="143">
        <f t="shared" si="2"/>
        <v>0</v>
      </c>
      <c r="E20" s="130">
        <v>3.6453816681032599E-5</v>
      </c>
      <c r="F20" s="131">
        <v>2.6317442423696999E-3</v>
      </c>
      <c r="G20" s="131">
        <v>0.15958397600699101</v>
      </c>
      <c r="H20" s="131">
        <v>4.8448573110782102E-3</v>
      </c>
      <c r="I20" s="131">
        <v>2.1174970802836099E-4</v>
      </c>
      <c r="J20" s="131">
        <v>8.7340891036646207E-3</v>
      </c>
      <c r="K20" s="132">
        <v>147</v>
      </c>
      <c r="L20" s="133">
        <v>9.3000000000000007</v>
      </c>
      <c r="M20" s="133">
        <v>33</v>
      </c>
      <c r="N20" s="133">
        <v>11</v>
      </c>
      <c r="O20" s="131">
        <v>2.35278623630423E-4</v>
      </c>
      <c r="P20" s="133">
        <v>93.451999999999998</v>
      </c>
      <c r="Q20" s="134"/>
      <c r="R20" s="135"/>
      <c r="S20" s="13"/>
    </row>
    <row r="21" spans="1:19" x14ac:dyDescent="0.25">
      <c r="A21" s="127">
        <v>44323</v>
      </c>
      <c r="B21" s="128" t="s">
        <v>25</v>
      </c>
      <c r="C21" s="129" t="str">
        <f t="shared" si="1"/>
        <v>07.05.2021_BOYohB224</v>
      </c>
      <c r="D21" s="143">
        <f t="shared" si="2"/>
        <v>0</v>
      </c>
      <c r="E21" s="130">
        <v>1.7134177541509101E-5</v>
      </c>
      <c r="F21" s="131">
        <v>1.35516391116995E-3</v>
      </c>
      <c r="G21" s="131">
        <v>0.34868448708243899</v>
      </c>
      <c r="H21" s="131">
        <v>4.68200695733729E-3</v>
      </c>
      <c r="I21" s="131">
        <v>1.76486869672938E-4</v>
      </c>
      <c r="J21" s="131">
        <v>6.3822598921573701E-3</v>
      </c>
      <c r="K21" s="132">
        <v>278</v>
      </c>
      <c r="L21" s="133">
        <v>22</v>
      </c>
      <c r="M21" s="133">
        <v>60</v>
      </c>
      <c r="N21" s="133">
        <v>13</v>
      </c>
      <c r="O21" s="131">
        <v>4.3841228626984702E-4</v>
      </c>
      <c r="P21" s="133">
        <v>184.464</v>
      </c>
      <c r="Q21" s="134"/>
      <c r="R21" s="135"/>
      <c r="S21" s="13"/>
    </row>
    <row r="22" spans="1:19" x14ac:dyDescent="0.25">
      <c r="A22" s="127">
        <v>44323</v>
      </c>
      <c r="B22" s="128" t="s">
        <v>28</v>
      </c>
      <c r="C22" s="129" t="str">
        <f t="shared" si="1"/>
        <v>07.05.2021_BOYohBr</v>
      </c>
      <c r="D22" s="143">
        <f t="shared" si="2"/>
        <v>0</v>
      </c>
      <c r="E22" s="130">
        <v>1.7483692784115301E-5</v>
      </c>
      <c r="F22" s="131">
        <v>1.8591758177204901E-3</v>
      </c>
      <c r="G22" s="131">
        <v>0.214477496806318</v>
      </c>
      <c r="H22" s="131">
        <v>3.7104340386554702E-3</v>
      </c>
      <c r="I22" s="131">
        <v>2.2214705672900399E-4</v>
      </c>
      <c r="J22" s="131">
        <v>7.9579927264624498E-3</v>
      </c>
      <c r="K22" s="132">
        <v>81</v>
      </c>
      <c r="L22" s="133">
        <v>5.6</v>
      </c>
      <c r="M22" s="133">
        <v>10</v>
      </c>
      <c r="N22" s="133">
        <v>3.7</v>
      </c>
      <c r="O22" s="131">
        <v>1.9209675380942799E-4</v>
      </c>
      <c r="P22" s="133">
        <v>121.756</v>
      </c>
      <c r="Q22" s="134"/>
      <c r="R22" s="135"/>
      <c r="S22" s="13"/>
    </row>
    <row r="23" spans="1:19" x14ac:dyDescent="0.25">
      <c r="A23" s="127">
        <v>44323</v>
      </c>
      <c r="B23" s="128" t="s">
        <v>30</v>
      </c>
      <c r="C23" s="129" t="str">
        <f t="shared" si="1"/>
        <v>07.05.2021_BOYohKi</v>
      </c>
      <c r="D23" s="143">
        <f t="shared" si="2"/>
        <v>0</v>
      </c>
      <c r="E23" s="130">
        <v>1.40746445993432E-5</v>
      </c>
      <c r="F23" s="131">
        <v>1.3046541236009801E-3</v>
      </c>
      <c r="G23" s="131">
        <v>0.33800016988299197</v>
      </c>
      <c r="H23" s="131">
        <v>4.9179916145955004E-3</v>
      </c>
      <c r="I23" s="131">
        <v>1.3110492834133501E-4</v>
      </c>
      <c r="J23" s="131">
        <v>7.6468155541957001E-3</v>
      </c>
      <c r="K23" s="132">
        <v>271</v>
      </c>
      <c r="L23" s="133">
        <v>17</v>
      </c>
      <c r="M23" s="133">
        <v>48</v>
      </c>
      <c r="N23" s="133">
        <v>11</v>
      </c>
      <c r="O23" s="131">
        <v>4.7443589901444101E-4</v>
      </c>
      <c r="P23" s="133">
        <v>175.92400000000001</v>
      </c>
      <c r="Q23" s="134"/>
      <c r="R23" s="135"/>
      <c r="S23" s="13"/>
    </row>
    <row r="24" spans="1:19" x14ac:dyDescent="0.25">
      <c r="A24" s="127">
        <v>44323</v>
      </c>
      <c r="B24" s="128" t="s">
        <v>32</v>
      </c>
      <c r="C24" s="129" t="str">
        <f t="shared" si="1"/>
        <v>07.05.2021_BOYohSp</v>
      </c>
      <c r="D24" s="143">
        <f t="shared" si="2"/>
        <v>0</v>
      </c>
      <c r="E24" s="130">
        <v>2.09805446359927E-5</v>
      </c>
      <c r="F24" s="131">
        <v>1.51626473730793E-3</v>
      </c>
      <c r="G24" s="131">
        <v>0.26453871154320302</v>
      </c>
      <c r="H24" s="131">
        <v>4.0186073351479003E-3</v>
      </c>
      <c r="I24" s="131">
        <v>1.0060206569972401E-4</v>
      </c>
      <c r="J24" s="131">
        <v>5.53976485187695E-3</v>
      </c>
      <c r="K24" s="132">
        <v>237</v>
      </c>
      <c r="L24" s="133">
        <v>13</v>
      </c>
      <c r="M24" s="133">
        <v>42</v>
      </c>
      <c r="N24" s="133">
        <v>10</v>
      </c>
      <c r="O24" s="131">
        <v>2.8889235978999398E-4</v>
      </c>
      <c r="P24" s="133">
        <v>136.39599999999999</v>
      </c>
      <c r="Q24" s="134"/>
      <c r="R24" s="135"/>
      <c r="S24" s="13"/>
    </row>
    <row r="25" spans="1:19" x14ac:dyDescent="0.25">
      <c r="A25" s="127">
        <v>44323</v>
      </c>
      <c r="B25" s="128" t="s">
        <v>36</v>
      </c>
      <c r="C25" s="129" t="str">
        <f t="shared" si="1"/>
        <v>07.05.2021_BOYuhSp</v>
      </c>
      <c r="D25" s="143">
        <f t="shared" si="2"/>
        <v>0</v>
      </c>
      <c r="E25" s="130">
        <v>3.1471100191624898E-5</v>
      </c>
      <c r="F25" s="131">
        <v>2.0388673773469299E-3</v>
      </c>
      <c r="G25" s="131">
        <v>0.24958781436447799</v>
      </c>
      <c r="H25" s="131">
        <v>4.0545070238602304E-3</v>
      </c>
      <c r="I25" s="131">
        <v>1.75190766705626E-4</v>
      </c>
      <c r="J25" s="131">
        <v>1.02739298833615E-2</v>
      </c>
      <c r="K25" s="132">
        <v>93</v>
      </c>
      <c r="L25" s="133">
        <v>4.8</v>
      </c>
      <c r="M25" s="133">
        <v>15</v>
      </c>
      <c r="N25" s="133">
        <v>3.4</v>
      </c>
      <c r="O25" s="131">
        <v>5.5615612940872802E-4</v>
      </c>
      <c r="P25" s="133">
        <v>142.00800000000001</v>
      </c>
      <c r="Q25" s="134"/>
      <c r="R25" s="135"/>
      <c r="S25" s="13"/>
    </row>
    <row r="26" spans="1:19" x14ac:dyDescent="0.25">
      <c r="A26" s="127">
        <v>44323</v>
      </c>
      <c r="B26" s="128" t="s">
        <v>38</v>
      </c>
      <c r="C26" s="129" t="str">
        <f t="shared" si="1"/>
        <v>07.05.2021_BRAob</v>
      </c>
      <c r="D26" s="143">
        <f t="shared" si="2"/>
        <v>0</v>
      </c>
      <c r="E26" s="130">
        <v>1.0927307990072099E-5</v>
      </c>
      <c r="F26" s="131">
        <v>1.0422929539589999E-3</v>
      </c>
      <c r="G26" s="131">
        <v>0.40682923343723998</v>
      </c>
      <c r="H26" s="131">
        <v>4.0510747756638101E-3</v>
      </c>
      <c r="I26" s="131">
        <v>2.1713519541199399E-4</v>
      </c>
      <c r="J26" s="131">
        <v>7.9085724657681506E-3</v>
      </c>
      <c r="K26" s="132">
        <v>0</v>
      </c>
      <c r="L26" s="133">
        <v>0</v>
      </c>
      <c r="M26" s="133">
        <v>0</v>
      </c>
      <c r="N26" s="133">
        <v>0</v>
      </c>
      <c r="O26" s="131">
        <v>3.5726056237086697E-4</v>
      </c>
      <c r="P26" s="133">
        <v>160.79599999999999</v>
      </c>
      <c r="Q26" s="134"/>
      <c r="R26" s="135"/>
      <c r="S26" s="13"/>
    </row>
    <row r="27" spans="1:19" x14ac:dyDescent="0.25">
      <c r="A27" s="127">
        <v>44323</v>
      </c>
      <c r="B27" s="128" t="s">
        <v>41</v>
      </c>
      <c r="C27" s="129" t="str">
        <f t="shared" si="1"/>
        <v>07.05.2021_BRAohBo</v>
      </c>
      <c r="D27" s="143">
        <f t="shared" si="2"/>
        <v>0</v>
      </c>
      <c r="E27" s="130">
        <v>1.25882134865413E-5</v>
      </c>
      <c r="F27" s="131">
        <v>1.1892122219573601E-3</v>
      </c>
      <c r="G27" s="131">
        <v>0.291079819515567</v>
      </c>
      <c r="H27" s="131">
        <v>3.51200508221462E-3</v>
      </c>
      <c r="I27" s="131">
        <v>2.2495702018712101E-4</v>
      </c>
      <c r="J27" s="131">
        <v>8.39814308219578E-3</v>
      </c>
      <c r="K27" s="132">
        <v>105</v>
      </c>
      <c r="L27" s="133">
        <v>4.0999999999999996</v>
      </c>
      <c r="M27" s="133">
        <v>16</v>
      </c>
      <c r="N27" s="133">
        <v>3</v>
      </c>
      <c r="O27" s="131">
        <v>3.4360881147337002E-4</v>
      </c>
      <c r="P27" s="133">
        <v>143.22800000000001</v>
      </c>
      <c r="Q27" s="134"/>
      <c r="R27" s="135"/>
      <c r="S27" s="13"/>
    </row>
    <row r="28" spans="1:19" x14ac:dyDescent="0.25">
      <c r="A28" s="127">
        <v>44323</v>
      </c>
      <c r="B28" s="128" t="s">
        <v>43</v>
      </c>
      <c r="C28" s="129" t="str">
        <f t="shared" si="1"/>
        <v>07.05.2021_HAAob</v>
      </c>
      <c r="D28" s="143">
        <f t="shared" si="2"/>
        <v>0</v>
      </c>
      <c r="E28" s="130">
        <v>1.25882134865413E-5</v>
      </c>
      <c r="F28" s="131">
        <v>1.26308792646394E-3</v>
      </c>
      <c r="G28" s="131">
        <v>0.30916992505108498</v>
      </c>
      <c r="H28" s="131">
        <v>3.3420794735681499E-3</v>
      </c>
      <c r="I28" s="131">
        <v>1.3676535051632501E-4</v>
      </c>
      <c r="J28" s="131">
        <v>7.8325544180635406E-3</v>
      </c>
      <c r="K28" s="132">
        <v>254</v>
      </c>
      <c r="L28" s="133">
        <v>25</v>
      </c>
      <c r="M28" s="133">
        <v>48</v>
      </c>
      <c r="N28" s="133">
        <v>11</v>
      </c>
      <c r="O28" s="131">
        <v>2.0535092591334299E-4</v>
      </c>
      <c r="P28" s="133">
        <v>206.42400000000001</v>
      </c>
      <c r="Q28" s="134"/>
      <c r="R28" s="135"/>
      <c r="S28" s="13"/>
    </row>
    <row r="29" spans="1:19" x14ac:dyDescent="0.25">
      <c r="A29" s="127">
        <v>44323</v>
      </c>
      <c r="B29" s="128" t="s">
        <v>45</v>
      </c>
      <c r="C29" s="129" t="str">
        <f t="shared" si="1"/>
        <v>07.05.2021_HAAun</v>
      </c>
      <c r="D29" s="143">
        <f t="shared" si="2"/>
        <v>0</v>
      </c>
      <c r="E29" s="130">
        <v>6.4691476022096001E-6</v>
      </c>
      <c r="F29" s="131">
        <v>1.2821129806349901E-3</v>
      </c>
      <c r="G29" s="131">
        <v>0.42212518256047898</v>
      </c>
      <c r="H29" s="131">
        <v>4.1688510310003302E-3</v>
      </c>
      <c r="I29" s="131">
        <v>1.4684892463340799E-4</v>
      </c>
      <c r="J29" s="131">
        <v>9.3840116415480606E-3</v>
      </c>
      <c r="K29" s="132">
        <v>330</v>
      </c>
      <c r="L29" s="133">
        <v>42</v>
      </c>
      <c r="M29" s="133">
        <v>65</v>
      </c>
      <c r="N29" s="133">
        <v>14</v>
      </c>
      <c r="O29" s="131">
        <v>2.7283498936728499E-4</v>
      </c>
      <c r="P29" s="133">
        <v>202.03200000000001</v>
      </c>
      <c r="Q29" s="134"/>
      <c r="R29" s="135"/>
      <c r="S29" s="13"/>
    </row>
    <row r="30" spans="1:19" x14ac:dyDescent="0.25">
      <c r="A30" s="127">
        <v>44323</v>
      </c>
      <c r="B30" s="128" t="s">
        <v>47</v>
      </c>
      <c r="C30" s="129" t="str">
        <f t="shared" si="1"/>
        <v>07.05.2021_KIRob</v>
      </c>
      <c r="D30" s="143">
        <f t="shared" si="2"/>
        <v>0</v>
      </c>
      <c r="E30" s="130">
        <v>1.7745970834887901E-5</v>
      </c>
      <c r="F30" s="131">
        <v>1.10660154828734E-3</v>
      </c>
      <c r="G30" s="131">
        <v>0.29634671475117402</v>
      </c>
      <c r="H30" s="131">
        <v>4.1749747570380899E-3</v>
      </c>
      <c r="I30" s="131">
        <v>2.2830029856242299E-4</v>
      </c>
      <c r="J30" s="131">
        <v>1.2217091316783901E-2</v>
      </c>
      <c r="K30" s="132">
        <v>283</v>
      </c>
      <c r="L30" s="133">
        <v>16</v>
      </c>
      <c r="M30" s="133">
        <v>95</v>
      </c>
      <c r="N30" s="133">
        <v>9.1999999999999993</v>
      </c>
      <c r="O30" s="131">
        <v>3.2098351613026299E-4</v>
      </c>
      <c r="P30" s="133">
        <v>175.68</v>
      </c>
      <c r="Q30" s="134"/>
      <c r="R30" s="135"/>
    </row>
    <row r="31" spans="1:19" x14ac:dyDescent="0.25">
      <c r="A31" s="127">
        <v>44323</v>
      </c>
      <c r="B31" s="128" t="s">
        <v>49</v>
      </c>
      <c r="C31" s="129" t="str">
        <f t="shared" si="1"/>
        <v>07.05.2021_KIRun</v>
      </c>
      <c r="D31" s="143">
        <f t="shared" si="2"/>
        <v>0</v>
      </c>
      <c r="E31" s="130">
        <v>1.5473272045039899E-5</v>
      </c>
      <c r="F31" s="131">
        <v>8.2275406231784997E-4</v>
      </c>
      <c r="G31" s="131">
        <v>0.27852530129057701</v>
      </c>
      <c r="H31" s="131">
        <v>3.4752029805313698E-3</v>
      </c>
      <c r="I31" s="131">
        <v>1.4745737226337701E-4</v>
      </c>
      <c r="J31" s="131">
        <v>6.5260877097385404E-3</v>
      </c>
      <c r="K31" s="132">
        <v>256</v>
      </c>
      <c r="L31" s="133">
        <v>16</v>
      </c>
      <c r="M31" s="133">
        <v>70</v>
      </c>
      <c r="N31" s="133">
        <v>8.1999999999999993</v>
      </c>
      <c r="O31" s="131">
        <v>2.6810793500812302E-4</v>
      </c>
      <c r="P31" s="133">
        <v>186.172</v>
      </c>
      <c r="Q31" s="134"/>
      <c r="R31" s="135"/>
    </row>
    <row r="32" spans="1:19" x14ac:dyDescent="0.25">
      <c r="A32" s="127">
        <v>44323</v>
      </c>
      <c r="B32" s="128" t="s">
        <v>53</v>
      </c>
      <c r="C32" s="129" t="str">
        <f t="shared" si="1"/>
        <v>07.05.2021_NATohBo</v>
      </c>
      <c r="D32" s="143">
        <f t="shared" si="2"/>
        <v>0</v>
      </c>
      <c r="E32" s="130">
        <v>9.5286805443754504E-6</v>
      </c>
      <c r="F32" s="131">
        <v>1.6347693197247401E-3</v>
      </c>
      <c r="G32" s="131">
        <v>0.41161095876322301</v>
      </c>
      <c r="H32" s="131">
        <v>4.8255456001934397E-3</v>
      </c>
      <c r="I32" s="131">
        <v>1.07874148235718E-4</v>
      </c>
      <c r="J32" s="131">
        <v>6.8886568600393097E-3</v>
      </c>
      <c r="K32" s="132">
        <v>312</v>
      </c>
      <c r="L32" s="133">
        <v>26</v>
      </c>
      <c r="M32" s="133">
        <v>72</v>
      </c>
      <c r="N32" s="133">
        <v>14</v>
      </c>
      <c r="O32" s="131">
        <v>4.9274467028292902E-4</v>
      </c>
      <c r="P32" s="133">
        <v>195.68799999999999</v>
      </c>
      <c r="Q32" s="134"/>
      <c r="R32" s="135"/>
    </row>
    <row r="33" spans="1:18" x14ac:dyDescent="0.25">
      <c r="A33" s="127">
        <v>44323</v>
      </c>
      <c r="B33" s="128" t="s">
        <v>55</v>
      </c>
      <c r="C33" s="129" t="str">
        <f t="shared" si="1"/>
        <v>07.05.2021_QUAohBo</v>
      </c>
      <c r="D33" s="143">
        <f t="shared" si="2"/>
        <v>0</v>
      </c>
      <c r="E33" s="130">
        <v>1.20636573849961E-5</v>
      </c>
      <c r="F33" s="131">
        <v>1.33251929473371E-3</v>
      </c>
      <c r="G33" s="131">
        <v>0.35180824146469603</v>
      </c>
      <c r="H33" s="131">
        <v>3.55951371634313E-3</v>
      </c>
      <c r="I33" s="131">
        <v>1.5172185410355801E-4</v>
      </c>
      <c r="J33" s="131">
        <v>5.1152386563045899E-3</v>
      </c>
      <c r="K33" s="132">
        <v>275</v>
      </c>
      <c r="L33" s="133">
        <v>9.3000000000000007</v>
      </c>
      <c r="M33" s="133">
        <v>61</v>
      </c>
      <c r="N33" s="133">
        <v>5.4</v>
      </c>
      <c r="O33" s="131">
        <v>2.7032967534064602E-4</v>
      </c>
      <c r="P33" s="133">
        <v>176.41200000000001</v>
      </c>
      <c r="Q33" s="134"/>
      <c r="R33" s="135"/>
    </row>
    <row r="34" spans="1:18" x14ac:dyDescent="0.25">
      <c r="A34" s="127">
        <v>44323</v>
      </c>
      <c r="B34" s="128" t="s">
        <v>57</v>
      </c>
      <c r="C34" s="129" t="str">
        <f t="shared" si="1"/>
        <v>07.05.2021_SCHohVo</v>
      </c>
      <c r="D34" s="143">
        <f t="shared" si="2"/>
        <v>0</v>
      </c>
      <c r="E34" s="130">
        <v>1.64437574804256E-4</v>
      </c>
      <c r="F34" s="131">
        <v>1.53384384182025E-3</v>
      </c>
      <c r="G34" s="131">
        <v>0.19915104167883399</v>
      </c>
      <c r="H34" s="131">
        <v>1.34414093130143E-2</v>
      </c>
      <c r="I34" s="131">
        <v>2.6609778355386499E-4</v>
      </c>
      <c r="J34" s="131">
        <v>5.1679100254738597E-2</v>
      </c>
      <c r="K34" s="132">
        <v>192</v>
      </c>
      <c r="L34" s="133">
        <v>10</v>
      </c>
      <c r="M34" s="133">
        <v>22</v>
      </c>
      <c r="N34" s="133">
        <v>3</v>
      </c>
      <c r="O34" s="131">
        <v>1.9052820833256501E-3</v>
      </c>
      <c r="P34" s="133">
        <v>96.867999999999995</v>
      </c>
      <c r="Q34" s="134"/>
      <c r="R34" s="135"/>
    </row>
    <row r="35" spans="1:18" x14ac:dyDescent="0.25">
      <c r="A35" s="127">
        <v>44323</v>
      </c>
      <c r="B35" s="128" t="s">
        <v>60</v>
      </c>
      <c r="C35" s="129" t="str">
        <f t="shared" si="1"/>
        <v>07.05.2021_VORohBo</v>
      </c>
      <c r="D35" s="143">
        <f t="shared" si="2"/>
        <v>0</v>
      </c>
      <c r="E35" s="130">
        <v>1.6085065338418699E-5</v>
      </c>
      <c r="F35" s="131">
        <v>8.2611410374341899E-4</v>
      </c>
      <c r="G35" s="131">
        <v>0.39600672439227302</v>
      </c>
      <c r="H35" s="131">
        <v>5.5346094446227902E-3</v>
      </c>
      <c r="I35" s="131">
        <v>2.12672312272631E-4</v>
      </c>
      <c r="J35" s="131">
        <v>9.0002159342313908E-3</v>
      </c>
      <c r="K35" s="132">
        <v>374</v>
      </c>
      <c r="L35" s="133">
        <v>25</v>
      </c>
      <c r="M35" s="133">
        <v>51</v>
      </c>
      <c r="N35" s="133">
        <v>12</v>
      </c>
      <c r="O35" s="131">
        <v>5.5176069717620402E-4</v>
      </c>
      <c r="P35" s="133">
        <v>221.79599999999999</v>
      </c>
      <c r="Q35" s="134"/>
      <c r="R35" s="135"/>
    </row>
    <row r="36" spans="1:18" x14ac:dyDescent="0.25">
      <c r="A36" s="127">
        <v>44323</v>
      </c>
      <c r="B36" s="128" t="s">
        <v>62</v>
      </c>
      <c r="C36" s="129" t="str">
        <f t="shared" si="1"/>
        <v>07.05.2021_VORuhSc</v>
      </c>
      <c r="D36" s="143">
        <f t="shared" si="2"/>
        <v>0</v>
      </c>
      <c r="E36" s="130">
        <v>2.16801415964769E-5</v>
      </c>
      <c r="F36" s="131">
        <v>8.3319550657643695E-4</v>
      </c>
      <c r="G36" s="131">
        <v>0.456473014005984</v>
      </c>
      <c r="H36" s="131">
        <v>6.6677967558197299E-3</v>
      </c>
      <c r="I36" s="131">
        <v>2.6446905915300701E-4</v>
      </c>
      <c r="J36" s="131">
        <v>1.17744148141015E-2</v>
      </c>
      <c r="K36" s="132">
        <v>426</v>
      </c>
      <c r="L36" s="133">
        <v>24</v>
      </c>
      <c r="M36" s="133">
        <v>49</v>
      </c>
      <c r="N36" s="133">
        <v>11</v>
      </c>
      <c r="O36" s="131">
        <v>6.9900052166672303E-4</v>
      </c>
      <c r="P36" s="133">
        <v>212.768</v>
      </c>
      <c r="Q36" s="134"/>
      <c r="R36" s="135"/>
    </row>
    <row r="37" spans="1:18" x14ac:dyDescent="0.25">
      <c r="A37" s="127">
        <v>44323</v>
      </c>
      <c r="B37" s="128" t="s">
        <v>64</v>
      </c>
      <c r="C37" s="129" t="str">
        <f t="shared" si="1"/>
        <v>07.05.2021_WITob</v>
      </c>
      <c r="D37" s="143">
        <f t="shared" si="2"/>
        <v>0</v>
      </c>
      <c r="E37" s="130">
        <v>7.6927341889672803E-6</v>
      </c>
      <c r="F37" s="131">
        <v>1.04100037274486E-3</v>
      </c>
      <c r="G37" s="131">
        <v>0.513315719596249</v>
      </c>
      <c r="H37" s="131">
        <v>5.4937688432996302E-3</v>
      </c>
      <c r="I37" s="131">
        <v>1.5736368411572299E-4</v>
      </c>
      <c r="J37" s="131">
        <v>4.5215477662890304E-3</v>
      </c>
      <c r="K37" s="132">
        <v>413</v>
      </c>
      <c r="L37" s="133">
        <v>26</v>
      </c>
      <c r="M37" s="133">
        <v>92</v>
      </c>
      <c r="N37" s="133">
        <v>11</v>
      </c>
      <c r="O37" s="131">
        <v>3.2071201450488602E-4</v>
      </c>
      <c r="P37" s="133">
        <v>227.65199999999999</v>
      </c>
      <c r="Q37" s="134"/>
      <c r="R37" s="135"/>
    </row>
    <row r="38" spans="1:18" x14ac:dyDescent="0.25">
      <c r="A38" s="127">
        <v>44351</v>
      </c>
      <c r="B38" s="128" t="s">
        <v>22</v>
      </c>
      <c r="C38" s="129" t="str">
        <f t="shared" si="1"/>
        <v>04.06.2021_BOYkl</v>
      </c>
      <c r="D38" s="143">
        <f t="shared" si="2"/>
        <v>0</v>
      </c>
      <c r="E38" s="130">
        <v>3.9338875239531101E-5</v>
      </c>
      <c r="F38" s="131">
        <v>2.0914064504489898E-3</v>
      </c>
      <c r="G38" s="131">
        <v>0.23903204876593101</v>
      </c>
      <c r="H38" s="131">
        <v>7.1858136898009699E-3</v>
      </c>
      <c r="I38" s="131">
        <v>1.2648604931526E-4</v>
      </c>
      <c r="J38" s="131">
        <v>7.5441589253289103E-3</v>
      </c>
      <c r="K38" s="132">
        <v>115</v>
      </c>
      <c r="L38" s="133">
        <v>8.8000000000000007</v>
      </c>
      <c r="M38" s="133">
        <v>19</v>
      </c>
      <c r="N38" s="133">
        <v>7.4</v>
      </c>
      <c r="O38" s="131">
        <v>3.9634160640501402E-4</v>
      </c>
      <c r="P38" s="133">
        <v>104.676</v>
      </c>
      <c r="Q38" s="134"/>
      <c r="R38" s="135"/>
    </row>
    <row r="39" spans="1:18" x14ac:dyDescent="0.25">
      <c r="A39" s="127">
        <v>44351</v>
      </c>
      <c r="B39" s="128" t="s">
        <v>25</v>
      </c>
      <c r="C39" s="129" t="str">
        <f t="shared" si="1"/>
        <v>04.06.2021_BOYohB224</v>
      </c>
      <c r="D39" s="143">
        <f t="shared" si="2"/>
        <v>0</v>
      </c>
      <c r="E39" s="130">
        <v>8.6546092002240093E-6</v>
      </c>
      <c r="F39" s="131">
        <v>2.0054102855678402E-3</v>
      </c>
      <c r="G39" s="131">
        <v>0.36986229737297699</v>
      </c>
      <c r="H39" s="131">
        <v>5.4563670878306804E-3</v>
      </c>
      <c r="I39" s="131">
        <v>1.0777571164761299E-4</v>
      </c>
      <c r="J39" s="131">
        <v>3.8188270883189501E-3</v>
      </c>
      <c r="K39" s="132">
        <v>169</v>
      </c>
      <c r="L39" s="133">
        <v>19</v>
      </c>
      <c r="M39" s="133">
        <v>33</v>
      </c>
      <c r="N39" s="133">
        <v>9.1999999999999993</v>
      </c>
      <c r="O39" s="131">
        <v>4.8891750470328704E-4</v>
      </c>
      <c r="P39" s="133">
        <v>171.04400000000001</v>
      </c>
      <c r="Q39" s="134"/>
      <c r="R39" s="135"/>
    </row>
    <row r="40" spans="1:18" x14ac:dyDescent="0.25">
      <c r="A40" s="127">
        <v>44351</v>
      </c>
      <c r="B40" s="128" t="s">
        <v>28</v>
      </c>
      <c r="C40" s="129" t="str">
        <f t="shared" si="1"/>
        <v>04.06.2021_BOYohBr</v>
      </c>
      <c r="D40" s="143">
        <f t="shared" si="2"/>
        <v>0</v>
      </c>
      <c r="E40" s="130">
        <v>1.40746445993432E-5</v>
      </c>
      <c r="F40" s="131">
        <v>1.6079864342096501E-3</v>
      </c>
      <c r="G40" s="131">
        <v>0.26115267369427397</v>
      </c>
      <c r="H40" s="131">
        <v>4.3547312423266203E-3</v>
      </c>
      <c r="I40" s="131">
        <v>1.35940291455093E-4</v>
      </c>
      <c r="J40" s="131">
        <v>6.0540054225930702E-3</v>
      </c>
      <c r="K40" s="132">
        <v>312</v>
      </c>
      <c r="L40" s="133">
        <v>26</v>
      </c>
      <c r="M40" s="133">
        <v>42</v>
      </c>
      <c r="N40" s="133">
        <v>16</v>
      </c>
      <c r="O40" s="131">
        <v>2.54630549553779E-4</v>
      </c>
      <c r="P40" s="133">
        <v>147.13200000000001</v>
      </c>
      <c r="Q40" s="134"/>
      <c r="R40" s="135"/>
    </row>
    <row r="41" spans="1:18" x14ac:dyDescent="0.25">
      <c r="A41" s="127">
        <v>44351</v>
      </c>
      <c r="B41" s="128" t="s">
        <v>30</v>
      </c>
      <c r="C41" s="129" t="str">
        <f t="shared" si="1"/>
        <v>04.06.2021_BOYohKi</v>
      </c>
      <c r="D41" s="143">
        <f t="shared" si="2"/>
        <v>0</v>
      </c>
      <c r="E41" s="130">
        <v>1.6085065338418699E-5</v>
      </c>
      <c r="F41" s="131">
        <v>2.47710129931844E-3</v>
      </c>
      <c r="G41" s="131">
        <v>0.283930832118789</v>
      </c>
      <c r="H41" s="131">
        <v>4.7054553996557199E-3</v>
      </c>
      <c r="I41" s="131">
        <v>9.2799597148907095E-5</v>
      </c>
      <c r="J41" s="131">
        <v>4.9586737919461001E-3</v>
      </c>
      <c r="K41" s="132">
        <v>321</v>
      </c>
      <c r="L41" s="133">
        <v>22</v>
      </c>
      <c r="M41" s="133">
        <v>54</v>
      </c>
      <c r="N41" s="133">
        <v>19</v>
      </c>
      <c r="O41" s="131">
        <v>2.76426549737861E-4</v>
      </c>
      <c r="P41" s="133">
        <v>139.32400000000001</v>
      </c>
      <c r="Q41" s="134"/>
      <c r="R41" s="135"/>
    </row>
    <row r="42" spans="1:18" x14ac:dyDescent="0.25">
      <c r="A42" s="127">
        <v>44351</v>
      </c>
      <c r="B42" s="128" t="s">
        <v>32</v>
      </c>
      <c r="C42" s="129" t="str">
        <f t="shared" si="1"/>
        <v>04.06.2021_BOYohSp</v>
      </c>
      <c r="D42" s="143">
        <f t="shared" si="2"/>
        <v>0</v>
      </c>
      <c r="E42" s="130">
        <v>1.65223842481302E-5</v>
      </c>
      <c r="F42" s="131">
        <v>2.11317773740169E-3</v>
      </c>
      <c r="G42" s="131">
        <v>0.32463682291509599</v>
      </c>
      <c r="H42" s="131">
        <v>4.5151371638567301E-3</v>
      </c>
      <c r="I42" s="131">
        <v>9.6436529821971299E-5</v>
      </c>
      <c r="J42" s="131">
        <v>6.1740261440068204E-3</v>
      </c>
      <c r="K42" s="132">
        <v>364</v>
      </c>
      <c r="L42" s="133">
        <v>23</v>
      </c>
      <c r="M42" s="133">
        <v>64</v>
      </c>
      <c r="N42" s="133">
        <v>22</v>
      </c>
      <c r="O42" s="131">
        <v>3.3501765580107703E-4</v>
      </c>
      <c r="P42" s="133">
        <v>162.50399999999999</v>
      </c>
      <c r="Q42" s="134"/>
      <c r="R42" s="135"/>
    </row>
    <row r="43" spans="1:18" x14ac:dyDescent="0.25">
      <c r="A43" s="127">
        <v>44351</v>
      </c>
      <c r="B43" s="128" t="s">
        <v>36</v>
      </c>
      <c r="C43" s="129" t="str">
        <f t="shared" si="1"/>
        <v>04.06.2021_BOYuhSp</v>
      </c>
      <c r="D43" s="143">
        <f t="shared" si="2"/>
        <v>0</v>
      </c>
      <c r="E43" s="130">
        <v>1.0927307990072099E-5</v>
      </c>
      <c r="F43" s="131">
        <v>2.0402115278633998E-3</v>
      </c>
      <c r="G43" s="131">
        <v>0.29909213615761898</v>
      </c>
      <c r="H43" s="131">
        <v>4.7469183800303103E-3</v>
      </c>
      <c r="I43" s="131">
        <v>9.0401972206034106E-5</v>
      </c>
      <c r="J43" s="131">
        <v>5.4997902916170197E-3</v>
      </c>
      <c r="K43" s="132">
        <v>358</v>
      </c>
      <c r="L43" s="133">
        <v>23</v>
      </c>
      <c r="M43" s="133">
        <v>63</v>
      </c>
      <c r="N43" s="133">
        <v>21</v>
      </c>
      <c r="O43" s="131">
        <v>3.66938124282046E-4</v>
      </c>
      <c r="P43" s="133">
        <v>169.09200000000001</v>
      </c>
      <c r="Q43" s="134"/>
      <c r="R43" s="135"/>
    </row>
    <row r="44" spans="1:18" x14ac:dyDescent="0.25">
      <c r="A44" s="127">
        <v>44351</v>
      </c>
      <c r="B44" s="128" t="s">
        <v>38</v>
      </c>
      <c r="C44" s="129" t="str">
        <f t="shared" si="1"/>
        <v>04.06.2021_BRAob</v>
      </c>
      <c r="D44" s="143">
        <f t="shared" si="2"/>
        <v>0</v>
      </c>
      <c r="E44" s="130">
        <v>9.3536396854364993E-6</v>
      </c>
      <c r="F44" s="131">
        <v>1.5290870759790899E-3</v>
      </c>
      <c r="G44" s="131">
        <v>0.44671647227686501</v>
      </c>
      <c r="H44" s="131">
        <v>4.9914055854957404E-3</v>
      </c>
      <c r="I44" s="131">
        <v>1.3647118684423801E-4</v>
      </c>
      <c r="J44" s="131">
        <v>5.18910883010464E-3</v>
      </c>
      <c r="K44" s="132">
        <v>512</v>
      </c>
      <c r="L44" s="133">
        <v>17</v>
      </c>
      <c r="M44" s="133">
        <v>66</v>
      </c>
      <c r="N44" s="133">
        <v>18</v>
      </c>
      <c r="O44" s="131">
        <v>5.4668619109033605E-4</v>
      </c>
      <c r="P44" s="133">
        <v>178.608</v>
      </c>
      <c r="Q44" s="134"/>
      <c r="R44" s="135"/>
    </row>
    <row r="45" spans="1:18" x14ac:dyDescent="0.25">
      <c r="A45" s="127">
        <v>44351</v>
      </c>
      <c r="B45" s="128" t="s">
        <v>41</v>
      </c>
      <c r="C45" s="129" t="str">
        <f t="shared" si="1"/>
        <v>04.06.2021_BRAohBo</v>
      </c>
      <c r="D45" s="143">
        <f t="shared" si="2"/>
        <v>0</v>
      </c>
      <c r="E45" s="130">
        <v>1.4511397033783101E-5</v>
      </c>
      <c r="F45" s="131">
        <v>1.8866327876874099E-3</v>
      </c>
      <c r="G45" s="131">
        <v>0.276736543932739</v>
      </c>
      <c r="H45" s="131">
        <v>4.1187308239970201E-3</v>
      </c>
      <c r="I45" s="131">
        <v>1.4038152618568701E-4</v>
      </c>
      <c r="J45" s="131">
        <v>5.7108277105678796E-3</v>
      </c>
      <c r="K45" s="132">
        <v>344</v>
      </c>
      <c r="L45" s="133">
        <v>17</v>
      </c>
      <c r="M45" s="133">
        <v>57</v>
      </c>
      <c r="N45" s="133">
        <v>24</v>
      </c>
      <c r="O45" s="131">
        <v>3.7987450517251102E-4</v>
      </c>
      <c r="P45" s="133">
        <v>145.42400000000001</v>
      </c>
      <c r="Q45" s="134"/>
      <c r="R45" s="135"/>
    </row>
    <row r="46" spans="1:18" x14ac:dyDescent="0.25">
      <c r="A46" s="127">
        <v>44351</v>
      </c>
      <c r="B46" s="128" t="s">
        <v>43</v>
      </c>
      <c r="C46" s="129" t="str">
        <f t="shared" si="1"/>
        <v>04.06.2021_HAAob</v>
      </c>
      <c r="D46" s="143">
        <f t="shared" si="2"/>
        <v>0</v>
      </c>
      <c r="E46" s="130">
        <v>3.0595329421658499E-6</v>
      </c>
      <c r="F46" s="131">
        <v>1.42242635495165E-3</v>
      </c>
      <c r="G46" s="131">
        <v>0.36197558688016601</v>
      </c>
      <c r="H46" s="131">
        <v>3.7504554308031698E-3</v>
      </c>
      <c r="I46" s="131">
        <v>1.15617784052117E-4</v>
      </c>
      <c r="J46" s="131">
        <v>8.12092333279015E-3</v>
      </c>
      <c r="K46" s="132">
        <v>408</v>
      </c>
      <c r="L46" s="133">
        <v>59</v>
      </c>
      <c r="M46" s="133">
        <v>76</v>
      </c>
      <c r="N46" s="133">
        <v>12</v>
      </c>
      <c r="O46" s="131">
        <v>2.4204186023244501E-4</v>
      </c>
      <c r="P46" s="133">
        <v>134.19999999999999</v>
      </c>
      <c r="Q46" s="134"/>
      <c r="R46" s="135"/>
    </row>
    <row r="47" spans="1:18" x14ac:dyDescent="0.25">
      <c r="A47" s="127">
        <v>44351</v>
      </c>
      <c r="B47" s="128" t="s">
        <v>45</v>
      </c>
      <c r="C47" s="129" t="str">
        <f t="shared" si="1"/>
        <v>04.06.2021_HAAun</v>
      </c>
      <c r="D47" s="143">
        <f t="shared" si="2"/>
        <v>0</v>
      </c>
      <c r="E47" s="130">
        <v>6.2941067432706499E-6</v>
      </c>
      <c r="F47" s="131">
        <v>1.8034859941925599E-3</v>
      </c>
      <c r="G47" s="131">
        <v>0.49905462404404199</v>
      </c>
      <c r="H47" s="131">
        <v>5.3942076215087401E-3</v>
      </c>
      <c r="I47" s="131">
        <v>9.7044850108358804E-5</v>
      </c>
      <c r="J47" s="131">
        <v>8.9868107286941203E-3</v>
      </c>
      <c r="K47" s="132">
        <v>639</v>
      </c>
      <c r="L47" s="133">
        <v>110</v>
      </c>
      <c r="M47" s="133">
        <v>133</v>
      </c>
      <c r="N47" s="133">
        <v>25</v>
      </c>
      <c r="O47" s="131">
        <v>3.70061112501167E-4</v>
      </c>
      <c r="P47" s="133">
        <v>243.268</v>
      </c>
      <c r="Q47" s="134"/>
      <c r="R47" s="135"/>
    </row>
    <row r="48" spans="1:18" x14ac:dyDescent="0.25">
      <c r="A48" s="127">
        <v>44351</v>
      </c>
      <c r="B48" s="128" t="s">
        <v>47</v>
      </c>
      <c r="C48" s="129" t="str">
        <f t="shared" si="1"/>
        <v>04.06.2021_KIRob</v>
      </c>
      <c r="D48" s="143">
        <f t="shared" si="2"/>
        <v>0</v>
      </c>
      <c r="E48" s="130">
        <v>8.4795683412850701E-6</v>
      </c>
      <c r="F48" s="131">
        <v>1.24008232491142E-3</v>
      </c>
      <c r="G48" s="131">
        <v>0.46523925372819203</v>
      </c>
      <c r="H48" s="131">
        <v>6.1590403676183604E-3</v>
      </c>
      <c r="I48" s="131">
        <v>8.2186783109230202E-5</v>
      </c>
      <c r="J48" s="131">
        <v>5.53692718595009E-3</v>
      </c>
      <c r="K48" s="132">
        <v>205</v>
      </c>
      <c r="L48" s="133">
        <v>15</v>
      </c>
      <c r="M48" s="133">
        <v>77</v>
      </c>
      <c r="N48" s="133">
        <v>8.3000000000000007</v>
      </c>
      <c r="O48" s="131">
        <v>5.2878339310031305E-4</v>
      </c>
      <c r="P48" s="133">
        <v>198.37200000000001</v>
      </c>
      <c r="Q48" s="134"/>
      <c r="R48" s="135"/>
    </row>
    <row r="49" spans="1:18" x14ac:dyDescent="0.25">
      <c r="A49" s="127">
        <v>44351</v>
      </c>
      <c r="B49" s="128" t="s">
        <v>49</v>
      </c>
      <c r="C49" s="129" t="str">
        <f t="shared" si="1"/>
        <v>04.06.2021_KIRun</v>
      </c>
      <c r="D49" s="143">
        <f t="shared" si="2"/>
        <v>0</v>
      </c>
      <c r="E49" s="130">
        <v>7.6054969971336299E-6</v>
      </c>
      <c r="F49" s="131">
        <v>1.0292141082386E-3</v>
      </c>
      <c r="G49" s="131">
        <v>0.41130306259809901</v>
      </c>
      <c r="H49" s="131">
        <v>4.6831395552577202E-3</v>
      </c>
      <c r="I49" s="131">
        <v>6.5894445357415093E-5</v>
      </c>
      <c r="J49" s="131">
        <v>4.13087453582531E-3</v>
      </c>
      <c r="K49" s="132">
        <v>422</v>
      </c>
      <c r="L49" s="133">
        <v>30</v>
      </c>
      <c r="M49" s="133">
        <v>131</v>
      </c>
      <c r="N49" s="133">
        <v>16</v>
      </c>
      <c r="O49" s="131">
        <v>3.0167931884953099E-4</v>
      </c>
      <c r="P49" s="133">
        <v>162.99199999999999</v>
      </c>
      <c r="Q49" s="134"/>
      <c r="R49" s="135"/>
    </row>
    <row r="50" spans="1:18" x14ac:dyDescent="0.25">
      <c r="A50" s="127">
        <v>44351</v>
      </c>
      <c r="B50" s="128" t="s">
        <v>53</v>
      </c>
      <c r="C50" s="129" t="str">
        <f t="shared" si="1"/>
        <v>04.06.2021_NATohBo</v>
      </c>
      <c r="D50" s="143">
        <f t="shared" si="2"/>
        <v>0</v>
      </c>
      <c r="E50" s="130">
        <v>6.81866284481584E-6</v>
      </c>
      <c r="F50" s="131">
        <v>1.7787702340232999E-3</v>
      </c>
      <c r="G50" s="131">
        <v>0.70422690206125504</v>
      </c>
      <c r="H50" s="131">
        <v>7.4601281730571102E-3</v>
      </c>
      <c r="I50" s="131">
        <v>9.3802045818457502E-5</v>
      </c>
      <c r="J50" s="131">
        <v>5.8983040344488804E-3</v>
      </c>
      <c r="K50" s="132">
        <v>330</v>
      </c>
      <c r="L50" s="133">
        <v>46</v>
      </c>
      <c r="M50" s="133">
        <v>134</v>
      </c>
      <c r="N50" s="133">
        <v>16</v>
      </c>
      <c r="O50" s="131">
        <v>5.63193985587656E-4</v>
      </c>
      <c r="P50" s="133">
        <v>287.43200000000002</v>
      </c>
      <c r="Q50" s="134"/>
      <c r="R50" s="135"/>
    </row>
    <row r="51" spans="1:18" x14ac:dyDescent="0.25">
      <c r="A51" s="127">
        <v>44351</v>
      </c>
      <c r="B51" s="128" t="s">
        <v>55</v>
      </c>
      <c r="C51" s="129" t="str">
        <f t="shared" si="1"/>
        <v>04.06.2021_QUAohBo</v>
      </c>
      <c r="D51" s="143">
        <f t="shared" si="2"/>
        <v>0</v>
      </c>
      <c r="E51" s="130">
        <v>7.9550122397398707E-6</v>
      </c>
      <c r="F51" s="131">
        <v>2.5107700261564302E-3</v>
      </c>
      <c r="G51" s="131">
        <v>0.43419986870308802</v>
      </c>
      <c r="H51" s="131">
        <v>4.7666897277410403E-3</v>
      </c>
      <c r="I51" s="131">
        <v>8.7709419529589003E-5</v>
      </c>
      <c r="J51" s="131">
        <v>4.5526613422912001E-3</v>
      </c>
      <c r="K51" s="132">
        <v>471</v>
      </c>
      <c r="L51" s="133">
        <v>22</v>
      </c>
      <c r="M51" s="133">
        <v>127</v>
      </c>
      <c r="N51" s="133">
        <v>17</v>
      </c>
      <c r="O51" s="131">
        <v>3.4464557033023099E-4</v>
      </c>
      <c r="P51" s="133">
        <v>221.06399999999999</v>
      </c>
      <c r="Q51" s="134"/>
      <c r="R51" s="135"/>
    </row>
    <row r="52" spans="1:18" x14ac:dyDescent="0.25">
      <c r="A52" s="127">
        <v>44351</v>
      </c>
      <c r="B52" s="128" t="s">
        <v>57</v>
      </c>
      <c r="C52" s="129" t="str">
        <f t="shared" si="1"/>
        <v>04.06.2021_SCHohVo</v>
      </c>
      <c r="D52" s="143">
        <f t="shared" si="2"/>
        <v>0</v>
      </c>
      <c r="E52" s="130">
        <v>1.49488858860762E-4</v>
      </c>
      <c r="F52" s="131">
        <v>2.36937302675973E-3</v>
      </c>
      <c r="G52" s="131">
        <v>0.36568550865147698</v>
      </c>
      <c r="H52" s="131">
        <v>2.10580280642403E-2</v>
      </c>
      <c r="I52" s="131">
        <v>9.7103810186357004E-5</v>
      </c>
      <c r="J52" s="131">
        <v>4.6818905399653298E-2</v>
      </c>
      <c r="K52" s="132">
        <v>166</v>
      </c>
      <c r="L52" s="133">
        <v>10</v>
      </c>
      <c r="M52" s="133">
        <v>25</v>
      </c>
      <c r="N52" s="133">
        <v>3.9</v>
      </c>
      <c r="O52" s="131">
        <v>2.2854473574650401E-3</v>
      </c>
      <c r="P52" s="133">
        <v>152.744</v>
      </c>
      <c r="Q52" s="134"/>
      <c r="R52" s="135"/>
    </row>
    <row r="53" spans="1:18" x14ac:dyDescent="0.25">
      <c r="A53" s="127">
        <v>44351</v>
      </c>
      <c r="B53" s="128" t="s">
        <v>60</v>
      </c>
      <c r="C53" s="129" t="str">
        <f t="shared" si="1"/>
        <v>04.06.2021_VORohBo</v>
      </c>
      <c r="D53" s="143">
        <f t="shared" si="2"/>
        <v>0</v>
      </c>
      <c r="E53" s="130">
        <v>9.1791653017692003E-6</v>
      </c>
      <c r="F53" s="131">
        <v>1.0105008139407101E-3</v>
      </c>
      <c r="G53" s="131">
        <v>0.42273600042160397</v>
      </c>
      <c r="H53" s="131">
        <v>6.40623884389851E-3</v>
      </c>
      <c r="I53" s="131">
        <v>9.5256818887683205E-5</v>
      </c>
      <c r="J53" s="131">
        <v>7.3405182278214499E-3</v>
      </c>
      <c r="K53" s="132">
        <v>208</v>
      </c>
      <c r="L53" s="133">
        <v>15</v>
      </c>
      <c r="M53" s="133">
        <v>27</v>
      </c>
      <c r="N53" s="133">
        <v>7.3</v>
      </c>
      <c r="O53" s="131">
        <v>7.8915736926396995E-4</v>
      </c>
      <c r="P53" s="133">
        <v>202.03200000000001</v>
      </c>
      <c r="Q53" s="134"/>
      <c r="R53" s="135"/>
    </row>
    <row r="54" spans="1:18" x14ac:dyDescent="0.25">
      <c r="A54" s="127">
        <v>44351</v>
      </c>
      <c r="B54" s="128" t="s">
        <v>62</v>
      </c>
      <c r="C54" s="129" t="str">
        <f t="shared" si="1"/>
        <v>04.06.2021_VORuhSc</v>
      </c>
      <c r="D54" s="143">
        <f t="shared" si="2"/>
        <v>0</v>
      </c>
      <c r="E54" s="130">
        <v>8.5668055331187095E-6</v>
      </c>
      <c r="F54" s="131">
        <v>1.1512665916823201E-3</v>
      </c>
      <c r="G54" s="131">
        <v>0.48112972104611601</v>
      </c>
      <c r="H54" s="131">
        <v>8.6049805097614292E-3</v>
      </c>
      <c r="I54" s="131">
        <v>9.5079683966526606E-5</v>
      </c>
      <c r="J54" s="131">
        <v>8.1497437829834204E-3</v>
      </c>
      <c r="K54" s="132">
        <v>223</v>
      </c>
      <c r="L54" s="133">
        <v>16</v>
      </c>
      <c r="M54" s="133">
        <v>27</v>
      </c>
      <c r="N54" s="133">
        <v>7</v>
      </c>
      <c r="O54" s="131">
        <v>1.4107139710310601E-3</v>
      </c>
      <c r="P54" s="133">
        <v>230.33600000000001</v>
      </c>
      <c r="Q54" s="134"/>
      <c r="R54" s="135"/>
    </row>
    <row r="55" spans="1:18" x14ac:dyDescent="0.25">
      <c r="A55" s="127">
        <v>44351</v>
      </c>
      <c r="B55" s="128" t="s">
        <v>64</v>
      </c>
      <c r="C55" s="129" t="str">
        <f t="shared" si="1"/>
        <v>04.06.2021_WITob</v>
      </c>
      <c r="D55" s="143">
        <f t="shared" si="2"/>
        <v>0</v>
      </c>
      <c r="E55" s="130">
        <v>7.3432189463610302E-6</v>
      </c>
      <c r="F55" s="131">
        <v>1.51124945522394E-3</v>
      </c>
      <c r="G55" s="131">
        <v>0.66418555114557998</v>
      </c>
      <c r="H55" s="131">
        <v>6.74465323793962E-3</v>
      </c>
      <c r="I55" s="131">
        <v>1.05102897226221E-4</v>
      </c>
      <c r="J55" s="131">
        <v>5.1414365370080701E-3</v>
      </c>
      <c r="K55" s="132">
        <v>741</v>
      </c>
      <c r="L55" s="133">
        <v>71</v>
      </c>
      <c r="M55" s="133">
        <v>175</v>
      </c>
      <c r="N55" s="133">
        <v>18</v>
      </c>
      <c r="O55" s="131">
        <v>3.3274658787642698E-4</v>
      </c>
      <c r="P55" s="133">
        <v>253.02799999999999</v>
      </c>
      <c r="Q55" s="134"/>
      <c r="R55" s="135"/>
    </row>
    <row r="56" spans="1:18" x14ac:dyDescent="0.25">
      <c r="A56" s="127">
        <v>44379</v>
      </c>
      <c r="B56" s="128" t="s">
        <v>22</v>
      </c>
      <c r="C56" s="129" t="str">
        <f t="shared" si="1"/>
        <v>02.07.2021_BOYkl</v>
      </c>
      <c r="D56" s="143">
        <f t="shared" si="2"/>
        <v>4</v>
      </c>
      <c r="E56" s="130">
        <v>4.23836034103988E-5</v>
      </c>
      <c r="F56" s="131">
        <v>2.60237736675739E-3</v>
      </c>
      <c r="G56" s="131">
        <v>0.22716317463928401</v>
      </c>
      <c r="H56" s="131">
        <v>6.0816261902546503E-3</v>
      </c>
      <c r="I56" s="131">
        <v>1.6640470135368299E-4</v>
      </c>
      <c r="J56" s="131">
        <v>6.48163352521675E-3</v>
      </c>
      <c r="K56" s="132"/>
      <c r="L56" s="133"/>
      <c r="M56" s="133"/>
      <c r="N56" s="133"/>
      <c r="O56" s="131">
        <v>2.3606311781429901E-4</v>
      </c>
      <c r="P56" s="133">
        <v>104.676</v>
      </c>
      <c r="Q56" s="134"/>
      <c r="R56" s="135" t="s">
        <v>347</v>
      </c>
    </row>
    <row r="57" spans="1:18" x14ac:dyDescent="0.25">
      <c r="A57" s="127">
        <v>44379</v>
      </c>
      <c r="B57" s="128" t="s">
        <v>25</v>
      </c>
      <c r="C57" s="129" t="str">
        <f t="shared" si="1"/>
        <v>02.07.2021_BOYohB224</v>
      </c>
      <c r="D57" s="143">
        <f t="shared" si="2"/>
        <v>4</v>
      </c>
      <c r="E57" s="130">
        <v>3.9945598980199797E-6</v>
      </c>
      <c r="F57" s="131">
        <v>1.7031754489317001E-3</v>
      </c>
      <c r="G57" s="131">
        <v>0.4622</v>
      </c>
      <c r="H57" s="131">
        <v>6.7101740545044298E-3</v>
      </c>
      <c r="I57" s="131">
        <v>1.4166180895519399E-4</v>
      </c>
      <c r="J57" s="131">
        <v>3.12246991888805E-3</v>
      </c>
      <c r="K57" s="132"/>
      <c r="L57" s="133"/>
      <c r="M57" s="133"/>
      <c r="N57" s="133"/>
      <c r="O57" s="131">
        <v>5.0000000000000001E-4</v>
      </c>
      <c r="P57" s="133">
        <v>157.86799999999999</v>
      </c>
      <c r="Q57" s="134"/>
      <c r="R57" s="135" t="s">
        <v>347</v>
      </c>
    </row>
    <row r="58" spans="1:18" x14ac:dyDescent="0.25">
      <c r="A58" s="127">
        <v>44379</v>
      </c>
      <c r="B58" s="128" t="s">
        <v>28</v>
      </c>
      <c r="C58" s="129" t="str">
        <f t="shared" si="1"/>
        <v>02.07.2021_BOYohBr</v>
      </c>
      <c r="D58" s="143">
        <f t="shared" si="2"/>
        <v>4</v>
      </c>
      <c r="E58" s="130">
        <v>7.3226408497720403E-6</v>
      </c>
      <c r="F58" s="131">
        <v>2.10544733471719E-3</v>
      </c>
      <c r="G58" s="131">
        <v>0.30934495826436698</v>
      </c>
      <c r="H58" s="131">
        <v>5.2559004114325E-3</v>
      </c>
      <c r="I58" s="131">
        <v>1.7354168307765801E-4</v>
      </c>
      <c r="J58" s="131">
        <v>3.55092572978145E-3</v>
      </c>
      <c r="K58" s="132"/>
      <c r="L58" s="133"/>
      <c r="M58" s="133"/>
      <c r="N58" s="133"/>
      <c r="O58" s="131">
        <v>2.90455069350476E-4</v>
      </c>
      <c r="P58" s="133">
        <v>136.88399999999999</v>
      </c>
      <c r="Q58" s="134"/>
      <c r="R58" s="135" t="s">
        <v>347</v>
      </c>
    </row>
    <row r="59" spans="1:18" x14ac:dyDescent="0.25">
      <c r="A59" s="127">
        <v>44379</v>
      </c>
      <c r="B59" s="128" t="s">
        <v>30</v>
      </c>
      <c r="C59" s="129" t="str">
        <f t="shared" si="1"/>
        <v>02.07.2021_BOYohKi</v>
      </c>
      <c r="D59" s="143">
        <f t="shared" si="2"/>
        <v>4</v>
      </c>
      <c r="E59" s="130">
        <v>7.7662411840193993E-6</v>
      </c>
      <c r="F59" s="131">
        <v>1.33211006113926E-3</v>
      </c>
      <c r="G59" s="131">
        <v>0.35292640410722897</v>
      </c>
      <c r="H59" s="131">
        <v>5.1013645867986996E-3</v>
      </c>
      <c r="I59" s="131">
        <v>1.5008447490934799E-4</v>
      </c>
      <c r="J59" s="131">
        <v>3.3539865629828298E-3</v>
      </c>
      <c r="K59" s="132"/>
      <c r="L59" s="133"/>
      <c r="M59" s="133"/>
      <c r="N59" s="133"/>
      <c r="O59" s="131">
        <v>2.8376629371673802E-4</v>
      </c>
      <c r="P59" s="133">
        <v>132.49199999999999</v>
      </c>
      <c r="Q59" s="134"/>
      <c r="R59" s="135" t="s">
        <v>347</v>
      </c>
    </row>
    <row r="60" spans="1:18" x14ac:dyDescent="0.25">
      <c r="A60" s="127">
        <v>44379</v>
      </c>
      <c r="B60" s="128" t="s">
        <v>32</v>
      </c>
      <c r="C60" s="129" t="str">
        <f t="shared" si="1"/>
        <v>02.07.2021_BOYohSp</v>
      </c>
      <c r="D60" s="143">
        <f t="shared" si="2"/>
        <v>4</v>
      </c>
      <c r="E60" s="130">
        <v>5.5475205495180298E-6</v>
      </c>
      <c r="F60" s="131">
        <v>1.59832513983192E-3</v>
      </c>
      <c r="G60" s="131">
        <v>0.34591553147621701</v>
      </c>
      <c r="H60" s="131">
        <v>5.2530388123743499E-3</v>
      </c>
      <c r="I60" s="131">
        <v>1.6881808863490901E-4</v>
      </c>
      <c r="J60" s="131">
        <v>4.1164263228624202E-3</v>
      </c>
      <c r="K60" s="132"/>
      <c r="L60" s="133"/>
      <c r="M60" s="133"/>
      <c r="N60" s="133"/>
      <c r="O60" s="131">
        <v>3.1539913625865302E-4</v>
      </c>
      <c r="P60" s="133">
        <v>136.15199999999999</v>
      </c>
      <c r="Q60" s="134"/>
      <c r="R60" s="135" t="s">
        <v>347</v>
      </c>
    </row>
    <row r="61" spans="1:18" x14ac:dyDescent="0.25">
      <c r="A61" s="127">
        <v>44379</v>
      </c>
      <c r="B61" s="128" t="s">
        <v>36</v>
      </c>
      <c r="C61" s="129" t="str">
        <f t="shared" si="1"/>
        <v>02.07.2021_BOYuhSp</v>
      </c>
      <c r="D61" s="143">
        <f t="shared" si="2"/>
        <v>4</v>
      </c>
      <c r="E61" s="130">
        <v>8.9870408072803696E-6</v>
      </c>
      <c r="F61" s="131">
        <v>1.84979365842536E-3</v>
      </c>
      <c r="G61" s="131">
        <v>0.37774581641840699</v>
      </c>
      <c r="H61" s="131">
        <v>5.7175365088966501E-3</v>
      </c>
      <c r="I61" s="131">
        <v>1.2937031664538899E-4</v>
      </c>
      <c r="J61" s="131">
        <v>4.18956662704248E-3</v>
      </c>
      <c r="K61" s="132"/>
      <c r="L61" s="133"/>
      <c r="M61" s="133"/>
      <c r="N61" s="133"/>
      <c r="O61" s="131">
        <v>3.76005339195611E-4</v>
      </c>
      <c r="P61" s="133">
        <v>154.94</v>
      </c>
      <c r="Q61" s="134"/>
      <c r="R61" s="135" t="s">
        <v>347</v>
      </c>
    </row>
    <row r="62" spans="1:18" x14ac:dyDescent="0.25">
      <c r="A62" s="127">
        <v>44379</v>
      </c>
      <c r="B62" s="128" t="s">
        <v>38</v>
      </c>
      <c r="C62" s="129" t="str">
        <f t="shared" si="1"/>
        <v>02.07.2021_BRAob</v>
      </c>
      <c r="D62" s="143">
        <f t="shared" si="2"/>
        <v>4</v>
      </c>
      <c r="E62" s="130">
        <v>4.7710402237689997E-6</v>
      </c>
      <c r="F62" s="131">
        <v>1.3702471059016601E-3</v>
      </c>
      <c r="G62" s="131">
        <v>0.47977561514871098</v>
      </c>
      <c r="H62" s="131">
        <v>7.1490481213146197E-3</v>
      </c>
      <c r="I62" s="131">
        <v>1.7235425543449999E-4</v>
      </c>
      <c r="J62" s="131">
        <v>3.5244362852055499E-3</v>
      </c>
      <c r="K62" s="132"/>
      <c r="L62" s="133"/>
      <c r="M62" s="133"/>
      <c r="N62" s="133"/>
      <c r="O62" s="131">
        <v>5.1744024069420695E-4</v>
      </c>
      <c r="P62" s="133">
        <v>147.62</v>
      </c>
      <c r="Q62" s="134"/>
      <c r="R62" s="135" t="s">
        <v>347</v>
      </c>
    </row>
    <row r="63" spans="1:18" x14ac:dyDescent="0.25">
      <c r="A63" s="127">
        <v>44379</v>
      </c>
      <c r="B63" s="128" t="s">
        <v>41</v>
      </c>
      <c r="C63" s="129" t="str">
        <f t="shared" si="1"/>
        <v>02.07.2021_BRAohBo</v>
      </c>
      <c r="D63" s="143">
        <f t="shared" si="2"/>
        <v>4</v>
      </c>
      <c r="E63" s="130">
        <v>1.1205761441781699E-5</v>
      </c>
      <c r="F63" s="131">
        <v>1.87351220844923E-3</v>
      </c>
      <c r="G63" s="131">
        <v>0.47666294920326302</v>
      </c>
      <c r="H63" s="131">
        <v>7.0788896718233197E-3</v>
      </c>
      <c r="I63" s="131">
        <v>2.0975362376125201E-4</v>
      </c>
      <c r="J63" s="131">
        <v>4.1077651916034E-3</v>
      </c>
      <c r="K63" s="132"/>
      <c r="L63" s="133"/>
      <c r="M63" s="133"/>
      <c r="N63" s="133"/>
      <c r="O63" s="131">
        <v>4.7460327017882201E-4</v>
      </c>
      <c r="P63" s="133">
        <v>152.988</v>
      </c>
      <c r="Q63" s="134"/>
      <c r="R63" s="135" t="s">
        <v>347</v>
      </c>
    </row>
    <row r="64" spans="1:18" x14ac:dyDescent="0.25">
      <c r="A64" s="127">
        <v>44379</v>
      </c>
      <c r="B64" s="128" t="s">
        <v>43</v>
      </c>
      <c r="C64" s="129" t="str">
        <f t="shared" si="1"/>
        <v>02.07.2021_HAAob</v>
      </c>
      <c r="D64" s="143">
        <f t="shared" si="2"/>
        <v>4</v>
      </c>
      <c r="E64" s="130">
        <v>4.4381602322673404E-6</v>
      </c>
      <c r="F64" s="131">
        <v>9.5219443507424503E-4</v>
      </c>
      <c r="G64" s="131">
        <v>0.33568687426938998</v>
      </c>
      <c r="H64" s="131">
        <v>4.15250476903387E-3</v>
      </c>
      <c r="I64" s="131">
        <v>1.21441288359365E-4</v>
      </c>
      <c r="J64" s="131">
        <v>3.51880746780267E-3</v>
      </c>
      <c r="K64" s="132"/>
      <c r="L64" s="133"/>
      <c r="M64" s="133"/>
      <c r="N64" s="133"/>
      <c r="O64" s="131">
        <v>2.1136880050241501E-4</v>
      </c>
      <c r="P64" s="133">
        <v>90.768000000000001</v>
      </c>
      <c r="Q64" s="134"/>
      <c r="R64" s="135" t="s">
        <v>347</v>
      </c>
    </row>
    <row r="65" spans="1:18" x14ac:dyDescent="0.25">
      <c r="A65" s="127">
        <v>44379</v>
      </c>
      <c r="B65" s="128" t="s">
        <v>45</v>
      </c>
      <c r="C65" s="129" t="str">
        <f t="shared" si="1"/>
        <v>02.07.2021_HAAun</v>
      </c>
      <c r="D65" s="143">
        <f t="shared" si="2"/>
        <v>4</v>
      </c>
      <c r="E65" s="130">
        <v>4.2160005835113699E-6</v>
      </c>
      <c r="F65" s="131">
        <v>1.54439889809527E-3</v>
      </c>
      <c r="G65" s="131">
        <v>0.46479857337449298</v>
      </c>
      <c r="H65" s="131">
        <v>6.37071402358303E-3</v>
      </c>
      <c r="I65" s="131">
        <v>1.50614075772729E-4</v>
      </c>
      <c r="J65" s="131">
        <v>5.8330535987015202E-3</v>
      </c>
      <c r="K65" s="132"/>
      <c r="L65" s="133"/>
      <c r="M65" s="133"/>
      <c r="N65" s="133"/>
      <c r="O65" s="131">
        <v>3.6854233981336399E-4</v>
      </c>
      <c r="P65" s="133">
        <v>165.92</v>
      </c>
      <c r="Q65" s="134"/>
      <c r="R65" s="135" t="s">
        <v>347</v>
      </c>
    </row>
    <row r="66" spans="1:18" x14ac:dyDescent="0.25">
      <c r="A66" s="127">
        <v>44379</v>
      </c>
      <c r="B66" s="128" t="s">
        <v>47</v>
      </c>
      <c r="C66" s="129" t="str">
        <f t="shared" si="1"/>
        <v>02.07.2021_KIRob</v>
      </c>
      <c r="D66" s="143">
        <f t="shared" si="2"/>
        <v>4</v>
      </c>
      <c r="E66" s="130">
        <v>3.9945598980199797E-6</v>
      </c>
      <c r="F66" s="131">
        <v>1.1136831699855999E-3</v>
      </c>
      <c r="G66" s="131">
        <v>0.35742417573357599</v>
      </c>
      <c r="H66" s="131">
        <v>5.6733887630297901E-3</v>
      </c>
      <c r="I66" s="131">
        <v>1.36374577053561E-4</v>
      </c>
      <c r="J66" s="131">
        <v>5.1611586188201504E-3</v>
      </c>
      <c r="K66" s="132"/>
      <c r="L66" s="133"/>
      <c r="M66" s="133"/>
      <c r="N66" s="133"/>
      <c r="O66" s="131">
        <v>4.0705322605657103E-4</v>
      </c>
      <c r="P66" s="133">
        <v>177.38800000000001</v>
      </c>
      <c r="Q66" s="134"/>
      <c r="R66" s="135" t="s">
        <v>347</v>
      </c>
    </row>
    <row r="67" spans="1:18" x14ac:dyDescent="0.25">
      <c r="A67" s="127">
        <v>44379</v>
      </c>
      <c r="B67" s="128" t="s">
        <v>49</v>
      </c>
      <c r="C67" s="129" t="str">
        <f t="shared" si="1"/>
        <v>02.07.2021_KIRun</v>
      </c>
      <c r="D67" s="143">
        <f t="shared" si="2"/>
        <v>4</v>
      </c>
      <c r="E67" s="130">
        <v>7.7662411840193993E-6</v>
      </c>
      <c r="F67" s="131">
        <v>1.0236095268480901E-3</v>
      </c>
      <c r="G67" s="131">
        <v>0.39264044524911901</v>
      </c>
      <c r="H67" s="131">
        <v>5.1851132629428297E-3</v>
      </c>
      <c r="I67" s="131">
        <v>1.24680330664868E-4</v>
      </c>
      <c r="J67" s="131">
        <v>3.8206803384965098E-3</v>
      </c>
      <c r="K67" s="132"/>
      <c r="L67" s="133"/>
      <c r="M67" s="133"/>
      <c r="N67" s="133"/>
      <c r="O67" s="131">
        <v>2.8090179623861E-4</v>
      </c>
      <c r="P67" s="133">
        <v>159.57599999999999</v>
      </c>
      <c r="Q67" s="134"/>
      <c r="R67" s="135" t="s">
        <v>347</v>
      </c>
    </row>
    <row r="68" spans="1:18" x14ac:dyDescent="0.25">
      <c r="A68" s="127">
        <v>44379</v>
      </c>
      <c r="B68" s="128" t="s">
        <v>53</v>
      </c>
      <c r="C68" s="129" t="str">
        <f t="shared" si="1"/>
        <v>02.07.2021_NATohBo</v>
      </c>
      <c r="D68" s="143">
        <f t="shared" si="2"/>
        <v>4</v>
      </c>
      <c r="E68" s="130">
        <v>9.0977611500260601E-6</v>
      </c>
      <c r="F68" s="131">
        <v>2.0341491245293398E-3</v>
      </c>
      <c r="G68" s="131">
        <v>0.74129999999999996</v>
      </c>
      <c r="H68" s="131">
        <v>9.4601427966828199E-3</v>
      </c>
      <c r="I68" s="131">
        <v>1.98784207010153E-4</v>
      </c>
      <c r="J68" s="131">
        <v>4.0729275052213904E-3</v>
      </c>
      <c r="K68" s="132"/>
      <c r="L68" s="133"/>
      <c r="M68" s="133"/>
      <c r="N68" s="133"/>
      <c r="O68" s="131">
        <v>6.9999999999999999E-4</v>
      </c>
      <c r="P68" s="133">
        <v>300.12</v>
      </c>
      <c r="Q68" s="134"/>
      <c r="R68" s="135" t="s">
        <v>347</v>
      </c>
    </row>
    <row r="69" spans="1:18" x14ac:dyDescent="0.25">
      <c r="A69" s="127">
        <v>44379</v>
      </c>
      <c r="B69" s="128" t="s">
        <v>55</v>
      </c>
      <c r="C69" s="129" t="str">
        <f t="shared" ref="C69:C132" si="3">CONCATENATE(TEXT(A69,"TT.MM.JJJJ"),"_",B69)</f>
        <v>02.07.2021_QUAohBo</v>
      </c>
      <c r="D69" s="143">
        <f t="shared" ref="D69:D132" si="4">COUNTBLANK(E69:P69)</f>
        <v>4</v>
      </c>
      <c r="E69" s="130">
        <v>9.6528007902837E-6</v>
      </c>
      <c r="F69" s="131">
        <v>1.6744677375724699E-3</v>
      </c>
      <c r="G69" s="131">
        <v>0.45508535563730101</v>
      </c>
      <c r="H69" s="131">
        <v>5.89148335588335E-3</v>
      </c>
      <c r="I69" s="131">
        <v>1.689178436884E-4</v>
      </c>
      <c r="J69" s="131">
        <v>2.7533609360630902E-3</v>
      </c>
      <c r="K69" s="132"/>
      <c r="L69" s="133"/>
      <c r="M69" s="133"/>
      <c r="N69" s="133"/>
      <c r="O69" s="131">
        <v>4.4838467792120802E-4</v>
      </c>
      <c r="P69" s="133">
        <v>184.464</v>
      </c>
      <c r="Q69" s="134"/>
      <c r="R69" s="135" t="s">
        <v>347</v>
      </c>
    </row>
    <row r="70" spans="1:18" x14ac:dyDescent="0.25">
      <c r="A70" s="127">
        <v>44379</v>
      </c>
      <c r="B70" s="128" t="s">
        <v>57</v>
      </c>
      <c r="C70" s="129" t="str">
        <f t="shared" si="3"/>
        <v>02.07.2021_SCHohVo</v>
      </c>
      <c r="D70" s="143">
        <f t="shared" si="4"/>
        <v>4</v>
      </c>
      <c r="E70" s="130">
        <v>4.3603684070395201E-5</v>
      </c>
      <c r="F70" s="131">
        <v>2.3715774086200299E-3</v>
      </c>
      <c r="G70" s="131">
        <v>0.442828360313334</v>
      </c>
      <c r="H70" s="131">
        <v>1.8323484422772901E-2</v>
      </c>
      <c r="I70" s="131">
        <v>1.3346690990428801E-4</v>
      </c>
      <c r="J70" s="131">
        <v>1.01053164292359E-2</v>
      </c>
      <c r="K70" s="132"/>
      <c r="L70" s="133"/>
      <c r="M70" s="133"/>
      <c r="N70" s="133"/>
      <c r="O70" s="131">
        <v>1.8312322447311699E-3</v>
      </c>
      <c r="P70" s="133">
        <v>156.892</v>
      </c>
      <c r="Q70" s="134"/>
      <c r="R70" s="135" t="s">
        <v>347</v>
      </c>
    </row>
    <row r="71" spans="1:18" x14ac:dyDescent="0.25">
      <c r="A71" s="127">
        <v>44379</v>
      </c>
      <c r="B71" s="128" t="s">
        <v>60</v>
      </c>
      <c r="C71" s="129" t="str">
        <f t="shared" si="3"/>
        <v>02.07.2021_VORohBo</v>
      </c>
      <c r="D71" s="143">
        <f t="shared" si="4"/>
        <v>4</v>
      </c>
      <c r="E71" s="130">
        <v>6.9897608582703802E-6</v>
      </c>
      <c r="F71" s="131">
        <v>8.9800166790288095E-4</v>
      </c>
      <c r="G71" s="131">
        <v>0.42723690516072299</v>
      </c>
      <c r="H71" s="131">
        <v>6.7297163124432798E-3</v>
      </c>
      <c r="I71" s="131">
        <v>1.2689335157256001E-4</v>
      </c>
      <c r="J71" s="131">
        <v>3.28263659309584E-3</v>
      </c>
      <c r="K71" s="132"/>
      <c r="L71" s="133"/>
      <c r="M71" s="133"/>
      <c r="N71" s="133"/>
      <c r="O71" s="131">
        <v>6.2454159377546895E-4</v>
      </c>
      <c r="P71" s="133">
        <v>210.328</v>
      </c>
      <c r="Q71" s="134"/>
      <c r="R71" s="135" t="s">
        <v>347</v>
      </c>
    </row>
    <row r="72" spans="1:18" x14ac:dyDescent="0.25">
      <c r="A72" s="127">
        <v>44379</v>
      </c>
      <c r="B72" s="128" t="s">
        <v>62</v>
      </c>
      <c r="C72" s="129" t="str">
        <f t="shared" si="3"/>
        <v>02.07.2021_VORuhSc</v>
      </c>
      <c r="D72" s="143">
        <f t="shared" si="4"/>
        <v>4</v>
      </c>
      <c r="E72" s="130">
        <v>5.5475205495180298E-6</v>
      </c>
      <c r="F72" s="131">
        <v>1.27326460992555E-3</v>
      </c>
      <c r="G72" s="131">
        <v>0.62095466967468205</v>
      </c>
      <c r="H72" s="131">
        <v>9.1545344403150802E-3</v>
      </c>
      <c r="I72" s="131">
        <v>1.30626245612832E-4</v>
      </c>
      <c r="J72" s="131">
        <v>3.9182739112464003E-3</v>
      </c>
      <c r="K72" s="132"/>
      <c r="L72" s="133"/>
      <c r="M72" s="133"/>
      <c r="N72" s="133"/>
      <c r="O72" s="131">
        <v>1.0472305487745899E-3</v>
      </c>
      <c r="P72" s="133">
        <v>260.83600000000001</v>
      </c>
      <c r="Q72" s="134"/>
      <c r="R72" s="135" t="s">
        <v>347</v>
      </c>
    </row>
    <row r="73" spans="1:18" x14ac:dyDescent="0.25">
      <c r="A73" s="127">
        <v>44379</v>
      </c>
      <c r="B73" s="128" t="s">
        <v>64</v>
      </c>
      <c r="C73" s="129" t="str">
        <f t="shared" si="3"/>
        <v>02.07.2021_WITob</v>
      </c>
      <c r="D73" s="143">
        <f t="shared" si="4"/>
        <v>4</v>
      </c>
      <c r="E73" s="130">
        <v>8.8763204645346706E-6</v>
      </c>
      <c r="F73" s="131">
        <v>1.6171227094455901E-3</v>
      </c>
      <c r="G73" s="131">
        <v>0.67000353048376804</v>
      </c>
      <c r="H73" s="131">
        <v>8.4217367220330297E-3</v>
      </c>
      <c r="I73" s="131">
        <v>1.7519470565931699E-4</v>
      </c>
      <c r="J73" s="131">
        <v>3.36082064332932E-3</v>
      </c>
      <c r="K73" s="132"/>
      <c r="L73" s="133"/>
      <c r="M73" s="133"/>
      <c r="N73" s="133"/>
      <c r="O73" s="131">
        <v>4.1445584421112E-4</v>
      </c>
      <c r="P73" s="133">
        <v>180.072</v>
      </c>
      <c r="Q73" s="134"/>
      <c r="R73" s="135" t="s">
        <v>347</v>
      </c>
    </row>
    <row r="74" spans="1:18" x14ac:dyDescent="0.25">
      <c r="A74" s="127">
        <v>44421</v>
      </c>
      <c r="B74" s="128" t="s">
        <v>22</v>
      </c>
      <c r="C74" s="129" t="str">
        <f t="shared" si="3"/>
        <v>13.08.2021_BOYkl</v>
      </c>
      <c r="D74" s="143">
        <f t="shared" si="4"/>
        <v>0</v>
      </c>
      <c r="E74" s="130">
        <v>4.2588102180983102E-5</v>
      </c>
      <c r="F74" s="131">
        <v>1.6022186615566899E-4</v>
      </c>
      <c r="G74" s="131">
        <v>0.205884999880108</v>
      </c>
      <c r="H74" s="131">
        <v>6.5572200330153898E-3</v>
      </c>
      <c r="I74" s="131">
        <v>9.3887160880263E-5</v>
      </c>
      <c r="J74" s="131">
        <v>8.27261394102192E-4</v>
      </c>
      <c r="K74" s="132">
        <v>57.03</v>
      </c>
      <c r="L74" s="133">
        <v>4.2720000000000002</v>
      </c>
      <c r="M74" s="133">
        <v>10.089</v>
      </c>
      <c r="N74" s="133">
        <v>7.0529999999999999</v>
      </c>
      <c r="O74" s="131">
        <v>2.11017832633558E-4</v>
      </c>
      <c r="P74" s="133">
        <v>104.432</v>
      </c>
      <c r="Q74" s="134"/>
      <c r="R74" s="135"/>
    </row>
    <row r="75" spans="1:18" x14ac:dyDescent="0.25">
      <c r="A75" s="127">
        <v>44421</v>
      </c>
      <c r="B75" s="128" t="s">
        <v>25</v>
      </c>
      <c r="C75" s="129" t="str">
        <f t="shared" si="3"/>
        <v>13.08.2021_BOYohB224</v>
      </c>
      <c r="D75" s="143">
        <f t="shared" si="4"/>
        <v>0</v>
      </c>
      <c r="E75" s="130">
        <v>5.3637800283970003E-6</v>
      </c>
      <c r="F75" s="131">
        <v>1.16434948305438E-4</v>
      </c>
      <c r="G75" s="131">
        <v>0.30632360655132101</v>
      </c>
      <c r="H75" s="131">
        <v>4.1408483269853103E-3</v>
      </c>
      <c r="I75" s="131">
        <v>7.1422979123581199E-5</v>
      </c>
      <c r="J75" s="131">
        <v>3.3463575140345802E-4</v>
      </c>
      <c r="K75" s="132">
        <v>96.57</v>
      </c>
      <c r="L75" s="133">
        <v>10.755000000000001</v>
      </c>
      <c r="M75" s="133">
        <v>24.303000000000001</v>
      </c>
      <c r="N75" s="133">
        <v>6.444</v>
      </c>
      <c r="O75" s="131">
        <v>3.0698974141705999E-4</v>
      </c>
      <c r="P75" s="133">
        <v>202.76400000000001</v>
      </c>
      <c r="Q75" s="134"/>
      <c r="R75" s="135"/>
    </row>
    <row r="76" spans="1:18" x14ac:dyDescent="0.25">
      <c r="A76" s="127">
        <v>44421</v>
      </c>
      <c r="B76" s="128" t="s">
        <v>28</v>
      </c>
      <c r="C76" s="129" t="str">
        <f t="shared" si="3"/>
        <v>13.08.2021_BOYohBr</v>
      </c>
      <c r="D76" s="143">
        <f t="shared" si="4"/>
        <v>0</v>
      </c>
      <c r="E76" s="130">
        <v>1.0326573406702E-5</v>
      </c>
      <c r="F76" s="131">
        <v>1.08960791704971E-4</v>
      </c>
      <c r="G76" s="131">
        <v>0.21952094528250399</v>
      </c>
      <c r="H76" s="131">
        <v>3.3853656215801402E-3</v>
      </c>
      <c r="I76" s="131">
        <v>8.8130324605057797E-5</v>
      </c>
      <c r="J76" s="131">
        <v>3.77075448448744E-4</v>
      </c>
      <c r="K76" s="132">
        <v>156.41999999999999</v>
      </c>
      <c r="L76" s="133">
        <v>10.053000000000001</v>
      </c>
      <c r="M76" s="133">
        <v>19.878</v>
      </c>
      <c r="N76" s="133">
        <v>9.8460000000000001</v>
      </c>
      <c r="O76" s="131">
        <v>1.63542814146623E-4</v>
      </c>
      <c r="P76" s="133">
        <v>130.78399999999999</v>
      </c>
      <c r="Q76" s="134"/>
      <c r="R76" s="135"/>
    </row>
    <row r="77" spans="1:18" x14ac:dyDescent="0.25">
      <c r="A77" s="127">
        <v>44421</v>
      </c>
      <c r="B77" s="128" t="s">
        <v>30</v>
      </c>
      <c r="C77" s="129" t="str">
        <f t="shared" si="3"/>
        <v>13.08.2021_BOYohKi</v>
      </c>
      <c r="D77" s="143">
        <f t="shared" si="4"/>
        <v>0</v>
      </c>
      <c r="E77" s="130">
        <v>9.5261563289635003E-6</v>
      </c>
      <c r="F77" s="131">
        <v>1.06752831474398E-4</v>
      </c>
      <c r="G77" s="131">
        <v>0.33289905074643</v>
      </c>
      <c r="H77" s="131">
        <v>4.6759796572689097E-3</v>
      </c>
      <c r="I77" s="131">
        <v>9.7675070360087306E-5</v>
      </c>
      <c r="J77" s="131">
        <v>4.7249795438953902E-4</v>
      </c>
      <c r="K77" s="132">
        <v>222.87</v>
      </c>
      <c r="L77" s="133">
        <v>13.343999999999999</v>
      </c>
      <c r="M77" s="133">
        <v>35.97</v>
      </c>
      <c r="N77" s="133">
        <v>12.170999999999999</v>
      </c>
      <c r="O77" s="131">
        <v>3.2241902147477698E-4</v>
      </c>
      <c r="P77" s="133">
        <v>205.69200000000001</v>
      </c>
      <c r="Q77" s="134"/>
      <c r="R77" s="135"/>
    </row>
    <row r="78" spans="1:18" x14ac:dyDescent="0.25">
      <c r="A78" s="127">
        <v>44421</v>
      </c>
      <c r="B78" s="128" t="s">
        <v>32</v>
      </c>
      <c r="C78" s="129" t="str">
        <f t="shared" si="3"/>
        <v>13.08.2021_BOYohSp</v>
      </c>
      <c r="D78" s="143">
        <f t="shared" si="4"/>
        <v>0</v>
      </c>
      <c r="E78" s="130">
        <v>3.77850809737367E-5</v>
      </c>
      <c r="F78" s="131">
        <v>1.3873294061137601E-4</v>
      </c>
      <c r="G78" s="131">
        <v>0.28043993443899601</v>
      </c>
      <c r="H78" s="131">
        <v>4.4830284654930504E-3</v>
      </c>
      <c r="I78" s="131">
        <v>1.3477122345331699E-4</v>
      </c>
      <c r="J78" s="131">
        <v>6.3367436847516095E-4</v>
      </c>
      <c r="K78" s="132">
        <v>162.06</v>
      </c>
      <c r="L78" s="133">
        <v>9.3810000000000002</v>
      </c>
      <c r="M78" s="133">
        <v>27.257999999999999</v>
      </c>
      <c r="N78" s="133">
        <v>9.7889999999999997</v>
      </c>
      <c r="O78" s="131">
        <v>2.6574261392698999E-4</v>
      </c>
      <c r="P78" s="133">
        <v>148.596</v>
      </c>
      <c r="Q78" s="134"/>
      <c r="R78" s="135"/>
    </row>
    <row r="79" spans="1:18" x14ac:dyDescent="0.25">
      <c r="A79" s="127">
        <v>44421</v>
      </c>
      <c r="B79" s="128" t="s">
        <v>36</v>
      </c>
      <c r="C79" s="129" t="str">
        <f t="shared" si="3"/>
        <v>13.08.2021_BOYuhSp</v>
      </c>
      <c r="D79" s="143">
        <f t="shared" si="4"/>
        <v>0</v>
      </c>
      <c r="E79" s="130">
        <v>1.02466873211727E-5</v>
      </c>
      <c r="F79" s="131">
        <v>1.3912082401841501E-4</v>
      </c>
      <c r="G79" s="131">
        <v>0.28425121578539603</v>
      </c>
      <c r="H79" s="131">
        <v>4.1444188595455098E-3</v>
      </c>
      <c r="I79" s="131">
        <v>9.7582889150169794E-5</v>
      </c>
      <c r="J79" s="131">
        <v>3.3957672761692002E-4</v>
      </c>
      <c r="K79" s="132">
        <v>179.94</v>
      </c>
      <c r="L79" s="133">
        <v>9.9450000000000003</v>
      </c>
      <c r="M79" s="133">
        <v>25.704000000000001</v>
      </c>
      <c r="N79" s="133">
        <v>9.69</v>
      </c>
      <c r="O79" s="131">
        <v>2.5585947224036399E-4</v>
      </c>
      <c r="P79" s="133">
        <v>148.84</v>
      </c>
      <c r="Q79" s="134"/>
      <c r="R79" s="135"/>
    </row>
    <row r="80" spans="1:18" x14ac:dyDescent="0.25">
      <c r="A80" s="127">
        <v>44421</v>
      </c>
      <c r="B80" s="128" t="s">
        <v>38</v>
      </c>
      <c r="C80" s="129" t="str">
        <f t="shared" si="3"/>
        <v>13.08.2021_BRAob</v>
      </c>
      <c r="D80" s="143">
        <f t="shared" si="4"/>
        <v>0</v>
      </c>
      <c r="E80" s="130">
        <v>7.2846772668064899E-6</v>
      </c>
      <c r="F80" s="131">
        <v>6.38399910492698E-5</v>
      </c>
      <c r="G80" s="131">
        <v>0.29358993321159799</v>
      </c>
      <c r="H80" s="131">
        <v>3.8009128215198001E-3</v>
      </c>
      <c r="I80" s="131">
        <v>1.06454033682945E-4</v>
      </c>
      <c r="J80" s="131">
        <v>4.9503762742876404E-4</v>
      </c>
      <c r="K80" s="132">
        <v>254.94</v>
      </c>
      <c r="L80" s="133">
        <v>6.2279999999999998</v>
      </c>
      <c r="M80" s="133">
        <v>25.466999999999999</v>
      </c>
      <c r="N80" s="133">
        <v>6.0750000000000002</v>
      </c>
      <c r="O80" s="131">
        <v>2.29003600912476E-4</v>
      </c>
      <c r="P80" s="133">
        <v>163.96799999999999</v>
      </c>
      <c r="Q80" s="134"/>
      <c r="R80" s="135"/>
    </row>
    <row r="81" spans="1:18" x14ac:dyDescent="0.25">
      <c r="A81" s="127">
        <v>44421</v>
      </c>
      <c r="B81" s="128" t="s">
        <v>41</v>
      </c>
      <c r="C81" s="129" t="str">
        <f t="shared" si="3"/>
        <v>13.08.2021_BRAohBo</v>
      </c>
      <c r="D81" s="143">
        <f t="shared" si="4"/>
        <v>0</v>
      </c>
      <c r="E81" s="130">
        <v>9.60656115530794E-6</v>
      </c>
      <c r="F81" s="131">
        <v>1.11140293600773E-4</v>
      </c>
      <c r="G81" s="131">
        <v>0.30107200717321297</v>
      </c>
      <c r="H81" s="131">
        <v>4.3057919421885804E-3</v>
      </c>
      <c r="I81" s="131">
        <v>8.9191505914465303E-5</v>
      </c>
      <c r="J81" s="131">
        <v>4.3676048969905199E-4</v>
      </c>
      <c r="K81" s="132">
        <v>225.21</v>
      </c>
      <c r="L81" s="133">
        <v>7.9409999999999998</v>
      </c>
      <c r="M81" s="133">
        <v>30.54</v>
      </c>
      <c r="N81" s="133">
        <v>8.6969999999999992</v>
      </c>
      <c r="O81" s="131">
        <v>2.35860329628694E-4</v>
      </c>
      <c r="P81" s="133">
        <v>178.852</v>
      </c>
      <c r="Q81" s="134"/>
      <c r="R81" s="135"/>
    </row>
    <row r="82" spans="1:18" x14ac:dyDescent="0.25">
      <c r="A82" s="127">
        <v>44421</v>
      </c>
      <c r="B82" s="128" t="s">
        <v>43</v>
      </c>
      <c r="C82" s="129" t="str">
        <f t="shared" si="3"/>
        <v>13.08.2021_HAAob</v>
      </c>
      <c r="D82" s="143">
        <f t="shared" si="4"/>
        <v>0</v>
      </c>
      <c r="E82" s="130">
        <v>5.9240201087324701E-6</v>
      </c>
      <c r="F82" s="131">
        <v>8.3567123917992995E-5</v>
      </c>
      <c r="G82" s="131">
        <v>0.24114342045257101</v>
      </c>
      <c r="H82" s="131">
        <v>3.0580597191721599E-3</v>
      </c>
      <c r="I82" s="131">
        <v>9.1208917631945498E-5</v>
      </c>
      <c r="J82" s="131">
        <v>5.7965171550871395E-4</v>
      </c>
      <c r="K82" s="132">
        <v>189.06</v>
      </c>
      <c r="L82" s="133">
        <v>21.821999999999999</v>
      </c>
      <c r="M82" s="133">
        <v>35.79</v>
      </c>
      <c r="N82" s="133">
        <v>11.4</v>
      </c>
      <c r="O82" s="131">
        <v>1.5453121209511701E-4</v>
      </c>
      <c r="P82" s="133">
        <v>168.84800000000001</v>
      </c>
      <c r="Q82" s="134"/>
      <c r="R82" s="135"/>
    </row>
    <row r="83" spans="1:18" x14ac:dyDescent="0.25">
      <c r="A83" s="127">
        <v>44421</v>
      </c>
      <c r="B83" s="128" t="s">
        <v>45</v>
      </c>
      <c r="C83" s="129" t="str">
        <f t="shared" si="3"/>
        <v>13.08.2021_HAAun</v>
      </c>
      <c r="D83" s="143">
        <f t="shared" si="4"/>
        <v>0</v>
      </c>
      <c r="E83" s="130">
        <v>8.0850943445450307E-6</v>
      </c>
      <c r="F83" s="131">
        <v>1.1119162947998899E-4</v>
      </c>
      <c r="G83" s="131">
        <v>0.39914458712267797</v>
      </c>
      <c r="H83" s="131">
        <v>4.7854603288843998E-3</v>
      </c>
      <c r="I83" s="131">
        <v>9.2363377546626703E-5</v>
      </c>
      <c r="J83" s="131">
        <v>4.7581554288427799E-4</v>
      </c>
      <c r="K83" s="132">
        <v>271.77</v>
      </c>
      <c r="L83" s="133">
        <v>37.08</v>
      </c>
      <c r="M83" s="133">
        <v>60.09</v>
      </c>
      <c r="N83" s="133">
        <v>17.22</v>
      </c>
      <c r="O83" s="131">
        <v>3.1106780660548102E-4</v>
      </c>
      <c r="P83" s="133">
        <v>254.98</v>
      </c>
      <c r="Q83" s="134"/>
      <c r="R83" s="135"/>
    </row>
    <row r="84" spans="1:18" x14ac:dyDescent="0.25">
      <c r="A84" s="127">
        <v>44421</v>
      </c>
      <c r="B84" s="128" t="s">
        <v>47</v>
      </c>
      <c r="C84" s="129" t="str">
        <f t="shared" si="3"/>
        <v>13.08.2021_KIRob</v>
      </c>
      <c r="D84" s="143">
        <f t="shared" si="4"/>
        <v>0</v>
      </c>
      <c r="E84" s="130">
        <v>1.6730947510240699E-5</v>
      </c>
      <c r="F84" s="131">
        <v>1.06741411181613E-4</v>
      </c>
      <c r="G84" s="131">
        <v>0.34918502932886097</v>
      </c>
      <c r="H84" s="131">
        <v>5.6284706727443802E-3</v>
      </c>
      <c r="I84" s="131">
        <v>1.3021124645882701E-4</v>
      </c>
      <c r="J84" s="131">
        <v>8.4278202248089197E-4</v>
      </c>
      <c r="K84" s="132">
        <v>108.63</v>
      </c>
      <c r="L84" s="133">
        <v>6.843</v>
      </c>
      <c r="M84" s="133">
        <v>53.31</v>
      </c>
      <c r="N84" s="133">
        <v>6.6239999999999997</v>
      </c>
      <c r="O84" s="131">
        <v>3.9745328415535699E-4</v>
      </c>
      <c r="P84" s="133">
        <v>191.29599999999999</v>
      </c>
      <c r="Q84" s="134"/>
      <c r="R84" s="135"/>
    </row>
    <row r="85" spans="1:18" x14ac:dyDescent="0.25">
      <c r="A85" s="127">
        <v>44421</v>
      </c>
      <c r="B85" s="128" t="s">
        <v>49</v>
      </c>
      <c r="C85" s="129" t="str">
        <f t="shared" si="3"/>
        <v>13.08.2021_KIRun</v>
      </c>
      <c r="D85" s="143">
        <f t="shared" si="4"/>
        <v>0</v>
      </c>
      <c r="E85" s="130">
        <v>1.72911875905761E-5</v>
      </c>
      <c r="F85" s="131">
        <v>9.7493191558636097E-5</v>
      </c>
      <c r="G85" s="131">
        <v>0.35042737474709701</v>
      </c>
      <c r="H85" s="131">
        <v>4.8729394951971001E-3</v>
      </c>
      <c r="I85" s="131">
        <v>1.4799603465362501E-4</v>
      </c>
      <c r="J85" s="131">
        <v>4.0338706677208402E-4</v>
      </c>
      <c r="K85" s="132">
        <v>269.31</v>
      </c>
      <c r="L85" s="133">
        <v>17.97</v>
      </c>
      <c r="M85" s="133">
        <v>120.12</v>
      </c>
      <c r="N85" s="133">
        <v>15.288</v>
      </c>
      <c r="O85" s="131">
        <v>2.6841771902903202E-4</v>
      </c>
      <c r="P85" s="133">
        <v>181.536</v>
      </c>
      <c r="Q85" s="134"/>
      <c r="R85" s="135"/>
    </row>
    <row r="86" spans="1:18" x14ac:dyDescent="0.25">
      <c r="A86" s="127">
        <v>44421</v>
      </c>
      <c r="B86" s="128" t="s">
        <v>50</v>
      </c>
      <c r="C86" s="129" t="str">
        <f t="shared" si="3"/>
        <v>13.08.2021_LIEohBo</v>
      </c>
      <c r="D86" s="143">
        <f t="shared" si="4"/>
        <v>0</v>
      </c>
      <c r="E86" s="130">
        <v>1.4329696277025E-5</v>
      </c>
      <c r="F86" s="131">
        <v>1.9583078256468501E-4</v>
      </c>
      <c r="G86" s="131">
        <v>0.15920219097703001</v>
      </c>
      <c r="H86" s="131">
        <v>4.5612684686573502E-3</v>
      </c>
      <c r="I86" s="131">
        <v>7.1839091489994496E-5</v>
      </c>
      <c r="J86" s="131">
        <v>4.9596182528994397E-4</v>
      </c>
      <c r="K86" s="132">
        <v>38.729999999999997</v>
      </c>
      <c r="L86" s="133">
        <v>4.3710000000000004</v>
      </c>
      <c r="M86" s="133">
        <v>13.959</v>
      </c>
      <c r="N86" s="133">
        <v>3.7650000000000001</v>
      </c>
      <c r="O86" s="131">
        <v>3.4904455732766998E-4</v>
      </c>
      <c r="P86" s="133">
        <v>74.176000000000002</v>
      </c>
      <c r="Q86" s="134"/>
      <c r="R86" s="135"/>
    </row>
    <row r="87" spans="1:18" x14ac:dyDescent="0.25">
      <c r="A87" s="127">
        <v>44421</v>
      </c>
      <c r="B87" s="128" t="s">
        <v>53</v>
      </c>
      <c r="C87" s="129" t="str">
        <f t="shared" si="3"/>
        <v>13.08.2021_NATohBo</v>
      </c>
      <c r="D87" s="143">
        <f t="shared" si="4"/>
        <v>0</v>
      </c>
      <c r="E87" s="130">
        <v>6.4842601890679399E-6</v>
      </c>
      <c r="F87" s="131">
        <v>1.3230804650979499E-4</v>
      </c>
      <c r="G87" s="131">
        <v>0.47165405353685302</v>
      </c>
      <c r="H87" s="131">
        <v>5.9052902291085304E-3</v>
      </c>
      <c r="I87" s="131">
        <v>7.7689804949758495E-5</v>
      </c>
      <c r="J87" s="131">
        <v>5.0857050154326001E-4</v>
      </c>
      <c r="K87" s="132">
        <v>181.17</v>
      </c>
      <c r="L87" s="133">
        <v>20.991</v>
      </c>
      <c r="M87" s="133">
        <v>91.35</v>
      </c>
      <c r="N87" s="133">
        <v>15.218999999999999</v>
      </c>
      <c r="O87" s="131">
        <v>3.6292904179468301E-4</v>
      </c>
      <c r="P87" s="133">
        <v>313.05200000000002</v>
      </c>
      <c r="Q87" s="134"/>
      <c r="R87" s="135"/>
    </row>
    <row r="88" spans="1:18" x14ac:dyDescent="0.25">
      <c r="A88" s="127">
        <v>44421</v>
      </c>
      <c r="B88" s="128" t="s">
        <v>55</v>
      </c>
      <c r="C88" s="129" t="str">
        <f t="shared" si="3"/>
        <v>13.08.2021_QUAohBo</v>
      </c>
      <c r="D88" s="143">
        <f t="shared" si="4"/>
        <v>0</v>
      </c>
      <c r="E88" s="130">
        <v>1.2087698474052899E-5</v>
      </c>
      <c r="F88" s="131">
        <v>1.3607386033637201E-4</v>
      </c>
      <c r="G88" s="131">
        <v>0.351975916913634</v>
      </c>
      <c r="H88" s="131">
        <v>4.6488363762763702E-3</v>
      </c>
      <c r="I88" s="131">
        <v>1.56079149557462E-4</v>
      </c>
      <c r="J88" s="131">
        <v>7.1827038076098103E-4</v>
      </c>
      <c r="K88" s="132">
        <v>219.78</v>
      </c>
      <c r="L88" s="133">
        <v>7.6470000000000002</v>
      </c>
      <c r="M88" s="133">
        <v>40.29</v>
      </c>
      <c r="N88" s="133">
        <v>8.4</v>
      </c>
      <c r="O88" s="131">
        <v>4.67714268950157E-4</v>
      </c>
      <c r="P88" s="133">
        <v>221.06399999999999</v>
      </c>
      <c r="Q88" s="134"/>
      <c r="R88" s="135"/>
    </row>
    <row r="89" spans="1:18" x14ac:dyDescent="0.25">
      <c r="A89" s="127">
        <v>44421</v>
      </c>
      <c r="B89" s="128" t="s">
        <v>57</v>
      </c>
      <c r="C89" s="129" t="str">
        <f t="shared" si="3"/>
        <v>13.08.2021_SCHohVo</v>
      </c>
      <c r="D89" s="143">
        <f t="shared" si="4"/>
        <v>0</v>
      </c>
      <c r="E89" s="130">
        <v>1.37689374558744E-5</v>
      </c>
      <c r="F89" s="131">
        <v>1.3035096313172099E-4</v>
      </c>
      <c r="G89" s="131">
        <v>0.36797617646664499</v>
      </c>
      <c r="H89" s="131">
        <v>1.16443888717858E-2</v>
      </c>
      <c r="I89" s="131">
        <v>1.3032088623122901E-4</v>
      </c>
      <c r="J89" s="131">
        <v>9.7363042861764698E-4</v>
      </c>
      <c r="K89" s="132">
        <v>106.98</v>
      </c>
      <c r="L89" s="133">
        <v>4.1520000000000001</v>
      </c>
      <c r="M89" s="133">
        <v>13.803000000000001</v>
      </c>
      <c r="N89" s="133">
        <v>2.7959999999999998</v>
      </c>
      <c r="O89" s="131">
        <v>1.3693019154990701E-3</v>
      </c>
      <c r="P89" s="133">
        <v>254.24799999999999</v>
      </c>
      <c r="Q89" s="134"/>
      <c r="R89" s="135"/>
    </row>
    <row r="90" spans="1:18" x14ac:dyDescent="0.25">
      <c r="A90" s="127">
        <v>44421</v>
      </c>
      <c r="B90" s="128" t="s">
        <v>60</v>
      </c>
      <c r="C90" s="129" t="str">
        <f t="shared" si="3"/>
        <v>13.08.2021_VORohBo</v>
      </c>
      <c r="D90" s="143">
        <f t="shared" si="4"/>
        <v>0</v>
      </c>
      <c r="E90" s="130">
        <v>7.52485426420956E-6</v>
      </c>
      <c r="F90" s="131">
        <v>8.2209365678416203E-5</v>
      </c>
      <c r="G90" s="131">
        <v>0.45174652942474702</v>
      </c>
      <c r="H90" s="131">
        <v>6.3802307176356703E-3</v>
      </c>
      <c r="I90" s="131">
        <v>1.2745438979772301E-4</v>
      </c>
      <c r="J90" s="131">
        <v>4.3817746351060998E-4</v>
      </c>
      <c r="K90" s="132">
        <v>139.94999999999999</v>
      </c>
      <c r="L90" s="133">
        <v>9.3810000000000002</v>
      </c>
      <c r="M90" s="133">
        <v>21.087</v>
      </c>
      <c r="N90" s="133">
        <v>6.8520000000000003</v>
      </c>
      <c r="O90" s="131">
        <v>5.7182539889557302E-4</v>
      </c>
      <c r="P90" s="133">
        <v>274.988</v>
      </c>
      <c r="Q90" s="134"/>
      <c r="R90" s="135"/>
    </row>
    <row r="91" spans="1:18" x14ac:dyDescent="0.25">
      <c r="A91" s="127">
        <v>44421</v>
      </c>
      <c r="B91" s="128" t="s">
        <v>62</v>
      </c>
      <c r="C91" s="129" t="str">
        <f t="shared" si="3"/>
        <v>13.08.2021_VORuhSc</v>
      </c>
      <c r="D91" s="143">
        <f t="shared" si="4"/>
        <v>0</v>
      </c>
      <c r="E91" s="130">
        <v>7.7650312616126403E-6</v>
      </c>
      <c r="F91" s="131">
        <v>9.4492278636495498E-5</v>
      </c>
      <c r="G91" s="131">
        <v>0.47453268144301503</v>
      </c>
      <c r="H91" s="131">
        <v>6.6625623022827504E-3</v>
      </c>
      <c r="I91" s="131">
        <v>1.26176423023866E-4</v>
      </c>
      <c r="J91" s="131">
        <v>7.2655874785376902E-4</v>
      </c>
      <c r="K91" s="132">
        <v>163.71</v>
      </c>
      <c r="L91" s="133">
        <v>10.272</v>
      </c>
      <c r="M91" s="133">
        <v>19.350000000000001</v>
      </c>
      <c r="N91" s="133">
        <v>5.8170000000000002</v>
      </c>
      <c r="O91" s="131">
        <v>6.2787532423653396E-4</v>
      </c>
      <c r="P91" s="133">
        <v>308.17200000000003</v>
      </c>
      <c r="Q91" s="134"/>
      <c r="R91" s="135"/>
    </row>
    <row r="92" spans="1:18" x14ac:dyDescent="0.25">
      <c r="A92" s="127">
        <v>44421</v>
      </c>
      <c r="B92" s="128" t="s">
        <v>64</v>
      </c>
      <c r="C92" s="129" t="str">
        <f t="shared" si="3"/>
        <v>13.08.2021_WITob</v>
      </c>
      <c r="D92" s="143">
        <f t="shared" si="4"/>
        <v>0</v>
      </c>
      <c r="E92" s="130">
        <v>7.3650820931509296E-6</v>
      </c>
      <c r="F92" s="131">
        <v>1.05098293457926E-4</v>
      </c>
      <c r="G92" s="131">
        <v>0.42323293617771501</v>
      </c>
      <c r="H92" s="131">
        <v>5.4155545513595296E-3</v>
      </c>
      <c r="I92" s="131">
        <v>9.2594429150705601E-5</v>
      </c>
      <c r="J92" s="131">
        <v>4.1916276469017798E-4</v>
      </c>
      <c r="K92" s="132">
        <v>321.3</v>
      </c>
      <c r="L92" s="133">
        <v>23.547000000000001</v>
      </c>
      <c r="M92" s="133">
        <v>97.95</v>
      </c>
      <c r="N92" s="133">
        <v>14.843999999999999</v>
      </c>
      <c r="O92" s="131">
        <v>2.5379461313379997E-4</v>
      </c>
      <c r="P92" s="133">
        <v>237.16800000000001</v>
      </c>
      <c r="Q92" s="134"/>
      <c r="R92" s="135"/>
    </row>
    <row r="93" spans="1:18" x14ac:dyDescent="0.25">
      <c r="A93" s="127">
        <v>44449</v>
      </c>
      <c r="B93" s="128" t="s">
        <v>22</v>
      </c>
      <c r="C93" s="129" t="str">
        <f t="shared" si="3"/>
        <v>10.09.2021_BOYkl</v>
      </c>
      <c r="D93" s="143">
        <f t="shared" si="4"/>
        <v>0</v>
      </c>
      <c r="E93" s="130">
        <v>7.3372808375670901E-5</v>
      </c>
      <c r="F93" s="131">
        <v>2.44117035810977E-3</v>
      </c>
      <c r="G93" s="131">
        <v>0.22929440088311401</v>
      </c>
      <c r="H93" s="131">
        <v>9.1593971338603999E-3</v>
      </c>
      <c r="I93" s="131">
        <v>3.2855483713494602E-5</v>
      </c>
      <c r="J93" s="131">
        <v>7.4655770844100598E-3</v>
      </c>
      <c r="K93" s="132">
        <v>222</v>
      </c>
      <c r="L93" s="133">
        <v>16</v>
      </c>
      <c r="M93" s="133">
        <v>38</v>
      </c>
      <c r="N93" s="133">
        <v>26</v>
      </c>
      <c r="O93" s="131">
        <v>2.41571006624897E-4</v>
      </c>
      <c r="P93" s="133">
        <v>101.504</v>
      </c>
      <c r="Q93" s="134"/>
      <c r="R93" s="135"/>
    </row>
    <row r="94" spans="1:18" x14ac:dyDescent="0.25">
      <c r="A94" s="127">
        <v>44449</v>
      </c>
      <c r="B94" s="128" t="s">
        <v>25</v>
      </c>
      <c r="C94" s="129" t="str">
        <f t="shared" si="3"/>
        <v>10.09.2021_BOYohB224</v>
      </c>
      <c r="D94" s="143">
        <f t="shared" si="4"/>
        <v>0</v>
      </c>
      <c r="E94" s="130">
        <v>6.67025530687917E-6</v>
      </c>
      <c r="F94" s="131">
        <v>1.09593153370681E-4</v>
      </c>
      <c r="G94" s="131">
        <v>2.01387222339309E-2</v>
      </c>
      <c r="H94" s="131">
        <v>2.3846019362801899E-4</v>
      </c>
      <c r="I94" s="131">
        <v>1.1304856025511899E-5</v>
      </c>
      <c r="J94" s="131">
        <v>6.5806180345454198E-4</v>
      </c>
      <c r="K94" s="132">
        <v>412</v>
      </c>
      <c r="L94" s="133">
        <v>43</v>
      </c>
      <c r="M94" s="133">
        <v>87</v>
      </c>
      <c r="N94" s="133">
        <v>24</v>
      </c>
      <c r="O94" s="131">
        <v>1.6060808483929498E-5</v>
      </c>
      <c r="P94" s="133">
        <v>197.88399999999999</v>
      </c>
      <c r="Q94" s="134"/>
      <c r="R94" s="135"/>
    </row>
    <row r="95" spans="1:18" x14ac:dyDescent="0.25">
      <c r="A95" s="127">
        <v>44449</v>
      </c>
      <c r="B95" s="128" t="s">
        <v>28</v>
      </c>
      <c r="C95" s="129" t="str">
        <f t="shared" si="3"/>
        <v>10.09.2021_BOYohBr</v>
      </c>
      <c r="D95" s="143">
        <f t="shared" si="4"/>
        <v>0</v>
      </c>
      <c r="E95" s="130">
        <v>5.5945650959140196E-6</v>
      </c>
      <c r="F95" s="131">
        <v>4.0543121536999201E-4</v>
      </c>
      <c r="G95" s="131">
        <v>9.1312504730750796E-2</v>
      </c>
      <c r="H95" s="131">
        <v>3.6175523902182102E-3</v>
      </c>
      <c r="I95" s="131">
        <v>1.8999607594604901E-5</v>
      </c>
      <c r="J95" s="131">
        <v>3.65280820858754E-3</v>
      </c>
      <c r="K95" s="132">
        <v>179</v>
      </c>
      <c r="L95" s="133">
        <v>11</v>
      </c>
      <c r="M95" s="133">
        <v>18</v>
      </c>
      <c r="N95" s="133">
        <v>7.3</v>
      </c>
      <c r="O95" s="131">
        <v>6.3071476881492404E-5</v>
      </c>
      <c r="P95" s="133">
        <v>113.94799999999999</v>
      </c>
      <c r="Q95" s="134"/>
      <c r="R95" s="135"/>
    </row>
    <row r="96" spans="1:18" x14ac:dyDescent="0.25">
      <c r="A96" s="127">
        <v>44449</v>
      </c>
      <c r="B96" s="128" t="s">
        <v>30</v>
      </c>
      <c r="C96" s="129" t="str">
        <f t="shared" si="3"/>
        <v>10.09.2021_BOYohKi</v>
      </c>
      <c r="D96" s="143">
        <f t="shared" si="4"/>
        <v>0</v>
      </c>
      <c r="E96" s="130">
        <v>6.77761518535528E-6</v>
      </c>
      <c r="F96" s="131">
        <v>1.1306829621952E-4</v>
      </c>
      <c r="G96" s="131">
        <v>2.23629395500008E-2</v>
      </c>
      <c r="H96" s="131">
        <v>2.05100069639582E-4</v>
      </c>
      <c r="I96" s="131">
        <v>9.8084057017381598E-6</v>
      </c>
      <c r="J96" s="131">
        <v>2.9975781415389501E-4</v>
      </c>
      <c r="K96" s="132">
        <v>284</v>
      </c>
      <c r="L96" s="133">
        <v>15</v>
      </c>
      <c r="M96" s="133">
        <v>36</v>
      </c>
      <c r="N96" s="133">
        <v>11</v>
      </c>
      <c r="O96" s="131">
        <v>1.5579377310851499E-5</v>
      </c>
      <c r="P96" s="133">
        <v>216.672</v>
      </c>
      <c r="Q96" s="134"/>
      <c r="R96" s="135"/>
    </row>
    <row r="97" spans="1:18" x14ac:dyDescent="0.25">
      <c r="A97" s="127">
        <v>44449</v>
      </c>
      <c r="B97" s="128" t="s">
        <v>32</v>
      </c>
      <c r="C97" s="129" t="str">
        <f t="shared" si="3"/>
        <v>10.09.2021_BOYohSp</v>
      </c>
      <c r="D97" s="143">
        <f t="shared" si="4"/>
        <v>0</v>
      </c>
      <c r="E97" s="130">
        <v>3.55054455245983E-6</v>
      </c>
      <c r="F97" s="131">
        <v>1.61268798893137E-5</v>
      </c>
      <c r="G97" s="131">
        <v>9.3924463271744807E-3</v>
      </c>
      <c r="H97" s="131">
        <v>1.9845921075937E-4</v>
      </c>
      <c r="I97" s="131">
        <v>1.0614201744283401E-5</v>
      </c>
      <c r="J97" s="131">
        <v>6.2155166800968796E-4</v>
      </c>
      <c r="K97" s="132">
        <v>246</v>
      </c>
      <c r="L97" s="133">
        <v>11</v>
      </c>
      <c r="M97" s="133">
        <v>26</v>
      </c>
      <c r="N97" s="133">
        <v>9.1999999999999993</v>
      </c>
      <c r="O97" s="131">
        <v>2.1760489362710299E-6</v>
      </c>
      <c r="P97" s="133">
        <v>156.16</v>
      </c>
      <c r="Q97" s="134"/>
      <c r="R97" s="135"/>
    </row>
    <row r="98" spans="1:18" x14ac:dyDescent="0.25">
      <c r="A98" s="127">
        <v>44449</v>
      </c>
      <c r="B98" s="128" t="s">
        <v>36</v>
      </c>
      <c r="C98" s="129" t="str">
        <f t="shared" si="3"/>
        <v>10.09.2021_BOYuhSp</v>
      </c>
      <c r="D98" s="143">
        <f t="shared" si="4"/>
        <v>0</v>
      </c>
      <c r="E98" s="130">
        <v>1.1188433049760001E-5</v>
      </c>
      <c r="F98" s="131">
        <v>1.37203824384383E-3</v>
      </c>
      <c r="G98" s="131">
        <v>0.28019834261887899</v>
      </c>
      <c r="H98" s="131">
        <v>7.0054791275230297E-3</v>
      </c>
      <c r="I98" s="131">
        <v>2.10288584586409E-5</v>
      </c>
      <c r="J98" s="131">
        <v>5.2684141417238201E-3</v>
      </c>
      <c r="K98" s="132">
        <v>283</v>
      </c>
      <c r="L98" s="133">
        <v>17</v>
      </c>
      <c r="M98" s="133">
        <v>43</v>
      </c>
      <c r="N98" s="133">
        <v>15</v>
      </c>
      <c r="O98" s="131">
        <v>2.4862076626509002E-4</v>
      </c>
      <c r="P98" s="133">
        <v>147.864</v>
      </c>
      <c r="Q98" s="134"/>
      <c r="R98" s="135"/>
    </row>
    <row r="99" spans="1:18" x14ac:dyDescent="0.25">
      <c r="A99" s="127">
        <v>44449</v>
      </c>
      <c r="B99" s="128" t="s">
        <v>38</v>
      </c>
      <c r="C99" s="129" t="str">
        <f t="shared" si="3"/>
        <v>10.09.2021_BRAob</v>
      </c>
      <c r="D99" s="143">
        <f t="shared" si="4"/>
        <v>0</v>
      </c>
      <c r="E99" s="130">
        <v>7.1003919628516299E-6</v>
      </c>
      <c r="F99" s="131">
        <v>8.0917249169387099E-4</v>
      </c>
      <c r="G99" s="131">
        <v>0.34640602800478199</v>
      </c>
      <c r="H99" s="131">
        <v>6.6150195013598596E-3</v>
      </c>
      <c r="I99" s="131">
        <v>2.60213706828758E-5</v>
      </c>
      <c r="J99" s="131">
        <v>3.8670130474762602E-3</v>
      </c>
      <c r="K99" s="132">
        <v>398</v>
      </c>
      <c r="L99" s="133">
        <v>9.6999999999999993</v>
      </c>
      <c r="M99" s="133">
        <v>36</v>
      </c>
      <c r="N99" s="133">
        <v>8.8000000000000007</v>
      </c>
      <c r="O99" s="131">
        <v>2.7897825868815801E-4</v>
      </c>
      <c r="P99" s="133">
        <v>155.672</v>
      </c>
      <c r="Q99" s="134"/>
      <c r="R99" s="135"/>
    </row>
    <row r="100" spans="1:18" x14ac:dyDescent="0.25">
      <c r="A100" s="127">
        <v>44449</v>
      </c>
      <c r="B100" s="128" t="s">
        <v>41</v>
      </c>
      <c r="C100" s="129" t="str">
        <f t="shared" si="3"/>
        <v>10.09.2021_BRAohBo</v>
      </c>
      <c r="D100" s="143">
        <f t="shared" si="4"/>
        <v>0</v>
      </c>
      <c r="E100" s="130">
        <v>1.47389776022198E-5</v>
      </c>
      <c r="F100" s="131">
        <v>1.8735540700966699E-3</v>
      </c>
      <c r="G100" s="131">
        <v>0.31141992420799303</v>
      </c>
      <c r="H100" s="131">
        <v>5.6542214866841098E-3</v>
      </c>
      <c r="I100" s="131">
        <v>2.5482014167795901E-5</v>
      </c>
      <c r="J100" s="131">
        <v>3.5148785903311398E-3</v>
      </c>
      <c r="K100" s="132">
        <v>333</v>
      </c>
      <c r="L100" s="133">
        <v>11</v>
      </c>
      <c r="M100" s="133">
        <v>40</v>
      </c>
      <c r="N100" s="133">
        <v>15</v>
      </c>
      <c r="O100" s="131">
        <v>2.3521469255981801E-4</v>
      </c>
      <c r="P100" s="133">
        <v>152.744</v>
      </c>
      <c r="Q100" s="134"/>
      <c r="R100" s="135"/>
    </row>
    <row r="101" spans="1:18" x14ac:dyDescent="0.25">
      <c r="A101" s="127">
        <v>44449</v>
      </c>
      <c r="B101" s="128" t="s">
        <v>43</v>
      </c>
      <c r="C101" s="129" t="str">
        <f t="shared" si="3"/>
        <v>10.09.2021_HAAob</v>
      </c>
      <c r="D101" s="143">
        <f t="shared" si="4"/>
        <v>0</v>
      </c>
      <c r="E101" s="130">
        <v>5.1637312978735397E-6</v>
      </c>
      <c r="F101" s="131">
        <v>1.27859160067595E-4</v>
      </c>
      <c r="G101" s="131">
        <v>2.3072452242594001E-2</v>
      </c>
      <c r="H101" s="131">
        <v>2.3765061432390501E-4</v>
      </c>
      <c r="I101" s="131">
        <v>1.00749630012062E-5</v>
      </c>
      <c r="J101" s="131">
        <v>4.89843485431232E-4</v>
      </c>
      <c r="K101" s="132">
        <v>130</v>
      </c>
      <c r="L101" s="133">
        <v>14.2</v>
      </c>
      <c r="M101" s="133">
        <v>28</v>
      </c>
      <c r="N101" s="133">
        <v>7</v>
      </c>
      <c r="O101" s="131">
        <v>1.6291915413048298E-5</v>
      </c>
      <c r="P101" s="133">
        <v>161.52799999999999</v>
      </c>
      <c r="Q101" s="134"/>
      <c r="R101" s="135"/>
    </row>
    <row r="102" spans="1:18" x14ac:dyDescent="0.25">
      <c r="A102" s="127">
        <v>44449</v>
      </c>
      <c r="B102" s="128" t="s">
        <v>45</v>
      </c>
      <c r="C102" s="129" t="str">
        <f t="shared" si="3"/>
        <v>10.09.2021_HAAun</v>
      </c>
      <c r="D102" s="143">
        <f t="shared" si="4"/>
        <v>0</v>
      </c>
      <c r="E102" s="130">
        <v>5.0563714193974297E-6</v>
      </c>
      <c r="F102" s="131">
        <v>1.2741343647907499E-4</v>
      </c>
      <c r="G102" s="131">
        <v>2.58153112359376E-2</v>
      </c>
      <c r="H102" s="131">
        <v>3.1668087502476799E-4</v>
      </c>
      <c r="I102" s="131">
        <v>1.12866798797603E-5</v>
      </c>
      <c r="J102" s="131">
        <v>6.4897170001815101E-4</v>
      </c>
      <c r="K102" s="132">
        <v>174</v>
      </c>
      <c r="L102" s="133">
        <v>24</v>
      </c>
      <c r="M102" s="133">
        <v>36</v>
      </c>
      <c r="N102" s="133">
        <v>10</v>
      </c>
      <c r="O102" s="131">
        <v>1.8467964349319299E-5</v>
      </c>
      <c r="P102" s="133">
        <v>226.18799999999999</v>
      </c>
      <c r="Q102" s="134"/>
      <c r="R102" s="135"/>
    </row>
    <row r="103" spans="1:18" x14ac:dyDescent="0.25">
      <c r="A103" s="127">
        <v>44449</v>
      </c>
      <c r="B103" s="128" t="s">
        <v>47</v>
      </c>
      <c r="C103" s="129" t="str">
        <f t="shared" si="3"/>
        <v>10.09.2021_KIRob</v>
      </c>
      <c r="D103" s="143">
        <f t="shared" si="4"/>
        <v>0</v>
      </c>
      <c r="E103" s="130">
        <v>1.8719658810652101E-5</v>
      </c>
      <c r="F103" s="131">
        <v>1.59030365793793E-3</v>
      </c>
      <c r="G103" s="131">
        <v>0.37268957998924301</v>
      </c>
      <c r="H103" s="131">
        <v>6.7212449107910003E-3</v>
      </c>
      <c r="I103" s="131">
        <v>4.91845326319705E-5</v>
      </c>
      <c r="J103" s="131">
        <v>6.8888490987346201E-3</v>
      </c>
      <c r="K103" s="132">
        <v>147</v>
      </c>
      <c r="L103" s="133">
        <v>9</v>
      </c>
      <c r="M103" s="133">
        <v>62</v>
      </c>
      <c r="N103" s="133">
        <v>7.9</v>
      </c>
      <c r="O103" s="131">
        <v>5.4293756188980298E-4</v>
      </c>
      <c r="P103" s="133">
        <v>200.81200000000001</v>
      </c>
      <c r="Q103" s="134"/>
      <c r="R103" s="135"/>
    </row>
    <row r="104" spans="1:18" x14ac:dyDescent="0.25">
      <c r="A104" s="127">
        <v>44449</v>
      </c>
      <c r="B104" s="128" t="s">
        <v>49</v>
      </c>
      <c r="C104" s="129" t="str">
        <f t="shared" si="3"/>
        <v>10.09.2021_KIRun</v>
      </c>
      <c r="D104" s="143">
        <f t="shared" si="4"/>
        <v>0</v>
      </c>
      <c r="E104" s="130">
        <v>2.05482624550861E-5</v>
      </c>
      <c r="F104" s="131">
        <v>1.23122654104973E-3</v>
      </c>
      <c r="G104" s="131">
        <v>0.25149041488322299</v>
      </c>
      <c r="H104" s="131">
        <v>4.4339929182851904E-3</v>
      </c>
      <c r="I104" s="131">
        <v>5.4128679820425601E-5</v>
      </c>
      <c r="J104" s="131">
        <v>7.90135107350339E-3</v>
      </c>
      <c r="K104" s="132">
        <v>91</v>
      </c>
      <c r="L104" s="133">
        <v>3.9</v>
      </c>
      <c r="M104" s="133">
        <v>21</v>
      </c>
      <c r="N104" s="133">
        <v>2.7</v>
      </c>
      <c r="O104" s="131">
        <v>2.0037145457463699E-4</v>
      </c>
      <c r="P104" s="133">
        <v>170.31200000000001</v>
      </c>
      <c r="Q104" s="134"/>
      <c r="R104" s="135"/>
    </row>
    <row r="105" spans="1:18" x14ac:dyDescent="0.25">
      <c r="A105" s="127">
        <v>44449</v>
      </c>
      <c r="B105" s="128" t="s">
        <v>50</v>
      </c>
      <c r="C105" s="129" t="str">
        <f t="shared" si="3"/>
        <v>10.09.2021_LIEohBo</v>
      </c>
      <c r="D105" s="143">
        <f t="shared" si="4"/>
        <v>0</v>
      </c>
      <c r="E105" s="130">
        <v>5.5945650959140196E-6</v>
      </c>
      <c r="F105" s="131">
        <v>1.17968368882437E-4</v>
      </c>
      <c r="G105" s="131">
        <v>2.1749054783985901E-2</v>
      </c>
      <c r="H105" s="131">
        <v>2.48095918786831E-4</v>
      </c>
      <c r="I105" s="131">
        <v>1.0099224033764601E-5</v>
      </c>
      <c r="J105" s="131">
        <v>5.8134640102629101E-4</v>
      </c>
      <c r="K105" s="132">
        <v>169</v>
      </c>
      <c r="L105" s="133">
        <v>13</v>
      </c>
      <c r="M105" s="133">
        <v>33</v>
      </c>
      <c r="N105" s="133">
        <v>14</v>
      </c>
      <c r="O105" s="131">
        <v>1.6445903507288401E-5</v>
      </c>
      <c r="P105" s="133">
        <v>115.9</v>
      </c>
      <c r="Q105" s="134"/>
      <c r="R105" s="135"/>
    </row>
    <row r="106" spans="1:18" x14ac:dyDescent="0.25">
      <c r="A106" s="127">
        <v>44449</v>
      </c>
      <c r="B106" s="128" t="s">
        <v>53</v>
      </c>
      <c r="C106" s="129" t="str">
        <f t="shared" si="3"/>
        <v>10.09.2021_NATohBo</v>
      </c>
      <c r="D106" s="143">
        <f t="shared" si="4"/>
        <v>0</v>
      </c>
      <c r="E106" s="130">
        <v>4.0880410869083901E-6</v>
      </c>
      <c r="F106" s="131">
        <v>1.21176193050596E-4</v>
      </c>
      <c r="G106" s="131">
        <v>2.1719366682830799E-2</v>
      </c>
      <c r="H106" s="131">
        <v>2.61294212626741E-4</v>
      </c>
      <c r="I106" s="131">
        <v>1.12260665556986E-5</v>
      </c>
      <c r="J106" s="131">
        <v>8.4492546376310003E-4</v>
      </c>
      <c r="K106" s="132">
        <v>325</v>
      </c>
      <c r="L106" s="133">
        <v>28</v>
      </c>
      <c r="M106" s="133">
        <v>116</v>
      </c>
      <c r="N106" s="133">
        <v>27</v>
      </c>
      <c r="O106" s="131">
        <v>1.4404625350417099E-5</v>
      </c>
      <c r="P106" s="133">
        <v>163.47999999999999</v>
      </c>
      <c r="Q106" s="134"/>
      <c r="R106" s="135"/>
    </row>
    <row r="107" spans="1:18" x14ac:dyDescent="0.25">
      <c r="A107" s="127">
        <v>44449</v>
      </c>
      <c r="B107" s="128" t="s">
        <v>55</v>
      </c>
      <c r="C107" s="129" t="str">
        <f t="shared" si="3"/>
        <v>10.09.2021_QUAohBo</v>
      </c>
      <c r="D107" s="143">
        <f t="shared" si="4"/>
        <v>0</v>
      </c>
      <c r="E107" s="130">
        <v>3.7652643094120398E-6</v>
      </c>
      <c r="F107" s="131">
        <v>6.7983239768255193E-5</v>
      </c>
      <c r="G107" s="131">
        <v>1.5840258906964E-2</v>
      </c>
      <c r="H107" s="131">
        <v>1.9449368880182499E-4</v>
      </c>
      <c r="I107" s="131">
        <v>1.11654924889712E-5</v>
      </c>
      <c r="J107" s="131">
        <v>3.9387686690792802E-4</v>
      </c>
      <c r="K107" s="132">
        <v>353</v>
      </c>
      <c r="L107" s="133">
        <v>13</v>
      </c>
      <c r="M107" s="133">
        <v>65</v>
      </c>
      <c r="N107" s="133">
        <v>13</v>
      </c>
      <c r="O107" s="131">
        <v>8.7236626354418506E-6</v>
      </c>
      <c r="P107" s="133">
        <v>237.9</v>
      </c>
      <c r="Q107" s="134"/>
      <c r="R107" s="135"/>
    </row>
    <row r="108" spans="1:18" x14ac:dyDescent="0.25">
      <c r="A108" s="127">
        <v>44449</v>
      </c>
      <c r="B108" s="128" t="s">
        <v>57</v>
      </c>
      <c r="C108" s="129" t="str">
        <f t="shared" si="3"/>
        <v>10.09.2021_SCHohVo</v>
      </c>
      <c r="D108" s="143">
        <f t="shared" si="4"/>
        <v>0</v>
      </c>
      <c r="E108" s="130">
        <v>1.3555230370710601E-5</v>
      </c>
      <c r="F108" s="131">
        <v>1.02696793298867E-3</v>
      </c>
      <c r="G108" s="131">
        <v>0.27203023221502998</v>
      </c>
      <c r="H108" s="131">
        <v>8.0099398580314E-3</v>
      </c>
      <c r="I108" s="131">
        <v>2.9432204910708598E-5</v>
      </c>
      <c r="J108" s="131">
        <v>1.7874061930934701E-2</v>
      </c>
      <c r="K108" s="132">
        <v>97</v>
      </c>
      <c r="L108" s="133">
        <v>3</v>
      </c>
      <c r="M108" s="133">
        <v>9.9</v>
      </c>
      <c r="N108" s="133">
        <v>2.2999999999999998</v>
      </c>
      <c r="O108" s="131">
        <v>7.5269293113118096E-4</v>
      </c>
      <c r="P108" s="133">
        <v>188.36799999999999</v>
      </c>
      <c r="Q108" s="134"/>
      <c r="R108" s="135"/>
    </row>
    <row r="109" spans="1:18" x14ac:dyDescent="0.25">
      <c r="A109" s="127">
        <v>44449</v>
      </c>
      <c r="B109" s="128" t="s">
        <v>60</v>
      </c>
      <c r="C109" s="129" t="str">
        <f t="shared" si="3"/>
        <v>10.09.2021_VORohBo</v>
      </c>
      <c r="D109" s="143">
        <f t="shared" si="4"/>
        <v>0</v>
      </c>
      <c r="E109" s="130">
        <v>7.9613624168645603E-6</v>
      </c>
      <c r="F109" s="131">
        <v>7.6229818990475101E-4</v>
      </c>
      <c r="G109" s="131">
        <v>0.35811575398902301</v>
      </c>
      <c r="H109" s="131">
        <v>6.48897067957095E-3</v>
      </c>
      <c r="I109" s="131">
        <v>2.1568057944383799E-5</v>
      </c>
      <c r="J109" s="131">
        <v>4.6216732950251299E-3</v>
      </c>
      <c r="K109" s="132">
        <v>367</v>
      </c>
      <c r="L109" s="133">
        <v>15</v>
      </c>
      <c r="M109" s="133">
        <v>31</v>
      </c>
      <c r="N109" s="133">
        <v>9.3000000000000007</v>
      </c>
      <c r="O109" s="131">
        <v>3.8656140431141801E-4</v>
      </c>
      <c r="P109" s="133">
        <v>250.34399999999999</v>
      </c>
      <c r="Q109" s="134"/>
      <c r="R109" s="135"/>
    </row>
    <row r="110" spans="1:18" x14ac:dyDescent="0.25">
      <c r="A110" s="127">
        <v>44449</v>
      </c>
      <c r="B110" s="128" t="s">
        <v>62</v>
      </c>
      <c r="C110" s="129" t="str">
        <f t="shared" si="3"/>
        <v>10.09.2021_VORuhSc</v>
      </c>
      <c r="D110" s="143">
        <f t="shared" si="4"/>
        <v>0</v>
      </c>
      <c r="E110" s="130">
        <v>7.7459455178443204E-6</v>
      </c>
      <c r="F110" s="131">
        <v>8.7137229469242598E-4</v>
      </c>
      <c r="G110" s="131">
        <v>0.38594329248039799</v>
      </c>
      <c r="H110" s="131">
        <v>6.0540272153386497E-3</v>
      </c>
      <c r="I110" s="131">
        <v>2.8559710657295102E-5</v>
      </c>
      <c r="J110" s="131">
        <v>5.1751554896683804E-3</v>
      </c>
      <c r="K110" s="132">
        <v>412</v>
      </c>
      <c r="L110" s="133">
        <v>20</v>
      </c>
      <c r="M110" s="133">
        <v>39</v>
      </c>
      <c r="N110" s="133">
        <v>11</v>
      </c>
      <c r="O110" s="131">
        <v>4.9708392559093804E-4</v>
      </c>
      <c r="P110" s="133">
        <v>303.536</v>
      </c>
      <c r="Q110" s="134"/>
      <c r="R110" s="135"/>
    </row>
    <row r="111" spans="1:18" x14ac:dyDescent="0.25">
      <c r="A111" s="127">
        <v>44449</v>
      </c>
      <c r="B111" s="128" t="s">
        <v>64</v>
      </c>
      <c r="C111" s="129" t="str">
        <f t="shared" si="3"/>
        <v>10.09.2021_WITob</v>
      </c>
      <c r="D111" s="143">
        <f t="shared" si="4"/>
        <v>0</v>
      </c>
      <c r="E111" s="130">
        <v>3.55054455245983E-6</v>
      </c>
      <c r="F111" s="131">
        <v>1.1110757431975901E-4</v>
      </c>
      <c r="G111" s="131">
        <v>1.8789912650136999E-2</v>
      </c>
      <c r="H111" s="131">
        <v>1.9497744260506099E-4</v>
      </c>
      <c r="I111" s="131">
        <v>9.5660701774942E-6</v>
      </c>
      <c r="J111" s="131">
        <v>4.6227073728949099E-4</v>
      </c>
      <c r="K111" s="132">
        <v>511</v>
      </c>
      <c r="L111" s="133">
        <v>36</v>
      </c>
      <c r="M111" s="133">
        <v>114</v>
      </c>
      <c r="N111" s="133">
        <v>23</v>
      </c>
      <c r="O111" s="131">
        <v>1.3056543193143601E-5</v>
      </c>
      <c r="P111" s="133">
        <v>211.548</v>
      </c>
      <c r="Q111" s="134"/>
      <c r="R111" s="135"/>
    </row>
    <row r="112" spans="1:18" x14ac:dyDescent="0.25">
      <c r="A112" s="127">
        <v>44477</v>
      </c>
      <c r="B112" s="128" t="s">
        <v>22</v>
      </c>
      <c r="C112" s="129" t="str">
        <f t="shared" si="3"/>
        <v>08.10.2021_BOYkl</v>
      </c>
      <c r="D112" s="143">
        <f t="shared" si="4"/>
        <v>0</v>
      </c>
      <c r="E112" s="130">
        <v>5.0642070268526302E-5</v>
      </c>
      <c r="F112" s="131">
        <v>2.0848280322553802E-3</v>
      </c>
      <c r="G112" s="131">
        <v>0.20428228329248699</v>
      </c>
      <c r="H112" s="131">
        <v>8.1996024560367399E-3</v>
      </c>
      <c r="I112" s="131">
        <v>8.3007930142496797E-5</v>
      </c>
      <c r="J112" s="131">
        <v>7.0058717106728802E-3</v>
      </c>
      <c r="K112" s="132">
        <v>56</v>
      </c>
      <c r="L112" s="133">
        <v>4.0999999999999996</v>
      </c>
      <c r="M112" s="133">
        <v>14</v>
      </c>
      <c r="N112" s="133">
        <v>8.6</v>
      </c>
      <c r="O112" s="131">
        <v>5.9138982451069203E-4</v>
      </c>
      <c r="P112" s="133">
        <v>111.996</v>
      </c>
      <c r="Q112" s="134"/>
      <c r="R112" s="135"/>
    </row>
    <row r="113" spans="1:18" x14ac:dyDescent="0.25">
      <c r="A113" s="127">
        <v>44477</v>
      </c>
      <c r="B113" s="128" t="s">
        <v>25</v>
      </c>
      <c r="C113" s="129" t="str">
        <f t="shared" si="3"/>
        <v>08.10.2021_BOYohB224</v>
      </c>
      <c r="D113" s="143">
        <f t="shared" si="4"/>
        <v>0</v>
      </c>
      <c r="E113" s="130">
        <v>1.02984944144649E-5</v>
      </c>
      <c r="F113" s="131">
        <v>4.2484482096983196E-3</v>
      </c>
      <c r="G113" s="131">
        <v>0.32556802681324798</v>
      </c>
      <c r="H113" s="131">
        <v>5.5621912504694396E-3</v>
      </c>
      <c r="I113" s="131">
        <v>1.0566422116041E-4</v>
      </c>
      <c r="J113" s="131">
        <v>4.4332047936958196E-3</v>
      </c>
      <c r="K113" s="132">
        <v>221</v>
      </c>
      <c r="L113" s="133">
        <v>19</v>
      </c>
      <c r="M113" s="133">
        <v>56</v>
      </c>
      <c r="N113" s="133">
        <v>21</v>
      </c>
      <c r="O113" s="131">
        <v>2.92542744467676E-4</v>
      </c>
      <c r="P113" s="133">
        <v>195.44399999999999</v>
      </c>
      <c r="Q113" s="134"/>
      <c r="R113" s="135"/>
    </row>
    <row r="114" spans="1:18" x14ac:dyDescent="0.25">
      <c r="A114" s="127">
        <v>44477</v>
      </c>
      <c r="B114" s="128" t="s">
        <v>28</v>
      </c>
      <c r="C114" s="129" t="str">
        <f t="shared" si="3"/>
        <v>08.10.2021_BOYohBr</v>
      </c>
      <c r="D114" s="143">
        <f t="shared" si="4"/>
        <v>0</v>
      </c>
      <c r="E114" s="130">
        <v>4.44064026143247E-5</v>
      </c>
      <c r="F114" s="131">
        <v>1.5622382612190599E-2</v>
      </c>
      <c r="G114" s="131">
        <v>0.25460838829577997</v>
      </c>
      <c r="H114" s="131">
        <v>7.1405721945908803E-3</v>
      </c>
      <c r="I114" s="131">
        <v>1.3316560007781901E-4</v>
      </c>
      <c r="J114" s="131">
        <v>5.4073850772553798E-2</v>
      </c>
      <c r="K114" s="132">
        <v>171</v>
      </c>
      <c r="L114" s="133">
        <v>11</v>
      </c>
      <c r="M114" s="133">
        <v>31</v>
      </c>
      <c r="N114" s="133">
        <v>18</v>
      </c>
      <c r="O114" s="131">
        <v>2.9504495957082699E-4</v>
      </c>
      <c r="P114" s="133">
        <v>153.476</v>
      </c>
      <c r="Q114" s="134"/>
      <c r="R114" s="135"/>
    </row>
    <row r="115" spans="1:18" x14ac:dyDescent="0.25">
      <c r="A115" s="127">
        <v>44477</v>
      </c>
      <c r="B115" s="128" t="s">
        <v>30</v>
      </c>
      <c r="C115" s="129" t="str">
        <f t="shared" si="3"/>
        <v>08.10.2021_BOYohKi</v>
      </c>
      <c r="D115" s="143">
        <f t="shared" si="4"/>
        <v>0</v>
      </c>
      <c r="E115" s="130">
        <v>1.1526648495400499E-5</v>
      </c>
      <c r="F115" s="131">
        <v>2.5102166743066101E-3</v>
      </c>
      <c r="G115" s="131">
        <v>0.30050423811328902</v>
      </c>
      <c r="H115" s="131">
        <v>6.2516746026147303E-3</v>
      </c>
      <c r="I115" s="131">
        <v>1.46586778126354E-4</v>
      </c>
      <c r="J115" s="131">
        <v>5.8801794586622498E-3</v>
      </c>
      <c r="K115" s="132">
        <v>204</v>
      </c>
      <c r="L115" s="133">
        <v>13</v>
      </c>
      <c r="M115" s="133">
        <v>42</v>
      </c>
      <c r="N115" s="133">
        <v>18</v>
      </c>
      <c r="O115" s="131">
        <v>2.6755757704519301E-4</v>
      </c>
      <c r="P115" s="133">
        <v>176.9</v>
      </c>
      <c r="Q115" s="134"/>
      <c r="R115" s="135"/>
    </row>
    <row r="116" spans="1:18" x14ac:dyDescent="0.25">
      <c r="A116" s="127">
        <v>44477</v>
      </c>
      <c r="B116" s="128" t="s">
        <v>32</v>
      </c>
      <c r="C116" s="129" t="str">
        <f t="shared" si="3"/>
        <v>08.10.2021_BOYohSp</v>
      </c>
      <c r="D116" s="143">
        <f t="shared" si="4"/>
        <v>0</v>
      </c>
      <c r="E116" s="130">
        <v>1.18101157633332E-5</v>
      </c>
      <c r="F116" s="131">
        <v>3.1640338813733499E-3</v>
      </c>
      <c r="G116" s="131">
        <v>0.268498068043382</v>
      </c>
      <c r="H116" s="131">
        <v>5.9881866409698297E-3</v>
      </c>
      <c r="I116" s="131">
        <v>9.3054364200740198E-5</v>
      </c>
      <c r="J116" s="131">
        <v>8.9923079772794394E-3</v>
      </c>
      <c r="K116" s="132">
        <v>183</v>
      </c>
      <c r="L116" s="133">
        <v>10</v>
      </c>
      <c r="M116" s="133">
        <v>36</v>
      </c>
      <c r="N116" s="133">
        <v>17</v>
      </c>
      <c r="O116" s="131">
        <v>2.8390889811157402E-4</v>
      </c>
      <c r="P116" s="133">
        <v>159.08799999999999</v>
      </c>
      <c r="Q116" s="134"/>
      <c r="R116" s="135"/>
    </row>
    <row r="117" spans="1:18" x14ac:dyDescent="0.25">
      <c r="A117" s="127">
        <v>44477</v>
      </c>
      <c r="B117" s="128" t="s">
        <v>36</v>
      </c>
      <c r="C117" s="129" t="str">
        <f t="shared" si="3"/>
        <v>08.10.2021_BOYuhSp</v>
      </c>
      <c r="D117" s="143">
        <f t="shared" si="4"/>
        <v>0</v>
      </c>
      <c r="E117" s="130">
        <v>1.33217371122015E-5</v>
      </c>
      <c r="F117" s="131">
        <v>3.6129552597263998E-3</v>
      </c>
      <c r="G117" s="131">
        <v>0.29702921419315798</v>
      </c>
      <c r="H117" s="131">
        <v>1.2022141347403001E-2</v>
      </c>
      <c r="I117" s="131">
        <v>2.9234428179939002E-4</v>
      </c>
      <c r="J117" s="131">
        <v>9.1416794136898894E-3</v>
      </c>
      <c r="K117" s="132">
        <v>204</v>
      </c>
      <c r="L117" s="133">
        <v>11</v>
      </c>
      <c r="M117" s="133">
        <v>39</v>
      </c>
      <c r="N117" s="133">
        <v>17</v>
      </c>
      <c r="O117" s="131">
        <v>3.5012736518786502E-4</v>
      </c>
      <c r="P117" s="133">
        <v>178.364</v>
      </c>
      <c r="Q117" s="134"/>
      <c r="R117" s="135"/>
    </row>
    <row r="118" spans="1:18" x14ac:dyDescent="0.25">
      <c r="A118" s="127">
        <v>44477</v>
      </c>
      <c r="B118" s="128" t="s">
        <v>38</v>
      </c>
      <c r="C118" s="129" t="str">
        <f t="shared" si="3"/>
        <v>08.10.2021_BRAob</v>
      </c>
      <c r="D118" s="143">
        <f t="shared" si="4"/>
        <v>0</v>
      </c>
      <c r="E118" s="130">
        <v>9.4480926106665907E-6</v>
      </c>
      <c r="F118" s="131">
        <v>1.2880877319744E-3</v>
      </c>
      <c r="G118" s="131">
        <v>0.37602502029645601</v>
      </c>
      <c r="H118" s="131">
        <v>6.5111340916977701E-3</v>
      </c>
      <c r="I118" s="131">
        <v>8.7945960289263702E-5</v>
      </c>
      <c r="J118" s="131">
        <v>9.7116929941662208E-3</v>
      </c>
      <c r="K118" s="132">
        <v>110</v>
      </c>
      <c r="L118" s="133">
        <v>3.1</v>
      </c>
      <c r="M118" s="133">
        <v>18</v>
      </c>
      <c r="N118" s="133">
        <v>4.5</v>
      </c>
      <c r="O118" s="131">
        <v>4.8522038452064999E-4</v>
      </c>
      <c r="P118" s="133">
        <v>174.46</v>
      </c>
      <c r="Q118" s="134"/>
      <c r="R118" s="135"/>
    </row>
    <row r="119" spans="1:18" x14ac:dyDescent="0.25">
      <c r="A119" s="127">
        <v>44477</v>
      </c>
      <c r="B119" s="128" t="s">
        <v>41</v>
      </c>
      <c r="C119" s="129" t="str">
        <f t="shared" si="3"/>
        <v>08.10.2021_BRAohBo</v>
      </c>
      <c r="D119" s="143">
        <f t="shared" si="4"/>
        <v>0</v>
      </c>
      <c r="E119" s="130">
        <v>1.9746587025131501E-5</v>
      </c>
      <c r="F119" s="131">
        <v>1.83566460899461E-3</v>
      </c>
      <c r="G119" s="131">
        <v>0.36025710609346401</v>
      </c>
      <c r="H119" s="131">
        <v>6.5808398259255404E-3</v>
      </c>
      <c r="I119" s="131">
        <v>1.14693175767904E-4</v>
      </c>
      <c r="J119" s="131">
        <v>5.9416091021331999E-3</v>
      </c>
      <c r="K119" s="132">
        <v>96</v>
      </c>
      <c r="L119" s="133">
        <v>4</v>
      </c>
      <c r="M119" s="133">
        <v>17</v>
      </c>
      <c r="N119" s="133">
        <v>6</v>
      </c>
      <c r="O119" s="131">
        <v>3.2138744827388803E-4</v>
      </c>
      <c r="P119" s="133">
        <v>187.392</v>
      </c>
      <c r="Q119" s="134"/>
      <c r="R119" s="135"/>
    </row>
    <row r="120" spans="1:18" x14ac:dyDescent="0.25">
      <c r="A120" s="127">
        <v>44477</v>
      </c>
      <c r="B120" s="128" t="s">
        <v>43</v>
      </c>
      <c r="C120" s="129" t="str">
        <f t="shared" si="3"/>
        <v>08.10.2021_HAAob</v>
      </c>
      <c r="D120" s="143">
        <f t="shared" si="4"/>
        <v>0</v>
      </c>
      <c r="E120" s="130">
        <v>8.8811580748010297E-6</v>
      </c>
      <c r="F120" s="131">
        <v>1.3146032908145E-3</v>
      </c>
      <c r="G120" s="131">
        <v>0.30324993583262799</v>
      </c>
      <c r="H120" s="131">
        <v>5.7563382335683996E-3</v>
      </c>
      <c r="I120" s="131">
        <v>6.1086627881588604E-5</v>
      </c>
      <c r="J120" s="131">
        <v>7.1327215954082399E-3</v>
      </c>
      <c r="K120" s="132">
        <v>198</v>
      </c>
      <c r="L120" s="133">
        <v>22</v>
      </c>
      <c r="M120" s="133">
        <v>46</v>
      </c>
      <c r="N120" s="133">
        <v>16</v>
      </c>
      <c r="O120" s="131">
        <v>2.4429968114047298E-4</v>
      </c>
      <c r="P120" s="133">
        <v>182.268</v>
      </c>
      <c r="Q120" s="134"/>
      <c r="R120" s="135"/>
    </row>
    <row r="121" spans="1:18" x14ac:dyDescent="0.25">
      <c r="A121" s="127">
        <v>44477</v>
      </c>
      <c r="B121" s="128" t="s">
        <v>45</v>
      </c>
      <c r="C121" s="129" t="str">
        <f t="shared" si="3"/>
        <v>08.10.2021_HAAun</v>
      </c>
      <c r="D121" s="143">
        <f t="shared" si="4"/>
        <v>0</v>
      </c>
      <c r="E121" s="130">
        <v>1.9274549738789899E-5</v>
      </c>
      <c r="F121" s="131">
        <v>2.3533658389700601E-3</v>
      </c>
      <c r="G121" s="131">
        <v>0.40613798618060598</v>
      </c>
      <c r="H121" s="131">
        <v>6.9323174774944697E-3</v>
      </c>
      <c r="I121" s="131">
        <v>5.7882257656006799E-5</v>
      </c>
      <c r="J121" s="131">
        <v>1.0792602502113301E-2</v>
      </c>
      <c r="K121" s="132">
        <v>283</v>
      </c>
      <c r="L121" s="133">
        <v>36</v>
      </c>
      <c r="M121" s="133">
        <v>66</v>
      </c>
      <c r="N121" s="133">
        <v>22</v>
      </c>
      <c r="O121" s="131">
        <v>3.74920765748741E-4</v>
      </c>
      <c r="P121" s="133">
        <v>251.07599999999999</v>
      </c>
      <c r="Q121" s="134"/>
      <c r="R121" s="135"/>
    </row>
    <row r="122" spans="1:18" x14ac:dyDescent="0.25">
      <c r="A122" s="127">
        <v>44477</v>
      </c>
      <c r="B122" s="128" t="s">
        <v>47</v>
      </c>
      <c r="C122" s="129" t="str">
        <f t="shared" si="3"/>
        <v>08.10.2021_KIRob</v>
      </c>
      <c r="D122" s="143">
        <f t="shared" si="4"/>
        <v>0</v>
      </c>
      <c r="E122" s="130">
        <v>2.22977924365265E-5</v>
      </c>
      <c r="F122" s="131">
        <v>1.87267616235204E-3</v>
      </c>
      <c r="G122" s="131">
        <v>0.34636656713879699</v>
      </c>
      <c r="H122" s="131">
        <v>7.5883979817901199E-3</v>
      </c>
      <c r="I122" s="131">
        <v>9.7295632822296703E-5</v>
      </c>
      <c r="J122" s="131">
        <v>7.5992314716921798E-3</v>
      </c>
      <c r="K122" s="132">
        <v>250</v>
      </c>
      <c r="L122" s="133">
        <v>19</v>
      </c>
      <c r="M122" s="133">
        <v>130</v>
      </c>
      <c r="N122" s="133">
        <v>22</v>
      </c>
      <c r="O122" s="131">
        <v>5.9563746049529304E-4</v>
      </c>
      <c r="P122" s="133">
        <v>171.28800000000001</v>
      </c>
      <c r="Q122" s="134"/>
      <c r="R122" s="135"/>
    </row>
    <row r="123" spans="1:18" x14ac:dyDescent="0.25">
      <c r="A123" s="127">
        <v>44477</v>
      </c>
      <c r="B123" s="128" t="s">
        <v>49</v>
      </c>
      <c r="C123" s="129" t="str">
        <f t="shared" si="3"/>
        <v>08.10.2021_KIRun</v>
      </c>
      <c r="D123" s="143">
        <f t="shared" si="4"/>
        <v>0</v>
      </c>
      <c r="E123" s="130">
        <v>1.83292506854676E-5</v>
      </c>
      <c r="F123" s="131">
        <v>2.1996927818932399E-3</v>
      </c>
      <c r="G123" s="131">
        <v>0.37992716385964598</v>
      </c>
      <c r="H123" s="131">
        <v>6.7134857690574002E-3</v>
      </c>
      <c r="I123" s="131">
        <v>7.6184552464674297E-5</v>
      </c>
      <c r="J123" s="131">
        <v>1.15124145082302E-2</v>
      </c>
      <c r="K123" s="132">
        <v>259</v>
      </c>
      <c r="L123" s="133">
        <v>19</v>
      </c>
      <c r="M123" s="133">
        <v>114</v>
      </c>
      <c r="N123" s="133">
        <v>20</v>
      </c>
      <c r="O123" s="131">
        <v>3.6764298505686198E-4</v>
      </c>
      <c r="P123" s="133">
        <v>194.95599999999999</v>
      </c>
      <c r="Q123" s="134"/>
      <c r="R123" s="135"/>
    </row>
    <row r="124" spans="1:18" x14ac:dyDescent="0.25">
      <c r="A124" s="127">
        <v>44477</v>
      </c>
      <c r="B124" s="128" t="s">
        <v>50</v>
      </c>
      <c r="C124" s="129" t="str">
        <f t="shared" si="3"/>
        <v>08.10.2021_LIEohBo</v>
      </c>
      <c r="D124" s="143">
        <f t="shared" si="4"/>
        <v>0</v>
      </c>
      <c r="E124" s="130">
        <v>1.2660517567131599E-5</v>
      </c>
      <c r="F124" s="131">
        <v>5.2311915485618197E-3</v>
      </c>
      <c r="G124" s="131">
        <v>0.23504667263502699</v>
      </c>
      <c r="H124" s="131">
        <v>6.3501387829156602E-3</v>
      </c>
      <c r="I124" s="131">
        <v>1.3022515652287399E-4</v>
      </c>
      <c r="J124" s="131">
        <v>5.4302388473802402E-3</v>
      </c>
      <c r="K124" s="132">
        <v>61</v>
      </c>
      <c r="L124" s="133">
        <v>4.5999999999999996</v>
      </c>
      <c r="M124" s="133">
        <v>18</v>
      </c>
      <c r="N124" s="133">
        <v>6.9</v>
      </c>
      <c r="O124" s="131">
        <v>3.3372216676512802E-4</v>
      </c>
      <c r="P124" s="133">
        <v>160.06399999999999</v>
      </c>
      <c r="Q124" s="134"/>
      <c r="R124" s="135"/>
    </row>
    <row r="125" spans="1:18" x14ac:dyDescent="0.25">
      <c r="A125" s="127">
        <v>44477</v>
      </c>
      <c r="B125" s="128" t="s">
        <v>53</v>
      </c>
      <c r="C125" s="129" t="str">
        <f t="shared" si="3"/>
        <v>08.10.2021_NATohBo</v>
      </c>
      <c r="D125" s="143">
        <f t="shared" si="4"/>
        <v>0</v>
      </c>
      <c r="E125" s="130">
        <v>1.30382698442688E-5</v>
      </c>
      <c r="F125" s="131">
        <v>3.8224162137662902E-3</v>
      </c>
      <c r="G125" s="131">
        <v>0.49776699886332398</v>
      </c>
      <c r="H125" s="131">
        <v>7.8674831734192492E-3</v>
      </c>
      <c r="I125" s="131">
        <v>4.9408391765792998E-4</v>
      </c>
      <c r="J125" s="131">
        <v>5.9654125682596197E-3</v>
      </c>
      <c r="K125" s="132">
        <v>369</v>
      </c>
      <c r="L125" s="133">
        <v>46</v>
      </c>
      <c r="M125" s="133">
        <v>149</v>
      </c>
      <c r="N125" s="133">
        <v>41</v>
      </c>
      <c r="O125" s="131">
        <v>4.1682582015288198E-4</v>
      </c>
      <c r="P125" s="133">
        <v>307.19600000000003</v>
      </c>
      <c r="Q125" s="134"/>
      <c r="R125" s="135"/>
    </row>
    <row r="126" spans="1:18" x14ac:dyDescent="0.25">
      <c r="A126" s="127">
        <v>44477</v>
      </c>
      <c r="B126" s="128" t="s">
        <v>55</v>
      </c>
      <c r="C126" s="129" t="str">
        <f t="shared" si="3"/>
        <v>08.10.2021_QUAohBo</v>
      </c>
      <c r="D126" s="143">
        <f t="shared" si="4"/>
        <v>0</v>
      </c>
      <c r="E126" s="130">
        <v>1.2093583031265999E-5</v>
      </c>
      <c r="F126" s="131">
        <v>3.4493146962096201E-3</v>
      </c>
      <c r="G126" s="131">
        <v>0.33493519596918803</v>
      </c>
      <c r="H126" s="131">
        <v>7.12309208654278E-3</v>
      </c>
      <c r="I126" s="131">
        <v>2.7443512903272999E-4</v>
      </c>
      <c r="J126" s="131">
        <v>5.2339184776413698E-3</v>
      </c>
      <c r="K126" s="132">
        <v>234</v>
      </c>
      <c r="L126" s="133">
        <v>9.1</v>
      </c>
      <c r="M126" s="133">
        <v>54</v>
      </c>
      <c r="N126" s="133">
        <v>13</v>
      </c>
      <c r="O126" s="131">
        <v>4.3532938179998001E-4</v>
      </c>
      <c r="P126" s="133">
        <v>217.648</v>
      </c>
      <c r="Q126" s="134"/>
      <c r="R126" s="135"/>
    </row>
    <row r="127" spans="1:18" x14ac:dyDescent="0.25">
      <c r="A127" s="127">
        <v>44477</v>
      </c>
      <c r="B127" s="128" t="s">
        <v>57</v>
      </c>
      <c r="C127" s="129" t="str">
        <f t="shared" si="3"/>
        <v>08.10.2021_SCHohVo</v>
      </c>
      <c r="D127" s="143">
        <f t="shared" si="4"/>
        <v>0</v>
      </c>
      <c r="E127" s="130">
        <v>2.5793684660924301E-5</v>
      </c>
      <c r="F127" s="131">
        <v>2.5893766008281498E-3</v>
      </c>
      <c r="G127" s="131">
        <v>0.308350532654182</v>
      </c>
      <c r="H127" s="131">
        <v>1.3871466043992101E-2</v>
      </c>
      <c r="I127" s="131">
        <v>1.4232816679899901E-4</v>
      </c>
      <c r="J127" s="131">
        <v>3.2403373841527097E-2</v>
      </c>
      <c r="K127" s="132">
        <v>201</v>
      </c>
      <c r="L127" s="133">
        <v>11</v>
      </c>
      <c r="M127" s="133">
        <v>39</v>
      </c>
      <c r="N127" s="133">
        <v>10</v>
      </c>
      <c r="O127" s="131">
        <v>7.64855050410269E-4</v>
      </c>
      <c r="P127" s="133">
        <v>161.77199999999999</v>
      </c>
      <c r="Q127" s="134"/>
      <c r="R127" s="135"/>
    </row>
    <row r="128" spans="1:18" x14ac:dyDescent="0.25">
      <c r="A128" s="127">
        <v>44477</v>
      </c>
      <c r="B128" s="128" t="s">
        <v>60</v>
      </c>
      <c r="C128" s="129" t="str">
        <f t="shared" si="3"/>
        <v>08.10.2021_VORohBo</v>
      </c>
      <c r="D128" s="143">
        <f t="shared" si="4"/>
        <v>0</v>
      </c>
      <c r="E128" s="130">
        <v>9.4480926106665907E-6</v>
      </c>
      <c r="F128" s="131">
        <v>1.9368582203922E-3</v>
      </c>
      <c r="G128" s="131">
        <v>0.44833174317809799</v>
      </c>
      <c r="H128" s="131">
        <v>7.9091858290364601E-3</v>
      </c>
      <c r="I128" s="131">
        <v>7.55246747222183E-5</v>
      </c>
      <c r="J128" s="131">
        <v>9.5978516061525701E-3</v>
      </c>
      <c r="K128" s="132">
        <v>330</v>
      </c>
      <c r="L128" s="133">
        <v>25</v>
      </c>
      <c r="M128" s="133">
        <v>59</v>
      </c>
      <c r="N128" s="133">
        <v>24</v>
      </c>
      <c r="O128" s="131">
        <v>7.8634401116360305E-4</v>
      </c>
      <c r="P128" s="133">
        <v>260.59199999999998</v>
      </c>
      <c r="Q128" s="134"/>
      <c r="R128" s="135"/>
    </row>
    <row r="129" spans="1:18" x14ac:dyDescent="0.25">
      <c r="A129" s="127">
        <v>44477</v>
      </c>
      <c r="B129" s="128" t="s">
        <v>62</v>
      </c>
      <c r="C129" s="129" t="str">
        <f t="shared" si="3"/>
        <v>08.10.2021_VORuhSc</v>
      </c>
      <c r="D129" s="143">
        <f t="shared" si="4"/>
        <v>0</v>
      </c>
      <c r="E129" s="130">
        <v>1.4266423925204301E-5</v>
      </c>
      <c r="F129" s="131">
        <v>2.8326397155244202E-3</v>
      </c>
      <c r="G129" s="131">
        <v>0.46649153753648698</v>
      </c>
      <c r="H129" s="131">
        <v>8.1389112660264894E-3</v>
      </c>
      <c r="I129" s="131">
        <v>6.4516941809473498E-5</v>
      </c>
      <c r="J129" s="131">
        <v>2.50658138672821E-2</v>
      </c>
      <c r="K129" s="132">
        <v>342</v>
      </c>
      <c r="L129" s="133">
        <v>24</v>
      </c>
      <c r="M129" s="133">
        <v>56</v>
      </c>
      <c r="N129" s="133">
        <v>20</v>
      </c>
      <c r="O129" s="131">
        <v>7.9565223764969104E-4</v>
      </c>
      <c r="P129" s="133">
        <v>280.11200000000002</v>
      </c>
      <c r="Q129" s="134"/>
      <c r="R129" s="135"/>
    </row>
    <row r="130" spans="1:18" x14ac:dyDescent="0.25">
      <c r="A130" s="127">
        <v>44477</v>
      </c>
      <c r="B130" s="128" t="s">
        <v>64</v>
      </c>
      <c r="C130" s="129" t="str">
        <f t="shared" si="3"/>
        <v>08.10.2021_WITob</v>
      </c>
      <c r="D130" s="143">
        <f t="shared" si="4"/>
        <v>0</v>
      </c>
      <c r="E130" s="130">
        <v>9.5423776198710105E-6</v>
      </c>
      <c r="F130" s="131">
        <v>2.6565778380141002E-3</v>
      </c>
      <c r="G130" s="131">
        <v>0.43493802899239398</v>
      </c>
      <c r="H130" s="131">
        <v>7.0555277913685304E-3</v>
      </c>
      <c r="I130" s="131">
        <v>2.20801590033869E-4</v>
      </c>
      <c r="J130" s="131">
        <v>5.12410934490703E-3</v>
      </c>
      <c r="K130" s="132">
        <v>309</v>
      </c>
      <c r="L130" s="133">
        <v>23</v>
      </c>
      <c r="M130" s="133">
        <v>87</v>
      </c>
      <c r="N130" s="133">
        <v>20</v>
      </c>
      <c r="O130" s="131">
        <v>3.0070105466576899E-4</v>
      </c>
      <c r="P130" s="133">
        <v>226.43199999999999</v>
      </c>
      <c r="Q130" s="134"/>
      <c r="R130" s="135"/>
    </row>
    <row r="131" spans="1:18" x14ac:dyDescent="0.25">
      <c r="A131" s="127">
        <v>44505</v>
      </c>
      <c r="B131" s="128" t="s">
        <v>22</v>
      </c>
      <c r="C131" s="129" t="str">
        <f t="shared" si="3"/>
        <v>05.11.2021_BOYkl</v>
      </c>
      <c r="D131" s="143">
        <f t="shared" si="4"/>
        <v>0</v>
      </c>
      <c r="E131" s="130">
        <v>5.3287560689125703E-5</v>
      </c>
      <c r="F131" s="131">
        <v>3.4070820178686602E-3</v>
      </c>
      <c r="G131" s="131">
        <v>0.21861498191934001</v>
      </c>
      <c r="H131" s="131">
        <v>1.15935234097219E-2</v>
      </c>
      <c r="I131" s="131">
        <v>3.5340978089152002E-4</v>
      </c>
      <c r="J131" s="131">
        <v>1.7374934979930801E-2</v>
      </c>
      <c r="K131" s="132">
        <v>95</v>
      </c>
      <c r="L131" s="133">
        <v>6.3</v>
      </c>
      <c r="M131" s="133">
        <v>17</v>
      </c>
      <c r="N131" s="133">
        <v>6</v>
      </c>
      <c r="O131" s="131">
        <v>4.9019034235063801E-4</v>
      </c>
      <c r="P131" s="133">
        <v>117.608</v>
      </c>
      <c r="Q131" s="134"/>
      <c r="R131" s="135"/>
    </row>
    <row r="132" spans="1:18" x14ac:dyDescent="0.25">
      <c r="A132" s="127">
        <v>44505</v>
      </c>
      <c r="B132" s="128" t="s">
        <v>25</v>
      </c>
      <c r="C132" s="129" t="str">
        <f t="shared" si="3"/>
        <v>05.11.2021_BOYohB224</v>
      </c>
      <c r="D132" s="143">
        <f t="shared" si="4"/>
        <v>0</v>
      </c>
      <c r="E132" s="130">
        <v>8.9760553243249604E-6</v>
      </c>
      <c r="F132" s="131">
        <v>1.48565375246868E-3</v>
      </c>
      <c r="G132" s="131">
        <v>0.36029924238903699</v>
      </c>
      <c r="H132" s="131">
        <v>6.0520922981406201E-3</v>
      </c>
      <c r="I132" s="131">
        <v>1.6174271528165301E-4</v>
      </c>
      <c r="J132" s="131">
        <v>5.1926747263540702E-3</v>
      </c>
      <c r="K132" s="132">
        <v>468</v>
      </c>
      <c r="L132" s="133">
        <v>49</v>
      </c>
      <c r="M132" s="133">
        <v>126</v>
      </c>
      <c r="N132" s="133">
        <v>29</v>
      </c>
      <c r="O132" s="131">
        <v>3.2857687923309802E-4</v>
      </c>
      <c r="P132" s="133">
        <v>202.03200000000001</v>
      </c>
      <c r="Q132" s="134"/>
      <c r="R132" s="135"/>
    </row>
    <row r="133" spans="1:18" x14ac:dyDescent="0.25">
      <c r="A133" s="127">
        <v>44505</v>
      </c>
      <c r="B133" s="128" t="s">
        <v>28</v>
      </c>
      <c r="C133" s="129" t="str">
        <f t="shared" ref="C133:C196" si="5">CONCATENATE(TEXT(A133,"TT.MM.JJJJ"),"_",B133)</f>
        <v>05.11.2021_BOYohBr</v>
      </c>
      <c r="D133" s="143">
        <f t="shared" ref="D133:D196" si="6">COUNTBLANK(E133:P133)</f>
        <v>0</v>
      </c>
      <c r="E133" s="130">
        <v>1.24713353084032E-5</v>
      </c>
      <c r="F133" s="131">
        <v>2.24411001812923E-3</v>
      </c>
      <c r="G133" s="131">
        <v>0.224741456354736</v>
      </c>
      <c r="H133" s="131">
        <v>9.0390594930645201E-3</v>
      </c>
      <c r="I133" s="131">
        <v>1.06003991635982E-4</v>
      </c>
      <c r="J133" s="131">
        <v>1.08699964302801E-2</v>
      </c>
      <c r="K133" s="132">
        <v>266</v>
      </c>
      <c r="L133" s="133">
        <v>16</v>
      </c>
      <c r="M133" s="133">
        <v>32</v>
      </c>
      <c r="N133" s="133">
        <v>9.5</v>
      </c>
      <c r="O133" s="131">
        <v>2.0449824071999901E-4</v>
      </c>
      <c r="P133" s="133">
        <v>133.22399999999999</v>
      </c>
      <c r="Q133" s="134"/>
      <c r="R133" s="135"/>
    </row>
    <row r="134" spans="1:18" x14ac:dyDescent="0.25">
      <c r="A134" s="127">
        <v>44505</v>
      </c>
      <c r="B134" s="128" t="s">
        <v>30</v>
      </c>
      <c r="C134" s="129" t="str">
        <f t="shared" si="5"/>
        <v>05.11.2021_BOYohKi</v>
      </c>
      <c r="D134" s="143">
        <f t="shared" si="6"/>
        <v>0</v>
      </c>
      <c r="E134" s="130">
        <v>1.12431812274677E-5</v>
      </c>
      <c r="F134" s="131">
        <v>2.0222714834062898E-3</v>
      </c>
      <c r="G134" s="131">
        <v>0.29166149380053602</v>
      </c>
      <c r="H134" s="131">
        <v>6.2930078853895999E-3</v>
      </c>
      <c r="I134" s="131">
        <v>3.2341373923722302E-4</v>
      </c>
      <c r="J134" s="131">
        <v>5.5242247628140102E-3</v>
      </c>
      <c r="K134" s="132">
        <v>363</v>
      </c>
      <c r="L134" s="133">
        <v>20</v>
      </c>
      <c r="M134" s="133">
        <v>53</v>
      </c>
      <c r="N134" s="133">
        <v>12</v>
      </c>
      <c r="O134" s="131">
        <v>2.5064271252895801E-4</v>
      </c>
      <c r="P134" s="133">
        <v>172.26400000000001</v>
      </c>
      <c r="Q134" s="134"/>
      <c r="R134" s="135"/>
    </row>
    <row r="135" spans="1:18" x14ac:dyDescent="0.25">
      <c r="A135" s="127">
        <v>44505</v>
      </c>
      <c r="B135" s="128" t="s">
        <v>32</v>
      </c>
      <c r="C135" s="129" t="str">
        <f t="shared" si="5"/>
        <v>05.11.2021_BOYohSp</v>
      </c>
      <c r="D135" s="143">
        <f t="shared" si="6"/>
        <v>0</v>
      </c>
      <c r="E135" s="130">
        <v>1.16215457449244E-5</v>
      </c>
      <c r="F135" s="131">
        <v>1.9195308720135801E-3</v>
      </c>
      <c r="G135" s="131">
        <v>0.29652080575076301</v>
      </c>
      <c r="H135" s="131">
        <v>6.6332787649216697E-3</v>
      </c>
      <c r="I135" s="131">
        <v>9.2658290997189405E-5</v>
      </c>
      <c r="J135" s="131">
        <v>7.3086297970743298E-3</v>
      </c>
      <c r="K135" s="132">
        <v>347</v>
      </c>
      <c r="L135" s="133">
        <v>20</v>
      </c>
      <c r="M135" s="133">
        <v>60</v>
      </c>
      <c r="N135" s="133">
        <v>15</v>
      </c>
      <c r="O135" s="131">
        <v>3.1314113078395101E-4</v>
      </c>
      <c r="P135" s="133">
        <v>174.46</v>
      </c>
      <c r="Q135" s="134"/>
      <c r="R135" s="135"/>
    </row>
    <row r="136" spans="1:18" x14ac:dyDescent="0.25">
      <c r="A136" s="127">
        <v>44505</v>
      </c>
      <c r="B136" s="128" t="s">
        <v>36</v>
      </c>
      <c r="C136" s="129" t="str">
        <f t="shared" si="5"/>
        <v>05.11.2021_BOYuhSp</v>
      </c>
      <c r="D136" s="143">
        <f t="shared" si="6"/>
        <v>0</v>
      </c>
      <c r="E136" s="130">
        <v>8.1256535205266308E-6</v>
      </c>
      <c r="F136" s="131">
        <v>1.81370205661154E-3</v>
      </c>
      <c r="G136" s="131">
        <v>0.28127012639001697</v>
      </c>
      <c r="H136" s="131">
        <v>7.4940546172616498E-3</v>
      </c>
      <c r="I136" s="131">
        <v>8.01992667252729E-5</v>
      </c>
      <c r="J136" s="131">
        <v>8.4330770583142898E-3</v>
      </c>
      <c r="K136" s="132">
        <v>332</v>
      </c>
      <c r="L136" s="133">
        <v>17</v>
      </c>
      <c r="M136" s="133">
        <v>50</v>
      </c>
      <c r="N136" s="133">
        <v>11</v>
      </c>
      <c r="O136" s="131">
        <v>2.6634179797199102E-4</v>
      </c>
      <c r="P136" s="133">
        <v>161.28399999999999</v>
      </c>
      <c r="Q136" s="134"/>
      <c r="R136" s="135"/>
    </row>
    <row r="137" spans="1:18" x14ac:dyDescent="0.25">
      <c r="A137" s="127">
        <v>44505</v>
      </c>
      <c r="B137" s="128" t="s">
        <v>38</v>
      </c>
      <c r="C137" s="129" t="str">
        <f t="shared" si="5"/>
        <v>05.11.2021_BRAob</v>
      </c>
      <c r="D137" s="143">
        <f t="shared" si="6"/>
        <v>0</v>
      </c>
      <c r="E137" s="130">
        <v>1.25662325579271E-5</v>
      </c>
      <c r="F137" s="131">
        <v>2.5713152705036202E-3</v>
      </c>
      <c r="G137" s="131">
        <v>0.39384013592968697</v>
      </c>
      <c r="H137" s="131">
        <v>1.03435186161768E-2</v>
      </c>
      <c r="I137" s="131">
        <v>1.1684196144267201E-4</v>
      </c>
      <c r="J137" s="131">
        <v>1.12232254010875E-2</v>
      </c>
      <c r="K137" s="132">
        <v>195</v>
      </c>
      <c r="L137" s="133">
        <v>5.7</v>
      </c>
      <c r="M137" s="133">
        <v>29</v>
      </c>
      <c r="N137" s="133">
        <v>4.4000000000000004</v>
      </c>
      <c r="O137" s="131">
        <v>4.8111417659648401E-4</v>
      </c>
      <c r="P137" s="133">
        <v>185.684</v>
      </c>
      <c r="Q137" s="134"/>
      <c r="R137" s="135"/>
    </row>
    <row r="138" spans="1:18" x14ac:dyDescent="0.25">
      <c r="A138" s="127">
        <v>44505</v>
      </c>
      <c r="B138" s="128" t="s">
        <v>41</v>
      </c>
      <c r="C138" s="129" t="str">
        <f t="shared" si="5"/>
        <v>05.11.2021_BRAohBo</v>
      </c>
      <c r="D138" s="143">
        <f t="shared" si="6"/>
        <v>0</v>
      </c>
      <c r="E138" s="130">
        <v>1.30382698442688E-5</v>
      </c>
      <c r="F138" s="131">
        <v>1.60083043126087E-3</v>
      </c>
      <c r="G138" s="131">
        <v>0.34477967027176598</v>
      </c>
      <c r="H138" s="131">
        <v>7.9746751722688108E-3</v>
      </c>
      <c r="I138" s="131">
        <v>1.27699594458049E-4</v>
      </c>
      <c r="J138" s="131">
        <v>8.4438578263033703E-3</v>
      </c>
      <c r="K138" s="132">
        <v>164</v>
      </c>
      <c r="L138" s="133">
        <v>7.3</v>
      </c>
      <c r="M138" s="133">
        <v>27</v>
      </c>
      <c r="N138" s="133">
        <v>5.2</v>
      </c>
      <c r="O138" s="131">
        <v>5.3352748428199699E-4</v>
      </c>
      <c r="P138" s="133">
        <v>179.34</v>
      </c>
      <c r="Q138" s="134"/>
      <c r="R138" s="135"/>
    </row>
    <row r="139" spans="1:18" x14ac:dyDescent="0.25">
      <c r="A139" s="127">
        <v>44505</v>
      </c>
      <c r="B139" s="128" t="s">
        <v>43</v>
      </c>
      <c r="C139" s="129" t="str">
        <f t="shared" si="5"/>
        <v>05.11.2021_HAAob</v>
      </c>
      <c r="D139" s="143">
        <f t="shared" si="6"/>
        <v>0</v>
      </c>
      <c r="E139" s="130">
        <v>7.8421862525938503E-6</v>
      </c>
      <c r="F139" s="131">
        <v>1.4527931752562099E-3</v>
      </c>
      <c r="G139" s="131">
        <v>0.31644068578210999</v>
      </c>
      <c r="H139" s="131">
        <v>5.8991285400993099E-3</v>
      </c>
      <c r="I139" s="131">
        <v>2.7277584733570898E-4</v>
      </c>
      <c r="J139" s="131">
        <v>6.5062261446682101E-3</v>
      </c>
      <c r="K139" s="132">
        <v>390</v>
      </c>
      <c r="L139" s="133">
        <v>43</v>
      </c>
      <c r="M139" s="133">
        <v>72</v>
      </c>
      <c r="N139" s="133">
        <v>13</v>
      </c>
      <c r="O139" s="131">
        <v>3.3416265981211802E-4</v>
      </c>
      <c r="P139" s="133">
        <v>204.96</v>
      </c>
      <c r="Q139" s="134"/>
      <c r="R139" s="135"/>
    </row>
    <row r="140" spans="1:18" x14ac:dyDescent="0.25">
      <c r="A140" s="127">
        <v>44505</v>
      </c>
      <c r="B140" s="128" t="s">
        <v>45</v>
      </c>
      <c r="C140" s="129" t="str">
        <f t="shared" si="5"/>
        <v>05.11.2021_HAAun</v>
      </c>
      <c r="D140" s="143">
        <f t="shared" si="6"/>
        <v>0</v>
      </c>
      <c r="E140" s="130">
        <v>8.5034057976638294E-6</v>
      </c>
      <c r="F140" s="131">
        <v>1.7162531757879799E-3</v>
      </c>
      <c r="G140" s="131">
        <v>0.42882208374903302</v>
      </c>
      <c r="H140" s="131">
        <v>7.2300841623414297E-3</v>
      </c>
      <c r="I140" s="131">
        <v>1.4939568580704001E-4</v>
      </c>
      <c r="J140" s="131">
        <v>8.1533621889222693E-3</v>
      </c>
      <c r="K140" s="132">
        <v>540</v>
      </c>
      <c r="L140" s="133">
        <v>69</v>
      </c>
      <c r="M140" s="133">
        <v>112</v>
      </c>
      <c r="N140" s="133">
        <v>24</v>
      </c>
      <c r="O140" s="131">
        <v>5.0546993778390601E-4</v>
      </c>
      <c r="P140" s="133">
        <v>251.32</v>
      </c>
      <c r="Q140" s="134"/>
      <c r="R140" s="135"/>
    </row>
    <row r="141" spans="1:18" x14ac:dyDescent="0.25">
      <c r="A141" s="127">
        <v>44505</v>
      </c>
      <c r="B141" s="128" t="s">
        <v>47</v>
      </c>
      <c r="C141" s="129" t="str">
        <f t="shared" si="5"/>
        <v>05.11.2021_KIRob</v>
      </c>
      <c r="D141" s="143">
        <f t="shared" si="6"/>
        <v>0</v>
      </c>
      <c r="E141" s="130">
        <v>2.9383861894526401E-5</v>
      </c>
      <c r="F141" s="131">
        <v>2.2702240735646101E-3</v>
      </c>
      <c r="G141" s="131">
        <v>0.44018321083557899</v>
      </c>
      <c r="H141" s="131">
        <v>1.1801705175681999E-2</v>
      </c>
      <c r="I141" s="131">
        <v>1.8873639259340001E-4</v>
      </c>
      <c r="J141" s="131">
        <v>1.0382111529943399E-2</v>
      </c>
      <c r="K141" s="132">
        <v>457</v>
      </c>
      <c r="L141" s="133">
        <v>34</v>
      </c>
      <c r="M141" s="133">
        <v>224</v>
      </c>
      <c r="N141" s="133">
        <v>23</v>
      </c>
      <c r="O141" s="131">
        <v>5.7693722366810598E-4</v>
      </c>
      <c r="P141" s="133">
        <v>235.70400000000001</v>
      </c>
      <c r="Q141" s="134"/>
      <c r="R141" s="135"/>
    </row>
    <row r="142" spans="1:18" x14ac:dyDescent="0.25">
      <c r="A142" s="127">
        <v>44505</v>
      </c>
      <c r="B142" s="128" t="s">
        <v>49</v>
      </c>
      <c r="C142" s="129" t="str">
        <f t="shared" si="5"/>
        <v>05.11.2021_KIRun</v>
      </c>
      <c r="D142" s="143">
        <f t="shared" si="6"/>
        <v>0</v>
      </c>
      <c r="E142" s="130">
        <v>1.9746587025131501E-5</v>
      </c>
      <c r="F142" s="131">
        <v>1.92180869251049E-3</v>
      </c>
      <c r="G142" s="131">
        <v>0.41399970348831799</v>
      </c>
      <c r="H142" s="131">
        <v>1.00159283063226E-2</v>
      </c>
      <c r="I142" s="131">
        <v>2.0506100828239499E-4</v>
      </c>
      <c r="J142" s="131">
        <v>9.4475419295491601E-3</v>
      </c>
      <c r="K142" s="132">
        <v>413</v>
      </c>
      <c r="L142" s="133">
        <v>28</v>
      </c>
      <c r="M142" s="133">
        <v>151</v>
      </c>
      <c r="N142" s="133">
        <v>17</v>
      </c>
      <c r="O142" s="131">
        <v>3.4718465703772501E-4</v>
      </c>
      <c r="P142" s="133">
        <v>203.00800000000001</v>
      </c>
      <c r="Q142" s="134"/>
      <c r="R142" s="135"/>
    </row>
    <row r="143" spans="1:18" x14ac:dyDescent="0.25">
      <c r="A143" s="127">
        <v>44505</v>
      </c>
      <c r="B143" s="128" t="s">
        <v>50</v>
      </c>
      <c r="C143" s="129" t="str">
        <f t="shared" si="5"/>
        <v>05.11.2021_LIEohBo</v>
      </c>
      <c r="D143" s="143">
        <f t="shared" si="6"/>
        <v>0</v>
      </c>
      <c r="E143" s="130">
        <v>7.4638217351371399E-6</v>
      </c>
      <c r="F143" s="131">
        <v>1.1255837076229701E-3</v>
      </c>
      <c r="G143" s="131">
        <v>0.24649812191155401</v>
      </c>
      <c r="H143" s="131">
        <v>6.2579830290459999E-3</v>
      </c>
      <c r="I143" s="131">
        <v>8.8850834284054795E-5</v>
      </c>
      <c r="J143" s="131">
        <v>5.68554432357874E-3</v>
      </c>
      <c r="K143" s="132">
        <v>128</v>
      </c>
      <c r="L143" s="133">
        <v>8.4</v>
      </c>
      <c r="M143" s="133">
        <v>30</v>
      </c>
      <c r="N143" s="133">
        <v>7.2</v>
      </c>
      <c r="O143" s="131">
        <v>3.0084202613843799E-4</v>
      </c>
      <c r="P143" s="133">
        <v>185.44</v>
      </c>
      <c r="Q143" s="134"/>
      <c r="R143" s="135"/>
    </row>
    <row r="144" spans="1:18" x14ac:dyDescent="0.25">
      <c r="A144" s="127">
        <v>44505</v>
      </c>
      <c r="B144" s="128" t="s">
        <v>53</v>
      </c>
      <c r="C144" s="129" t="str">
        <f t="shared" si="5"/>
        <v>05.11.2021_NATohBo</v>
      </c>
      <c r="D144" s="143">
        <f t="shared" si="6"/>
        <v>0</v>
      </c>
      <c r="E144" s="130">
        <v>1.02984944144649E-5</v>
      </c>
      <c r="F144" s="131">
        <v>2.0945083741867199E-3</v>
      </c>
      <c r="G144" s="131">
        <v>0.49137949341604897</v>
      </c>
      <c r="H144" s="131">
        <v>7.3817034032365803E-3</v>
      </c>
      <c r="I144" s="131">
        <v>1.67265390024595E-4</v>
      </c>
      <c r="J144" s="131">
        <v>6.8649841999628104E-3</v>
      </c>
      <c r="K144" s="132">
        <v>635</v>
      </c>
      <c r="L144" s="133">
        <v>61</v>
      </c>
      <c r="M144" s="133">
        <v>256</v>
      </c>
      <c r="N144" s="133">
        <v>42</v>
      </c>
      <c r="O144" s="131">
        <v>4.2611281530786303E-4</v>
      </c>
      <c r="P144" s="133">
        <v>281.82</v>
      </c>
      <c r="Q144" s="134"/>
      <c r="R144" s="135"/>
    </row>
    <row r="145" spans="1:18" x14ac:dyDescent="0.25">
      <c r="A145" s="127">
        <v>44505</v>
      </c>
      <c r="B145" s="128" t="s">
        <v>55</v>
      </c>
      <c r="C145" s="129" t="str">
        <f t="shared" si="5"/>
        <v>05.11.2021_QUAohBo</v>
      </c>
      <c r="D145" s="143">
        <f t="shared" si="6"/>
        <v>0</v>
      </c>
      <c r="E145" s="130">
        <v>1.02984944144649E-5</v>
      </c>
      <c r="F145" s="131">
        <v>1.2498606033483201E-3</v>
      </c>
      <c r="G145" s="131">
        <v>0.35365986039061298</v>
      </c>
      <c r="H145" s="131">
        <v>5.7985714009304301E-3</v>
      </c>
      <c r="I145" s="131">
        <v>1.6903776570449899E-4</v>
      </c>
      <c r="J145" s="131">
        <v>7.4401263850054702E-3</v>
      </c>
      <c r="K145" s="132">
        <v>432</v>
      </c>
      <c r="L145" s="133">
        <v>17</v>
      </c>
      <c r="M145" s="133">
        <v>73</v>
      </c>
      <c r="N145" s="133">
        <v>10</v>
      </c>
      <c r="O145" s="131">
        <v>4.7376516821315002E-4</v>
      </c>
      <c r="P145" s="133">
        <v>231.31200000000001</v>
      </c>
      <c r="Q145" s="134"/>
      <c r="R145" s="135"/>
    </row>
    <row r="146" spans="1:18" x14ac:dyDescent="0.25">
      <c r="A146" s="127">
        <v>44505</v>
      </c>
      <c r="B146" s="128" t="s">
        <v>57</v>
      </c>
      <c r="C146" s="129" t="str">
        <f t="shared" si="5"/>
        <v>05.11.2021_SCHohVo</v>
      </c>
      <c r="D146" s="143">
        <f t="shared" si="6"/>
        <v>0</v>
      </c>
      <c r="E146" s="130">
        <v>3.1084665502123098E-5</v>
      </c>
      <c r="F146" s="131">
        <v>2.4692137977328798E-3</v>
      </c>
      <c r="G146" s="131">
        <v>0.35567770037214302</v>
      </c>
      <c r="H146" s="131">
        <v>2.1959630098640399E-2</v>
      </c>
      <c r="I146" s="131">
        <v>1.0909477935175699E-4</v>
      </c>
      <c r="J146" s="131">
        <v>3.8119812871439403E-2</v>
      </c>
      <c r="K146" s="132">
        <v>352</v>
      </c>
      <c r="L146" s="133">
        <v>24</v>
      </c>
      <c r="M146" s="133">
        <v>75</v>
      </c>
      <c r="N146" s="133">
        <v>12</v>
      </c>
      <c r="O146" s="131">
        <v>9.3092652232547096E-4</v>
      </c>
      <c r="P146" s="133">
        <v>162.99199999999999</v>
      </c>
      <c r="Q146" s="134"/>
      <c r="R146" s="135"/>
    </row>
    <row r="147" spans="1:18" x14ac:dyDescent="0.25">
      <c r="A147" s="127">
        <v>44505</v>
      </c>
      <c r="B147" s="128" t="s">
        <v>60</v>
      </c>
      <c r="C147" s="129" t="str">
        <f t="shared" si="5"/>
        <v>05.11.2021_VORohBo</v>
      </c>
      <c r="D147" s="143">
        <f t="shared" si="6"/>
        <v>0</v>
      </c>
      <c r="E147" s="130">
        <v>1.13380784769916E-5</v>
      </c>
      <c r="F147" s="131">
        <v>1.7359379076741499E-3</v>
      </c>
      <c r="G147" s="131">
        <v>0.46104366484114601</v>
      </c>
      <c r="H147" s="131">
        <v>1.2723965907927201E-2</v>
      </c>
      <c r="I147" s="131">
        <v>3.82595356379069E-4</v>
      </c>
      <c r="J147" s="131">
        <v>1.0987969483482501E-2</v>
      </c>
      <c r="K147" s="132">
        <v>554</v>
      </c>
      <c r="L147" s="133">
        <v>45</v>
      </c>
      <c r="M147" s="133">
        <v>96</v>
      </c>
      <c r="N147" s="133">
        <v>24</v>
      </c>
      <c r="O147" s="131">
        <v>7.8715491103554202E-4</v>
      </c>
      <c r="P147" s="133">
        <v>256.68799999999999</v>
      </c>
      <c r="Q147" s="134"/>
      <c r="R147" s="135"/>
    </row>
    <row r="148" spans="1:18" x14ac:dyDescent="0.25">
      <c r="A148" s="127">
        <v>44505</v>
      </c>
      <c r="B148" s="128" t="s">
        <v>62</v>
      </c>
      <c r="C148" s="129" t="str">
        <f t="shared" si="5"/>
        <v>05.11.2021_VORuhSc</v>
      </c>
      <c r="D148" s="143">
        <f t="shared" si="6"/>
        <v>0</v>
      </c>
      <c r="E148" s="130">
        <v>1.19044007725377E-5</v>
      </c>
      <c r="F148" s="131">
        <v>1.2387175665987101E-3</v>
      </c>
      <c r="G148" s="131">
        <v>0.49674804958281699</v>
      </c>
      <c r="H148" s="131">
        <v>1.15185721194167E-2</v>
      </c>
      <c r="I148" s="131">
        <v>2.1712591345845599E-4</v>
      </c>
      <c r="J148" s="131">
        <v>9.8401855093100208E-3</v>
      </c>
      <c r="K148" s="132">
        <v>556</v>
      </c>
      <c r="L148" s="133">
        <v>42</v>
      </c>
      <c r="M148" s="133">
        <v>84</v>
      </c>
      <c r="N148" s="133">
        <v>19</v>
      </c>
      <c r="O148" s="131">
        <v>1.01885642254395E-3</v>
      </c>
      <c r="P148" s="133">
        <v>264.00799999999998</v>
      </c>
      <c r="Q148" s="134"/>
      <c r="R148" s="135"/>
    </row>
    <row r="149" spans="1:18" x14ac:dyDescent="0.25">
      <c r="A149" s="127">
        <v>44505</v>
      </c>
      <c r="B149" s="128" t="s">
        <v>64</v>
      </c>
      <c r="C149" s="129" t="str">
        <f t="shared" si="5"/>
        <v>05.11.2021_WITob</v>
      </c>
      <c r="D149" s="143">
        <f t="shared" si="6"/>
        <v>0</v>
      </c>
      <c r="E149" s="130">
        <v>9.4480926106665907E-6</v>
      </c>
      <c r="F149" s="131">
        <v>1.91212835057915E-3</v>
      </c>
      <c r="G149" s="131">
        <v>0.48869383474313099</v>
      </c>
      <c r="H149" s="131">
        <v>8.4158928793184404E-3</v>
      </c>
      <c r="I149" s="131">
        <v>2.2575964978451601E-4</v>
      </c>
      <c r="J149" s="131">
        <v>6.7547670132192201E-3</v>
      </c>
      <c r="K149" s="132">
        <v>638</v>
      </c>
      <c r="L149" s="133">
        <v>54</v>
      </c>
      <c r="M149" s="133">
        <v>182</v>
      </c>
      <c r="N149" s="133">
        <v>26</v>
      </c>
      <c r="O149" s="131">
        <v>3.42638412654335E-4</v>
      </c>
      <c r="P149" s="133">
        <v>329.88799999999998</v>
      </c>
      <c r="Q149" s="134"/>
      <c r="R149" s="135"/>
    </row>
    <row r="150" spans="1:18" x14ac:dyDescent="0.25">
      <c r="A150" s="127">
        <v>44536</v>
      </c>
      <c r="B150" s="128" t="s">
        <v>22</v>
      </c>
      <c r="C150" s="129" t="str">
        <f t="shared" si="5"/>
        <v>06.12.2021_BOYkl</v>
      </c>
      <c r="D150" s="143">
        <f t="shared" si="6"/>
        <v>0</v>
      </c>
      <c r="E150" s="130">
        <v>1.07907134999508E-4</v>
      </c>
      <c r="F150" s="131">
        <v>2.4101492665455099E-3</v>
      </c>
      <c r="G150" s="131">
        <v>0.20945911900787101</v>
      </c>
      <c r="H150" s="131">
        <v>6.5068129049861796E-3</v>
      </c>
      <c r="I150" s="131">
        <v>4.7826935499392401E-5</v>
      </c>
      <c r="J150" s="131">
        <v>1.4834578682053E-2</v>
      </c>
      <c r="K150" s="132">
        <v>154</v>
      </c>
      <c r="L150" s="133">
        <v>12</v>
      </c>
      <c r="M150" s="133">
        <v>24</v>
      </c>
      <c r="N150" s="133">
        <v>21</v>
      </c>
      <c r="O150" s="131">
        <v>9.0092868405830398E-4</v>
      </c>
      <c r="P150" s="133">
        <v>128</v>
      </c>
      <c r="Q150" s="134"/>
      <c r="R150" s="135"/>
    </row>
    <row r="151" spans="1:18" x14ac:dyDescent="0.25">
      <c r="A151" s="127">
        <v>44536</v>
      </c>
      <c r="B151" s="128" t="s">
        <v>25</v>
      </c>
      <c r="C151" s="129" t="str">
        <f t="shared" si="5"/>
        <v>06.12.2021_BOYohB224</v>
      </c>
      <c r="D151" s="143">
        <f t="shared" si="6"/>
        <v>0</v>
      </c>
      <c r="E151" s="130">
        <v>9.1444125063058207E-6</v>
      </c>
      <c r="F151" s="131">
        <v>2.4862756222366802E-3</v>
      </c>
      <c r="G151" s="131">
        <v>0.32535340997887502</v>
      </c>
      <c r="H151" s="131">
        <v>5.6731455996722998E-3</v>
      </c>
      <c r="I151" s="131">
        <v>6.8076849932106103E-5</v>
      </c>
      <c r="J151" s="131">
        <v>6.5003292742273804E-3</v>
      </c>
      <c r="K151" s="132">
        <v>367</v>
      </c>
      <c r="L151" s="133">
        <v>25</v>
      </c>
      <c r="M151" s="133">
        <v>48</v>
      </c>
      <c r="N151" s="133">
        <v>17</v>
      </c>
      <c r="O151" s="131">
        <v>2.9409816747146401E-4</v>
      </c>
      <c r="P151" s="133">
        <v>246</v>
      </c>
      <c r="Q151" s="134"/>
      <c r="R151" s="135"/>
    </row>
    <row r="152" spans="1:18" x14ac:dyDescent="0.25">
      <c r="A152" s="127">
        <v>44536</v>
      </c>
      <c r="B152" s="128" t="s">
        <v>28</v>
      </c>
      <c r="C152" s="129" t="str">
        <f t="shared" si="5"/>
        <v>06.12.2021_BOYohBr</v>
      </c>
      <c r="D152" s="143">
        <f t="shared" si="6"/>
        <v>0</v>
      </c>
      <c r="E152" s="130">
        <v>3.4857103401333498E-5</v>
      </c>
      <c r="F152" s="131">
        <v>3.6817074413725598E-3</v>
      </c>
      <c r="G152" s="131">
        <v>0.26246598572536001</v>
      </c>
      <c r="H152" s="131">
        <v>6.4820874191103802E-3</v>
      </c>
      <c r="I152" s="131">
        <v>4.9444651728623701E-5</v>
      </c>
      <c r="J152" s="131">
        <v>1.34486019172666E-2</v>
      </c>
      <c r="K152" s="132">
        <v>189</v>
      </c>
      <c r="L152" s="133">
        <v>12</v>
      </c>
      <c r="M152" s="133">
        <v>20</v>
      </c>
      <c r="N152" s="133">
        <v>18</v>
      </c>
      <c r="O152" s="131">
        <v>2.9901006322955001E-4</v>
      </c>
      <c r="P152" s="133">
        <v>178.852</v>
      </c>
      <c r="Q152" s="134"/>
      <c r="R152" s="135"/>
    </row>
    <row r="153" spans="1:18" x14ac:dyDescent="0.25">
      <c r="A153" s="127">
        <v>44536</v>
      </c>
      <c r="B153" s="128" t="s">
        <v>30</v>
      </c>
      <c r="C153" s="129" t="str">
        <f t="shared" si="5"/>
        <v>06.12.2021_BOYohKi</v>
      </c>
      <c r="D153" s="143">
        <f t="shared" si="6"/>
        <v>0</v>
      </c>
      <c r="E153" s="130">
        <v>1.8612298932176E-5</v>
      </c>
      <c r="F153" s="131">
        <v>2.31878170452046E-3</v>
      </c>
      <c r="G153" s="131">
        <v>0.330315834026434</v>
      </c>
      <c r="H153" s="131">
        <v>5.8863556286791402E-3</v>
      </c>
      <c r="I153" s="131">
        <v>6.3368678579748606E-5</v>
      </c>
      <c r="J153" s="131">
        <v>8.6137189335807104E-3</v>
      </c>
      <c r="K153" s="132">
        <v>329</v>
      </c>
      <c r="L153" s="133">
        <v>17</v>
      </c>
      <c r="M153" s="133">
        <v>37</v>
      </c>
      <c r="N153" s="133">
        <v>15</v>
      </c>
      <c r="O153" s="131">
        <v>3.9912154180043899E-4</v>
      </c>
      <c r="P153" s="133">
        <v>233.50800000000001</v>
      </c>
      <c r="Q153" s="134"/>
      <c r="R153" s="135"/>
    </row>
    <row r="154" spans="1:18" x14ac:dyDescent="0.25">
      <c r="A154" s="127">
        <v>44536</v>
      </c>
      <c r="B154" s="128" t="s">
        <v>32</v>
      </c>
      <c r="C154" s="129" t="str">
        <f t="shared" si="5"/>
        <v>06.12.2021_BOYohSp</v>
      </c>
      <c r="D154" s="143">
        <f t="shared" si="6"/>
        <v>0</v>
      </c>
      <c r="E154" s="130">
        <v>2.43142239065661E-5</v>
      </c>
      <c r="F154" s="131">
        <v>3.06091205676898E-3</v>
      </c>
      <c r="G154" s="131">
        <v>0.31270150689759701</v>
      </c>
      <c r="H154" s="131">
        <v>5.65937645535742E-3</v>
      </c>
      <c r="I154" s="131">
        <v>3.8241629228122103E-5</v>
      </c>
      <c r="J154" s="131">
        <v>1.08848274272583E-2</v>
      </c>
      <c r="K154" s="132">
        <v>210</v>
      </c>
      <c r="L154" s="133">
        <v>11</v>
      </c>
      <c r="M154" s="133">
        <v>22</v>
      </c>
      <c r="N154" s="133">
        <v>15</v>
      </c>
      <c r="O154" s="131">
        <v>4.4350692533039898E-4</v>
      </c>
      <c r="P154" s="133">
        <v>218.136</v>
      </c>
      <c r="Q154" s="134"/>
      <c r="R154" s="135"/>
    </row>
    <row r="155" spans="1:18" x14ac:dyDescent="0.25">
      <c r="A155" s="127">
        <v>44536</v>
      </c>
      <c r="B155" s="128" t="s">
        <v>36</v>
      </c>
      <c r="C155" s="129" t="str">
        <f t="shared" si="5"/>
        <v>06.12.2021_BOYuhSp</v>
      </c>
      <c r="D155" s="143">
        <f t="shared" si="6"/>
        <v>0</v>
      </c>
      <c r="E155" s="130">
        <v>2.93705953259636E-5</v>
      </c>
      <c r="F155" s="131">
        <v>2.3468605585107499E-3</v>
      </c>
      <c r="G155" s="131">
        <v>0.31240781576411802</v>
      </c>
      <c r="H155" s="131">
        <v>6.0034172282385102E-3</v>
      </c>
      <c r="I155" s="131">
        <v>6.49805062088445E-5</v>
      </c>
      <c r="J155" s="131">
        <v>1.4024147101517601E-2</v>
      </c>
      <c r="K155" s="132">
        <v>227</v>
      </c>
      <c r="L155" s="133">
        <v>12</v>
      </c>
      <c r="M155" s="133">
        <v>26</v>
      </c>
      <c r="N155" s="133">
        <v>17</v>
      </c>
      <c r="O155" s="131">
        <v>5.71009192148941E-4</v>
      </c>
      <c r="P155" s="133">
        <v>215.696</v>
      </c>
      <c r="Q155" s="134"/>
      <c r="R155" s="135"/>
    </row>
    <row r="156" spans="1:18" x14ac:dyDescent="0.25">
      <c r="A156" s="127">
        <v>44536</v>
      </c>
      <c r="B156" s="128" t="s">
        <v>38</v>
      </c>
      <c r="C156" s="129" t="str">
        <f t="shared" si="5"/>
        <v>06.12.2021_BRAob</v>
      </c>
      <c r="D156" s="143">
        <f t="shared" si="6"/>
        <v>0</v>
      </c>
      <c r="E156" s="130">
        <v>1.3340510613758299E-5</v>
      </c>
      <c r="F156" s="131">
        <v>1.80492418470776E-3</v>
      </c>
      <c r="G156" s="131">
        <v>0.418415532900906</v>
      </c>
      <c r="H156" s="131">
        <v>5.5661457644129797E-3</v>
      </c>
      <c r="I156" s="131">
        <v>4.4591424526261198E-5</v>
      </c>
      <c r="J156" s="131">
        <v>6.7742301509134302E-3</v>
      </c>
      <c r="K156" s="132">
        <v>354</v>
      </c>
      <c r="L156" s="133">
        <v>11</v>
      </c>
      <c r="M156" s="133">
        <v>40</v>
      </c>
      <c r="N156" s="133">
        <v>15</v>
      </c>
      <c r="O156" s="131">
        <v>5.1041600015529903E-4</v>
      </c>
      <c r="P156" s="133">
        <v>252.54</v>
      </c>
      <c r="Q156" s="134"/>
      <c r="R156" s="135"/>
    </row>
    <row r="157" spans="1:18" x14ac:dyDescent="0.25">
      <c r="A157" s="127">
        <v>44536</v>
      </c>
      <c r="B157" s="128" t="s">
        <v>41</v>
      </c>
      <c r="C157" s="129" t="str">
        <f t="shared" si="5"/>
        <v>06.12.2021_BRAohBo</v>
      </c>
      <c r="D157" s="143">
        <f t="shared" si="6"/>
        <v>0</v>
      </c>
      <c r="E157" s="130">
        <v>1.14038499487803E-5</v>
      </c>
      <c r="F157" s="131">
        <v>2.5365517418801599E-3</v>
      </c>
      <c r="G157" s="131">
        <v>0.34462709372225597</v>
      </c>
      <c r="H157" s="131">
        <v>5.8888677905120004E-3</v>
      </c>
      <c r="I157" s="131">
        <v>6.7295157892782303E-5</v>
      </c>
      <c r="J157" s="131">
        <v>8.0704228052126698E-3</v>
      </c>
      <c r="K157" s="132">
        <v>269</v>
      </c>
      <c r="L157" s="133">
        <v>13</v>
      </c>
      <c r="M157" s="133">
        <v>30</v>
      </c>
      <c r="N157" s="133">
        <v>17</v>
      </c>
      <c r="O157" s="131">
        <v>7.5685535161049405E-4</v>
      </c>
      <c r="P157" s="133">
        <v>242.536</v>
      </c>
      <c r="Q157" s="134"/>
      <c r="R157" s="135"/>
    </row>
    <row r="158" spans="1:18" x14ac:dyDescent="0.25">
      <c r="A158" s="127">
        <v>44536</v>
      </c>
      <c r="B158" s="128" t="s">
        <v>43</v>
      </c>
      <c r="C158" s="129" t="str">
        <f t="shared" si="5"/>
        <v>06.12.2021_HAAob</v>
      </c>
      <c r="D158" s="143">
        <f t="shared" si="6"/>
        <v>0</v>
      </c>
      <c r="E158" s="130">
        <v>2.6358244450020299E-5</v>
      </c>
      <c r="F158" s="131">
        <v>9.4810026175566695E-4</v>
      </c>
      <c r="G158" s="131">
        <v>0.37424346110454998</v>
      </c>
      <c r="H158" s="131">
        <v>4.70014460673662E-3</v>
      </c>
      <c r="I158" s="131">
        <v>7.6081341868327598E-5</v>
      </c>
      <c r="J158" s="131">
        <v>8.3952470262621398E-3</v>
      </c>
      <c r="K158" s="132">
        <v>143</v>
      </c>
      <c r="L158" s="133">
        <v>13</v>
      </c>
      <c r="M158" s="133">
        <v>19</v>
      </c>
      <c r="N158" s="133">
        <v>5.3</v>
      </c>
      <c r="O158" s="131">
        <v>3.4416214274898301E-4</v>
      </c>
      <c r="P158" s="133">
        <v>256.44400000000002</v>
      </c>
      <c r="Q158" s="134"/>
      <c r="R158" s="135"/>
    </row>
    <row r="159" spans="1:18" x14ac:dyDescent="0.25">
      <c r="A159" s="127">
        <v>44536</v>
      </c>
      <c r="B159" s="128" t="s">
        <v>45</v>
      </c>
      <c r="C159" s="129" t="str">
        <f t="shared" si="5"/>
        <v>06.12.2021_HAAun</v>
      </c>
      <c r="D159" s="143">
        <f t="shared" si="6"/>
        <v>0</v>
      </c>
      <c r="E159" s="130">
        <v>1.0005382960318799E-5</v>
      </c>
      <c r="F159" s="131">
        <v>1.68103438949908E-3</v>
      </c>
      <c r="G159" s="131">
        <v>0.412132020421763</v>
      </c>
      <c r="H159" s="131">
        <v>6.1061556227278999E-3</v>
      </c>
      <c r="I159" s="131">
        <v>7.9668598556220806E-5</v>
      </c>
      <c r="J159" s="131">
        <v>7.2127899617582701E-3</v>
      </c>
      <c r="K159" s="132">
        <v>177</v>
      </c>
      <c r="L159" s="133">
        <v>16</v>
      </c>
      <c r="M159" s="133">
        <v>23</v>
      </c>
      <c r="N159" s="133">
        <v>8.9</v>
      </c>
      <c r="O159" s="131">
        <v>6.3526665188915095E-4</v>
      </c>
      <c r="P159" s="133">
        <v>313.05200000000002</v>
      </c>
      <c r="Q159" s="134"/>
      <c r="R159" s="135"/>
    </row>
    <row r="160" spans="1:18" x14ac:dyDescent="0.25">
      <c r="A160" s="127">
        <v>44536</v>
      </c>
      <c r="B160" s="128" t="s">
        <v>47</v>
      </c>
      <c r="C160" s="129" t="str">
        <f t="shared" si="5"/>
        <v>06.12.2021_KIRob</v>
      </c>
      <c r="D160" s="143">
        <f t="shared" si="6"/>
        <v>0</v>
      </c>
      <c r="E160" s="130">
        <v>2.1193816010078798E-5</v>
      </c>
      <c r="F160" s="131">
        <v>1.5559009561949601E-3</v>
      </c>
      <c r="G160" s="131">
        <v>0.42138545904614999</v>
      </c>
      <c r="H160" s="131">
        <v>1.11253211716937E-2</v>
      </c>
      <c r="I160" s="131">
        <v>3.9562520753188799E-5</v>
      </c>
      <c r="J160" s="131">
        <v>1.2622217988743901E-2</v>
      </c>
      <c r="K160" s="132">
        <v>223</v>
      </c>
      <c r="L160" s="133">
        <v>13</v>
      </c>
      <c r="M160" s="133">
        <v>92</v>
      </c>
      <c r="N160" s="133">
        <v>11</v>
      </c>
      <c r="O160" s="131">
        <v>6.9137709322688798E-4</v>
      </c>
      <c r="P160" s="133">
        <v>299.14400000000001</v>
      </c>
      <c r="Q160" s="134"/>
      <c r="R160" s="135"/>
    </row>
    <row r="161" spans="1:18" x14ac:dyDescent="0.25">
      <c r="A161" s="127">
        <v>44536</v>
      </c>
      <c r="B161" s="128" t="s">
        <v>49</v>
      </c>
      <c r="C161" s="129" t="str">
        <f t="shared" si="5"/>
        <v>06.12.2021_KIRun</v>
      </c>
      <c r="D161" s="143">
        <f t="shared" si="6"/>
        <v>0</v>
      </c>
      <c r="E161" s="130">
        <v>9.3598294053260607E-6</v>
      </c>
      <c r="F161" s="131">
        <v>1.43950416711557E-3</v>
      </c>
      <c r="G161" s="131">
        <v>0.409797290506765</v>
      </c>
      <c r="H161" s="131">
        <v>6.2197191890918501E-3</v>
      </c>
      <c r="I161" s="131">
        <v>7.1985113842053903E-5</v>
      </c>
      <c r="J161" s="131">
        <v>5.5643969727662097E-3</v>
      </c>
      <c r="K161" s="132">
        <v>224</v>
      </c>
      <c r="L161" s="133">
        <v>13</v>
      </c>
      <c r="M161" s="133">
        <v>78</v>
      </c>
      <c r="N161" s="133">
        <v>11</v>
      </c>
      <c r="O161" s="131">
        <v>3.9158922789734002E-4</v>
      </c>
      <c r="P161" s="133">
        <v>303.77999999999997</v>
      </c>
      <c r="Q161" s="134"/>
      <c r="R161" s="135"/>
    </row>
    <row r="162" spans="1:18" x14ac:dyDescent="0.25">
      <c r="A162" s="127">
        <v>44536</v>
      </c>
      <c r="B162" s="128" t="s">
        <v>50</v>
      </c>
      <c r="C162" s="129" t="str">
        <f t="shared" si="5"/>
        <v>06.12.2021_LIEohBo</v>
      </c>
      <c r="D162" s="143">
        <f t="shared" si="6"/>
        <v>0</v>
      </c>
      <c r="E162" s="130">
        <v>1.0220799859339E-5</v>
      </c>
      <c r="F162" s="131">
        <v>1.58673844659193E-3</v>
      </c>
      <c r="G162" s="131">
        <v>0.302834427237825</v>
      </c>
      <c r="H162" s="131">
        <v>6.2779343946061999E-3</v>
      </c>
      <c r="I162" s="131">
        <v>4.4379317149379597E-5</v>
      </c>
      <c r="J162" s="131">
        <v>3.74522841912693E-3</v>
      </c>
      <c r="K162" s="132">
        <v>349</v>
      </c>
      <c r="L162" s="133">
        <v>19</v>
      </c>
      <c r="M162" s="133">
        <v>41</v>
      </c>
      <c r="N162" s="133">
        <v>16</v>
      </c>
      <c r="O162" s="131">
        <v>3.5970782736498503E-4</v>
      </c>
      <c r="P162" s="133">
        <v>282.79599999999999</v>
      </c>
      <c r="Q162" s="134"/>
      <c r="R162" s="135"/>
    </row>
    <row r="163" spans="1:18" x14ac:dyDescent="0.25">
      <c r="A163" s="127">
        <v>44536</v>
      </c>
      <c r="B163" s="128" t="s">
        <v>53</v>
      </c>
      <c r="C163" s="129" t="str">
        <f t="shared" si="5"/>
        <v>06.12.2021_NATohBo</v>
      </c>
      <c r="D163" s="143">
        <f t="shared" si="6"/>
        <v>0</v>
      </c>
      <c r="E163" s="130">
        <v>1.37706472697308E-5</v>
      </c>
      <c r="F163" s="131">
        <v>1.5542075529758801E-3</v>
      </c>
      <c r="G163" s="131">
        <v>0.41302421563569403</v>
      </c>
      <c r="H163" s="131">
        <v>5.7243820531944099E-3</v>
      </c>
      <c r="I163" s="131">
        <v>3.70056120596755E-5</v>
      </c>
      <c r="J163" s="131">
        <v>9.3223637140689604E-3</v>
      </c>
      <c r="K163" s="132">
        <v>423</v>
      </c>
      <c r="L163" s="133">
        <v>39</v>
      </c>
      <c r="M163" s="133">
        <v>102</v>
      </c>
      <c r="N163" s="133">
        <v>26</v>
      </c>
      <c r="O163" s="131">
        <v>3.0665730665841503E-4</v>
      </c>
      <c r="P163" s="133">
        <v>282.30799999999999</v>
      </c>
      <c r="Q163" s="134"/>
      <c r="R163" s="135"/>
    </row>
    <row r="164" spans="1:18" x14ac:dyDescent="0.25">
      <c r="A164" s="127">
        <v>44536</v>
      </c>
      <c r="B164" s="128" t="s">
        <v>55</v>
      </c>
      <c r="C164" s="129" t="str">
        <f t="shared" si="5"/>
        <v>06.12.2021_QUAohBo</v>
      </c>
      <c r="D164" s="143">
        <f t="shared" si="6"/>
        <v>0</v>
      </c>
      <c r="E164" s="130">
        <v>1.40934240472271E-5</v>
      </c>
      <c r="F164" s="131">
        <v>1.1899641994684001E-3</v>
      </c>
      <c r="G164" s="131">
        <v>0.38742836031443101</v>
      </c>
      <c r="H164" s="131">
        <v>5.63334556876313E-3</v>
      </c>
      <c r="I164" s="131">
        <v>5.0492940324749899E-5</v>
      </c>
      <c r="J164" s="131">
        <v>5.5871866116878801E-3</v>
      </c>
      <c r="K164" s="132">
        <v>408</v>
      </c>
      <c r="L164" s="133">
        <v>13</v>
      </c>
      <c r="M164" s="133">
        <v>45</v>
      </c>
      <c r="N164" s="133">
        <v>11</v>
      </c>
      <c r="O164" s="131">
        <v>5.3985480509879198E-4</v>
      </c>
      <c r="P164" s="133">
        <v>315.00400000000002</v>
      </c>
      <c r="Q164" s="134"/>
      <c r="R164" s="135"/>
    </row>
    <row r="165" spans="1:18" x14ac:dyDescent="0.25">
      <c r="A165" s="127">
        <v>44536</v>
      </c>
      <c r="B165" s="128" t="s">
        <v>57</v>
      </c>
      <c r="C165" s="129" t="str">
        <f t="shared" si="5"/>
        <v>06.12.2021_SCHohVo</v>
      </c>
      <c r="D165" s="143">
        <f t="shared" si="6"/>
        <v>0</v>
      </c>
      <c r="E165" s="130">
        <v>1.1533100088192399E-4</v>
      </c>
      <c r="F165" s="131">
        <v>2.38010969065546E-3</v>
      </c>
      <c r="G165" s="131">
        <v>1.01587612983433</v>
      </c>
      <c r="H165" s="131">
        <v>1.3291337745220601E-2</v>
      </c>
      <c r="I165" s="131">
        <v>7.0771477279855596E-4</v>
      </c>
      <c r="J165" s="131">
        <v>5.7167032678465603E-2</v>
      </c>
      <c r="K165" s="132">
        <v>51</v>
      </c>
      <c r="L165" s="133">
        <v>2.9</v>
      </c>
      <c r="M165" s="133">
        <v>10</v>
      </c>
      <c r="N165" s="133">
        <v>1.9</v>
      </c>
      <c r="O165" s="131">
        <v>2.54256693077949E-3</v>
      </c>
      <c r="P165" s="133">
        <v>126.148</v>
      </c>
      <c r="Q165" s="134"/>
      <c r="R165" s="135"/>
    </row>
    <row r="166" spans="1:18" x14ac:dyDescent="0.25">
      <c r="A166" s="127">
        <v>44536</v>
      </c>
      <c r="B166" s="128" t="s">
        <v>60</v>
      </c>
      <c r="C166" s="129" t="str">
        <f t="shared" si="5"/>
        <v>06.12.2021_VORohBo</v>
      </c>
      <c r="D166" s="143">
        <f t="shared" si="6"/>
        <v>0</v>
      </c>
      <c r="E166" s="130">
        <v>1.21567633822491E-5</v>
      </c>
      <c r="F166" s="131">
        <v>2.28687032050348E-3</v>
      </c>
      <c r="G166" s="131">
        <v>0.42790341045976499</v>
      </c>
      <c r="H166" s="131">
        <v>7.5438567102610798E-3</v>
      </c>
      <c r="I166" s="131">
        <v>6.0326941808410399E-5</v>
      </c>
      <c r="J166" s="131">
        <v>9.1544468357335606E-3</v>
      </c>
      <c r="K166" s="132">
        <v>321</v>
      </c>
      <c r="L166" s="133">
        <v>21</v>
      </c>
      <c r="M166" s="133">
        <v>36</v>
      </c>
      <c r="N166" s="133">
        <v>18</v>
      </c>
      <c r="O166" s="131">
        <v>8.4523203892842701E-4</v>
      </c>
      <c r="P166" s="133">
        <v>314.76</v>
      </c>
      <c r="Q166" s="134"/>
      <c r="R166" s="135"/>
    </row>
    <row r="167" spans="1:18" x14ac:dyDescent="0.25">
      <c r="A167" s="127">
        <v>44536</v>
      </c>
      <c r="B167" s="128" t="s">
        <v>62</v>
      </c>
      <c r="C167" s="129" t="str">
        <f t="shared" si="5"/>
        <v>06.12.2021_VORuhSc</v>
      </c>
      <c r="D167" s="143">
        <f t="shared" si="6"/>
        <v>0</v>
      </c>
      <c r="E167" s="130">
        <v>1.1942043625296801E-5</v>
      </c>
      <c r="F167" s="131">
        <v>1.18078529582812E-3</v>
      </c>
      <c r="G167" s="131">
        <v>0.42725106756588099</v>
      </c>
      <c r="H167" s="131">
        <v>8.1132716641817999E-3</v>
      </c>
      <c r="I167" s="131">
        <v>5.8139562402068398E-5</v>
      </c>
      <c r="J167" s="131">
        <v>1.1526831079391399E-2</v>
      </c>
      <c r="K167" s="132">
        <v>327</v>
      </c>
      <c r="L167" s="133">
        <v>21</v>
      </c>
      <c r="M167" s="133">
        <v>34</v>
      </c>
      <c r="N167" s="133">
        <v>17</v>
      </c>
      <c r="O167" s="131">
        <v>8.3548049952454498E-4</v>
      </c>
      <c r="P167" s="133">
        <v>297.19200000000001</v>
      </c>
      <c r="Q167" s="134"/>
      <c r="R167" s="135"/>
    </row>
    <row r="168" spans="1:18" x14ac:dyDescent="0.25">
      <c r="A168" s="127">
        <v>44536</v>
      </c>
      <c r="B168" s="128" t="s">
        <v>64</v>
      </c>
      <c r="C168" s="129" t="str">
        <f t="shared" si="5"/>
        <v>06.12.2021_WITob</v>
      </c>
      <c r="D168" s="143">
        <f t="shared" si="6"/>
        <v>0</v>
      </c>
      <c r="E168" s="130">
        <v>8.9296927493536092E-6</v>
      </c>
      <c r="F168" s="131">
        <v>1.1399686778353201E-3</v>
      </c>
      <c r="G168" s="131">
        <v>0.51024944158940699</v>
      </c>
      <c r="H168" s="131">
        <v>7.0817097024385703E-3</v>
      </c>
      <c r="I168" s="131">
        <v>6.0575362219461099E-5</v>
      </c>
      <c r="J168" s="131">
        <v>5.9823810295495904E-3</v>
      </c>
      <c r="K168" s="132">
        <v>238</v>
      </c>
      <c r="L168" s="133">
        <v>15</v>
      </c>
      <c r="M168" s="133">
        <v>36</v>
      </c>
      <c r="N168" s="133">
        <v>6.6</v>
      </c>
      <c r="O168" s="131">
        <v>3.7795042502208599E-4</v>
      </c>
      <c r="P168" s="133">
        <v>396.25599999999997</v>
      </c>
      <c r="Q168" s="134"/>
      <c r="R168" s="135"/>
    </row>
    <row r="169" spans="1:18" x14ac:dyDescent="0.25">
      <c r="A169" s="127">
        <v>44575</v>
      </c>
      <c r="B169" s="128" t="s">
        <v>198</v>
      </c>
      <c r="C169" s="129" t="str">
        <f t="shared" si="5"/>
        <v xml:space="preserve">14.01.2022_BOYkl </v>
      </c>
      <c r="D169" s="143">
        <f t="shared" si="6"/>
        <v>0</v>
      </c>
      <c r="E169" s="130">
        <v>7.5400909652319496E-5</v>
      </c>
      <c r="F169" s="131">
        <v>2.13714659395591E-3</v>
      </c>
      <c r="G169" s="131">
        <v>0.229520048964934</v>
      </c>
      <c r="H169" s="131">
        <v>8.5034891864513799E-3</v>
      </c>
      <c r="I169" s="131">
        <v>5.7348803931191299E-5</v>
      </c>
      <c r="J169" s="131">
        <v>6.52684599376955E-3</v>
      </c>
      <c r="K169" s="132">
        <v>111</v>
      </c>
      <c r="L169" s="133">
        <v>7.9</v>
      </c>
      <c r="M169" s="133">
        <v>29</v>
      </c>
      <c r="N169" s="133">
        <v>19</v>
      </c>
      <c r="O169" s="131">
        <v>3.8681969796243502E-4</v>
      </c>
      <c r="P169" s="133">
        <v>104.92</v>
      </c>
      <c r="Q169" s="134"/>
      <c r="R169" s="135"/>
    </row>
    <row r="170" spans="1:18" x14ac:dyDescent="0.25">
      <c r="A170" s="127">
        <v>44575</v>
      </c>
      <c r="B170" s="128" t="s">
        <v>25</v>
      </c>
      <c r="C170" s="129" t="str">
        <f t="shared" si="5"/>
        <v>14.01.2022_BOYohB224</v>
      </c>
      <c r="D170" s="143">
        <f t="shared" si="6"/>
        <v>0</v>
      </c>
      <c r="E170" s="130">
        <v>1.243141262501E-5</v>
      </c>
      <c r="F170" s="131">
        <v>1.58187121676821E-3</v>
      </c>
      <c r="G170" s="131">
        <v>0.46797938597490701</v>
      </c>
      <c r="H170" s="131">
        <v>7.1931081137787097E-3</v>
      </c>
      <c r="I170" s="131">
        <v>1.02279117839403E-4</v>
      </c>
      <c r="J170" s="131">
        <v>3.1655178792573502E-3</v>
      </c>
      <c r="K170" s="132">
        <v>182</v>
      </c>
      <c r="L170" s="133">
        <v>13</v>
      </c>
      <c r="M170" s="133">
        <v>42</v>
      </c>
      <c r="N170" s="133">
        <v>18</v>
      </c>
      <c r="O170" s="131">
        <v>6.1859105492865303E-4</v>
      </c>
      <c r="P170" s="133">
        <v>199.83600000000001</v>
      </c>
      <c r="Q170" s="134"/>
      <c r="R170" s="135"/>
    </row>
    <row r="171" spans="1:18" x14ac:dyDescent="0.25">
      <c r="A171" s="127">
        <v>44575</v>
      </c>
      <c r="B171" s="128" t="s">
        <v>199</v>
      </c>
      <c r="C171" s="129" t="str">
        <f t="shared" si="5"/>
        <v xml:space="preserve">14.01.2022_BOYohBr </v>
      </c>
      <c r="D171" s="143">
        <f t="shared" si="6"/>
        <v>0</v>
      </c>
      <c r="E171" s="130">
        <v>2.3488528738723699E-5</v>
      </c>
      <c r="F171" s="131">
        <v>2.3987263426999E-3</v>
      </c>
      <c r="G171" s="131">
        <v>0.31873317140033602</v>
      </c>
      <c r="H171" s="131">
        <v>6.9859685197033797E-3</v>
      </c>
      <c r="I171" s="131">
        <v>6.5469876671010599E-5</v>
      </c>
      <c r="J171" s="131">
        <v>5.2547011980108201E-3</v>
      </c>
      <c r="K171" s="132">
        <v>140</v>
      </c>
      <c r="L171" s="133">
        <v>8.6999999999999993</v>
      </c>
      <c r="M171" s="133">
        <v>23</v>
      </c>
      <c r="N171" s="133">
        <v>16</v>
      </c>
      <c r="O171" s="131">
        <v>2.5142632036415E-3</v>
      </c>
      <c r="P171" s="133">
        <v>149.328</v>
      </c>
      <c r="Q171" s="134"/>
      <c r="R171" s="135"/>
    </row>
    <row r="172" spans="1:18" x14ac:dyDescent="0.25">
      <c r="A172" s="127">
        <v>44575</v>
      </c>
      <c r="B172" s="128" t="s">
        <v>30</v>
      </c>
      <c r="C172" s="129" t="str">
        <f t="shared" si="5"/>
        <v>14.01.2022_BOYohKi</v>
      </c>
      <c r="D172" s="143">
        <f t="shared" si="6"/>
        <v>0</v>
      </c>
      <c r="E172" s="130">
        <v>2.1551964818240201E-5</v>
      </c>
      <c r="F172" s="131">
        <v>1.81129627401576E-3</v>
      </c>
      <c r="G172" s="131">
        <v>0.40019308231672002</v>
      </c>
      <c r="H172" s="131">
        <v>7.1241352145520803E-3</v>
      </c>
      <c r="I172" s="131">
        <v>7.7638941193174102E-5</v>
      </c>
      <c r="J172" s="131">
        <v>4.2105124424716102E-3</v>
      </c>
      <c r="K172" s="132">
        <v>66</v>
      </c>
      <c r="L172" s="133">
        <v>3.3</v>
      </c>
      <c r="M172" s="133">
        <v>13</v>
      </c>
      <c r="N172" s="133">
        <v>6</v>
      </c>
      <c r="O172" s="131">
        <v>9.3160810007630499E-4</v>
      </c>
      <c r="P172" s="133">
        <v>184.22</v>
      </c>
      <c r="Q172" s="134"/>
      <c r="R172" s="135"/>
    </row>
    <row r="173" spans="1:18" x14ac:dyDescent="0.25">
      <c r="A173" s="127">
        <v>44575</v>
      </c>
      <c r="B173" s="128" t="s">
        <v>200</v>
      </c>
      <c r="C173" s="129" t="str">
        <f t="shared" si="5"/>
        <v xml:space="preserve">14.01.2022_BOYohSp </v>
      </c>
      <c r="D173" s="143">
        <f t="shared" si="6"/>
        <v>0</v>
      </c>
      <c r="E173" s="130">
        <v>1.9427978428027599E-5</v>
      </c>
      <c r="F173" s="131">
        <v>1.8090707703083699E-3</v>
      </c>
      <c r="G173" s="131">
        <v>0.37694610223736902</v>
      </c>
      <c r="H173" s="131">
        <v>6.1037375373403299E-3</v>
      </c>
      <c r="I173" s="131">
        <v>5.1742024956289998E-5</v>
      </c>
      <c r="J173" s="131">
        <v>3.5135577992127E-3</v>
      </c>
      <c r="K173" s="132">
        <v>147</v>
      </c>
      <c r="L173" s="133">
        <v>8.3000000000000007</v>
      </c>
      <c r="M173" s="133">
        <v>29</v>
      </c>
      <c r="N173" s="133">
        <v>15</v>
      </c>
      <c r="O173" s="131">
        <v>8.1830155418724905E-4</v>
      </c>
      <c r="P173" s="133">
        <v>155.428</v>
      </c>
      <c r="Q173" s="134"/>
      <c r="R173" s="135"/>
    </row>
    <row r="174" spans="1:18" x14ac:dyDescent="0.25">
      <c r="A174" s="127">
        <v>44575</v>
      </c>
      <c r="B174" s="128" t="s">
        <v>201</v>
      </c>
      <c r="C174" s="129" t="str">
        <f t="shared" si="5"/>
        <v xml:space="preserve">14.01.2022_BOYuhSp </v>
      </c>
      <c r="D174" s="143">
        <f t="shared" si="6"/>
        <v>0</v>
      </c>
      <c r="E174" s="130">
        <v>2.07399357161311E-5</v>
      </c>
      <c r="F174" s="131">
        <v>1.91677468232212E-3</v>
      </c>
      <c r="G174" s="131">
        <v>0.37334937631099502</v>
      </c>
      <c r="H174" s="131">
        <v>6.7041106329104897E-3</v>
      </c>
      <c r="I174" s="131">
        <v>7.4370343007108605E-5</v>
      </c>
      <c r="J174" s="131">
        <v>4.4152251791334304E-3</v>
      </c>
      <c r="K174" s="132">
        <v>173</v>
      </c>
      <c r="L174" s="133">
        <v>9.3000000000000007</v>
      </c>
      <c r="M174" s="133">
        <v>34</v>
      </c>
      <c r="N174" s="133">
        <v>16</v>
      </c>
      <c r="O174" s="131">
        <v>1.0982294808188099E-3</v>
      </c>
      <c r="P174" s="133">
        <v>169.58</v>
      </c>
      <c r="Q174" s="134"/>
      <c r="R174" s="135"/>
    </row>
    <row r="175" spans="1:18" x14ac:dyDescent="0.25">
      <c r="A175" s="127">
        <v>44575</v>
      </c>
      <c r="B175" s="128" t="s">
        <v>202</v>
      </c>
      <c r="C175" s="129" t="str">
        <f t="shared" si="5"/>
        <v xml:space="preserve">14.01.2022_BRAob </v>
      </c>
      <c r="D175" s="143">
        <f t="shared" si="6"/>
        <v>0</v>
      </c>
      <c r="E175" s="130">
        <v>2.1551964818240201E-5</v>
      </c>
      <c r="F175" s="131">
        <v>1.2786505265460701E-3</v>
      </c>
      <c r="G175" s="131">
        <v>0.53304914089060096</v>
      </c>
      <c r="H175" s="131">
        <v>6.3789803597941903E-3</v>
      </c>
      <c r="I175" s="131">
        <v>7.9222980477584005E-5</v>
      </c>
      <c r="J175" s="131">
        <v>3.9393980640258603E-3</v>
      </c>
      <c r="K175" s="132">
        <v>247</v>
      </c>
      <c r="L175" s="133">
        <v>6.6</v>
      </c>
      <c r="M175" s="133">
        <v>42</v>
      </c>
      <c r="N175" s="133">
        <v>11</v>
      </c>
      <c r="O175" s="131">
        <v>4.9171933080112103E-4</v>
      </c>
      <c r="P175" s="133">
        <v>203.00800000000001</v>
      </c>
      <c r="Q175" s="134"/>
      <c r="R175" s="135"/>
    </row>
    <row r="176" spans="1:18" x14ac:dyDescent="0.25">
      <c r="A176" s="127">
        <v>44575</v>
      </c>
      <c r="B176" s="128" t="s">
        <v>203</v>
      </c>
      <c r="C176" s="129" t="str">
        <f t="shared" si="5"/>
        <v xml:space="preserve">14.01.2022_BRAohBo </v>
      </c>
      <c r="D176" s="143">
        <f t="shared" si="6"/>
        <v>0</v>
      </c>
      <c r="E176" s="130">
        <v>2.8798292314179699E-5</v>
      </c>
      <c r="F176" s="131">
        <v>1.59817040721814E-3</v>
      </c>
      <c r="G176" s="131">
        <v>0.41583175563628799</v>
      </c>
      <c r="H176" s="131">
        <v>5.9740574384958001E-3</v>
      </c>
      <c r="I176" s="131">
        <v>1.07986579348272E-4</v>
      </c>
      <c r="J176" s="131">
        <v>4.9630848067818197E-3</v>
      </c>
      <c r="K176" s="132">
        <v>191</v>
      </c>
      <c r="L176" s="133">
        <v>8.3000000000000007</v>
      </c>
      <c r="M176" s="133">
        <v>38</v>
      </c>
      <c r="N176" s="133">
        <v>14</v>
      </c>
      <c r="O176" s="131">
        <v>6.2247294197593204E-4</v>
      </c>
      <c r="P176" s="133">
        <v>196.90799999999999</v>
      </c>
      <c r="Q176" s="134"/>
      <c r="R176" s="135"/>
    </row>
    <row r="177" spans="1:18" x14ac:dyDescent="0.25">
      <c r="A177" s="127">
        <v>44575</v>
      </c>
      <c r="B177" s="128" t="s">
        <v>204</v>
      </c>
      <c r="C177" s="129" t="str">
        <f t="shared" si="5"/>
        <v xml:space="preserve">14.01.2022_HAAob </v>
      </c>
      <c r="D177" s="143">
        <f t="shared" si="6"/>
        <v>0</v>
      </c>
      <c r="E177" s="130">
        <v>9.3703138861520895E-6</v>
      </c>
      <c r="F177" s="131">
        <v>1.0716957354269801E-3</v>
      </c>
      <c r="G177" s="131">
        <v>0.40478923197564398</v>
      </c>
      <c r="H177" s="131">
        <v>4.8424139014726702E-3</v>
      </c>
      <c r="I177" s="131">
        <v>6.9794338129961194E-5</v>
      </c>
      <c r="J177" s="131">
        <v>3.0270893887565098E-3</v>
      </c>
      <c r="K177" s="132">
        <v>62</v>
      </c>
      <c r="L177" s="133">
        <v>5.7</v>
      </c>
      <c r="M177" s="133">
        <v>14</v>
      </c>
      <c r="N177" s="133">
        <v>5.3</v>
      </c>
      <c r="O177" s="131">
        <v>3.8598562496570602E-4</v>
      </c>
      <c r="P177" s="133">
        <v>175.43600000000001</v>
      </c>
      <c r="Q177" s="134"/>
      <c r="R177" s="135"/>
    </row>
    <row r="178" spans="1:18" x14ac:dyDescent="0.25">
      <c r="A178" s="127">
        <v>44575</v>
      </c>
      <c r="B178" s="128" t="s">
        <v>205</v>
      </c>
      <c r="C178" s="129" t="str">
        <f t="shared" si="5"/>
        <v xml:space="preserve">14.01.2022_HAAun </v>
      </c>
      <c r="D178" s="143">
        <f t="shared" si="6"/>
        <v>0</v>
      </c>
      <c r="E178" s="130">
        <v>1.40554708292281E-5</v>
      </c>
      <c r="F178" s="131">
        <v>1.2490524151441999E-3</v>
      </c>
      <c r="G178" s="131">
        <v>0.52119797412550295</v>
      </c>
      <c r="H178" s="131">
        <v>6.6637241623294496E-3</v>
      </c>
      <c r="I178" s="131">
        <v>1.6169370580086499E-4</v>
      </c>
      <c r="J178" s="131">
        <v>4.37052937016105E-3</v>
      </c>
      <c r="K178" s="132">
        <v>84</v>
      </c>
      <c r="L178" s="133">
        <v>8</v>
      </c>
      <c r="M178" s="133">
        <v>18</v>
      </c>
      <c r="N178" s="133">
        <v>8.1</v>
      </c>
      <c r="O178" s="131">
        <v>7.6200370378299502E-4</v>
      </c>
      <c r="P178" s="133">
        <v>250.83199999999999</v>
      </c>
      <c r="Q178" s="134"/>
      <c r="R178" s="135"/>
    </row>
    <row r="179" spans="1:18" x14ac:dyDescent="0.25">
      <c r="A179" s="127">
        <v>44575</v>
      </c>
      <c r="B179" s="128" t="s">
        <v>206</v>
      </c>
      <c r="C179" s="129" t="str">
        <f t="shared" si="5"/>
        <v xml:space="preserve">14.01.2022_KIRob </v>
      </c>
      <c r="D179" s="143">
        <f t="shared" si="6"/>
        <v>0</v>
      </c>
      <c r="E179" s="130">
        <v>2.2238910673813001E-5</v>
      </c>
      <c r="F179" s="131">
        <v>1.29154309974751E-3</v>
      </c>
      <c r="G179" s="131">
        <v>0.42155030598277798</v>
      </c>
      <c r="H179" s="131">
        <v>7.03825765337995E-3</v>
      </c>
      <c r="I179" s="131">
        <v>9.4987454129403099E-5</v>
      </c>
      <c r="J179" s="131">
        <v>3.8943093916310699E-3</v>
      </c>
      <c r="K179" s="132">
        <v>84</v>
      </c>
      <c r="L179" s="133">
        <v>5.7</v>
      </c>
      <c r="M179" s="133">
        <v>44</v>
      </c>
      <c r="N179" s="133">
        <v>8.4</v>
      </c>
      <c r="O179" s="131">
        <v>4.3235005920057599E-4</v>
      </c>
      <c r="P179" s="133">
        <v>188.85599999999999</v>
      </c>
      <c r="Q179" s="134"/>
      <c r="R179" s="135"/>
    </row>
    <row r="180" spans="1:18" x14ac:dyDescent="0.25">
      <c r="A180" s="127">
        <v>44575</v>
      </c>
      <c r="B180" s="128" t="s">
        <v>207</v>
      </c>
      <c r="C180" s="129" t="str">
        <f t="shared" si="5"/>
        <v xml:space="preserve">14.01.2022_KIRun </v>
      </c>
      <c r="D180" s="143">
        <f t="shared" si="6"/>
        <v>0</v>
      </c>
      <c r="E180" s="130">
        <v>1.6866807875164099E-5</v>
      </c>
      <c r="F180" s="131">
        <v>9.8581346209041898E-4</v>
      </c>
      <c r="G180" s="131">
        <v>0.46100632315705298</v>
      </c>
      <c r="H180" s="131">
        <v>6.6324574081299903E-3</v>
      </c>
      <c r="I180" s="131">
        <v>1.5731857724148699E-4</v>
      </c>
      <c r="J180" s="131">
        <v>3.5456062893846701E-3</v>
      </c>
      <c r="K180" s="132">
        <v>76</v>
      </c>
      <c r="L180" s="133">
        <v>5.3</v>
      </c>
      <c r="M180" s="133">
        <v>36</v>
      </c>
      <c r="N180" s="133">
        <v>7.4</v>
      </c>
      <c r="O180" s="131">
        <v>5.1197010809671695E-4</v>
      </c>
      <c r="P180" s="133">
        <v>174.46</v>
      </c>
      <c r="Q180" s="134"/>
      <c r="R180" s="135"/>
    </row>
    <row r="181" spans="1:18" x14ac:dyDescent="0.25">
      <c r="A181" s="127">
        <v>44575</v>
      </c>
      <c r="B181" s="128" t="s">
        <v>208</v>
      </c>
      <c r="C181" s="129" t="str">
        <f t="shared" si="5"/>
        <v xml:space="preserve">14.01.2022_LIEohBo </v>
      </c>
      <c r="D181" s="143">
        <f t="shared" si="6"/>
        <v>0</v>
      </c>
      <c r="E181" s="130">
        <v>1.5429767340524401E-5</v>
      </c>
      <c r="F181" s="131">
        <v>1.4240142305865201E-3</v>
      </c>
      <c r="G181" s="131">
        <v>0.34360263737524499</v>
      </c>
      <c r="H181" s="131">
        <v>7.9674122481550799E-3</v>
      </c>
      <c r="I181" s="131">
        <v>6.86628814982398E-5</v>
      </c>
      <c r="J181" s="131">
        <v>2.4948773619038098E-3</v>
      </c>
      <c r="K181" s="132">
        <v>136</v>
      </c>
      <c r="L181" s="133">
        <v>10</v>
      </c>
      <c r="M181" s="133">
        <v>33</v>
      </c>
      <c r="N181" s="133">
        <v>16</v>
      </c>
      <c r="O181" s="131">
        <v>5.8259631906979002E-4</v>
      </c>
      <c r="P181" s="133">
        <v>191.54</v>
      </c>
      <c r="Q181" s="134"/>
      <c r="R181" s="135"/>
    </row>
    <row r="182" spans="1:18" x14ac:dyDescent="0.25">
      <c r="A182" s="127">
        <v>44575</v>
      </c>
      <c r="B182" s="128" t="s">
        <v>209</v>
      </c>
      <c r="C182" s="129" t="str">
        <f t="shared" si="5"/>
        <v xml:space="preserve">14.01.2022_NATohBo </v>
      </c>
      <c r="D182" s="143">
        <f t="shared" si="6"/>
        <v>0</v>
      </c>
      <c r="E182" s="130">
        <v>5.3536439117814E-5</v>
      </c>
      <c r="F182" s="131">
        <v>1.7565369452461599E-3</v>
      </c>
      <c r="G182" s="131">
        <v>0.63008889068713603</v>
      </c>
      <c r="H182" s="131">
        <v>7.5761163733098404E-3</v>
      </c>
      <c r="I182" s="131">
        <v>1.79244398388637E-4</v>
      </c>
      <c r="J182" s="131">
        <v>2.0652484108065201E-2</v>
      </c>
      <c r="K182" s="132">
        <v>227</v>
      </c>
      <c r="L182" s="133">
        <v>22</v>
      </c>
      <c r="M182" s="133">
        <v>105</v>
      </c>
      <c r="N182" s="133">
        <v>32</v>
      </c>
      <c r="O182" s="131">
        <v>6.1385349538473002E-4</v>
      </c>
      <c r="P182" s="133">
        <v>241.804</v>
      </c>
      <c r="Q182" s="134"/>
      <c r="R182" s="135"/>
    </row>
    <row r="183" spans="1:18" x14ac:dyDescent="0.25">
      <c r="A183" s="127">
        <v>44575</v>
      </c>
      <c r="B183" s="128" t="s">
        <v>210</v>
      </c>
      <c r="C183" s="129" t="str">
        <f t="shared" si="5"/>
        <v xml:space="preserve">14.01.2022_QUAohBo </v>
      </c>
      <c r="D183" s="143">
        <f t="shared" si="6"/>
        <v>0</v>
      </c>
      <c r="E183" s="130">
        <v>1.47428214849516E-5</v>
      </c>
      <c r="F183" s="131">
        <v>1.13406629275642E-3</v>
      </c>
      <c r="G183" s="131">
        <v>0.44055189997858402</v>
      </c>
      <c r="H183" s="131">
        <v>5.2977290303937398E-3</v>
      </c>
      <c r="I183" s="131">
        <v>7.8594284848813306E-5</v>
      </c>
      <c r="J183" s="131">
        <v>2.7535024937256698E-3</v>
      </c>
      <c r="K183" s="132">
        <v>171</v>
      </c>
      <c r="L183" s="133">
        <v>6.2</v>
      </c>
      <c r="M183" s="133">
        <v>37</v>
      </c>
      <c r="N183" s="133">
        <v>12</v>
      </c>
      <c r="O183" s="131">
        <v>3.0731152339918901E-4</v>
      </c>
      <c r="P183" s="133">
        <v>194.22399999999999</v>
      </c>
      <c r="Q183" s="134"/>
      <c r="R183" s="135"/>
    </row>
    <row r="184" spans="1:18" x14ac:dyDescent="0.25">
      <c r="A184" s="127">
        <v>44575</v>
      </c>
      <c r="B184" s="128" t="s">
        <v>211</v>
      </c>
      <c r="C184" s="129" t="str">
        <f t="shared" si="5"/>
        <v xml:space="preserve">14.01.2022_SCHohVo </v>
      </c>
      <c r="D184" s="143">
        <f t="shared" si="6"/>
        <v>0</v>
      </c>
      <c r="E184" s="130">
        <v>9.8514998251735599E-5</v>
      </c>
      <c r="F184" s="131">
        <v>2.0841514377645102E-3</v>
      </c>
      <c r="G184" s="131">
        <v>0.32796780285155502</v>
      </c>
      <c r="H184" s="131">
        <v>1.46204742458867E-2</v>
      </c>
      <c r="I184" s="131">
        <v>7.7337219424715101E-5</v>
      </c>
      <c r="J184" s="131">
        <v>2.41616704650023E-2</v>
      </c>
      <c r="K184" s="132">
        <v>147</v>
      </c>
      <c r="L184" s="133">
        <v>8.3000000000000007</v>
      </c>
      <c r="M184" s="133">
        <v>27</v>
      </c>
      <c r="N184" s="133">
        <v>6.7</v>
      </c>
      <c r="O184" s="131">
        <v>4.2825543092496498E-4</v>
      </c>
      <c r="P184" s="133">
        <v>136.63999999999999</v>
      </c>
      <c r="Q184" s="134"/>
      <c r="R184" s="135"/>
    </row>
    <row r="185" spans="1:18" x14ac:dyDescent="0.25">
      <c r="A185" s="127">
        <v>44575</v>
      </c>
      <c r="B185" s="128" t="s">
        <v>212</v>
      </c>
      <c r="C185" s="129" t="str">
        <f t="shared" si="5"/>
        <v xml:space="preserve">14.01.2022_VORohBo </v>
      </c>
      <c r="D185" s="143">
        <f t="shared" si="6"/>
        <v>0</v>
      </c>
      <c r="E185" s="130">
        <v>1.9427978428027599E-5</v>
      </c>
      <c r="F185" s="131">
        <v>1.15898787668227E-3</v>
      </c>
      <c r="G185" s="131">
        <v>0.56688201760276502</v>
      </c>
      <c r="H185" s="131">
        <v>8.4886018130051494E-3</v>
      </c>
      <c r="I185" s="131">
        <v>6.56458267303712E-5</v>
      </c>
      <c r="J185" s="131">
        <v>4.3215362635170397E-3</v>
      </c>
      <c r="K185" s="132">
        <v>247</v>
      </c>
      <c r="L185" s="133">
        <v>17</v>
      </c>
      <c r="M185" s="133">
        <v>47</v>
      </c>
      <c r="N185" s="133">
        <v>19</v>
      </c>
      <c r="O185" s="131">
        <v>4.4190783791310003E-4</v>
      </c>
      <c r="P185" s="133">
        <v>240.584</v>
      </c>
      <c r="Q185" s="134"/>
      <c r="R185" s="135"/>
    </row>
    <row r="186" spans="1:18" x14ac:dyDescent="0.25">
      <c r="A186" s="127">
        <v>44575</v>
      </c>
      <c r="B186" s="128" t="s">
        <v>213</v>
      </c>
      <c r="C186" s="129" t="str">
        <f t="shared" si="5"/>
        <v xml:space="preserve">14.01.2022_VORuhSc </v>
      </c>
      <c r="D186" s="143">
        <f t="shared" si="6"/>
        <v>0</v>
      </c>
      <c r="E186" s="130">
        <v>3.4233139136172001E-5</v>
      </c>
      <c r="F186" s="131">
        <v>1.09407455861012E-3</v>
      </c>
      <c r="G186" s="131">
        <v>0.58802935096430398</v>
      </c>
      <c r="H186" s="131">
        <v>9.4227350994515301E-3</v>
      </c>
      <c r="I186" s="131">
        <v>7.5401117104862501E-5</v>
      </c>
      <c r="J186" s="131">
        <v>6.8356726863014697E-3</v>
      </c>
      <c r="K186" s="132">
        <v>255</v>
      </c>
      <c r="L186" s="133">
        <v>15</v>
      </c>
      <c r="M186" s="133">
        <v>39</v>
      </c>
      <c r="N186" s="133">
        <v>14</v>
      </c>
      <c r="O186" s="131">
        <v>4.5358250607565698E-4</v>
      </c>
      <c r="P186" s="133">
        <v>256.2</v>
      </c>
      <c r="Q186" s="134"/>
      <c r="R186" s="135"/>
    </row>
    <row r="187" spans="1:18" x14ac:dyDescent="0.25">
      <c r="A187" s="127">
        <v>44575</v>
      </c>
      <c r="B187" s="128" t="s">
        <v>214</v>
      </c>
      <c r="C187" s="129" t="str">
        <f t="shared" si="5"/>
        <v xml:space="preserve">14.01.2022_WITob </v>
      </c>
      <c r="D187" s="143">
        <f t="shared" si="6"/>
        <v>0</v>
      </c>
      <c r="E187" s="130">
        <v>1.180680599263E-5</v>
      </c>
      <c r="F187" s="131">
        <v>1.19217166884933E-3</v>
      </c>
      <c r="G187" s="131">
        <v>0.73193118789556999</v>
      </c>
      <c r="H187" s="131">
        <v>7.9082784570355807E-3</v>
      </c>
      <c r="I187" s="131">
        <v>7.5929130199665798E-5</v>
      </c>
      <c r="J187" s="131">
        <v>2.5602281069051201E-3</v>
      </c>
      <c r="K187" s="132">
        <v>274</v>
      </c>
      <c r="L187" s="133">
        <v>19</v>
      </c>
      <c r="M187" s="133">
        <v>81</v>
      </c>
      <c r="N187" s="133">
        <v>18</v>
      </c>
      <c r="O187" s="131">
        <v>4.0641466736477002E-4</v>
      </c>
      <c r="P187" s="133">
        <v>268.64400000000001</v>
      </c>
      <c r="Q187" s="134"/>
      <c r="R187" s="135"/>
    </row>
    <row r="188" spans="1:18" x14ac:dyDescent="0.25">
      <c r="A188" s="127">
        <v>44603</v>
      </c>
      <c r="B188" s="128" t="s">
        <v>198</v>
      </c>
      <c r="C188" s="129" t="str">
        <f t="shared" si="5"/>
        <v xml:space="preserve">11.02.2022_BOYkl </v>
      </c>
      <c r="D188" s="143">
        <f t="shared" si="6"/>
        <v>0</v>
      </c>
      <c r="E188" s="130">
        <v>7.9408696955730903E-5</v>
      </c>
      <c r="F188" s="131">
        <v>1.8062861811271899E-3</v>
      </c>
      <c r="G188" s="131">
        <v>0.15334135778987101</v>
      </c>
      <c r="H188" s="131">
        <v>6.5745539420850102E-3</v>
      </c>
      <c r="I188" s="131">
        <v>1.5472285356704399E-4</v>
      </c>
      <c r="J188" s="131">
        <v>1.64653846608965E-2</v>
      </c>
      <c r="K188" s="132">
        <v>59</v>
      </c>
      <c r="L188" s="133">
        <v>6.3</v>
      </c>
      <c r="M188" s="133">
        <v>44</v>
      </c>
      <c r="N188" s="133">
        <v>7.7</v>
      </c>
      <c r="O188" s="131">
        <v>1.0313678732830399E-3</v>
      </c>
      <c r="P188" s="133">
        <v>102.724</v>
      </c>
      <c r="Q188" s="134"/>
      <c r="R188" s="135"/>
    </row>
    <row r="189" spans="1:18" x14ac:dyDescent="0.25">
      <c r="A189" s="127">
        <v>44603</v>
      </c>
      <c r="B189" s="128" t="s">
        <v>25</v>
      </c>
      <c r="C189" s="129" t="str">
        <f t="shared" si="5"/>
        <v>11.02.2022_BOYohB224</v>
      </c>
      <c r="D189" s="143">
        <f t="shared" si="6"/>
        <v>0</v>
      </c>
      <c r="E189" s="130">
        <v>1.1681160082341199E-5</v>
      </c>
      <c r="F189" s="131">
        <v>2.0103515790639002E-3</v>
      </c>
      <c r="G189" s="131">
        <v>0.32256404067859501</v>
      </c>
      <c r="H189" s="131">
        <v>5.9597741908011198E-3</v>
      </c>
      <c r="I189" s="131">
        <v>1.58388331256127E-4</v>
      </c>
      <c r="J189" s="131">
        <v>6.7432723073496603E-3</v>
      </c>
      <c r="K189" s="132">
        <v>98</v>
      </c>
      <c r="L189" s="133">
        <v>11</v>
      </c>
      <c r="M189" s="133">
        <v>21</v>
      </c>
      <c r="N189" s="133">
        <v>5.3</v>
      </c>
      <c r="O189" s="131">
        <v>5.3362062809836201E-4</v>
      </c>
      <c r="P189" s="133">
        <v>172.26400000000001</v>
      </c>
      <c r="Q189" s="134"/>
      <c r="R189" s="135"/>
    </row>
    <row r="190" spans="1:18" x14ac:dyDescent="0.25">
      <c r="A190" s="127">
        <v>44603</v>
      </c>
      <c r="B190" s="128" t="s">
        <v>199</v>
      </c>
      <c r="C190" s="129" t="str">
        <f t="shared" si="5"/>
        <v xml:space="preserve">11.02.2022_BOYohBr </v>
      </c>
      <c r="D190" s="143">
        <f t="shared" si="6"/>
        <v>0</v>
      </c>
      <c r="E190" s="130">
        <v>2.8209204387460001E-5</v>
      </c>
      <c r="F190" s="131">
        <v>3.2001075034369299E-3</v>
      </c>
      <c r="G190" s="131">
        <v>0.19168310463155899</v>
      </c>
      <c r="H190" s="131">
        <v>6.1006465338987702E-3</v>
      </c>
      <c r="I190" s="131">
        <v>1.2118944196272301E-4</v>
      </c>
      <c r="J190" s="131">
        <v>1.1658175110850801E-2</v>
      </c>
      <c r="K190" s="132">
        <v>78</v>
      </c>
      <c r="L190" s="133">
        <v>7.5</v>
      </c>
      <c r="M190" s="133">
        <v>14</v>
      </c>
      <c r="N190" s="133">
        <v>6.5</v>
      </c>
      <c r="O190" s="131">
        <v>3.8991830841893899E-4</v>
      </c>
      <c r="P190" s="133">
        <v>146.4</v>
      </c>
      <c r="Q190" s="134"/>
      <c r="R190" s="135"/>
    </row>
    <row r="191" spans="1:18" x14ac:dyDescent="0.25">
      <c r="A191" s="127">
        <v>44603</v>
      </c>
      <c r="B191" s="128" t="s">
        <v>30</v>
      </c>
      <c r="C191" s="129" t="str">
        <f t="shared" si="5"/>
        <v>11.02.2022_BOYohKi</v>
      </c>
      <c r="D191" s="143">
        <f t="shared" si="6"/>
        <v>0</v>
      </c>
      <c r="E191" s="130">
        <v>2.15609445198322E-5</v>
      </c>
      <c r="F191" s="131">
        <v>2.32634374887928E-3</v>
      </c>
      <c r="G191" s="131">
        <v>0.24423078358130501</v>
      </c>
      <c r="H191" s="131">
        <v>6.2478005922135703E-3</v>
      </c>
      <c r="I191" s="131">
        <v>1.79770669682035E-4</v>
      </c>
      <c r="J191" s="131">
        <v>8.6426445785625708E-3</v>
      </c>
      <c r="K191" s="132">
        <v>95</v>
      </c>
      <c r="L191" s="133">
        <v>8.1</v>
      </c>
      <c r="M191" s="133">
        <v>18</v>
      </c>
      <c r="N191" s="133">
        <v>5.2</v>
      </c>
      <c r="O191" s="131">
        <v>7.4166468906256E-4</v>
      </c>
      <c r="P191" s="133">
        <v>173.48400000000001</v>
      </c>
      <c r="Q191" s="134"/>
      <c r="R191" s="135"/>
    </row>
    <row r="192" spans="1:18" x14ac:dyDescent="0.25">
      <c r="A192" s="127">
        <v>44603</v>
      </c>
      <c r="B192" s="128" t="s">
        <v>200</v>
      </c>
      <c r="C192" s="129" t="str">
        <f t="shared" si="5"/>
        <v xml:space="preserve">11.02.2022_BOYohSp </v>
      </c>
      <c r="D192" s="143">
        <f t="shared" si="6"/>
        <v>0</v>
      </c>
      <c r="E192" s="130">
        <v>2.0131600858853599E-5</v>
      </c>
      <c r="F192" s="131">
        <v>2.5744532830142999E-3</v>
      </c>
      <c r="G192" s="131">
        <v>0.23798760754793599</v>
      </c>
      <c r="H192" s="131">
        <v>5.3710738420959898E-3</v>
      </c>
      <c r="I192" s="131">
        <v>1.5351042751677701E-4</v>
      </c>
      <c r="J192" s="131">
        <v>9.1890433560267992E-3</v>
      </c>
      <c r="K192" s="132">
        <v>93</v>
      </c>
      <c r="L192" s="133">
        <v>7.8</v>
      </c>
      <c r="M192" s="133">
        <v>19</v>
      </c>
      <c r="N192" s="133">
        <v>6.1</v>
      </c>
      <c r="O192" s="131">
        <v>4.88524916886614E-4</v>
      </c>
      <c r="P192" s="133">
        <v>165.43199999999999</v>
      </c>
      <c r="Q192" s="134"/>
      <c r="R192" s="135"/>
    </row>
    <row r="193" spans="1:18" x14ac:dyDescent="0.25">
      <c r="A193" s="127">
        <v>44603</v>
      </c>
      <c r="B193" s="128" t="s">
        <v>201</v>
      </c>
      <c r="C193" s="129" t="str">
        <f t="shared" si="5"/>
        <v xml:space="preserve">11.02.2022_BOYuhSp </v>
      </c>
      <c r="D193" s="143">
        <f t="shared" si="6"/>
        <v>0</v>
      </c>
      <c r="E193" s="130">
        <v>3.9579935184557698E-5</v>
      </c>
      <c r="F193" s="131">
        <v>2.5186925877514902E-3</v>
      </c>
      <c r="G193" s="131">
        <v>0.232950673025587</v>
      </c>
      <c r="H193" s="131">
        <v>5.98887550649067E-3</v>
      </c>
      <c r="I193" s="131">
        <v>1.5791063415955501E-4</v>
      </c>
      <c r="J193" s="131">
        <v>1.13215454995063E-2</v>
      </c>
      <c r="K193" s="132">
        <v>95</v>
      </c>
      <c r="L193" s="133">
        <v>7.6</v>
      </c>
      <c r="M193" s="133">
        <v>18</v>
      </c>
      <c r="N193" s="133">
        <v>5.5</v>
      </c>
      <c r="O193" s="131">
        <v>9.1560888376616197E-4</v>
      </c>
      <c r="P193" s="133">
        <v>177.14400000000001</v>
      </c>
      <c r="Q193" s="134"/>
      <c r="R193" s="135"/>
    </row>
    <row r="194" spans="1:18" x14ac:dyDescent="0.25">
      <c r="A194" s="127">
        <v>44603</v>
      </c>
      <c r="B194" s="128" t="s">
        <v>202</v>
      </c>
      <c r="C194" s="129" t="str">
        <f t="shared" si="5"/>
        <v xml:space="preserve">11.02.2022_BRAob </v>
      </c>
      <c r="D194" s="143">
        <f t="shared" si="6"/>
        <v>0</v>
      </c>
      <c r="E194" s="130">
        <v>8.5744514378029192E-6</v>
      </c>
      <c r="F194" s="131">
        <v>1.03135618804692E-3</v>
      </c>
      <c r="G194" s="131">
        <v>0.276360748117017</v>
      </c>
      <c r="H194" s="131">
        <v>4.1728470145670502E-3</v>
      </c>
      <c r="I194" s="131">
        <v>2.15569906482482E-4</v>
      </c>
      <c r="J194" s="131">
        <v>6.5834095011521E-3</v>
      </c>
      <c r="K194" s="132">
        <v>127</v>
      </c>
      <c r="L194" s="133">
        <v>5.8</v>
      </c>
      <c r="M194" s="133">
        <v>22</v>
      </c>
      <c r="N194" s="133">
        <v>4.4000000000000004</v>
      </c>
      <c r="O194" s="131">
        <v>4.29135913901107E-4</v>
      </c>
      <c r="P194" s="133">
        <v>186.172</v>
      </c>
      <c r="Q194" s="134"/>
      <c r="R194" s="135"/>
    </row>
    <row r="195" spans="1:18" x14ac:dyDescent="0.25">
      <c r="A195" s="127">
        <v>44603</v>
      </c>
      <c r="B195" s="128" t="s">
        <v>203</v>
      </c>
      <c r="C195" s="129" t="str">
        <f t="shared" si="5"/>
        <v xml:space="preserve">11.02.2022_BRAohBo </v>
      </c>
      <c r="D195" s="143">
        <f t="shared" si="6"/>
        <v>0</v>
      </c>
      <c r="E195" s="130">
        <v>1.7770566710127299E-5</v>
      </c>
      <c r="F195" s="131">
        <v>1.61287775728163E-3</v>
      </c>
      <c r="G195" s="131">
        <v>0.244745684785976</v>
      </c>
      <c r="H195" s="131">
        <v>4.3564020321148703E-3</v>
      </c>
      <c r="I195" s="131">
        <v>1.4575724954357799E-4</v>
      </c>
      <c r="J195" s="131">
        <v>7.7577909272327304E-3</v>
      </c>
      <c r="K195" s="132">
        <v>103</v>
      </c>
      <c r="L195" s="133">
        <v>7.2</v>
      </c>
      <c r="M195" s="133">
        <v>20</v>
      </c>
      <c r="N195" s="133">
        <v>5.3</v>
      </c>
      <c r="O195" s="131">
        <v>4.8807418774544199E-4</v>
      </c>
      <c r="P195" s="133">
        <v>183.488</v>
      </c>
      <c r="Q195" s="134"/>
      <c r="R195" s="135"/>
    </row>
    <row r="196" spans="1:18" x14ac:dyDescent="0.25">
      <c r="A196" s="127">
        <v>44603</v>
      </c>
      <c r="B196" s="128" t="s">
        <v>204</v>
      </c>
      <c r="C196" s="129" t="str">
        <f t="shared" si="5"/>
        <v xml:space="preserve">11.02.2022_HAAob </v>
      </c>
      <c r="D196" s="143">
        <f t="shared" si="6"/>
        <v>0</v>
      </c>
      <c r="E196" s="130">
        <v>5.8405800411706097E-6</v>
      </c>
      <c r="F196" s="131">
        <v>1.0481818207788299E-3</v>
      </c>
      <c r="G196" s="131">
        <v>0.27397027132799101</v>
      </c>
      <c r="H196" s="131">
        <v>3.57190523986912E-3</v>
      </c>
      <c r="I196" s="131">
        <v>1.0672970494533E-4</v>
      </c>
      <c r="J196" s="131">
        <v>6.0107459645992699E-3</v>
      </c>
      <c r="K196" s="132">
        <v>91</v>
      </c>
      <c r="L196" s="133">
        <v>12</v>
      </c>
      <c r="M196" s="133">
        <v>18</v>
      </c>
      <c r="N196" s="133">
        <v>4.0999999999999996</v>
      </c>
      <c r="O196" s="131">
        <v>2.4592671585045502E-4</v>
      </c>
      <c r="P196" s="133">
        <v>172.26400000000001</v>
      </c>
      <c r="Q196" s="134"/>
      <c r="R196" s="135"/>
    </row>
    <row r="197" spans="1:18" x14ac:dyDescent="0.25">
      <c r="A197" s="127">
        <v>44603</v>
      </c>
      <c r="B197" s="128" t="s">
        <v>205</v>
      </c>
      <c r="C197" s="129" t="str">
        <f t="shared" ref="C197:C260" si="7">CONCATENATE(TEXT(A197,"TT.MM.JJJJ"),"_",B197)</f>
        <v xml:space="preserve">11.02.2022_HAAun </v>
      </c>
      <c r="D197" s="143">
        <f t="shared" ref="D197:D260" si="8">COUNTBLANK(E197:P197)</f>
        <v>0</v>
      </c>
      <c r="E197" s="130">
        <v>9.5065445575678502E-6</v>
      </c>
      <c r="F197" s="131">
        <v>1.55842806416136E-3</v>
      </c>
      <c r="G197" s="131">
        <v>0.31632062137174399</v>
      </c>
      <c r="H197" s="131">
        <v>4.5872204015813397E-3</v>
      </c>
      <c r="I197" s="131">
        <v>1.4119216035456399E-4</v>
      </c>
      <c r="J197" s="131">
        <v>7.3558809483513302E-3</v>
      </c>
      <c r="K197" s="132">
        <v>116</v>
      </c>
      <c r="L197" s="133">
        <v>18</v>
      </c>
      <c r="M197" s="133">
        <v>25</v>
      </c>
      <c r="N197" s="133">
        <v>6.6</v>
      </c>
      <c r="O197" s="131">
        <v>4.58330651648356E-4</v>
      </c>
      <c r="P197" s="133">
        <v>246.928</v>
      </c>
      <c r="Q197" s="134"/>
      <c r="R197" s="135"/>
    </row>
    <row r="198" spans="1:18" x14ac:dyDescent="0.25">
      <c r="A198" s="127">
        <v>44603</v>
      </c>
      <c r="B198" s="128" t="s">
        <v>206</v>
      </c>
      <c r="C198" s="129" t="str">
        <f t="shared" si="7"/>
        <v xml:space="preserve">11.02.2022_KIRob </v>
      </c>
      <c r="D198" s="143">
        <f t="shared" si="8"/>
        <v>0</v>
      </c>
      <c r="E198" s="130">
        <v>1.1432736127743E-5</v>
      </c>
      <c r="F198" s="131">
        <v>1.4872406766539201E-3</v>
      </c>
      <c r="G198" s="131">
        <v>0.32149552916514301</v>
      </c>
      <c r="H198" s="131">
        <v>5.3985510068116698E-3</v>
      </c>
      <c r="I198" s="131">
        <v>2.07761099911908E-4</v>
      </c>
      <c r="J198" s="131">
        <v>7.0848253169031403E-3</v>
      </c>
      <c r="K198" s="132">
        <v>115</v>
      </c>
      <c r="L198" s="133">
        <v>11</v>
      </c>
      <c r="M198" s="133">
        <v>55</v>
      </c>
      <c r="N198" s="133">
        <v>5.8</v>
      </c>
      <c r="O198" s="131">
        <v>5.7933179136023601E-4</v>
      </c>
      <c r="P198" s="133">
        <v>200.32400000000001</v>
      </c>
      <c r="Q198" s="134"/>
      <c r="R198" s="135"/>
    </row>
    <row r="199" spans="1:18" x14ac:dyDescent="0.25">
      <c r="A199" s="127">
        <v>44603</v>
      </c>
      <c r="B199" s="128" t="s">
        <v>207</v>
      </c>
      <c r="C199" s="129" t="str">
        <f t="shared" si="7"/>
        <v xml:space="preserve">11.02.2022_KIRun </v>
      </c>
      <c r="D199" s="143">
        <f t="shared" si="8"/>
        <v>0</v>
      </c>
      <c r="E199" s="130">
        <v>8.8852833550636293E-6</v>
      </c>
      <c r="F199" s="131">
        <v>1.1559031215224601E-3</v>
      </c>
      <c r="G199" s="131">
        <v>0.33299274270063101</v>
      </c>
      <c r="H199" s="131">
        <v>4.5576130789122798E-3</v>
      </c>
      <c r="I199" s="131">
        <v>1.2761354333658999E-4</v>
      </c>
      <c r="J199" s="131">
        <v>6.7318048370604202E-3</v>
      </c>
      <c r="K199" s="132">
        <v>107</v>
      </c>
      <c r="L199" s="133">
        <v>10</v>
      </c>
      <c r="M199" s="133">
        <v>44</v>
      </c>
      <c r="N199" s="133">
        <v>5</v>
      </c>
      <c r="O199" s="131">
        <v>3.6372090208464699E-4</v>
      </c>
      <c r="P199" s="133">
        <v>201.05600000000001</v>
      </c>
      <c r="Q199" s="134"/>
      <c r="R199" s="135"/>
    </row>
    <row r="200" spans="1:18" x14ac:dyDescent="0.25">
      <c r="A200" s="127">
        <v>44603</v>
      </c>
      <c r="B200" s="128" t="s">
        <v>208</v>
      </c>
      <c r="C200" s="129" t="str">
        <f t="shared" si="7"/>
        <v xml:space="preserve">11.02.2022_LIEohBo </v>
      </c>
      <c r="D200" s="143">
        <f t="shared" si="8"/>
        <v>0</v>
      </c>
      <c r="E200" s="130">
        <v>1.0687061631931E-5</v>
      </c>
      <c r="F200" s="131">
        <v>1.4794940292895799E-3</v>
      </c>
      <c r="G200" s="131">
        <v>0.28200322468153599</v>
      </c>
      <c r="H200" s="131">
        <v>6.6285682156927298E-3</v>
      </c>
      <c r="I200" s="131">
        <v>1.1436392093189899E-4</v>
      </c>
      <c r="J200" s="131">
        <v>6.2549678593356497E-3</v>
      </c>
      <c r="K200" s="132">
        <v>88</v>
      </c>
      <c r="L200" s="133">
        <v>11</v>
      </c>
      <c r="M200" s="133">
        <v>18</v>
      </c>
      <c r="N200" s="133">
        <v>5.4</v>
      </c>
      <c r="O200" s="131">
        <v>4.0274368971289102E-4</v>
      </c>
      <c r="P200" s="133">
        <v>193.49199999999999</v>
      </c>
      <c r="Q200" s="134"/>
      <c r="R200" s="135"/>
    </row>
    <row r="201" spans="1:18" x14ac:dyDescent="0.25">
      <c r="A201" s="127">
        <v>44603</v>
      </c>
      <c r="B201" s="128" t="s">
        <v>209</v>
      </c>
      <c r="C201" s="129" t="str">
        <f t="shared" si="7"/>
        <v xml:space="preserve">11.02.2022_NATohBo </v>
      </c>
      <c r="D201" s="143">
        <f t="shared" si="8"/>
        <v>0</v>
      </c>
      <c r="E201" s="130">
        <v>1.40425968630847E-5</v>
      </c>
      <c r="F201" s="131">
        <v>2.0094615276862798E-3</v>
      </c>
      <c r="G201" s="131">
        <v>0.42020258265779398</v>
      </c>
      <c r="H201" s="131">
        <v>6.34302781999914E-3</v>
      </c>
      <c r="I201" s="131">
        <v>1.3581591067640401E-4</v>
      </c>
      <c r="J201" s="131">
        <v>1.0269022602635401E-2</v>
      </c>
      <c r="K201" s="132">
        <v>146</v>
      </c>
      <c r="L201" s="133">
        <v>21</v>
      </c>
      <c r="M201" s="133">
        <v>62</v>
      </c>
      <c r="N201" s="133">
        <v>9.4</v>
      </c>
      <c r="O201" s="131">
        <v>4.0813144939914398E-4</v>
      </c>
      <c r="P201" s="133">
        <v>260.10399999999998</v>
      </c>
      <c r="Q201" s="134"/>
      <c r="R201" s="135"/>
    </row>
    <row r="202" spans="1:18" x14ac:dyDescent="0.25">
      <c r="A202" s="127">
        <v>44603</v>
      </c>
      <c r="B202" s="128" t="s">
        <v>210</v>
      </c>
      <c r="C202" s="129" t="str">
        <f t="shared" si="7"/>
        <v xml:space="preserve">11.02.2022_QUAohBo </v>
      </c>
      <c r="D202" s="143">
        <f t="shared" si="8"/>
        <v>0</v>
      </c>
      <c r="E202" s="130">
        <v>8.5124461071576596E-6</v>
      </c>
      <c r="F202" s="131">
        <v>1.18140927800746E-3</v>
      </c>
      <c r="G202" s="131">
        <v>0.274136344117278</v>
      </c>
      <c r="H202" s="131">
        <v>3.9619709058848996E-3</v>
      </c>
      <c r="I202" s="131">
        <v>1.33270709726702E-4</v>
      </c>
      <c r="J202" s="131">
        <v>6.0707042625313297E-3</v>
      </c>
      <c r="K202" s="132">
        <v>105</v>
      </c>
      <c r="L202" s="133">
        <v>6.4</v>
      </c>
      <c r="M202" s="133">
        <v>25</v>
      </c>
      <c r="N202" s="133">
        <v>4.3</v>
      </c>
      <c r="O202" s="131">
        <v>5.3163463974372101E-4</v>
      </c>
      <c r="P202" s="133">
        <v>199.83600000000001</v>
      </c>
      <c r="Q202" s="134"/>
      <c r="R202" s="135"/>
    </row>
    <row r="203" spans="1:18" x14ac:dyDescent="0.25">
      <c r="A203" s="127">
        <v>44603</v>
      </c>
      <c r="B203" s="128" t="s">
        <v>211</v>
      </c>
      <c r="C203" s="129" t="str">
        <f t="shared" si="7"/>
        <v xml:space="preserve">11.02.2022_SCHohVo </v>
      </c>
      <c r="D203" s="143">
        <f t="shared" si="8"/>
        <v>0</v>
      </c>
      <c r="E203" s="130">
        <v>6.4931257514094906E-5</v>
      </c>
      <c r="F203" s="131">
        <v>1.8104279330026099E-3</v>
      </c>
      <c r="G203" s="131">
        <v>0.20454317055990801</v>
      </c>
      <c r="H203" s="131">
        <v>9.7913359264817194E-3</v>
      </c>
      <c r="I203" s="131">
        <v>2.3639549664712799E-4</v>
      </c>
      <c r="J203" s="131">
        <v>1.5903431616628799E-2</v>
      </c>
      <c r="K203" s="132">
        <v>75</v>
      </c>
      <c r="L203" s="133">
        <v>5.9</v>
      </c>
      <c r="M203" s="133">
        <v>14</v>
      </c>
      <c r="N203" s="133">
        <v>2</v>
      </c>
      <c r="O203" s="131">
        <v>1.9998906901426698E-3</v>
      </c>
      <c r="P203" s="133">
        <v>124.44</v>
      </c>
      <c r="Q203" s="134"/>
      <c r="R203" s="135"/>
    </row>
    <row r="204" spans="1:18" x14ac:dyDescent="0.25">
      <c r="A204" s="127">
        <v>44603</v>
      </c>
      <c r="B204" s="128" t="s">
        <v>212</v>
      </c>
      <c r="C204" s="129" t="str">
        <f t="shared" si="7"/>
        <v xml:space="preserve">11.02.2022_VORohBo </v>
      </c>
      <c r="D204" s="143">
        <f t="shared" si="8"/>
        <v>0</v>
      </c>
      <c r="E204" s="130">
        <v>9.1961152723243207E-6</v>
      </c>
      <c r="F204" s="131">
        <v>9.6641444127218597E-4</v>
      </c>
      <c r="G204" s="131">
        <v>0.270078625430137</v>
      </c>
      <c r="H204" s="131">
        <v>5.9238401380082902E-3</v>
      </c>
      <c r="I204" s="131">
        <v>1.91379941895432E-4</v>
      </c>
      <c r="J204" s="131">
        <v>8.5475053270091996E-3</v>
      </c>
      <c r="K204" s="132">
        <v>120</v>
      </c>
      <c r="L204" s="133">
        <v>11</v>
      </c>
      <c r="M204" s="133">
        <v>20</v>
      </c>
      <c r="N204" s="133">
        <v>4.9000000000000004</v>
      </c>
      <c r="O204" s="131">
        <v>7.4292137890088301E-4</v>
      </c>
      <c r="P204" s="133">
        <v>194.22399999999999</v>
      </c>
      <c r="Q204" s="134"/>
      <c r="R204" s="135"/>
    </row>
    <row r="205" spans="1:18" x14ac:dyDescent="0.25">
      <c r="A205" s="127">
        <v>44603</v>
      </c>
      <c r="B205" s="128" t="s">
        <v>213</v>
      </c>
      <c r="C205" s="129" t="str">
        <f t="shared" si="7"/>
        <v xml:space="preserve">11.02.2022_VORuhSc </v>
      </c>
      <c r="D205" s="143">
        <f t="shared" si="8"/>
        <v>0</v>
      </c>
      <c r="E205" s="130">
        <v>1.7894980003434999E-5</v>
      </c>
      <c r="F205" s="131">
        <v>9.9979756686518107E-4</v>
      </c>
      <c r="G205" s="131">
        <v>0.27380040919646098</v>
      </c>
      <c r="H205" s="131">
        <v>7.0586258476162999E-3</v>
      </c>
      <c r="I205" s="131">
        <v>1.53344774491353E-4</v>
      </c>
      <c r="J205" s="131">
        <v>1.2014360079457E-2</v>
      </c>
      <c r="K205" s="132">
        <v>117</v>
      </c>
      <c r="L205" s="133">
        <v>9.6999999999999993</v>
      </c>
      <c r="M205" s="133">
        <v>17</v>
      </c>
      <c r="N205" s="133">
        <v>3.6</v>
      </c>
      <c r="O205" s="131">
        <v>9.72765926086989E-4</v>
      </c>
      <c r="P205" s="133">
        <v>212.28</v>
      </c>
      <c r="Q205" s="134"/>
      <c r="R205" s="135"/>
    </row>
    <row r="206" spans="1:18" x14ac:dyDescent="0.25">
      <c r="A206" s="127">
        <v>44603</v>
      </c>
      <c r="B206" s="128" t="s">
        <v>214</v>
      </c>
      <c r="C206" s="129" t="str">
        <f t="shared" si="7"/>
        <v xml:space="preserve">11.02.2022_WITob </v>
      </c>
      <c r="D206" s="143">
        <f t="shared" si="8"/>
        <v>0</v>
      </c>
      <c r="E206" s="130">
        <v>7.2699237021492102E-6</v>
      </c>
      <c r="F206" s="131">
        <v>1.1333790840522601E-3</v>
      </c>
      <c r="G206" s="131">
        <v>0.48865640346363798</v>
      </c>
      <c r="H206" s="131">
        <v>5.8928044956379601E-3</v>
      </c>
      <c r="I206" s="131">
        <v>1.58938453396372E-4</v>
      </c>
      <c r="J206" s="131">
        <v>5.0445793838425797E-3</v>
      </c>
      <c r="K206" s="132">
        <v>164</v>
      </c>
      <c r="L206" s="133">
        <v>20</v>
      </c>
      <c r="M206" s="133">
        <v>47</v>
      </c>
      <c r="N206" s="133">
        <v>5</v>
      </c>
      <c r="O206" s="131">
        <v>3.8608686745729897E-4</v>
      </c>
      <c r="P206" s="133">
        <v>250</v>
      </c>
      <c r="Q206" s="134"/>
      <c r="R206" s="135"/>
    </row>
    <row r="207" spans="1:18" x14ac:dyDescent="0.25">
      <c r="A207" s="127">
        <v>44631</v>
      </c>
      <c r="B207" s="128" t="s">
        <v>198</v>
      </c>
      <c r="C207" s="129" t="str">
        <f t="shared" si="7"/>
        <v xml:space="preserve">11.03.2022_BOYkl </v>
      </c>
      <c r="D207" s="143">
        <f t="shared" si="8"/>
        <v>0</v>
      </c>
      <c r="E207" s="130">
        <v>7.0283648777159103E-5</v>
      </c>
      <c r="F207" s="131">
        <v>1.65762488704802E-3</v>
      </c>
      <c r="G207" s="131">
        <v>0.16935224981740701</v>
      </c>
      <c r="H207" s="131">
        <v>8.1597598027402796E-3</v>
      </c>
      <c r="I207" s="131">
        <v>1.16520437877666E-4</v>
      </c>
      <c r="J207" s="131">
        <v>6.46929789221497E-3</v>
      </c>
      <c r="K207" s="132">
        <v>53</v>
      </c>
      <c r="L207" s="133">
        <v>6.1</v>
      </c>
      <c r="M207" s="133">
        <v>14</v>
      </c>
      <c r="N207" s="133">
        <v>6.1</v>
      </c>
      <c r="O207" s="131">
        <v>1.35368947932858E-3</v>
      </c>
      <c r="P207" s="133">
        <v>104.676</v>
      </c>
      <c r="Q207" s="134"/>
      <c r="R207" s="135"/>
    </row>
    <row r="208" spans="1:18" x14ac:dyDescent="0.25">
      <c r="A208" s="127">
        <v>44631</v>
      </c>
      <c r="B208" s="128" t="s">
        <v>25</v>
      </c>
      <c r="C208" s="129" t="str">
        <f t="shared" si="7"/>
        <v>11.03.2022_BOYohB224</v>
      </c>
      <c r="D208" s="143">
        <f t="shared" si="8"/>
        <v>0</v>
      </c>
      <c r="E208" s="130">
        <v>9.8115369906022308E-6</v>
      </c>
      <c r="F208" s="131">
        <v>1.9963238531523798E-3</v>
      </c>
      <c r="G208" s="131">
        <v>0.42260477159151999</v>
      </c>
      <c r="H208" s="131">
        <v>6.7725328123634703E-3</v>
      </c>
      <c r="I208" s="131">
        <v>2.0015232578325599E-4</v>
      </c>
      <c r="J208" s="131">
        <v>4.7224600891042599E-3</v>
      </c>
      <c r="K208" s="132">
        <v>97</v>
      </c>
      <c r="L208" s="133">
        <v>15</v>
      </c>
      <c r="M208" s="133">
        <v>23</v>
      </c>
      <c r="N208" s="133">
        <v>5.6</v>
      </c>
      <c r="O208" s="131">
        <v>7.0825903227395199E-4</v>
      </c>
      <c r="P208" s="133">
        <v>201.3</v>
      </c>
      <c r="Q208" s="134"/>
      <c r="R208" s="135"/>
    </row>
    <row r="209" spans="1:18" x14ac:dyDescent="0.25">
      <c r="A209" s="127">
        <v>44631</v>
      </c>
      <c r="B209" s="128" t="s">
        <v>199</v>
      </c>
      <c r="C209" s="129" t="str">
        <f t="shared" si="7"/>
        <v xml:space="preserve">11.03.2022_BOYohBr </v>
      </c>
      <c r="D209" s="143">
        <f t="shared" si="8"/>
        <v>0</v>
      </c>
      <c r="E209" s="130">
        <v>2.6765146290034701E-5</v>
      </c>
      <c r="F209" s="131">
        <v>3.0388875682779799E-3</v>
      </c>
      <c r="G209" s="131">
        <v>0.27582822406331697</v>
      </c>
      <c r="H209" s="131">
        <v>7.1597322432688402E-3</v>
      </c>
      <c r="I209" s="131">
        <v>2.1793634626460399E-4</v>
      </c>
      <c r="J209" s="131">
        <v>8.8217028915427605E-3</v>
      </c>
      <c r="K209" s="132">
        <v>68</v>
      </c>
      <c r="L209" s="133">
        <v>7.7</v>
      </c>
      <c r="M209" s="133">
        <v>11</v>
      </c>
      <c r="N209" s="133">
        <v>5.2</v>
      </c>
      <c r="O209" s="131">
        <v>4.3527444910389999E-4</v>
      </c>
      <c r="P209" s="133">
        <v>136.39599999999999</v>
      </c>
      <c r="Q209" s="134"/>
      <c r="R209" s="135"/>
    </row>
    <row r="210" spans="1:18" x14ac:dyDescent="0.25">
      <c r="A210" s="127">
        <v>44631</v>
      </c>
      <c r="B210" s="128" t="s">
        <v>30</v>
      </c>
      <c r="C210" s="129" t="str">
        <f t="shared" si="7"/>
        <v>11.03.2022_BOYohKi</v>
      </c>
      <c r="D210" s="143">
        <f t="shared" si="8"/>
        <v>0</v>
      </c>
      <c r="E210" s="130">
        <v>1.06125493999739E-5</v>
      </c>
      <c r="F210" s="131">
        <v>1.60904510346026E-3</v>
      </c>
      <c r="G210" s="131">
        <v>0.31508571714149203</v>
      </c>
      <c r="H210" s="131">
        <v>6.5307352645647401E-3</v>
      </c>
      <c r="I210" s="131">
        <v>8.8600715362322099E-5</v>
      </c>
      <c r="J210" s="131">
        <v>4.5539009875627603E-3</v>
      </c>
      <c r="K210" s="132">
        <v>93</v>
      </c>
      <c r="L210" s="133">
        <v>9.9</v>
      </c>
      <c r="M210" s="133">
        <v>19</v>
      </c>
      <c r="N210" s="133">
        <v>5.0999999999999996</v>
      </c>
      <c r="O210" s="131">
        <v>8.1137100495818205E-4</v>
      </c>
      <c r="P210" s="133">
        <v>170.06800000000001</v>
      </c>
      <c r="Q210" s="134"/>
      <c r="R210" s="135"/>
    </row>
    <row r="211" spans="1:18" x14ac:dyDescent="0.25">
      <c r="A211" s="127">
        <v>44631</v>
      </c>
      <c r="B211" s="128" t="s">
        <v>200</v>
      </c>
      <c r="C211" s="129" t="str">
        <f t="shared" si="7"/>
        <v xml:space="preserve">11.03.2022_BOYohSp </v>
      </c>
      <c r="D211" s="143">
        <f t="shared" si="8"/>
        <v>0</v>
      </c>
      <c r="E211" s="130">
        <v>1.47508251736605E-5</v>
      </c>
      <c r="F211" s="131">
        <v>2.6628027566353799E-2</v>
      </c>
      <c r="G211" s="131">
        <v>0.28783583412886099</v>
      </c>
      <c r="H211" s="131">
        <v>5.48450647534091E-3</v>
      </c>
      <c r="I211" s="131">
        <v>7.6867399281477504E-5</v>
      </c>
      <c r="J211" s="131">
        <v>4.7655698669525201E-3</v>
      </c>
      <c r="K211" s="132">
        <v>82</v>
      </c>
      <c r="L211" s="133">
        <v>7.5</v>
      </c>
      <c r="M211" s="133">
        <v>16</v>
      </c>
      <c r="N211" s="133">
        <v>4.7</v>
      </c>
      <c r="O211" s="131">
        <v>4.3150505337305798E-4</v>
      </c>
      <c r="P211" s="133">
        <v>165.43199999999999</v>
      </c>
      <c r="Q211" s="134"/>
      <c r="R211" s="135"/>
    </row>
    <row r="212" spans="1:18" x14ac:dyDescent="0.25">
      <c r="A212" s="127">
        <v>44631</v>
      </c>
      <c r="B212" s="128" t="s">
        <v>201</v>
      </c>
      <c r="C212" s="129" t="str">
        <f t="shared" si="7"/>
        <v xml:space="preserve">11.03.2022_BOYuhSp </v>
      </c>
      <c r="D212" s="143">
        <f t="shared" si="8"/>
        <v>0</v>
      </c>
      <c r="E212" s="130">
        <v>1.92230002886187E-5</v>
      </c>
      <c r="F212" s="131">
        <v>1.8341286310614401E-3</v>
      </c>
      <c r="G212" s="131">
        <v>0.29038713533445998</v>
      </c>
      <c r="H212" s="131">
        <v>5.9358861538702503E-3</v>
      </c>
      <c r="I212" s="131">
        <v>9.17698087031817E-5</v>
      </c>
      <c r="J212" s="131">
        <v>6.6141254275685199E-3</v>
      </c>
      <c r="K212" s="132">
        <v>84</v>
      </c>
      <c r="L212" s="133">
        <v>7.8</v>
      </c>
      <c r="M212" s="133">
        <v>18</v>
      </c>
      <c r="N212" s="133">
        <v>4.5</v>
      </c>
      <c r="O212" s="131">
        <v>9.8743894800240508E-4</v>
      </c>
      <c r="P212" s="133">
        <v>170.8</v>
      </c>
      <c r="Q212" s="134"/>
      <c r="R212" s="135"/>
    </row>
    <row r="213" spans="1:18" x14ac:dyDescent="0.25">
      <c r="A213" s="127">
        <v>44631</v>
      </c>
      <c r="B213" s="128" t="s">
        <v>202</v>
      </c>
      <c r="C213" s="129" t="str">
        <f t="shared" si="7"/>
        <v xml:space="preserve">11.03.2022_BRAob </v>
      </c>
      <c r="D213" s="143">
        <f t="shared" si="8"/>
        <v>0</v>
      </c>
      <c r="E213" s="130">
        <v>7.2752860356588103E-6</v>
      </c>
      <c r="F213" s="131">
        <v>9.1450130885532496E-4</v>
      </c>
      <c r="G213" s="131">
        <v>0.352912425858395</v>
      </c>
      <c r="H213" s="131">
        <v>4.5459689329187302E-3</v>
      </c>
      <c r="I213" s="131">
        <v>9.0957934303338502E-5</v>
      </c>
      <c r="J213" s="131">
        <v>3.76699025211119E-3</v>
      </c>
      <c r="K213" s="132">
        <v>114</v>
      </c>
      <c r="L213" s="133">
        <v>5.6</v>
      </c>
      <c r="M213" s="133">
        <v>19</v>
      </c>
      <c r="N213" s="133">
        <v>3.8</v>
      </c>
      <c r="O213" s="131">
        <v>4.5743289008115702E-4</v>
      </c>
      <c r="P213" s="133">
        <v>176.65600000000001</v>
      </c>
      <c r="Q213" s="134"/>
      <c r="R213" s="135"/>
    </row>
    <row r="214" spans="1:18" x14ac:dyDescent="0.25">
      <c r="A214" s="127">
        <v>44631</v>
      </c>
      <c r="B214" s="128" t="s">
        <v>203</v>
      </c>
      <c r="C214" s="129" t="str">
        <f t="shared" si="7"/>
        <v xml:space="preserve">11.03.2022_BRAohBo </v>
      </c>
      <c r="D214" s="143">
        <f t="shared" si="8"/>
        <v>0</v>
      </c>
      <c r="E214" s="130">
        <v>1.28819403891601E-5</v>
      </c>
      <c r="F214" s="131">
        <v>1.8127018185184101E-3</v>
      </c>
      <c r="G214" s="131">
        <v>0.28372059948277301</v>
      </c>
      <c r="H214" s="131">
        <v>5.15389068292617E-3</v>
      </c>
      <c r="I214" s="131">
        <v>8.2000841739850701E-5</v>
      </c>
      <c r="J214" s="131">
        <v>4.6138918183123E-3</v>
      </c>
      <c r="K214" s="132">
        <v>90</v>
      </c>
      <c r="L214" s="133">
        <v>6.6</v>
      </c>
      <c r="M214" s="133">
        <v>17</v>
      </c>
      <c r="N214" s="133">
        <v>4.2</v>
      </c>
      <c r="O214" s="131">
        <v>4.9147661168033E-4</v>
      </c>
      <c r="P214" s="133">
        <v>176.9</v>
      </c>
      <c r="Q214" s="134"/>
      <c r="R214" s="135"/>
    </row>
    <row r="215" spans="1:18" x14ac:dyDescent="0.25">
      <c r="A215" s="127">
        <v>44631</v>
      </c>
      <c r="B215" s="128" t="s">
        <v>204</v>
      </c>
      <c r="C215" s="129" t="str">
        <f t="shared" si="7"/>
        <v xml:space="preserve">11.03.2022_HAAob </v>
      </c>
      <c r="D215" s="143">
        <f t="shared" si="8"/>
        <v>0</v>
      </c>
      <c r="E215" s="130">
        <v>7.0084260699016396E-6</v>
      </c>
      <c r="F215" s="131">
        <v>1.30859907593344E-3</v>
      </c>
      <c r="G215" s="131">
        <v>0.36205952238636502</v>
      </c>
      <c r="H215" s="131">
        <v>4.5358529134457799E-3</v>
      </c>
      <c r="I215" s="131">
        <v>8.2157989669251802E-5</v>
      </c>
      <c r="J215" s="131">
        <v>5.9987265909336399E-3</v>
      </c>
      <c r="K215" s="132">
        <v>85</v>
      </c>
      <c r="L215" s="133">
        <v>17</v>
      </c>
      <c r="M215" s="133">
        <v>18</v>
      </c>
      <c r="N215" s="133">
        <v>4.4000000000000004</v>
      </c>
      <c r="O215" s="131">
        <v>3.1456040441093402E-4</v>
      </c>
      <c r="P215" s="133">
        <v>190.07599999999999</v>
      </c>
      <c r="Q215" s="134"/>
      <c r="R215" s="135"/>
    </row>
    <row r="216" spans="1:18" x14ac:dyDescent="0.25">
      <c r="A216" s="127">
        <v>44631</v>
      </c>
      <c r="B216" s="128" t="s">
        <v>205</v>
      </c>
      <c r="C216" s="129" t="str">
        <f t="shared" si="7"/>
        <v xml:space="preserve">11.03.2022_HAAun </v>
      </c>
      <c r="D216" s="143">
        <f t="shared" si="8"/>
        <v>0</v>
      </c>
      <c r="E216" s="130">
        <v>9.2107776835735205E-6</v>
      </c>
      <c r="F216" s="131">
        <v>2.2364986172894799E-3</v>
      </c>
      <c r="G216" s="131">
        <v>0.40564770029912101</v>
      </c>
      <c r="H216" s="131">
        <v>5.4943387977714397E-3</v>
      </c>
      <c r="I216" s="131">
        <v>7.8674600469589998E-5</v>
      </c>
      <c r="J216" s="131">
        <v>5.5402450556697198E-3</v>
      </c>
      <c r="K216" s="132">
        <v>111</v>
      </c>
      <c r="L216" s="133">
        <v>25</v>
      </c>
      <c r="M216" s="133">
        <v>24</v>
      </c>
      <c r="N216" s="133">
        <v>6.5</v>
      </c>
      <c r="O216" s="131">
        <v>4.5294708939600301E-4</v>
      </c>
      <c r="P216" s="133">
        <v>242.78</v>
      </c>
      <c r="Q216" s="134"/>
      <c r="R216" s="135"/>
    </row>
    <row r="217" spans="1:18" x14ac:dyDescent="0.25">
      <c r="A217" s="127">
        <v>44631</v>
      </c>
      <c r="B217" s="128" t="s">
        <v>206</v>
      </c>
      <c r="C217" s="129" t="str">
        <f t="shared" si="7"/>
        <v xml:space="preserve">11.03.2022_KIRob </v>
      </c>
      <c r="D217" s="143">
        <f t="shared" si="8"/>
        <v>0</v>
      </c>
      <c r="E217" s="130">
        <v>8.5434115131305201E-6</v>
      </c>
      <c r="F217" s="131">
        <v>1.1750224963692701E-3</v>
      </c>
      <c r="G217" s="131">
        <v>0.26719240115221898</v>
      </c>
      <c r="H217" s="131">
        <v>4.8775607334608497E-3</v>
      </c>
      <c r="I217" s="131">
        <v>8.4148303833415995E-5</v>
      </c>
      <c r="J217" s="131">
        <v>2.98751669404613E-3</v>
      </c>
      <c r="K217" s="132">
        <v>99</v>
      </c>
      <c r="L217" s="133">
        <v>12</v>
      </c>
      <c r="M217" s="133">
        <v>56</v>
      </c>
      <c r="N217" s="133">
        <v>6.1</v>
      </c>
      <c r="O217" s="131">
        <v>5.2337218302429204E-4</v>
      </c>
      <c r="P217" s="133">
        <v>177.14400000000001</v>
      </c>
      <c r="Q217" s="134"/>
      <c r="R217" s="135"/>
    </row>
    <row r="218" spans="1:18" x14ac:dyDescent="0.25">
      <c r="A218" s="127">
        <v>44631</v>
      </c>
      <c r="B218" s="128" t="s">
        <v>207</v>
      </c>
      <c r="C218" s="129" t="str">
        <f t="shared" si="7"/>
        <v xml:space="preserve">11.03.2022_KIRun </v>
      </c>
      <c r="D218" s="143">
        <f t="shared" si="8"/>
        <v>0</v>
      </c>
      <c r="E218" s="130">
        <v>8.5434115131305201E-6</v>
      </c>
      <c r="F218" s="131">
        <v>9.906609115306849E-4</v>
      </c>
      <c r="G218" s="131">
        <v>0.25792630099634101</v>
      </c>
      <c r="H218" s="131">
        <v>4.5728294742471004E-3</v>
      </c>
      <c r="I218" s="131">
        <v>7.8360134904600595E-5</v>
      </c>
      <c r="J218" s="131">
        <v>2.84933959237175E-3</v>
      </c>
      <c r="K218" s="132">
        <v>102</v>
      </c>
      <c r="L218" s="133">
        <v>11</v>
      </c>
      <c r="M218" s="133">
        <v>45</v>
      </c>
      <c r="N218" s="133">
        <v>5.5</v>
      </c>
      <c r="O218" s="131">
        <v>3.7988731978299699E-4</v>
      </c>
      <c r="P218" s="133">
        <v>189.58799999999999</v>
      </c>
      <c r="Q218" s="134"/>
      <c r="R218" s="135"/>
    </row>
    <row r="219" spans="1:18" x14ac:dyDescent="0.25">
      <c r="A219" s="127">
        <v>44631</v>
      </c>
      <c r="B219" s="128" t="s">
        <v>208</v>
      </c>
      <c r="C219" s="129" t="str">
        <f t="shared" si="7"/>
        <v xml:space="preserve">11.03.2022_LIEohBo </v>
      </c>
      <c r="D219" s="143">
        <f t="shared" si="8"/>
        <v>0</v>
      </c>
      <c r="E219" s="130">
        <v>9.0775639567449708E-6</v>
      </c>
      <c r="F219" s="131">
        <v>1.7571076586276599E-3</v>
      </c>
      <c r="G219" s="131">
        <v>0.29275136684536102</v>
      </c>
      <c r="H219" s="131">
        <v>7.1739772963539403E-3</v>
      </c>
      <c r="I219" s="131">
        <v>1.32130691806425E-4</v>
      </c>
      <c r="J219" s="131">
        <v>5.42418766942204E-3</v>
      </c>
      <c r="K219" s="132">
        <v>71</v>
      </c>
      <c r="L219" s="133">
        <v>13</v>
      </c>
      <c r="M219" s="133">
        <v>17</v>
      </c>
      <c r="N219" s="133">
        <v>5.2</v>
      </c>
      <c r="O219" s="131">
        <v>4.0824390692478199E-4</v>
      </c>
      <c r="P219" s="133">
        <v>176.9</v>
      </c>
      <c r="Q219" s="134"/>
      <c r="R219" s="135"/>
    </row>
    <row r="220" spans="1:18" x14ac:dyDescent="0.25">
      <c r="A220" s="127">
        <v>44631</v>
      </c>
      <c r="B220" s="128" t="s">
        <v>209</v>
      </c>
      <c r="C220" s="129" t="str">
        <f t="shared" si="7"/>
        <v xml:space="preserve">11.03.2022_NATohBo </v>
      </c>
      <c r="D220" s="143">
        <f t="shared" si="8"/>
        <v>0</v>
      </c>
      <c r="E220" s="130">
        <v>1.7620975469875499E-5</v>
      </c>
      <c r="F220" s="131">
        <v>2.8115863492720501E-3</v>
      </c>
      <c r="G220" s="131">
        <v>0.65875252272331497</v>
      </c>
      <c r="H220" s="131">
        <v>9.4740059170815901E-3</v>
      </c>
      <c r="I220" s="131">
        <v>1.28202163277584E-4</v>
      </c>
      <c r="J220" s="131">
        <v>8.4290239389310101E-3</v>
      </c>
      <c r="K220" s="132">
        <v>154</v>
      </c>
      <c r="L220" s="133">
        <v>35</v>
      </c>
      <c r="M220" s="133">
        <v>71</v>
      </c>
      <c r="N220" s="133">
        <v>10</v>
      </c>
      <c r="O220" s="131">
        <v>6.6743893042973002E-4</v>
      </c>
      <c r="P220" s="133">
        <v>304.512</v>
      </c>
      <c r="Q220" s="134"/>
      <c r="R220" s="135"/>
    </row>
    <row r="221" spans="1:18" x14ac:dyDescent="0.25">
      <c r="A221" s="127">
        <v>44631</v>
      </c>
      <c r="B221" s="128" t="s">
        <v>210</v>
      </c>
      <c r="C221" s="129" t="str">
        <f t="shared" si="7"/>
        <v xml:space="preserve">11.03.2022_QUAohBo </v>
      </c>
      <c r="D221" s="143">
        <f t="shared" si="8"/>
        <v>0</v>
      </c>
      <c r="E221" s="130">
        <v>9.0105245812306103E-6</v>
      </c>
      <c r="F221" s="131">
        <v>2.38543437246068E-3</v>
      </c>
      <c r="G221" s="131">
        <v>0.336732594522134</v>
      </c>
      <c r="H221" s="131">
        <v>4.8113938540278699E-3</v>
      </c>
      <c r="I221" s="131">
        <v>9.0381781797596903E-5</v>
      </c>
      <c r="J221" s="131">
        <v>5.6464743427315899E-3</v>
      </c>
      <c r="K221" s="132">
        <v>92</v>
      </c>
      <c r="L221" s="133">
        <v>5.8</v>
      </c>
      <c r="M221" s="133">
        <v>20</v>
      </c>
      <c r="N221" s="133">
        <v>4</v>
      </c>
      <c r="O221" s="131">
        <v>5.8328077738907698E-4</v>
      </c>
      <c r="P221" s="133">
        <v>200.32400000000001</v>
      </c>
      <c r="Q221" s="134"/>
      <c r="R221" s="135"/>
    </row>
    <row r="222" spans="1:18" x14ac:dyDescent="0.25">
      <c r="A222" s="127">
        <v>44631</v>
      </c>
      <c r="B222" s="128" t="s">
        <v>211</v>
      </c>
      <c r="C222" s="129" t="str">
        <f t="shared" si="7"/>
        <v xml:space="preserve">11.03.2022_SCHohVo </v>
      </c>
      <c r="D222" s="143">
        <f t="shared" si="8"/>
        <v>0</v>
      </c>
      <c r="E222" s="130">
        <v>7.2486432902931096E-5</v>
      </c>
      <c r="F222" s="131">
        <v>1.6114642287728899E-3</v>
      </c>
      <c r="G222" s="131">
        <v>0.22938763231897999</v>
      </c>
      <c r="H222" s="131">
        <v>1.10266960092759E-2</v>
      </c>
      <c r="I222" s="131">
        <v>8.4515038904080898E-5</v>
      </c>
      <c r="J222" s="131">
        <v>1.41174701436311E-2</v>
      </c>
      <c r="K222" s="132">
        <v>83</v>
      </c>
      <c r="L222" s="133">
        <v>6.5</v>
      </c>
      <c r="M222" s="133">
        <v>14</v>
      </c>
      <c r="N222" s="133">
        <v>2</v>
      </c>
      <c r="O222" s="131">
        <v>2.0690355291725299E-3</v>
      </c>
      <c r="P222" s="133">
        <v>155.428</v>
      </c>
      <c r="Q222" s="134"/>
      <c r="R222" s="135"/>
    </row>
    <row r="223" spans="1:18" x14ac:dyDescent="0.25">
      <c r="A223" s="127">
        <v>44631</v>
      </c>
      <c r="B223" s="128" t="s">
        <v>212</v>
      </c>
      <c r="C223" s="129" t="str">
        <f t="shared" si="7"/>
        <v xml:space="preserve">11.03.2022_VORohBo </v>
      </c>
      <c r="D223" s="143">
        <f t="shared" si="8"/>
        <v>0</v>
      </c>
      <c r="E223" s="130">
        <v>7.14163979673018E-6</v>
      </c>
      <c r="F223" s="131">
        <v>1.13291673463323E-3</v>
      </c>
      <c r="G223" s="131">
        <v>0.34677440494776601</v>
      </c>
      <c r="H223" s="131">
        <v>6.8873048212889504E-3</v>
      </c>
      <c r="I223" s="131">
        <v>6.7569706400162502E-5</v>
      </c>
      <c r="J223" s="131">
        <v>4.0789173112206001E-3</v>
      </c>
      <c r="K223" s="132">
        <v>126</v>
      </c>
      <c r="L223" s="133">
        <v>14</v>
      </c>
      <c r="M223" s="133">
        <v>21</v>
      </c>
      <c r="N223" s="133">
        <v>5.7</v>
      </c>
      <c r="O223" s="131">
        <v>9.4339445353821595E-4</v>
      </c>
      <c r="P223" s="133">
        <v>249.124</v>
      </c>
      <c r="Q223" s="134"/>
      <c r="R223" s="135"/>
    </row>
    <row r="224" spans="1:18" x14ac:dyDescent="0.25">
      <c r="A224" s="127">
        <v>44631</v>
      </c>
      <c r="B224" s="128" t="s">
        <v>213</v>
      </c>
      <c r="C224" s="129" t="str">
        <f t="shared" si="7"/>
        <v xml:space="preserve">11.03.2022_VORuhSc </v>
      </c>
      <c r="D224" s="143">
        <f t="shared" si="8"/>
        <v>0</v>
      </c>
      <c r="E224" s="130">
        <v>1.6352849992403799E-5</v>
      </c>
      <c r="F224" s="131">
        <v>1.0886399630012399E-3</v>
      </c>
      <c r="G224" s="131">
        <v>0.37041277804501299</v>
      </c>
      <c r="H224" s="131">
        <v>7.7740522269717904E-3</v>
      </c>
      <c r="I224" s="131">
        <v>1.16887003242144E-4</v>
      </c>
      <c r="J224" s="131">
        <v>7.8687479194686598E-3</v>
      </c>
      <c r="K224" s="132">
        <v>124</v>
      </c>
      <c r="L224" s="133">
        <v>12</v>
      </c>
      <c r="M224" s="133">
        <v>18</v>
      </c>
      <c r="N224" s="133">
        <v>4.4000000000000004</v>
      </c>
      <c r="O224" s="131">
        <v>1.1203418386052199E-3</v>
      </c>
      <c r="P224" s="133">
        <v>246.684</v>
      </c>
      <c r="Q224" s="134"/>
      <c r="R224" s="135"/>
    </row>
    <row r="225" spans="1:18" x14ac:dyDescent="0.25">
      <c r="A225" s="127">
        <v>44631</v>
      </c>
      <c r="B225" s="128" t="s">
        <v>214</v>
      </c>
      <c r="C225" s="129" t="str">
        <f t="shared" si="7"/>
        <v xml:space="preserve">11.03.2022_WITob </v>
      </c>
      <c r="D225" s="143">
        <f t="shared" si="8"/>
        <v>0</v>
      </c>
      <c r="E225" s="130">
        <v>7.14163979673018E-6</v>
      </c>
      <c r="F225" s="131">
        <v>1.37153885899791E-3</v>
      </c>
      <c r="G225" s="131">
        <v>0.56102314590094204</v>
      </c>
      <c r="H225" s="131">
        <v>7.6105332400325998E-3</v>
      </c>
      <c r="I225" s="131">
        <v>1.1345673207909399E-4</v>
      </c>
      <c r="J225" s="131">
        <v>4.9040898779246899E-3</v>
      </c>
      <c r="K225" s="132">
        <v>132</v>
      </c>
      <c r="L225" s="133">
        <v>19</v>
      </c>
      <c r="M225" s="133">
        <v>38</v>
      </c>
      <c r="N225" s="133">
        <v>4.7</v>
      </c>
      <c r="O225" s="131">
        <v>4.5369862640518103E-4</v>
      </c>
      <c r="P225" s="133">
        <v>271.32799999999997</v>
      </c>
      <c r="Q225" s="134"/>
      <c r="R225" s="135"/>
    </row>
    <row r="226" spans="1:18" x14ac:dyDescent="0.25">
      <c r="A226" s="127">
        <v>44659</v>
      </c>
      <c r="B226" s="128" t="s">
        <v>198</v>
      </c>
      <c r="C226" s="129" t="str">
        <f t="shared" si="7"/>
        <v xml:space="preserve">08.04.2022_BOYkl </v>
      </c>
      <c r="D226" s="143">
        <f t="shared" si="8"/>
        <v>0</v>
      </c>
      <c r="E226" s="130">
        <v>9.2478894093139103E-5</v>
      </c>
      <c r="F226" s="131">
        <v>3.0068224786778501E-3</v>
      </c>
      <c r="G226" s="131">
        <v>0.31996430574228701</v>
      </c>
      <c r="H226" s="131">
        <v>8.3673992796933303E-3</v>
      </c>
      <c r="I226" s="131">
        <v>2.90852342808403E-4</v>
      </c>
      <c r="J226" s="131">
        <v>1.6755642862378E-2</v>
      </c>
      <c r="K226" s="132">
        <v>46</v>
      </c>
      <c r="L226" s="133">
        <v>4.9000000000000004</v>
      </c>
      <c r="M226" s="133">
        <v>11</v>
      </c>
      <c r="N226" s="133">
        <v>5.6</v>
      </c>
      <c r="O226" s="131">
        <v>1.2430953331241999E-3</v>
      </c>
      <c r="P226" s="133">
        <v>98.82</v>
      </c>
      <c r="Q226" s="134"/>
      <c r="R226" s="135"/>
    </row>
    <row r="227" spans="1:18" x14ac:dyDescent="0.25">
      <c r="A227" s="127">
        <v>44659</v>
      </c>
      <c r="B227" s="128" t="s">
        <v>25</v>
      </c>
      <c r="C227" s="129" t="str">
        <f t="shared" si="7"/>
        <v>08.04.2022_BOYohB224</v>
      </c>
      <c r="D227" s="143">
        <f t="shared" si="8"/>
        <v>0</v>
      </c>
      <c r="E227" s="130">
        <v>2.6204854339104099E-5</v>
      </c>
      <c r="F227" s="131">
        <v>4.5815408081476203E-3</v>
      </c>
      <c r="G227" s="131">
        <v>0.51432026829004895</v>
      </c>
      <c r="H227" s="131">
        <v>8.3207256084420599E-3</v>
      </c>
      <c r="I227" s="131">
        <v>2.3986052534349101E-4</v>
      </c>
      <c r="J227" s="131">
        <v>2.2557886261727798E-2</v>
      </c>
      <c r="K227" s="132">
        <v>81</v>
      </c>
      <c r="L227" s="133">
        <v>10</v>
      </c>
      <c r="M227" s="133">
        <v>22</v>
      </c>
      <c r="N227" s="133">
        <v>5.4</v>
      </c>
      <c r="O227" s="131">
        <v>8.2303611084803396E-4</v>
      </c>
      <c r="P227" s="133">
        <v>169.09200000000001</v>
      </c>
      <c r="Q227" s="134"/>
      <c r="R227" s="135"/>
    </row>
    <row r="228" spans="1:18" x14ac:dyDescent="0.25">
      <c r="A228" s="127">
        <v>44659</v>
      </c>
      <c r="B228" s="128" t="s">
        <v>199</v>
      </c>
      <c r="C228" s="129" t="str">
        <f t="shared" si="7"/>
        <v xml:space="preserve">08.04.2022_BOYohBr </v>
      </c>
      <c r="D228" s="143">
        <f t="shared" si="8"/>
        <v>0</v>
      </c>
      <c r="E228" s="130">
        <v>4.2278139079057499E-5</v>
      </c>
      <c r="F228" s="131">
        <v>6.2782705381797298E-3</v>
      </c>
      <c r="G228" s="131">
        <v>0.34990022447100499</v>
      </c>
      <c r="H228" s="131">
        <v>7.4867293227350697E-3</v>
      </c>
      <c r="I228" s="131">
        <v>2.41589219602789E-4</v>
      </c>
      <c r="J228" s="131">
        <v>1.81798508101534E-2</v>
      </c>
      <c r="K228" s="132">
        <v>53</v>
      </c>
      <c r="L228" s="133">
        <v>5</v>
      </c>
      <c r="M228" s="133">
        <v>9.5</v>
      </c>
      <c r="N228" s="133">
        <v>4.5999999999999996</v>
      </c>
      <c r="O228" s="131">
        <v>5.9562168458806501E-4</v>
      </c>
      <c r="P228" s="133">
        <v>105.164</v>
      </c>
      <c r="Q228" s="134"/>
      <c r="R228" s="135"/>
    </row>
    <row r="229" spans="1:18" x14ac:dyDescent="0.25">
      <c r="A229" s="127">
        <v>44659</v>
      </c>
      <c r="B229" s="128" t="s">
        <v>30</v>
      </c>
      <c r="C229" s="129" t="str">
        <f t="shared" si="7"/>
        <v>08.04.2022_BOYohKi</v>
      </c>
      <c r="D229" s="143">
        <f t="shared" si="8"/>
        <v>0</v>
      </c>
      <c r="E229" s="130">
        <v>5.53803194381443E-5</v>
      </c>
      <c r="F229" s="131">
        <v>4.3696817965710602E-3</v>
      </c>
      <c r="G229" s="131">
        <v>0.48482149683875703</v>
      </c>
      <c r="H229" s="131">
        <v>8.8083831377779899E-3</v>
      </c>
      <c r="I229" s="131">
        <v>2.7133847061272201E-4</v>
      </c>
      <c r="J229" s="131">
        <v>2.5347827617455E-2</v>
      </c>
      <c r="K229" s="132">
        <v>73</v>
      </c>
      <c r="L229" s="133">
        <v>6.9</v>
      </c>
      <c r="M229" s="133">
        <v>18</v>
      </c>
      <c r="N229" s="133">
        <v>5</v>
      </c>
      <c r="O229" s="131">
        <v>1.18849041368603E-3</v>
      </c>
      <c r="P229" s="133">
        <v>155.428</v>
      </c>
      <c r="Q229" s="134"/>
      <c r="R229" s="135"/>
    </row>
    <row r="230" spans="1:18" x14ac:dyDescent="0.25">
      <c r="A230" s="127">
        <v>44659</v>
      </c>
      <c r="B230" s="128" t="s">
        <v>200</v>
      </c>
      <c r="C230" s="129" t="str">
        <f t="shared" si="7"/>
        <v xml:space="preserve">08.04.2022_BOYohSp </v>
      </c>
      <c r="D230" s="143">
        <f t="shared" si="8"/>
        <v>0</v>
      </c>
      <c r="E230" s="130">
        <v>3.6945552166530102E-5</v>
      </c>
      <c r="F230" s="131">
        <v>6.07439512849725E-3</v>
      </c>
      <c r="G230" s="131">
        <v>0.43041503045768098</v>
      </c>
      <c r="H230" s="131">
        <v>7.9761684433959194E-3</v>
      </c>
      <c r="I230" s="131">
        <v>2.7063236087271098E-4</v>
      </c>
      <c r="J230" s="131">
        <v>1.98789066701009E-2</v>
      </c>
      <c r="K230" s="132">
        <v>72</v>
      </c>
      <c r="L230" s="133">
        <v>6.6</v>
      </c>
      <c r="M230" s="133">
        <v>17</v>
      </c>
      <c r="N230" s="133">
        <v>5.6</v>
      </c>
      <c r="O230" s="131">
        <v>8.0479517030210604E-4</v>
      </c>
      <c r="P230" s="133">
        <v>150.792</v>
      </c>
      <c r="Q230" s="134"/>
      <c r="R230" s="135"/>
    </row>
    <row r="231" spans="1:18" x14ac:dyDescent="0.25">
      <c r="A231" s="127">
        <v>44659</v>
      </c>
      <c r="B231" s="128" t="s">
        <v>201</v>
      </c>
      <c r="C231" s="129" t="str">
        <f t="shared" si="7"/>
        <v xml:space="preserve">08.04.2022_BOYuhSp </v>
      </c>
      <c r="D231" s="143">
        <f t="shared" si="8"/>
        <v>0</v>
      </c>
      <c r="E231" s="130">
        <v>6.55879066605968E-5</v>
      </c>
      <c r="F231" s="131">
        <v>4.6839556988007604E-3</v>
      </c>
      <c r="G231" s="131">
        <v>0.45822188709913098</v>
      </c>
      <c r="H231" s="131">
        <v>8.4151453407381102E-3</v>
      </c>
      <c r="I231" s="131">
        <v>2.4545904087237299E-4</v>
      </c>
      <c r="J231" s="131">
        <v>2.3539241100650501E-2</v>
      </c>
      <c r="K231" s="132">
        <v>72</v>
      </c>
      <c r="L231" s="133">
        <v>6.4</v>
      </c>
      <c r="M231" s="133">
        <v>19</v>
      </c>
      <c r="N231" s="133">
        <v>4.8</v>
      </c>
      <c r="O231" s="131">
        <v>1.43204507982335E-3</v>
      </c>
      <c r="P231" s="133">
        <v>144.44800000000001</v>
      </c>
      <c r="Q231" s="134"/>
      <c r="R231" s="135"/>
    </row>
    <row r="232" spans="1:18" x14ac:dyDescent="0.25">
      <c r="A232" s="127">
        <v>44659</v>
      </c>
      <c r="B232" s="128" t="s">
        <v>202</v>
      </c>
      <c r="C232" s="129" t="str">
        <f t="shared" si="7"/>
        <v xml:space="preserve">08.04.2022_BRAob </v>
      </c>
      <c r="D232" s="143">
        <f t="shared" si="8"/>
        <v>0</v>
      </c>
      <c r="E232" s="130">
        <v>2.16339245223862E-5</v>
      </c>
      <c r="F232" s="131">
        <v>2.2380731644378602E-3</v>
      </c>
      <c r="G232" s="131">
        <v>0.54680852107783495</v>
      </c>
      <c r="H232" s="131">
        <v>6.2061752654307299E-3</v>
      </c>
      <c r="I232" s="131">
        <v>3.5575744441372598E-4</v>
      </c>
      <c r="J232" s="131">
        <v>1.19920524982046E-2</v>
      </c>
      <c r="K232" s="132">
        <v>93</v>
      </c>
      <c r="L232" s="133">
        <v>5</v>
      </c>
      <c r="M232" s="133">
        <v>17</v>
      </c>
      <c r="N232" s="133">
        <v>3.9</v>
      </c>
      <c r="O232" s="131">
        <v>7.0562574789245997E-4</v>
      </c>
      <c r="P232" s="133">
        <v>161.28399999999999</v>
      </c>
      <c r="Q232" s="134"/>
      <c r="R232" s="135"/>
    </row>
    <row r="233" spans="1:18" x14ac:dyDescent="0.25">
      <c r="A233" s="127">
        <v>44659</v>
      </c>
      <c r="B233" s="128" t="s">
        <v>203</v>
      </c>
      <c r="C233" s="129" t="str">
        <f t="shared" si="7"/>
        <v xml:space="preserve">08.04.2022_BRAohBo </v>
      </c>
      <c r="D233" s="143">
        <f t="shared" si="8"/>
        <v>0</v>
      </c>
      <c r="E233" s="130">
        <v>3.2832208952414602E-5</v>
      </c>
      <c r="F233" s="131">
        <v>3.1735035421999098E-3</v>
      </c>
      <c r="G233" s="131">
        <v>0.48794756837011</v>
      </c>
      <c r="H233" s="131">
        <v>6.8166943151174901E-3</v>
      </c>
      <c r="I233" s="131">
        <v>3.15578826119729E-4</v>
      </c>
      <c r="J233" s="131">
        <v>1.84578385922941E-2</v>
      </c>
      <c r="K233" s="132">
        <v>80</v>
      </c>
      <c r="L233" s="133">
        <v>6.6</v>
      </c>
      <c r="M233" s="133">
        <v>17</v>
      </c>
      <c r="N233" s="133">
        <v>5.4</v>
      </c>
      <c r="O233" s="131">
        <v>9.6829911257172402E-4</v>
      </c>
      <c r="P233" s="133">
        <v>165.18799999999999</v>
      </c>
      <c r="Q233" s="134"/>
      <c r="R233" s="135"/>
    </row>
    <row r="234" spans="1:18" x14ac:dyDescent="0.25">
      <c r="A234" s="127">
        <v>44659</v>
      </c>
      <c r="B234" s="128" t="s">
        <v>204</v>
      </c>
      <c r="C234" s="129" t="str">
        <f t="shared" si="7"/>
        <v xml:space="preserve">08.04.2022_HAAob </v>
      </c>
      <c r="D234" s="143">
        <f t="shared" si="8"/>
        <v>0</v>
      </c>
      <c r="E234" s="130">
        <v>6.9319187274481299E-6</v>
      </c>
      <c r="F234" s="131">
        <v>1.2743254039751101E-3</v>
      </c>
      <c r="G234" s="131">
        <v>0.470064850864025</v>
      </c>
      <c r="H234" s="131">
        <v>4.82793990280993E-3</v>
      </c>
      <c r="I234" s="131">
        <v>2.2447554021575499E-4</v>
      </c>
      <c r="J234" s="131">
        <v>1.3568395711923399E-2</v>
      </c>
      <c r="K234" s="132">
        <v>76</v>
      </c>
      <c r="L234" s="133">
        <v>9</v>
      </c>
      <c r="M234" s="133">
        <v>17</v>
      </c>
      <c r="N234" s="133">
        <v>4.5</v>
      </c>
      <c r="O234" s="131">
        <v>3.0983021768227599E-4</v>
      </c>
      <c r="P234" s="133">
        <v>177.876</v>
      </c>
      <c r="Q234" s="134"/>
      <c r="R234" s="135"/>
    </row>
    <row r="235" spans="1:18" x14ac:dyDescent="0.25">
      <c r="A235" s="127">
        <v>44659</v>
      </c>
      <c r="B235" s="128" t="s">
        <v>205</v>
      </c>
      <c r="C235" s="129" t="str">
        <f t="shared" si="7"/>
        <v xml:space="preserve">08.04.2022_HAAun </v>
      </c>
      <c r="D235" s="143">
        <f t="shared" si="8"/>
        <v>0</v>
      </c>
      <c r="E235" s="130">
        <v>1.37878198315945E-5</v>
      </c>
      <c r="F235" s="131">
        <v>2.1660099853721801E-3</v>
      </c>
      <c r="G235" s="131">
        <v>0.55798408814101397</v>
      </c>
      <c r="H235" s="131">
        <v>6.1921202566995199E-3</v>
      </c>
      <c r="I235" s="131">
        <v>2.5559908347282898E-4</v>
      </c>
      <c r="J235" s="131">
        <v>1.3429966731607099E-2</v>
      </c>
      <c r="K235" s="132">
        <v>90</v>
      </c>
      <c r="L235" s="133">
        <v>14</v>
      </c>
      <c r="M235" s="133">
        <v>20</v>
      </c>
      <c r="N235" s="133">
        <v>5.6</v>
      </c>
      <c r="O235" s="131">
        <v>5.5115251476925398E-4</v>
      </c>
      <c r="P235" s="133">
        <v>216.428</v>
      </c>
      <c r="Q235" s="134"/>
      <c r="R235" s="135"/>
    </row>
    <row r="236" spans="1:18" x14ac:dyDescent="0.25">
      <c r="A236" s="127">
        <v>44659</v>
      </c>
      <c r="B236" s="128" t="s">
        <v>206</v>
      </c>
      <c r="C236" s="129" t="str">
        <f t="shared" si="7"/>
        <v xml:space="preserve">08.04.2022_KIRob </v>
      </c>
      <c r="D236" s="143">
        <f t="shared" si="8"/>
        <v>0</v>
      </c>
      <c r="E236" s="130">
        <v>1.54636628907475E-5</v>
      </c>
      <c r="F236" s="131">
        <v>1.8354404550803101E-3</v>
      </c>
      <c r="G236" s="131">
        <v>0.623389646760239</v>
      </c>
      <c r="H236" s="131">
        <v>7.7133650818190097E-3</v>
      </c>
      <c r="I236" s="131">
        <v>3.7277806736598902E-4</v>
      </c>
      <c r="J236" s="131">
        <v>2.3113314637945401E-2</v>
      </c>
      <c r="K236" s="132">
        <v>102</v>
      </c>
      <c r="L236" s="133">
        <v>11</v>
      </c>
      <c r="M236" s="133">
        <v>59</v>
      </c>
      <c r="N236" s="133">
        <v>5.8</v>
      </c>
      <c r="O236" s="131">
        <v>8.6685396232029095E-4</v>
      </c>
      <c r="P236" s="133">
        <v>192.76</v>
      </c>
      <c r="Q236" s="134"/>
      <c r="R236" s="135"/>
    </row>
    <row r="237" spans="1:18" x14ac:dyDescent="0.25">
      <c r="A237" s="127">
        <v>44659</v>
      </c>
      <c r="B237" s="128" t="s">
        <v>207</v>
      </c>
      <c r="C237" s="129" t="str">
        <f t="shared" si="7"/>
        <v xml:space="preserve">08.04.2022_KIRun </v>
      </c>
      <c r="D237" s="143">
        <f t="shared" si="8"/>
        <v>0</v>
      </c>
      <c r="E237" s="130">
        <v>1.31786916033191E-5</v>
      </c>
      <c r="F237" s="131">
        <v>1.5283883213563199E-3</v>
      </c>
      <c r="G237" s="131">
        <v>0.57098805023289601</v>
      </c>
      <c r="H237" s="131">
        <v>6.7655099042972597E-3</v>
      </c>
      <c r="I237" s="131">
        <v>4.0867629691316101E-4</v>
      </c>
      <c r="J237" s="131">
        <v>1.5986158355571399E-2</v>
      </c>
      <c r="K237" s="132">
        <v>99</v>
      </c>
      <c r="L237" s="133">
        <v>10</v>
      </c>
      <c r="M237" s="133">
        <v>46</v>
      </c>
      <c r="N237" s="133">
        <v>5.3</v>
      </c>
      <c r="O237" s="131">
        <v>6.0758159381526405E-4</v>
      </c>
      <c r="P237" s="133">
        <v>194.22399999999999</v>
      </c>
      <c r="Q237" s="134"/>
      <c r="R237" s="135"/>
    </row>
    <row r="238" spans="1:18" x14ac:dyDescent="0.25">
      <c r="A238" s="127">
        <v>44659</v>
      </c>
      <c r="B238" s="128" t="s">
        <v>208</v>
      </c>
      <c r="C238" s="129" t="str">
        <f t="shared" si="7"/>
        <v xml:space="preserve">08.04.2022_LIEohBo </v>
      </c>
      <c r="D238" s="143">
        <f t="shared" si="8"/>
        <v>0</v>
      </c>
      <c r="E238" s="130">
        <v>1.2645087377414999E-5</v>
      </c>
      <c r="F238" s="131">
        <v>2.8000736537245399E-3</v>
      </c>
      <c r="G238" s="131">
        <v>0.44339546501680399</v>
      </c>
      <c r="H238" s="131">
        <v>7.1152576872853604E-3</v>
      </c>
      <c r="I238" s="131">
        <v>2.28380594433916E-4</v>
      </c>
      <c r="J238" s="131">
        <v>1.4251703637043801E-2</v>
      </c>
      <c r="K238" s="132">
        <v>68</v>
      </c>
      <c r="L238" s="133">
        <v>9.3000000000000007</v>
      </c>
      <c r="M238" s="133">
        <v>19</v>
      </c>
      <c r="N238" s="133">
        <v>5.3</v>
      </c>
      <c r="O238" s="131">
        <v>4.9970126846387696E-4</v>
      </c>
      <c r="P238" s="133">
        <v>173.48400000000001</v>
      </c>
      <c r="Q238" s="134"/>
      <c r="R238" s="135"/>
    </row>
    <row r="239" spans="1:18" x14ac:dyDescent="0.25">
      <c r="A239" s="127">
        <v>44659</v>
      </c>
      <c r="B239" s="128" t="s">
        <v>209</v>
      </c>
      <c r="C239" s="129" t="str">
        <f t="shared" si="7"/>
        <v xml:space="preserve">08.04.2022_NATohBo </v>
      </c>
      <c r="D239" s="143">
        <f t="shared" si="8"/>
        <v>0</v>
      </c>
      <c r="E239" s="130">
        <v>2.0186627954068999E-5</v>
      </c>
      <c r="F239" s="131">
        <v>2.9821629262812401E-3</v>
      </c>
      <c r="G239" s="131">
        <v>0.61544414453619201</v>
      </c>
      <c r="H239" s="131">
        <v>7.4730391778750098E-3</v>
      </c>
      <c r="I239" s="131">
        <v>2.5585566223952497E-4</v>
      </c>
      <c r="J239" s="131">
        <v>2.0978389147577201E-2</v>
      </c>
      <c r="K239" s="132">
        <v>104</v>
      </c>
      <c r="L239" s="133">
        <v>18</v>
      </c>
      <c r="M239" s="133">
        <v>48</v>
      </c>
      <c r="N239" s="133">
        <v>7.6</v>
      </c>
      <c r="O239" s="131">
        <v>5.61217373232847E-4</v>
      </c>
      <c r="P239" s="133">
        <v>226.18799999999999</v>
      </c>
      <c r="Q239" s="134"/>
      <c r="R239" s="135"/>
    </row>
    <row r="240" spans="1:18" x14ac:dyDescent="0.25">
      <c r="A240" s="127">
        <v>44659</v>
      </c>
      <c r="B240" s="128" t="s">
        <v>210</v>
      </c>
      <c r="C240" s="129" t="str">
        <f t="shared" si="7"/>
        <v xml:space="preserve">08.04.2022_QUAohBo </v>
      </c>
      <c r="D240" s="143">
        <f t="shared" si="8"/>
        <v>0</v>
      </c>
      <c r="E240" s="130">
        <v>1.3330726849922701E-5</v>
      </c>
      <c r="F240" s="131">
        <v>2.23232276837332E-3</v>
      </c>
      <c r="G240" s="131">
        <v>0.56465191116549596</v>
      </c>
      <c r="H240" s="131">
        <v>6.1839914582842602E-3</v>
      </c>
      <c r="I240" s="131">
        <v>2.5080595169788803E-4</v>
      </c>
      <c r="J240" s="131">
        <v>1.56200068350921E-2</v>
      </c>
      <c r="K240" s="132">
        <v>88</v>
      </c>
      <c r="L240" s="133">
        <v>5.6</v>
      </c>
      <c r="M240" s="133">
        <v>27</v>
      </c>
      <c r="N240" s="133">
        <v>4</v>
      </c>
      <c r="O240" s="131">
        <v>7.0546720267884104E-4</v>
      </c>
      <c r="P240" s="133">
        <v>193.00399999999999</v>
      </c>
      <c r="Q240" s="134"/>
      <c r="R240" s="135"/>
    </row>
    <row r="241" spans="1:18" x14ac:dyDescent="0.25">
      <c r="A241" s="127">
        <v>44659</v>
      </c>
      <c r="B241" s="128" t="s">
        <v>211</v>
      </c>
      <c r="C241" s="129" t="str">
        <f t="shared" si="7"/>
        <v xml:space="preserve">08.04.2022_SCHohVo </v>
      </c>
      <c r="D241" s="143">
        <f t="shared" si="8"/>
        <v>0</v>
      </c>
      <c r="E241" s="130">
        <v>1.4420345691977001E-4</v>
      </c>
      <c r="F241" s="131">
        <v>3.0475744243325599E-3</v>
      </c>
      <c r="G241" s="131">
        <v>0.384489106883595</v>
      </c>
      <c r="H241" s="131">
        <v>1.47734131264381E-2</v>
      </c>
      <c r="I241" s="131">
        <v>3.75112146582895E-4</v>
      </c>
      <c r="J241" s="131">
        <v>4.4183623995763803E-2</v>
      </c>
      <c r="K241" s="132">
        <v>56</v>
      </c>
      <c r="L241" s="133">
        <v>5.3</v>
      </c>
      <c r="M241" s="133">
        <v>11</v>
      </c>
      <c r="N241" s="133">
        <v>1.7</v>
      </c>
      <c r="O241" s="131">
        <v>3.46118782244614E-3</v>
      </c>
      <c r="P241" s="133">
        <v>102.48</v>
      </c>
      <c r="Q241" s="134"/>
      <c r="R241" s="135"/>
    </row>
    <row r="242" spans="1:18" x14ac:dyDescent="0.25">
      <c r="A242" s="127">
        <v>44659</v>
      </c>
      <c r="B242" s="128" t="s">
        <v>212</v>
      </c>
      <c r="C242" s="129" t="str">
        <f t="shared" si="7"/>
        <v xml:space="preserve">08.04.2022_VORohBo </v>
      </c>
      <c r="D242" s="143">
        <f t="shared" si="8"/>
        <v>0</v>
      </c>
      <c r="E242" s="130">
        <v>2.09482850498785E-5</v>
      </c>
      <c r="F242" s="131">
        <v>1.88810718968719E-3</v>
      </c>
      <c r="G242" s="131">
        <v>0.59682234063835704</v>
      </c>
      <c r="H242" s="131">
        <v>9.5464545753576602E-3</v>
      </c>
      <c r="I242" s="131">
        <v>2.6209355215875998E-4</v>
      </c>
      <c r="J242" s="131">
        <v>1.65226625907532E-2</v>
      </c>
      <c r="K242" s="132">
        <v>102</v>
      </c>
      <c r="L242" s="133">
        <v>10</v>
      </c>
      <c r="M242" s="133">
        <v>17</v>
      </c>
      <c r="N242" s="133">
        <v>4.2</v>
      </c>
      <c r="O242" s="131">
        <v>1.44475641657216E-3</v>
      </c>
      <c r="P242" s="133">
        <v>195.93199999999999</v>
      </c>
      <c r="Q242" s="134"/>
      <c r="R242" s="135"/>
    </row>
    <row r="243" spans="1:18" x14ac:dyDescent="0.25">
      <c r="A243" s="127">
        <v>44659</v>
      </c>
      <c r="B243" s="128" t="s">
        <v>213</v>
      </c>
      <c r="C243" s="129" t="str">
        <f t="shared" si="7"/>
        <v xml:space="preserve">08.04.2022_VORuhSc </v>
      </c>
      <c r="D243" s="143">
        <f t="shared" si="8"/>
        <v>0</v>
      </c>
      <c r="E243" s="130">
        <v>3.6564476808160098E-5</v>
      </c>
      <c r="F243" s="131">
        <v>2.1318138477833199E-3</v>
      </c>
      <c r="G243" s="131">
        <v>0.57734592422421904</v>
      </c>
      <c r="H243" s="131">
        <v>1.17516268827479E-2</v>
      </c>
      <c r="I243" s="131">
        <v>3.1881010200951601E-4</v>
      </c>
      <c r="J243" s="131">
        <v>2.8006668325313601E-2</v>
      </c>
      <c r="K243" s="132">
        <v>99</v>
      </c>
      <c r="L243" s="133">
        <v>9.3000000000000007</v>
      </c>
      <c r="M243" s="133">
        <v>16</v>
      </c>
      <c r="N243" s="133">
        <v>3.5</v>
      </c>
      <c r="O243" s="131">
        <v>1.8899315231434401E-3</v>
      </c>
      <c r="P243" s="133">
        <v>190.80799999999999</v>
      </c>
      <c r="Q243" s="134"/>
      <c r="R243" s="135"/>
    </row>
    <row r="244" spans="1:18" x14ac:dyDescent="0.25">
      <c r="A244" s="127">
        <v>44659</v>
      </c>
      <c r="B244" s="128" t="s">
        <v>214</v>
      </c>
      <c r="C244" s="129" t="str">
        <f t="shared" si="7"/>
        <v xml:space="preserve">08.04.2022_WITob </v>
      </c>
      <c r="D244" s="143">
        <f t="shared" si="8"/>
        <v>0</v>
      </c>
      <c r="E244" s="130">
        <v>8.3031976724634994E-6</v>
      </c>
      <c r="F244" s="131">
        <v>1.69169798491219E-3</v>
      </c>
      <c r="G244" s="131">
        <v>0.81067672579831795</v>
      </c>
      <c r="H244" s="131">
        <v>7.9981461506289497E-3</v>
      </c>
      <c r="I244" s="131">
        <v>2.9955446660163997E-4</v>
      </c>
      <c r="J244" s="131">
        <v>1.04117881392522E-2</v>
      </c>
      <c r="K244" s="132">
        <v>126</v>
      </c>
      <c r="L244" s="133">
        <v>16</v>
      </c>
      <c r="M244" s="133">
        <v>37</v>
      </c>
      <c r="N244" s="133">
        <v>4.3</v>
      </c>
      <c r="O244" s="131">
        <v>6.0327184232327499E-4</v>
      </c>
      <c r="P244" s="133">
        <v>291.82400000000001</v>
      </c>
      <c r="Q244" s="134"/>
      <c r="R244" s="135"/>
    </row>
    <row r="245" spans="1:18" x14ac:dyDescent="0.25">
      <c r="A245" s="127">
        <v>44683</v>
      </c>
      <c r="B245" s="128" t="s">
        <v>22</v>
      </c>
      <c r="C245" s="129" t="str">
        <f t="shared" si="7"/>
        <v>02.05.2022_BOYkl</v>
      </c>
      <c r="D245" s="143">
        <f t="shared" si="8"/>
        <v>0</v>
      </c>
      <c r="E245" s="130">
        <v>4.6765130092362898E-5</v>
      </c>
      <c r="F245" s="131">
        <v>1.93821110006697E-4</v>
      </c>
      <c r="G245" s="131">
        <v>0.164303623161457</v>
      </c>
      <c r="H245" s="131">
        <v>8.35110147576071E-3</v>
      </c>
      <c r="I245" s="131">
        <v>3.3682535059271601E-4</v>
      </c>
      <c r="J245" s="131">
        <v>2.7101412663095002E-3</v>
      </c>
      <c r="K245" s="132">
        <v>54.957281876238802</v>
      </c>
      <c r="L245" s="133">
        <v>5.8362187580996601</v>
      </c>
      <c r="M245" s="133">
        <v>14.6967486722589</v>
      </c>
      <c r="N245" s="133">
        <v>5.7930693877748798</v>
      </c>
      <c r="O245" s="131">
        <v>5.1030477961052203E-4</v>
      </c>
      <c r="P245" s="133">
        <v>103.5</v>
      </c>
      <c r="Q245" s="134"/>
      <c r="R245" s="135"/>
    </row>
    <row r="246" spans="1:18" x14ac:dyDescent="0.25">
      <c r="A246" s="127">
        <v>44683</v>
      </c>
      <c r="B246" s="128" t="s">
        <v>25</v>
      </c>
      <c r="C246" s="129" t="str">
        <f t="shared" si="7"/>
        <v>02.05.2022_BOYohB224</v>
      </c>
      <c r="D246" s="143">
        <f t="shared" si="8"/>
        <v>0</v>
      </c>
      <c r="E246" s="130">
        <v>1.3496969234664699E-5</v>
      </c>
      <c r="F246" s="131">
        <v>1.5793792272980901E-4</v>
      </c>
      <c r="G246" s="131">
        <v>0.32786179244936903</v>
      </c>
      <c r="H246" s="131">
        <v>5.7061881126413104E-3</v>
      </c>
      <c r="I246" s="131">
        <v>1.4227142391069501E-4</v>
      </c>
      <c r="J246" s="131">
        <v>1.1602626174352501E-3</v>
      </c>
      <c r="K246" s="132">
        <v>110.318197112237</v>
      </c>
      <c r="L246" s="133">
        <v>17.205840564182001</v>
      </c>
      <c r="M246" s="133">
        <v>28.872379213678698</v>
      </c>
      <c r="N246" s="133">
        <v>5.95548046221377</v>
      </c>
      <c r="O246" s="131">
        <v>4.7819681611587601E-4</v>
      </c>
      <c r="P246" s="133">
        <v>215.7</v>
      </c>
      <c r="Q246" s="134"/>
      <c r="R246" s="135"/>
    </row>
    <row r="247" spans="1:18" x14ac:dyDescent="0.25">
      <c r="A247" s="127">
        <v>44683</v>
      </c>
      <c r="B247" s="128" t="s">
        <v>28</v>
      </c>
      <c r="C247" s="129" t="str">
        <f t="shared" si="7"/>
        <v>02.05.2022_BOYohBr</v>
      </c>
      <c r="D247" s="143">
        <f t="shared" si="8"/>
        <v>0</v>
      </c>
      <c r="E247" s="130">
        <v>1.2293041221399199E-5</v>
      </c>
      <c r="F247" s="131">
        <v>1.35234957024439E-4</v>
      </c>
      <c r="G247" s="131">
        <v>0.195581478080917</v>
      </c>
      <c r="H247" s="131">
        <v>4.1262889660101899E-3</v>
      </c>
      <c r="I247" s="131">
        <v>2.5176000597664302E-4</v>
      </c>
      <c r="J247" s="131">
        <v>1.89401880945959E-3</v>
      </c>
      <c r="K247" s="132">
        <v>67.725204668479407</v>
      </c>
      <c r="L247" s="133">
        <v>6.6431554546759104</v>
      </c>
      <c r="M247" s="133">
        <v>10.6387891512205</v>
      </c>
      <c r="N247" s="133">
        <v>4.1414936744233897</v>
      </c>
      <c r="O247" s="131">
        <v>1.87563874272786E-4</v>
      </c>
      <c r="P247" s="133">
        <v>137.4</v>
      </c>
      <c r="Q247" s="134"/>
      <c r="R247" s="135"/>
    </row>
    <row r="248" spans="1:18" x14ac:dyDescent="0.25">
      <c r="A248" s="127">
        <v>44683</v>
      </c>
      <c r="B248" s="128" t="s">
        <v>30</v>
      </c>
      <c r="C248" s="129" t="str">
        <f t="shared" si="7"/>
        <v>02.05.2022_BOYohKi</v>
      </c>
      <c r="D248" s="143">
        <f t="shared" si="8"/>
        <v>0</v>
      </c>
      <c r="E248" s="130">
        <v>3.0923129178380498E-5</v>
      </c>
      <c r="F248" s="131">
        <v>1.7851408992227401E-4</v>
      </c>
      <c r="G248" s="131">
        <v>0.28288130129219202</v>
      </c>
      <c r="H248" s="131">
        <v>5.7608372318932698E-3</v>
      </c>
      <c r="I248" s="131">
        <v>2.83057191553235E-4</v>
      </c>
      <c r="J248" s="131">
        <v>1.8157865039479101E-3</v>
      </c>
      <c r="K248" s="132">
        <v>97.504798725053504</v>
      </c>
      <c r="L248" s="133">
        <v>10.0554914192184</v>
      </c>
      <c r="M248" s="133">
        <v>21.8322245352403</v>
      </c>
      <c r="N248" s="133">
        <v>4.9470693318007601</v>
      </c>
      <c r="O248" s="131">
        <v>6.0456725406428998E-4</v>
      </c>
      <c r="P248" s="133">
        <v>182.8</v>
      </c>
      <c r="Q248" s="134"/>
      <c r="R248" s="135"/>
    </row>
    <row r="249" spans="1:18" x14ac:dyDescent="0.25">
      <c r="A249" s="127">
        <v>44683</v>
      </c>
      <c r="B249" s="128" t="s">
        <v>32</v>
      </c>
      <c r="C249" s="129" t="str">
        <f t="shared" si="7"/>
        <v>02.05.2022_BOYohSp</v>
      </c>
      <c r="D249" s="143">
        <f t="shared" si="8"/>
        <v>0</v>
      </c>
      <c r="E249" s="130">
        <v>1.36238497790369E-5</v>
      </c>
      <c r="F249" s="131">
        <v>1.6743910010973899E-4</v>
      </c>
      <c r="G249" s="131">
        <v>0.245280671650843</v>
      </c>
      <c r="H249" s="131">
        <v>4.71077131608419E-3</v>
      </c>
      <c r="I249" s="131">
        <v>2.3665432451589101E-4</v>
      </c>
      <c r="J249" s="131">
        <v>1.9882981456090599E-3</v>
      </c>
      <c r="K249" s="132">
        <v>79.493612014144702</v>
      </c>
      <c r="L249" s="133">
        <v>6.9292366791449496</v>
      </c>
      <c r="M249" s="133">
        <v>17.6385466035847</v>
      </c>
      <c r="N249" s="133">
        <v>4.3866939829938998</v>
      </c>
      <c r="O249" s="131">
        <v>3.0116732552408498E-4</v>
      </c>
      <c r="P249" s="133">
        <v>155.9</v>
      </c>
      <c r="Q249" s="134"/>
      <c r="R249" s="135"/>
    </row>
    <row r="250" spans="1:18" x14ac:dyDescent="0.25">
      <c r="A250" s="127">
        <v>44683</v>
      </c>
      <c r="B250" s="128" t="s">
        <v>36</v>
      </c>
      <c r="C250" s="129" t="str">
        <f t="shared" si="7"/>
        <v>02.05.2022_BOYuhSp</v>
      </c>
      <c r="D250" s="143">
        <f t="shared" si="8"/>
        <v>0</v>
      </c>
      <c r="E250" s="130">
        <v>9.3148386701664098E-6</v>
      </c>
      <c r="F250" s="131">
        <v>1.02326629744569E-4</v>
      </c>
      <c r="G250" s="131">
        <v>0.41233037053438398</v>
      </c>
      <c r="H250" s="131">
        <v>7.4193480064315802E-3</v>
      </c>
      <c r="I250" s="131">
        <v>3.5414322844002201E-4</v>
      </c>
      <c r="J250" s="131">
        <v>1.8122876611418801E-3</v>
      </c>
      <c r="K250" s="132">
        <v>135.79514334035201</v>
      </c>
      <c r="L250" s="133">
        <v>13.1205917417794</v>
      </c>
      <c r="M250" s="133">
        <v>20.643518120901099</v>
      </c>
      <c r="N250" s="133">
        <v>4.6048645229939797</v>
      </c>
      <c r="O250" s="131">
        <v>8.1947998328078602E-4</v>
      </c>
      <c r="P250" s="133">
        <v>175.4</v>
      </c>
      <c r="Q250" s="134"/>
      <c r="R250" s="135"/>
    </row>
    <row r="251" spans="1:18" x14ac:dyDescent="0.25">
      <c r="A251" s="127">
        <v>44683</v>
      </c>
      <c r="B251" s="128" t="s">
        <v>38</v>
      </c>
      <c r="C251" s="129" t="str">
        <f t="shared" si="7"/>
        <v>02.05.2022_BRAob</v>
      </c>
      <c r="D251" s="143">
        <f t="shared" si="8"/>
        <v>0</v>
      </c>
      <c r="E251" s="130">
        <v>1.4637662284068399E-5</v>
      </c>
      <c r="F251" s="131">
        <v>1.22786982808939E-4</v>
      </c>
      <c r="G251" s="131">
        <v>0.287798456064223</v>
      </c>
      <c r="H251" s="131">
        <v>4.3529531131187502E-3</v>
      </c>
      <c r="I251" s="131">
        <v>6.3980609699091197E-4</v>
      </c>
      <c r="J251" s="131">
        <v>2.12897920911573E-3</v>
      </c>
      <c r="K251" s="132">
        <v>103.344987731111</v>
      </c>
      <c r="L251" s="133">
        <v>4.6367211480350701</v>
      </c>
      <c r="M251" s="133">
        <v>18.816725006403701</v>
      </c>
      <c r="N251" s="133">
        <v>2.8787387290670199</v>
      </c>
      <c r="O251" s="131">
        <v>3.1189953578644898E-4</v>
      </c>
      <c r="P251" s="133">
        <v>154.9</v>
      </c>
      <c r="Q251" s="134"/>
      <c r="R251" s="135"/>
    </row>
    <row r="252" spans="1:18" x14ac:dyDescent="0.25">
      <c r="A252" s="127">
        <v>44683</v>
      </c>
      <c r="B252" s="128" t="s">
        <v>41</v>
      </c>
      <c r="C252" s="129" t="str">
        <f t="shared" si="7"/>
        <v>02.05.2022_BRAohBo</v>
      </c>
      <c r="D252" s="143">
        <f t="shared" si="8"/>
        <v>0</v>
      </c>
      <c r="E252" s="130">
        <v>1.3433734270802901E-5</v>
      </c>
      <c r="F252" s="131">
        <v>1.17833422604618E-4</v>
      </c>
      <c r="G252" s="131">
        <v>0.23222815407879499</v>
      </c>
      <c r="H252" s="131">
        <v>4.33423118322924E-3</v>
      </c>
      <c r="I252" s="131">
        <v>2.66740249441138E-4</v>
      </c>
      <c r="J252" s="131">
        <v>1.94679075037779E-3</v>
      </c>
      <c r="K252" s="132">
        <v>78.486519872993</v>
      </c>
      <c r="L252" s="133">
        <v>5.2621002448752598</v>
      </c>
      <c r="M252" s="133">
        <v>20.165215138705801</v>
      </c>
      <c r="N252" s="133">
        <v>4.01031366537332</v>
      </c>
      <c r="O252" s="131">
        <v>3.87966772491837E-4</v>
      </c>
      <c r="P252" s="133">
        <v>136.19999999999999</v>
      </c>
      <c r="Q252" s="134"/>
      <c r="R252" s="135"/>
    </row>
    <row r="253" spans="1:18" x14ac:dyDescent="0.25">
      <c r="A253" s="127">
        <v>44683</v>
      </c>
      <c r="B253" s="128" t="s">
        <v>43</v>
      </c>
      <c r="C253" s="129" t="str">
        <f t="shared" si="7"/>
        <v>02.05.2022_HAAob</v>
      </c>
      <c r="D253" s="143">
        <f t="shared" si="8"/>
        <v>0</v>
      </c>
      <c r="E253" s="130">
        <v>1.1596224768973699E-5</v>
      </c>
      <c r="F253" s="131">
        <v>1.4054011467572601E-4</v>
      </c>
      <c r="G253" s="131">
        <v>0.26864029343400397</v>
      </c>
      <c r="H253" s="131">
        <v>4.0647942049338998E-3</v>
      </c>
      <c r="I253" s="131">
        <v>2.2520324122838199E-4</v>
      </c>
      <c r="J253" s="131">
        <v>1.59591030933174E-3</v>
      </c>
      <c r="K253" s="132">
        <v>89.4323639306796</v>
      </c>
      <c r="L253" s="133">
        <v>15.2638278132398</v>
      </c>
      <c r="M253" s="133">
        <v>21.3583059713872</v>
      </c>
      <c r="N253" s="133">
        <v>4.6913180148422997</v>
      </c>
      <c r="O253" s="131">
        <v>2.3237285599896499E-4</v>
      </c>
      <c r="P253" s="133">
        <v>185.7</v>
      </c>
      <c r="Q253" s="134"/>
      <c r="R253" s="135"/>
    </row>
    <row r="254" spans="1:18" x14ac:dyDescent="0.25">
      <c r="A254" s="127">
        <v>44683</v>
      </c>
      <c r="B254" s="128" t="s">
        <v>45</v>
      </c>
      <c r="C254" s="129" t="str">
        <f t="shared" si="7"/>
        <v>02.05.2022_HAAun</v>
      </c>
      <c r="D254" s="143">
        <f t="shared" si="8"/>
        <v>0</v>
      </c>
      <c r="E254" s="130">
        <v>1.24199217657714E-5</v>
      </c>
      <c r="F254" s="131">
        <v>1.76701328408754E-4</v>
      </c>
      <c r="G254" s="131">
        <v>0.34953007024252702</v>
      </c>
      <c r="H254" s="131">
        <v>4.8979791975963197E-3</v>
      </c>
      <c r="I254" s="131">
        <v>1.9401486770673199E-4</v>
      </c>
      <c r="J254" s="131">
        <v>2.4067668006689702E-3</v>
      </c>
      <c r="K254" s="132">
        <v>117.934977745453</v>
      </c>
      <c r="L254" s="133">
        <v>25.4406934660012</v>
      </c>
      <c r="M254" s="133">
        <v>31.184919167671101</v>
      </c>
      <c r="N254" s="133">
        <v>6.5116419564421903</v>
      </c>
      <c r="O254" s="131">
        <v>3.0053459572518601E-4</v>
      </c>
      <c r="P254" s="133">
        <v>256.89999999999998</v>
      </c>
      <c r="Q254" s="134"/>
      <c r="R254" s="135"/>
    </row>
    <row r="255" spans="1:18" x14ac:dyDescent="0.25">
      <c r="A255" s="127">
        <v>44683</v>
      </c>
      <c r="B255" s="128" t="s">
        <v>47</v>
      </c>
      <c r="C255" s="129" t="str">
        <f t="shared" si="7"/>
        <v>02.05.2022_KIRob</v>
      </c>
      <c r="D255" s="143">
        <f t="shared" si="8"/>
        <v>0</v>
      </c>
      <c r="E255" s="130">
        <v>2.1798406016447998E-5</v>
      </c>
      <c r="F255" s="131">
        <v>1.1710031785471201E-4</v>
      </c>
      <c r="G255" s="131">
        <v>0.27311910591809402</v>
      </c>
      <c r="H255" s="131">
        <v>5.7070580435601903E-3</v>
      </c>
      <c r="I255" s="131">
        <v>2.63111874297286E-4</v>
      </c>
      <c r="J255" s="131">
        <v>2.0500174845760402E-3</v>
      </c>
      <c r="K255" s="132">
        <v>98.955621737755393</v>
      </c>
      <c r="L255" s="133">
        <v>11.361392031030601</v>
      </c>
      <c r="M255" s="133">
        <v>65.518471683290102</v>
      </c>
      <c r="N255" s="133">
        <v>6.0565068102044002</v>
      </c>
      <c r="O255" s="131">
        <v>4.2787154656895299E-4</v>
      </c>
      <c r="P255" s="133">
        <v>160.1</v>
      </c>
      <c r="Q255" s="134"/>
      <c r="R255" s="135"/>
    </row>
    <row r="256" spans="1:18" x14ac:dyDescent="0.25">
      <c r="A256" s="127">
        <v>44683</v>
      </c>
      <c r="B256" s="128" t="s">
        <v>49</v>
      </c>
      <c r="C256" s="129" t="str">
        <f t="shared" si="7"/>
        <v>02.05.2022_KIRun</v>
      </c>
      <c r="D256" s="143">
        <f t="shared" si="8"/>
        <v>0</v>
      </c>
      <c r="E256" s="130">
        <v>2.7057584049839801E-5</v>
      </c>
      <c r="F256" s="131">
        <v>9.7643214567966395E-5</v>
      </c>
      <c r="G256" s="131">
        <v>0.27370385241833001</v>
      </c>
      <c r="H256" s="131">
        <v>5.38196500649883E-3</v>
      </c>
      <c r="I256" s="131">
        <v>2.9509518408615598E-4</v>
      </c>
      <c r="J256" s="131">
        <v>2.2037995805226701E-3</v>
      </c>
      <c r="K256" s="132">
        <v>98.343202116844594</v>
      </c>
      <c r="L256" s="133">
        <v>10.5049222321288</v>
      </c>
      <c r="M256" s="133">
        <v>49.185006506099903</v>
      </c>
      <c r="N256" s="133">
        <v>5.3331105727649</v>
      </c>
      <c r="O256" s="131">
        <v>2.86821430498453E-4</v>
      </c>
      <c r="P256" s="133">
        <v>179.3</v>
      </c>
      <c r="Q256" s="134"/>
      <c r="R256" s="135"/>
    </row>
    <row r="257" spans="1:18" x14ac:dyDescent="0.25">
      <c r="A257" s="127">
        <v>44683</v>
      </c>
      <c r="B257" s="128" t="s">
        <v>50</v>
      </c>
      <c r="C257" s="129" t="str">
        <f t="shared" si="7"/>
        <v>02.05.2022_LIEohBo</v>
      </c>
      <c r="D257" s="143">
        <f t="shared" si="8"/>
        <v>0</v>
      </c>
      <c r="E257" s="130">
        <v>1.9453784953778898E-5</v>
      </c>
      <c r="F257" s="131">
        <v>1.4921595150954399E-4</v>
      </c>
      <c r="G257" s="131">
        <v>0.27089283970528699</v>
      </c>
      <c r="H257" s="131">
        <v>6.1990953172457001E-3</v>
      </c>
      <c r="I257" s="131">
        <v>2.3369828621835E-4</v>
      </c>
      <c r="J257" s="131">
        <v>2.6105851245569901E-3</v>
      </c>
      <c r="K257" s="132">
        <v>83.396103607864006</v>
      </c>
      <c r="L257" s="133">
        <v>11.218104114519999</v>
      </c>
      <c r="M257" s="133">
        <v>22.005166261549501</v>
      </c>
      <c r="N257" s="133">
        <v>3.44292113816467</v>
      </c>
      <c r="O257" s="131">
        <v>4.85499454321777E-4</v>
      </c>
      <c r="P257" s="133">
        <v>216.9</v>
      </c>
      <c r="Q257" s="134"/>
      <c r="R257" s="135"/>
    </row>
    <row r="258" spans="1:18" x14ac:dyDescent="0.25">
      <c r="A258" s="127">
        <v>44683</v>
      </c>
      <c r="B258" s="128" t="s">
        <v>53</v>
      </c>
      <c r="C258" s="129" t="str">
        <f t="shared" si="7"/>
        <v>02.05.2022_NATohBo</v>
      </c>
      <c r="D258" s="143">
        <f t="shared" si="8"/>
        <v>0</v>
      </c>
      <c r="E258" s="130">
        <v>2.0784182894768001E-5</v>
      </c>
      <c r="F258" s="131">
        <v>2.50819402487282E-4</v>
      </c>
      <c r="G258" s="131">
        <v>0.53689709256282103</v>
      </c>
      <c r="H258" s="131">
        <v>7.6886321391167103E-3</v>
      </c>
      <c r="I258" s="131">
        <v>2.0709191398665601E-4</v>
      </c>
      <c r="J258" s="131">
        <v>1.2456055836047499E-3</v>
      </c>
      <c r="K258" s="132">
        <v>185.61616165346999</v>
      </c>
      <c r="L258" s="133">
        <v>40.574582909361297</v>
      </c>
      <c r="M258" s="133">
        <v>105.87127883532899</v>
      </c>
      <c r="N258" s="133">
        <v>11.979446988202801</v>
      </c>
      <c r="O258" s="131">
        <v>5.8605210472476303E-4</v>
      </c>
      <c r="P258" s="133">
        <v>329.4</v>
      </c>
      <c r="Q258" s="134"/>
      <c r="R258" s="135"/>
    </row>
    <row r="259" spans="1:18" x14ac:dyDescent="0.25">
      <c r="A259" s="127">
        <v>44683</v>
      </c>
      <c r="B259" s="128" t="s">
        <v>55</v>
      </c>
      <c r="C259" s="129" t="str">
        <f t="shared" si="7"/>
        <v>02.05.2022_QUAohBo</v>
      </c>
      <c r="D259" s="143">
        <f t="shared" si="8"/>
        <v>0</v>
      </c>
      <c r="E259" s="130">
        <v>1.23566868019095E-5</v>
      </c>
      <c r="F259" s="131">
        <v>1.20027658444389E-4</v>
      </c>
      <c r="G259" s="131">
        <v>0.288139597653713</v>
      </c>
      <c r="H259" s="131">
        <v>4.3141487432574697E-3</v>
      </c>
      <c r="I259" s="131">
        <v>2.0487958242984699E-4</v>
      </c>
      <c r="J259" s="131">
        <v>1.56307128947664E-3</v>
      </c>
      <c r="K259" s="132">
        <v>97.933148182963293</v>
      </c>
      <c r="L259" s="133">
        <v>6.1388479598498602</v>
      </c>
      <c r="M259" s="133">
        <v>28.078070045419</v>
      </c>
      <c r="N259" s="133">
        <v>3.3520796902843801</v>
      </c>
      <c r="O259" s="131">
        <v>4.2420836575265698E-4</v>
      </c>
      <c r="P259" s="133">
        <v>192.8</v>
      </c>
      <c r="Q259" s="134"/>
      <c r="R259" s="135"/>
    </row>
    <row r="260" spans="1:18" x14ac:dyDescent="0.25">
      <c r="A260" s="127">
        <v>44683</v>
      </c>
      <c r="B260" s="128" t="s">
        <v>57</v>
      </c>
      <c r="C260" s="129" t="str">
        <f t="shared" si="7"/>
        <v>02.05.2022_SCHohVo</v>
      </c>
      <c r="D260" s="143">
        <f t="shared" si="8"/>
        <v>0</v>
      </c>
      <c r="E260" s="130">
        <v>2.38260310265112E-5</v>
      </c>
      <c r="F260" s="131">
        <v>1.5152751840505501E-4</v>
      </c>
      <c r="G260" s="131">
        <v>0.28179185159657899</v>
      </c>
      <c r="H260" s="131">
        <v>1.39562987850404E-2</v>
      </c>
      <c r="I260" s="131">
        <v>3.3117077333261901E-4</v>
      </c>
      <c r="J260" s="131">
        <v>3.2175704074035301E-3</v>
      </c>
      <c r="K260" s="132">
        <v>99.159001178402804</v>
      </c>
      <c r="L260" s="133">
        <v>6.6835285913719602</v>
      </c>
      <c r="M260" s="133">
        <v>16.608963352692399</v>
      </c>
      <c r="N260" s="133">
        <v>2.1393531307706599</v>
      </c>
      <c r="O260" s="131">
        <v>1.4830932700694501E-3</v>
      </c>
      <c r="P260" s="133">
        <v>173.7</v>
      </c>
      <c r="Q260" s="134"/>
      <c r="R260" s="135"/>
    </row>
    <row r="261" spans="1:18" x14ac:dyDescent="0.25">
      <c r="A261" s="127">
        <v>44683</v>
      </c>
      <c r="B261" s="128" t="s">
        <v>60</v>
      </c>
      <c r="C261" s="129" t="str">
        <f t="shared" ref="C261:C324" si="9">CONCATENATE(TEXT(A261,"TT.MM.JJJJ"),"_",B261)</f>
        <v>02.05.2022_VORohBo</v>
      </c>
      <c r="D261" s="143">
        <f t="shared" ref="D261:D324" si="10">COUNTBLANK(E261:P261)</f>
        <v>0</v>
      </c>
      <c r="E261" s="130">
        <v>1.5778355333472099E-5</v>
      </c>
      <c r="F261" s="131">
        <v>1.0560510610758E-4</v>
      </c>
      <c r="G261" s="131">
        <v>0.37586338639623301</v>
      </c>
      <c r="H261" s="131">
        <v>7.3579339036411598E-3</v>
      </c>
      <c r="I261" s="131">
        <v>3.1616822677611701E-4</v>
      </c>
      <c r="J261" s="131">
        <v>2.4738308681172801E-3</v>
      </c>
      <c r="K261" s="132">
        <v>151.21671520110499</v>
      </c>
      <c r="L261" s="133">
        <v>16.305010463582999</v>
      </c>
      <c r="M261" s="133">
        <v>26.165183892356701</v>
      </c>
      <c r="N261" s="133">
        <v>6.9950910678323597</v>
      </c>
      <c r="O261" s="131">
        <v>7.7725157443397203E-4</v>
      </c>
      <c r="P261" s="133">
        <v>275.7</v>
      </c>
      <c r="Q261" s="134"/>
      <c r="R261" s="135"/>
    </row>
    <row r="262" spans="1:18" x14ac:dyDescent="0.25">
      <c r="A262" s="127">
        <v>44683</v>
      </c>
      <c r="B262" s="128" t="s">
        <v>62</v>
      </c>
      <c r="C262" s="129" t="str">
        <f t="shared" si="9"/>
        <v>02.05.2022_VORuhSc</v>
      </c>
      <c r="D262" s="143">
        <f t="shared" si="10"/>
        <v>0</v>
      </c>
      <c r="E262" s="130">
        <v>2.36359155182772E-5</v>
      </c>
      <c r="F262" s="131">
        <v>1.6658873025746901E-4</v>
      </c>
      <c r="G262" s="131">
        <v>0.25417391959521801</v>
      </c>
      <c r="H262" s="131">
        <v>5.8782849036918099E-3</v>
      </c>
      <c r="I262" s="131">
        <v>3.26496991439798E-4</v>
      </c>
      <c r="J262" s="131">
        <v>2.73394115463441E-3</v>
      </c>
      <c r="K262" s="132">
        <v>85.079741547736305</v>
      </c>
      <c r="L262" s="133">
        <v>7.5355088440787004</v>
      </c>
      <c r="M262" s="133">
        <v>19.9548966087693</v>
      </c>
      <c r="N262" s="133">
        <v>4.5058655837376103</v>
      </c>
      <c r="O262" s="131">
        <v>5.3047323898885101E-4</v>
      </c>
      <c r="P262" s="133">
        <v>242.5</v>
      </c>
      <c r="Q262" s="134"/>
      <c r="R262" s="135"/>
    </row>
    <row r="263" spans="1:18" x14ac:dyDescent="0.25">
      <c r="A263" s="127">
        <v>44683</v>
      </c>
      <c r="B263" s="128" t="s">
        <v>64</v>
      </c>
      <c r="C263" s="129" t="str">
        <f t="shared" si="9"/>
        <v>02.05.2022_WITob</v>
      </c>
      <c r="D263" s="143">
        <f t="shared" si="10"/>
        <v>0</v>
      </c>
      <c r="E263" s="130">
        <v>2.4269497006840899E-5</v>
      </c>
      <c r="F263" s="131">
        <v>1.3116701875180999E-4</v>
      </c>
      <c r="G263" s="131">
        <v>0.44683449700884398</v>
      </c>
      <c r="H263" s="131">
        <v>6.7324535729722697E-3</v>
      </c>
      <c r="I263" s="131">
        <v>1.5664759150744499E-4</v>
      </c>
      <c r="J263" s="131">
        <v>1.4637852727503199E-3</v>
      </c>
      <c r="K263" s="132">
        <v>145.18158712267899</v>
      </c>
      <c r="L263" s="133">
        <v>18.988277328007701</v>
      </c>
      <c r="M263" s="133">
        <v>46.929153799594602</v>
      </c>
      <c r="N263" s="133">
        <v>4.7874306454320896</v>
      </c>
      <c r="O263" s="131">
        <v>5.4404493062452399E-4</v>
      </c>
      <c r="P263" s="133">
        <v>234.5</v>
      </c>
      <c r="Q263" s="134"/>
      <c r="R263" s="135"/>
    </row>
    <row r="264" spans="1:18" x14ac:dyDescent="0.25">
      <c r="A264" s="127">
        <v>44732</v>
      </c>
      <c r="B264" s="128" t="s">
        <v>22</v>
      </c>
      <c r="C264" s="129" t="str">
        <f t="shared" si="9"/>
        <v>20.06.2022_BOYkl</v>
      </c>
      <c r="D264" s="143">
        <f t="shared" si="10"/>
        <v>0</v>
      </c>
      <c r="E264" s="130">
        <v>6.0000000000000002E-5</v>
      </c>
      <c r="F264" s="131">
        <v>4.0000000000000002E-4</v>
      </c>
      <c r="G264" s="131">
        <v>0.24129999999999999</v>
      </c>
      <c r="H264" s="131">
        <v>8.2000000000000007E-3</v>
      </c>
      <c r="I264" s="131">
        <v>2.0000000000000001E-4</v>
      </c>
      <c r="J264" s="131">
        <v>1.5E-3</v>
      </c>
      <c r="K264" s="132">
        <v>60</v>
      </c>
      <c r="L264" s="133">
        <v>6.3</v>
      </c>
      <c r="M264" s="133">
        <v>13</v>
      </c>
      <c r="N264" s="133">
        <v>10</v>
      </c>
      <c r="O264" s="131">
        <v>2.9999999999999997E-4</v>
      </c>
      <c r="P264" s="133">
        <v>102.2</v>
      </c>
      <c r="Q264" s="134"/>
      <c r="R264" s="135"/>
    </row>
    <row r="265" spans="1:18" x14ac:dyDescent="0.25">
      <c r="A265" s="127">
        <v>44732</v>
      </c>
      <c r="B265" s="128" t="s">
        <v>25</v>
      </c>
      <c r="C265" s="129" t="str">
        <f t="shared" si="9"/>
        <v>20.06.2022_BOYohB224</v>
      </c>
      <c r="D265" s="143">
        <f t="shared" si="10"/>
        <v>0</v>
      </c>
      <c r="E265" s="130">
        <v>1.0000000000000001E-5</v>
      </c>
      <c r="F265" s="131">
        <v>2.0000000000000001E-4</v>
      </c>
      <c r="G265" s="131">
        <v>0.4526</v>
      </c>
      <c r="H265" s="131">
        <v>5.8999999999999999E-3</v>
      </c>
      <c r="I265" s="131">
        <v>2.0000000000000001E-4</v>
      </c>
      <c r="J265" s="131">
        <v>4.0000000000000002E-4</v>
      </c>
      <c r="K265" s="132">
        <v>116</v>
      </c>
      <c r="L265" s="133">
        <v>22</v>
      </c>
      <c r="M265" s="133">
        <v>33</v>
      </c>
      <c r="N265" s="133">
        <v>7.4</v>
      </c>
      <c r="O265" s="131">
        <v>5.0000000000000001E-4</v>
      </c>
      <c r="P265" s="133">
        <v>211</v>
      </c>
      <c r="Q265" s="134"/>
      <c r="R265" s="135"/>
    </row>
    <row r="266" spans="1:18" x14ac:dyDescent="0.25">
      <c r="A266" s="127">
        <v>44732</v>
      </c>
      <c r="B266" s="128" t="s">
        <v>28</v>
      </c>
      <c r="C266" s="129" t="str">
        <f t="shared" si="9"/>
        <v>20.06.2022_BOYohBr</v>
      </c>
      <c r="D266" s="143">
        <f t="shared" si="10"/>
        <v>0</v>
      </c>
      <c r="E266" s="130">
        <v>1.0000000000000001E-5</v>
      </c>
      <c r="F266" s="131">
        <v>5.4000000000000003E-3</v>
      </c>
      <c r="G266" s="131">
        <v>0.29260000000000003</v>
      </c>
      <c r="H266" s="131">
        <v>4.4000000000000003E-3</v>
      </c>
      <c r="I266" s="131">
        <v>1E-4</v>
      </c>
      <c r="J266" s="131">
        <v>5.4000000000000003E-3</v>
      </c>
      <c r="K266" s="132">
        <v>67</v>
      </c>
      <c r="L266" s="133">
        <v>7.7</v>
      </c>
      <c r="M266" s="133">
        <v>10</v>
      </c>
      <c r="N266" s="133">
        <v>4.5</v>
      </c>
      <c r="O266" s="131">
        <v>2.0000000000000001E-4</v>
      </c>
      <c r="P266" s="133">
        <v>148.6</v>
      </c>
      <c r="Q266" s="134"/>
      <c r="R266" s="135"/>
    </row>
    <row r="267" spans="1:18" x14ac:dyDescent="0.25">
      <c r="A267" s="127">
        <v>44732</v>
      </c>
      <c r="B267" s="128" t="s">
        <v>30</v>
      </c>
      <c r="C267" s="129" t="str">
        <f t="shared" si="9"/>
        <v>20.06.2022_BOYohKi</v>
      </c>
      <c r="D267" s="143">
        <f t="shared" si="10"/>
        <v>0</v>
      </c>
      <c r="E267" s="130">
        <v>1.0000000000000001E-5</v>
      </c>
      <c r="F267" s="131">
        <v>1E-4</v>
      </c>
      <c r="G267" s="131">
        <v>0.39360000000000001</v>
      </c>
      <c r="H267" s="131">
        <v>5.7000000000000002E-3</v>
      </c>
      <c r="I267" s="131">
        <v>2.0000000000000001E-4</v>
      </c>
      <c r="J267" s="131">
        <v>1.1000000000000001E-3</v>
      </c>
      <c r="K267" s="132">
        <v>100</v>
      </c>
      <c r="L267" s="133">
        <v>12</v>
      </c>
      <c r="M267" s="133">
        <v>21</v>
      </c>
      <c r="N267" s="133">
        <v>5.6</v>
      </c>
      <c r="O267" s="131">
        <v>4.0000000000000002E-4</v>
      </c>
      <c r="P267" s="133">
        <v>218.2</v>
      </c>
      <c r="Q267" s="134"/>
      <c r="R267" s="135"/>
    </row>
    <row r="268" spans="1:18" x14ac:dyDescent="0.25">
      <c r="A268" s="127">
        <v>44732</v>
      </c>
      <c r="B268" s="128" t="s">
        <v>32</v>
      </c>
      <c r="C268" s="129" t="str">
        <f t="shared" si="9"/>
        <v>20.06.2022_BOYohSp</v>
      </c>
      <c r="D268" s="143">
        <f t="shared" si="10"/>
        <v>0</v>
      </c>
      <c r="E268" s="130">
        <v>1.0000000000000001E-5</v>
      </c>
      <c r="F268" s="131">
        <v>1E-4</v>
      </c>
      <c r="G268" s="131">
        <v>0.309</v>
      </c>
      <c r="H268" s="131">
        <v>4.4000000000000003E-3</v>
      </c>
      <c r="I268" s="131">
        <v>1E-4</v>
      </c>
      <c r="J268" s="131">
        <v>8.9999999999999998E-4</v>
      </c>
      <c r="K268" s="132">
        <v>74</v>
      </c>
      <c r="L268" s="133">
        <v>7.7</v>
      </c>
      <c r="M268" s="133">
        <v>13</v>
      </c>
      <c r="N268" s="133">
        <v>4.5</v>
      </c>
      <c r="O268" s="131">
        <v>2.9999999999999997E-4</v>
      </c>
      <c r="P268" s="133">
        <v>158.5</v>
      </c>
      <c r="Q268" s="134"/>
      <c r="R268" s="135"/>
    </row>
    <row r="269" spans="1:18" x14ac:dyDescent="0.25">
      <c r="A269" s="127">
        <v>44732</v>
      </c>
      <c r="B269" s="128" t="s">
        <v>36</v>
      </c>
      <c r="C269" s="129" t="str">
        <f t="shared" si="9"/>
        <v>20.06.2022_BOYuhSp</v>
      </c>
      <c r="D269" s="143">
        <f t="shared" si="10"/>
        <v>0</v>
      </c>
      <c r="E269" s="130">
        <v>1.0000000000000001E-5</v>
      </c>
      <c r="F269" s="131">
        <v>1E-4</v>
      </c>
      <c r="G269" s="131">
        <v>0.30159999999999998</v>
      </c>
      <c r="H269" s="131">
        <v>4.7000000000000002E-3</v>
      </c>
      <c r="I269" s="131">
        <v>1E-4</v>
      </c>
      <c r="J269" s="131">
        <v>1.1000000000000001E-3</v>
      </c>
      <c r="K269" s="132">
        <v>76</v>
      </c>
      <c r="L269" s="133">
        <v>8.1</v>
      </c>
      <c r="M269" s="133">
        <v>14</v>
      </c>
      <c r="N269" s="133">
        <v>4.7</v>
      </c>
      <c r="O269" s="131">
        <v>2.9999999999999997E-4</v>
      </c>
      <c r="P269" s="133">
        <v>169.1</v>
      </c>
      <c r="Q269" s="134"/>
      <c r="R269" s="135"/>
    </row>
    <row r="270" spans="1:18" x14ac:dyDescent="0.25">
      <c r="A270" s="127">
        <v>44732</v>
      </c>
      <c r="B270" s="128" t="s">
        <v>38</v>
      </c>
      <c r="C270" s="129" t="str">
        <f t="shared" si="9"/>
        <v>20.06.2022_BRAob</v>
      </c>
      <c r="D270" s="143">
        <f t="shared" si="10"/>
        <v>0</v>
      </c>
      <c r="E270" s="130">
        <v>1.0000000000000001E-5</v>
      </c>
      <c r="F270" s="131">
        <v>1E-4</v>
      </c>
      <c r="G270" s="131">
        <v>0.40300000000000002</v>
      </c>
      <c r="H270" s="131">
        <v>4.7999999999999996E-3</v>
      </c>
      <c r="I270" s="131">
        <v>2.0000000000000001E-4</v>
      </c>
      <c r="J270" s="131">
        <v>8.0000000000000004E-4</v>
      </c>
      <c r="K270" s="132">
        <v>95</v>
      </c>
      <c r="L270" s="133">
        <v>3.6</v>
      </c>
      <c r="M270" s="133">
        <v>10</v>
      </c>
      <c r="N270" s="133">
        <v>2</v>
      </c>
      <c r="O270" s="131">
        <v>2.9999999999999997E-4</v>
      </c>
      <c r="P270" s="133">
        <v>148.1</v>
      </c>
      <c r="Q270" s="134"/>
      <c r="R270" s="135"/>
    </row>
    <row r="271" spans="1:18" x14ac:dyDescent="0.25">
      <c r="A271" s="127">
        <v>44732</v>
      </c>
      <c r="B271" s="128" t="s">
        <v>41</v>
      </c>
      <c r="C271" s="129" t="str">
        <f t="shared" si="9"/>
        <v>20.06.2022_BRAohBo</v>
      </c>
      <c r="D271" s="143">
        <f t="shared" si="10"/>
        <v>0</v>
      </c>
      <c r="E271" s="130">
        <v>1.0000000000000001E-5</v>
      </c>
      <c r="F271" s="131">
        <v>2.9999999999999997E-4</v>
      </c>
      <c r="G271" s="131">
        <v>0.34320000000000001</v>
      </c>
      <c r="H271" s="131">
        <v>4.7000000000000002E-3</v>
      </c>
      <c r="I271" s="131">
        <v>1E-4</v>
      </c>
      <c r="J271" s="131">
        <v>8.0000000000000004E-4</v>
      </c>
      <c r="K271" s="132">
        <v>88</v>
      </c>
      <c r="L271" s="133">
        <v>5.0999999999999996</v>
      </c>
      <c r="M271" s="133">
        <v>15</v>
      </c>
      <c r="N271" s="133">
        <v>4.7</v>
      </c>
      <c r="O271" s="131">
        <v>2.9999999999999997E-4</v>
      </c>
      <c r="P271" s="133">
        <v>153.5</v>
      </c>
      <c r="Q271" s="134"/>
      <c r="R271" s="135"/>
    </row>
    <row r="272" spans="1:18" x14ac:dyDescent="0.25">
      <c r="A272" s="127">
        <v>44732</v>
      </c>
      <c r="B272" s="128" t="s">
        <v>43</v>
      </c>
      <c r="C272" s="129" t="str">
        <f t="shared" si="9"/>
        <v>20.06.2022_HAAob</v>
      </c>
      <c r="D272" s="143">
        <f t="shared" si="10"/>
        <v>0</v>
      </c>
      <c r="E272" s="130">
        <v>1.0000000000000001E-5</v>
      </c>
      <c r="F272" s="131">
        <v>2.0000000000000001E-4</v>
      </c>
      <c r="G272" s="131">
        <v>0.34589999999999999</v>
      </c>
      <c r="H272" s="131">
        <v>4.4999999999999997E-3</v>
      </c>
      <c r="I272" s="131">
        <v>2.0000000000000001E-4</v>
      </c>
      <c r="J272" s="131">
        <v>1.1000000000000001E-3</v>
      </c>
      <c r="K272" s="132">
        <v>87</v>
      </c>
      <c r="L272" s="133">
        <v>18</v>
      </c>
      <c r="M272" s="133">
        <v>20</v>
      </c>
      <c r="N272" s="133">
        <v>3.7</v>
      </c>
      <c r="O272" s="131">
        <v>2.9999999999999997E-4</v>
      </c>
      <c r="P272" s="133">
        <v>152.80000000000001</v>
      </c>
      <c r="Q272" s="134"/>
      <c r="R272" s="135"/>
    </row>
    <row r="273" spans="1:18" x14ac:dyDescent="0.25">
      <c r="A273" s="127">
        <v>44732</v>
      </c>
      <c r="B273" s="128" t="s">
        <v>45</v>
      </c>
      <c r="C273" s="129" t="str">
        <f t="shared" si="9"/>
        <v>20.06.2022_HAAun</v>
      </c>
      <c r="D273" s="143">
        <f t="shared" si="10"/>
        <v>0</v>
      </c>
      <c r="E273" s="130">
        <v>1.0000000000000001E-5</v>
      </c>
      <c r="F273" s="131">
        <v>2.0000000000000001E-4</v>
      </c>
      <c r="G273" s="131">
        <v>0.48130000000000001</v>
      </c>
      <c r="H273" s="131">
        <v>5.7999999999999996E-3</v>
      </c>
      <c r="I273" s="131">
        <v>2.0000000000000001E-4</v>
      </c>
      <c r="J273" s="131">
        <v>1.2999999999999999E-3</v>
      </c>
      <c r="K273" s="132">
        <v>130</v>
      </c>
      <c r="L273" s="133">
        <v>33</v>
      </c>
      <c r="M273" s="133">
        <v>34</v>
      </c>
      <c r="N273" s="133">
        <v>6.6</v>
      </c>
      <c r="O273" s="131">
        <v>4.0000000000000002E-4</v>
      </c>
      <c r="P273" s="133">
        <v>251.5</v>
      </c>
      <c r="Q273" s="134"/>
      <c r="R273" s="135"/>
    </row>
    <row r="274" spans="1:18" x14ac:dyDescent="0.25">
      <c r="A274" s="127">
        <v>44732</v>
      </c>
      <c r="B274" s="128" t="s">
        <v>47</v>
      </c>
      <c r="C274" s="129" t="str">
        <f t="shared" si="9"/>
        <v>20.06.2022_KIRob</v>
      </c>
      <c r="D274" s="143">
        <f t="shared" si="10"/>
        <v>0</v>
      </c>
      <c r="E274" s="130">
        <v>1.0000000000000001E-5</v>
      </c>
      <c r="F274" s="131">
        <v>2.0000000000000001E-4</v>
      </c>
      <c r="G274" s="131">
        <v>0.39079999999999998</v>
      </c>
      <c r="H274" s="131">
        <v>6.4000000000000003E-3</v>
      </c>
      <c r="I274" s="131">
        <v>2.9999999999999997E-4</v>
      </c>
      <c r="J274" s="131">
        <v>1.1000000000000001E-3</v>
      </c>
      <c r="K274" s="132">
        <v>99</v>
      </c>
      <c r="L274" s="133">
        <v>9.5</v>
      </c>
      <c r="M274" s="133">
        <v>55</v>
      </c>
      <c r="N274" s="133">
        <v>5.6</v>
      </c>
      <c r="O274" s="131">
        <v>4.0000000000000002E-4</v>
      </c>
      <c r="P274" s="133">
        <v>169.1</v>
      </c>
      <c r="Q274" s="134"/>
      <c r="R274" s="135"/>
    </row>
    <row r="275" spans="1:18" x14ac:dyDescent="0.25">
      <c r="A275" s="127">
        <v>44732</v>
      </c>
      <c r="B275" s="128" t="s">
        <v>49</v>
      </c>
      <c r="C275" s="129" t="str">
        <f t="shared" si="9"/>
        <v>20.06.2022_KIRun</v>
      </c>
      <c r="D275" s="143">
        <f t="shared" si="10"/>
        <v>0</v>
      </c>
      <c r="E275" s="130">
        <v>1.0000000000000001E-5</v>
      </c>
      <c r="F275" s="131">
        <v>1E-4</v>
      </c>
      <c r="G275" s="131">
        <v>0.42830000000000001</v>
      </c>
      <c r="H275" s="131">
        <v>6.1999999999999998E-3</v>
      </c>
      <c r="I275" s="131">
        <v>1E-4</v>
      </c>
      <c r="J275" s="131">
        <v>8.0000000000000004E-4</v>
      </c>
      <c r="K275" s="132">
        <v>100</v>
      </c>
      <c r="L275" s="133">
        <v>10</v>
      </c>
      <c r="M275" s="133">
        <v>50</v>
      </c>
      <c r="N275" s="133">
        <v>5.4</v>
      </c>
      <c r="O275" s="131">
        <v>2.9999999999999997E-4</v>
      </c>
      <c r="P275" s="133">
        <v>192.2</v>
      </c>
      <c r="Q275" s="134"/>
      <c r="R275" s="135"/>
    </row>
    <row r="276" spans="1:18" x14ac:dyDescent="0.25">
      <c r="A276" s="127">
        <v>44732</v>
      </c>
      <c r="B276" s="128" t="s">
        <v>50</v>
      </c>
      <c r="C276" s="129" t="str">
        <f t="shared" si="9"/>
        <v>20.06.2022_LIEohBo</v>
      </c>
      <c r="D276" s="143">
        <f t="shared" si="10"/>
        <v>0</v>
      </c>
      <c r="E276" s="130">
        <v>1.0000000000000001E-5</v>
      </c>
      <c r="F276" s="131">
        <v>1E-4</v>
      </c>
      <c r="G276" s="131">
        <v>0.35320000000000001</v>
      </c>
      <c r="H276" s="131">
        <v>6.4999999999999997E-3</v>
      </c>
      <c r="I276" s="131">
        <v>1E-4</v>
      </c>
      <c r="J276" s="131">
        <v>8.0000000000000004E-4</v>
      </c>
      <c r="K276" s="132">
        <v>80</v>
      </c>
      <c r="L276" s="133">
        <v>10</v>
      </c>
      <c r="M276" s="133">
        <v>21</v>
      </c>
      <c r="N276" s="133">
        <v>11</v>
      </c>
      <c r="O276" s="131">
        <v>6.9999999999999999E-4</v>
      </c>
      <c r="P276" s="133">
        <v>274.3</v>
      </c>
      <c r="Q276" s="134"/>
      <c r="R276" s="135"/>
    </row>
    <row r="277" spans="1:18" x14ac:dyDescent="0.25">
      <c r="A277" s="127">
        <v>44732</v>
      </c>
      <c r="B277" s="128" t="s">
        <v>53</v>
      </c>
      <c r="C277" s="129" t="str">
        <f t="shared" si="9"/>
        <v>20.06.2022_NATohBo</v>
      </c>
      <c r="D277" s="143">
        <f t="shared" si="10"/>
        <v>0</v>
      </c>
      <c r="E277" s="130">
        <v>1.0000000000000001E-5</v>
      </c>
      <c r="F277" s="131">
        <v>2.9999999999999997E-4</v>
      </c>
      <c r="G277" s="131">
        <v>0.90380000000000005</v>
      </c>
      <c r="H277" s="131">
        <v>1.04E-2</v>
      </c>
      <c r="I277" s="131">
        <v>2.0000000000000001E-4</v>
      </c>
      <c r="J277" s="131">
        <v>8.0000000000000004E-4</v>
      </c>
      <c r="K277" s="132">
        <v>222</v>
      </c>
      <c r="L277" s="133">
        <v>48</v>
      </c>
      <c r="M277" s="133">
        <v>126</v>
      </c>
      <c r="N277" s="133">
        <v>15</v>
      </c>
      <c r="O277" s="131">
        <v>6.9999999999999999E-4</v>
      </c>
      <c r="P277" s="133">
        <v>396.6</v>
      </c>
      <c r="Q277" s="134"/>
      <c r="R277" s="135"/>
    </row>
    <row r="278" spans="1:18" x14ac:dyDescent="0.25">
      <c r="A278" s="127">
        <v>44732</v>
      </c>
      <c r="B278" s="128" t="s">
        <v>55</v>
      </c>
      <c r="C278" s="129" t="str">
        <f t="shared" si="9"/>
        <v>20.06.2022_QUAohBo</v>
      </c>
      <c r="D278" s="143">
        <f t="shared" si="10"/>
        <v>12</v>
      </c>
      <c r="E278" s="130"/>
      <c r="F278" s="131"/>
      <c r="G278" s="131"/>
      <c r="H278" s="131"/>
      <c r="I278" s="131"/>
      <c r="J278" s="131"/>
      <c r="K278" s="132"/>
      <c r="L278" s="133"/>
      <c r="M278" s="133"/>
      <c r="N278" s="133"/>
      <c r="O278" s="131"/>
      <c r="P278" s="133"/>
      <c r="Q278" s="134"/>
      <c r="R278" s="135" t="s">
        <v>341</v>
      </c>
    </row>
    <row r="279" spans="1:18" x14ac:dyDescent="0.25">
      <c r="A279" s="127">
        <v>44732</v>
      </c>
      <c r="B279" s="128" t="s">
        <v>57</v>
      </c>
      <c r="C279" s="129" t="str">
        <f t="shared" si="9"/>
        <v>20.06.2022_SCHohVo</v>
      </c>
      <c r="D279" s="143">
        <f t="shared" si="10"/>
        <v>12</v>
      </c>
      <c r="E279" s="130"/>
      <c r="F279" s="131"/>
      <c r="G279" s="131"/>
      <c r="H279" s="131"/>
      <c r="I279" s="131"/>
      <c r="J279" s="131"/>
      <c r="K279" s="132"/>
      <c r="L279" s="133"/>
      <c r="M279" s="133"/>
      <c r="N279" s="133"/>
      <c r="O279" s="131"/>
      <c r="P279" s="133"/>
      <c r="Q279" s="134"/>
      <c r="R279" s="135" t="s">
        <v>341</v>
      </c>
    </row>
    <row r="280" spans="1:18" x14ac:dyDescent="0.25">
      <c r="A280" s="127">
        <v>44732</v>
      </c>
      <c r="B280" s="128" t="s">
        <v>60</v>
      </c>
      <c r="C280" s="129" t="str">
        <f t="shared" si="9"/>
        <v>20.06.2022_VORohBo</v>
      </c>
      <c r="D280" s="143">
        <f t="shared" si="10"/>
        <v>0</v>
      </c>
      <c r="E280" s="130">
        <v>1.0000000000000001E-5</v>
      </c>
      <c r="F280" s="131">
        <v>1E-4</v>
      </c>
      <c r="G280" s="131">
        <v>0.63260000000000005</v>
      </c>
      <c r="H280" s="131">
        <v>8.6E-3</v>
      </c>
      <c r="I280" s="131">
        <v>2.0000000000000001E-4</v>
      </c>
      <c r="J280" s="131">
        <v>1.1000000000000001E-3</v>
      </c>
      <c r="K280" s="132">
        <v>151</v>
      </c>
      <c r="L280" s="133">
        <v>16</v>
      </c>
      <c r="M280" s="133">
        <v>24</v>
      </c>
      <c r="N280" s="133">
        <v>6.9</v>
      </c>
      <c r="O280" s="131">
        <v>8.0000000000000004E-4</v>
      </c>
      <c r="P280" s="133">
        <v>269.10000000000002</v>
      </c>
      <c r="Q280" s="134"/>
      <c r="R280" s="135"/>
    </row>
    <row r="281" spans="1:18" x14ac:dyDescent="0.25">
      <c r="A281" s="127">
        <v>44732</v>
      </c>
      <c r="B281" s="128" t="s">
        <v>62</v>
      </c>
      <c r="C281" s="129" t="str">
        <f t="shared" si="9"/>
        <v>20.06.2022_VORuhSc</v>
      </c>
      <c r="D281" s="143">
        <f t="shared" si="10"/>
        <v>0</v>
      </c>
      <c r="E281" s="130">
        <v>1.0000000000000001E-5</v>
      </c>
      <c r="F281" s="131">
        <v>1E-4</v>
      </c>
      <c r="G281" s="131">
        <v>0.60450000000000004</v>
      </c>
      <c r="H281" s="131">
        <v>7.9000000000000008E-3</v>
      </c>
      <c r="I281" s="131">
        <v>2.0000000000000001E-4</v>
      </c>
      <c r="J281" s="131">
        <v>8.9999999999999998E-4</v>
      </c>
      <c r="K281" s="132">
        <v>156</v>
      </c>
      <c r="L281" s="133">
        <v>17</v>
      </c>
      <c r="M281" s="133">
        <v>23</v>
      </c>
      <c r="N281" s="133">
        <v>6.2</v>
      </c>
      <c r="O281" s="131">
        <v>8.0000000000000004E-4</v>
      </c>
      <c r="P281" s="133">
        <v>261.89999999999998</v>
      </c>
      <c r="Q281" s="134"/>
      <c r="R281" s="135"/>
    </row>
    <row r="282" spans="1:18" x14ac:dyDescent="0.25">
      <c r="A282" s="127">
        <v>44732</v>
      </c>
      <c r="B282" s="128" t="s">
        <v>64</v>
      </c>
      <c r="C282" s="129" t="str">
        <f t="shared" si="9"/>
        <v>20.06.2022_WITob</v>
      </c>
      <c r="D282" s="143">
        <f t="shared" si="10"/>
        <v>0</v>
      </c>
      <c r="E282" s="130">
        <v>1.0000000000000001E-5</v>
      </c>
      <c r="F282" s="131">
        <v>2.0000000000000001E-4</v>
      </c>
      <c r="G282" s="131">
        <v>0.56269999999999998</v>
      </c>
      <c r="H282" s="131">
        <v>7.1999999999999998E-3</v>
      </c>
      <c r="I282" s="131">
        <v>1E-4</v>
      </c>
      <c r="J282" s="131">
        <v>1.1000000000000001E-3</v>
      </c>
      <c r="K282" s="132">
        <v>147</v>
      </c>
      <c r="L282" s="133">
        <v>17</v>
      </c>
      <c r="M282" s="133">
        <v>43</v>
      </c>
      <c r="N282" s="133">
        <v>5.2</v>
      </c>
      <c r="O282" s="131">
        <v>4.0000000000000002E-4</v>
      </c>
      <c r="P282" s="133">
        <v>278.5</v>
      </c>
      <c r="Q282" s="134"/>
      <c r="R282" s="135"/>
    </row>
    <row r="283" spans="1:18" x14ac:dyDescent="0.25">
      <c r="A283" s="127">
        <v>44753</v>
      </c>
      <c r="B283" s="128" t="s">
        <v>22</v>
      </c>
      <c r="C283" s="129" t="str">
        <f t="shared" si="9"/>
        <v>11.07.2022_BOYkl</v>
      </c>
      <c r="D283" s="143">
        <f t="shared" si="10"/>
        <v>12</v>
      </c>
      <c r="E283" s="130"/>
      <c r="F283" s="131"/>
      <c r="G283" s="131"/>
      <c r="H283" s="131"/>
      <c r="I283" s="131"/>
      <c r="J283" s="131"/>
      <c r="K283" s="132"/>
      <c r="L283" s="133"/>
      <c r="M283" s="133"/>
      <c r="N283" s="133"/>
      <c r="O283" s="131"/>
      <c r="P283" s="133"/>
      <c r="Q283" s="134"/>
      <c r="R283" s="135" t="s">
        <v>341</v>
      </c>
    </row>
    <row r="284" spans="1:18" x14ac:dyDescent="0.25">
      <c r="A284" s="127">
        <v>44753</v>
      </c>
      <c r="B284" s="128" t="s">
        <v>25</v>
      </c>
      <c r="C284" s="129" t="str">
        <f t="shared" si="9"/>
        <v>11.07.2022_BOYohB224</v>
      </c>
      <c r="D284" s="143">
        <f t="shared" si="10"/>
        <v>0</v>
      </c>
      <c r="E284" s="130">
        <v>0</v>
      </c>
      <c r="F284" s="131">
        <v>1.2999999999999999E-3</v>
      </c>
      <c r="G284" s="131">
        <v>0.37669999999999998</v>
      </c>
      <c r="H284" s="131">
        <v>5.1000000000000004E-3</v>
      </c>
      <c r="I284" s="131">
        <v>1E-4</v>
      </c>
      <c r="J284" s="131">
        <v>7.7999999999999996E-3</v>
      </c>
      <c r="K284" s="132">
        <v>126</v>
      </c>
      <c r="L284" s="133">
        <v>23</v>
      </c>
      <c r="M284" s="133">
        <v>35</v>
      </c>
      <c r="N284" s="133">
        <v>7.3</v>
      </c>
      <c r="O284" s="131">
        <v>4.0000000000000002E-4</v>
      </c>
      <c r="P284" s="133">
        <v>261.10000000000002</v>
      </c>
      <c r="Q284" s="134"/>
      <c r="R284" s="135"/>
    </row>
    <row r="285" spans="1:18" x14ac:dyDescent="0.25">
      <c r="A285" s="127">
        <v>44753</v>
      </c>
      <c r="B285" s="128" t="s">
        <v>28</v>
      </c>
      <c r="C285" s="129" t="str">
        <f t="shared" si="9"/>
        <v>11.07.2022_BOYohBr</v>
      </c>
      <c r="D285" s="143">
        <f t="shared" si="10"/>
        <v>0</v>
      </c>
      <c r="E285" s="130">
        <v>1.0000000000000001E-5</v>
      </c>
      <c r="F285" s="131">
        <v>8.9999999999999998E-4</v>
      </c>
      <c r="G285" s="131">
        <v>0.20449999999999999</v>
      </c>
      <c r="H285" s="131">
        <v>2.7000000000000001E-3</v>
      </c>
      <c r="I285" s="131">
        <v>1E-4</v>
      </c>
      <c r="J285" s="131">
        <v>4.5999999999999999E-3</v>
      </c>
      <c r="K285" s="132">
        <v>69</v>
      </c>
      <c r="L285" s="133">
        <v>8</v>
      </c>
      <c r="M285" s="133">
        <v>10</v>
      </c>
      <c r="N285" s="133">
        <v>4.4000000000000004</v>
      </c>
      <c r="O285" s="131">
        <v>2.0000000000000001E-4</v>
      </c>
      <c r="P285" s="133">
        <v>145.9</v>
      </c>
      <c r="Q285" s="134"/>
      <c r="R285" s="135"/>
    </row>
    <row r="286" spans="1:18" x14ac:dyDescent="0.25">
      <c r="A286" s="127">
        <v>44753</v>
      </c>
      <c r="B286" s="128" t="s">
        <v>30</v>
      </c>
      <c r="C286" s="129" t="str">
        <f t="shared" si="9"/>
        <v>11.07.2022_BOYohKi</v>
      </c>
      <c r="D286" s="143">
        <f t="shared" si="10"/>
        <v>0</v>
      </c>
      <c r="E286" s="130">
        <v>1.0000000000000001E-5</v>
      </c>
      <c r="F286" s="131">
        <v>1.1000000000000001E-3</v>
      </c>
      <c r="G286" s="131">
        <v>0.31480000000000002</v>
      </c>
      <c r="H286" s="131">
        <v>4.4000000000000003E-3</v>
      </c>
      <c r="I286" s="131">
        <v>1E-4</v>
      </c>
      <c r="J286" s="131">
        <v>7.4999999999999997E-3</v>
      </c>
      <c r="K286" s="132">
        <v>109</v>
      </c>
      <c r="L286" s="133">
        <v>12</v>
      </c>
      <c r="M286" s="133">
        <v>22</v>
      </c>
      <c r="N286" s="133">
        <v>5.6</v>
      </c>
      <c r="O286" s="131">
        <v>4.0000000000000002E-4</v>
      </c>
      <c r="P286" s="133">
        <v>230.1</v>
      </c>
      <c r="Q286" s="134"/>
      <c r="R286" s="135"/>
    </row>
    <row r="287" spans="1:18" x14ac:dyDescent="0.25">
      <c r="A287" s="127">
        <v>44753</v>
      </c>
      <c r="B287" s="128" t="s">
        <v>32</v>
      </c>
      <c r="C287" s="129" t="str">
        <f t="shared" si="9"/>
        <v>11.07.2022_BOYohSp</v>
      </c>
      <c r="D287" s="143">
        <f t="shared" si="10"/>
        <v>0</v>
      </c>
      <c r="E287" s="130">
        <v>0</v>
      </c>
      <c r="F287" s="131">
        <v>8.9999999999999998E-4</v>
      </c>
      <c r="G287" s="131">
        <v>0.1799</v>
      </c>
      <c r="H287" s="131">
        <v>2.7000000000000001E-3</v>
      </c>
      <c r="I287" s="131">
        <v>1E-4</v>
      </c>
      <c r="J287" s="131">
        <v>6.3E-3</v>
      </c>
      <c r="K287" s="132">
        <v>67</v>
      </c>
      <c r="L287" s="133">
        <v>9</v>
      </c>
      <c r="M287" s="133">
        <v>13</v>
      </c>
      <c r="N287" s="133">
        <v>4.5</v>
      </c>
      <c r="O287" s="131">
        <v>2.0000000000000001E-4</v>
      </c>
      <c r="P287" s="133">
        <v>125.7</v>
      </c>
      <c r="Q287" s="134"/>
      <c r="R287" s="135"/>
    </row>
    <row r="288" spans="1:18" x14ac:dyDescent="0.25">
      <c r="A288" s="127">
        <v>44753</v>
      </c>
      <c r="B288" s="128" t="s">
        <v>36</v>
      </c>
      <c r="C288" s="129" t="str">
        <f t="shared" si="9"/>
        <v>11.07.2022_BOYuhSp</v>
      </c>
      <c r="D288" s="143">
        <f t="shared" si="10"/>
        <v>0</v>
      </c>
      <c r="E288" s="130">
        <v>1.0000000000000001E-5</v>
      </c>
      <c r="F288" s="131">
        <v>8.9999999999999998E-4</v>
      </c>
      <c r="G288" s="131">
        <v>0.2109</v>
      </c>
      <c r="H288" s="131">
        <v>3.0000000000000001E-3</v>
      </c>
      <c r="I288" s="131">
        <v>1E-4</v>
      </c>
      <c r="J288" s="131">
        <v>6.7000000000000002E-3</v>
      </c>
      <c r="K288" s="132">
        <v>78</v>
      </c>
      <c r="L288" s="133">
        <v>9</v>
      </c>
      <c r="M288" s="133">
        <v>14</v>
      </c>
      <c r="N288" s="133">
        <v>4.8</v>
      </c>
      <c r="O288" s="131">
        <v>2.0000000000000001E-4</v>
      </c>
      <c r="P288" s="133">
        <v>160.6</v>
      </c>
      <c r="Q288" s="134"/>
      <c r="R288" s="135"/>
    </row>
    <row r="289" spans="1:18" x14ac:dyDescent="0.25">
      <c r="A289" s="127">
        <v>44753</v>
      </c>
      <c r="B289" s="128" t="s">
        <v>38</v>
      </c>
      <c r="C289" s="129" t="str">
        <f t="shared" si="9"/>
        <v>11.07.2022_BRAob</v>
      </c>
      <c r="D289" s="143">
        <f t="shared" si="10"/>
        <v>0</v>
      </c>
      <c r="E289" s="130">
        <v>1.0000000000000001E-5</v>
      </c>
      <c r="F289" s="131">
        <v>8.0000000000000004E-4</v>
      </c>
      <c r="G289" s="131">
        <v>0.28949999999999998</v>
      </c>
      <c r="H289" s="131">
        <v>3.2000000000000002E-3</v>
      </c>
      <c r="I289" s="131">
        <v>1E-4</v>
      </c>
      <c r="J289" s="131">
        <v>5.4000000000000003E-3</v>
      </c>
      <c r="K289" s="132">
        <v>109</v>
      </c>
      <c r="L289" s="133">
        <v>4</v>
      </c>
      <c r="M289" s="133">
        <v>10</v>
      </c>
      <c r="N289" s="133">
        <v>2.4</v>
      </c>
      <c r="O289" s="131">
        <v>2.0000000000000001E-4</v>
      </c>
      <c r="P289" s="133">
        <v>164.2</v>
      </c>
      <c r="Q289" s="134"/>
      <c r="R289" s="135"/>
    </row>
    <row r="290" spans="1:18" x14ac:dyDescent="0.25">
      <c r="A290" s="127">
        <v>44753</v>
      </c>
      <c r="B290" s="128" t="s">
        <v>41</v>
      </c>
      <c r="C290" s="129" t="str">
        <f t="shared" si="9"/>
        <v>11.07.2022_BRAohBo</v>
      </c>
      <c r="D290" s="143">
        <f t="shared" si="10"/>
        <v>12</v>
      </c>
      <c r="E290" s="130"/>
      <c r="F290" s="131"/>
      <c r="G290" s="131"/>
      <c r="H290" s="131"/>
      <c r="I290" s="131"/>
      <c r="J290" s="131"/>
      <c r="K290" s="132"/>
      <c r="L290" s="133"/>
      <c r="M290" s="133"/>
      <c r="N290" s="133"/>
      <c r="O290" s="131"/>
      <c r="P290" s="133"/>
      <c r="Q290" s="134"/>
      <c r="R290" s="135" t="s">
        <v>341</v>
      </c>
    </row>
    <row r="291" spans="1:18" x14ac:dyDescent="0.25">
      <c r="A291" s="127">
        <v>44753</v>
      </c>
      <c r="B291" s="128" t="s">
        <v>43</v>
      </c>
      <c r="C291" s="129" t="str">
        <f t="shared" si="9"/>
        <v>11.07.2022_HAAob</v>
      </c>
      <c r="D291" s="143">
        <f t="shared" si="10"/>
        <v>0</v>
      </c>
      <c r="E291" s="130">
        <v>1.0000000000000001E-5</v>
      </c>
      <c r="F291" s="131">
        <v>8.0000000000000004E-4</v>
      </c>
      <c r="G291" s="131">
        <v>0.27679999999999999</v>
      </c>
      <c r="H291" s="131">
        <v>3.7000000000000002E-3</v>
      </c>
      <c r="I291" s="131">
        <v>2.0000000000000001E-4</v>
      </c>
      <c r="J291" s="131">
        <v>1.3100000000000001E-2</v>
      </c>
      <c r="K291" s="132">
        <v>92</v>
      </c>
      <c r="L291" s="133">
        <v>18</v>
      </c>
      <c r="M291" s="133">
        <v>22</v>
      </c>
      <c r="N291" s="133">
        <v>4.4000000000000004</v>
      </c>
      <c r="O291" s="131">
        <v>2.0000000000000001E-4</v>
      </c>
      <c r="P291" s="133">
        <v>179.8</v>
      </c>
      <c r="Q291" s="134"/>
      <c r="R291" s="135"/>
    </row>
    <row r="292" spans="1:18" x14ac:dyDescent="0.25">
      <c r="A292" s="127">
        <v>44753</v>
      </c>
      <c r="B292" s="128" t="s">
        <v>45</v>
      </c>
      <c r="C292" s="129" t="str">
        <f t="shared" si="9"/>
        <v>11.07.2022_HAAun</v>
      </c>
      <c r="D292" s="143">
        <f t="shared" si="10"/>
        <v>0</v>
      </c>
      <c r="E292" s="130">
        <v>1.0000000000000001E-5</v>
      </c>
      <c r="F292" s="131">
        <v>2.3999999999999998E-3</v>
      </c>
      <c r="G292" s="131">
        <v>0.40720000000000001</v>
      </c>
      <c r="H292" s="131">
        <v>4.8999999999999998E-3</v>
      </c>
      <c r="I292" s="131">
        <v>2.0000000000000001E-4</v>
      </c>
      <c r="J292" s="131">
        <v>1.23E-2</v>
      </c>
      <c r="K292" s="132">
        <v>134</v>
      </c>
      <c r="L292" s="133">
        <v>29</v>
      </c>
      <c r="M292" s="133">
        <v>33</v>
      </c>
      <c r="N292" s="133">
        <v>6.5</v>
      </c>
      <c r="O292" s="131">
        <v>2.9999999999999997E-4</v>
      </c>
      <c r="P292" s="133">
        <v>258.89999999999998</v>
      </c>
      <c r="Q292" s="134"/>
      <c r="R292" s="135"/>
    </row>
    <row r="293" spans="1:18" x14ac:dyDescent="0.25">
      <c r="A293" s="127">
        <v>44753</v>
      </c>
      <c r="B293" s="128" t="s">
        <v>47</v>
      </c>
      <c r="C293" s="129" t="str">
        <f t="shared" si="9"/>
        <v>11.07.2022_KIRob</v>
      </c>
      <c r="D293" s="143">
        <f t="shared" si="10"/>
        <v>0</v>
      </c>
      <c r="E293" s="130">
        <v>1.0000000000000001E-5</v>
      </c>
      <c r="F293" s="131">
        <v>1.1999999999999999E-3</v>
      </c>
      <c r="G293" s="131">
        <v>0.28839999999999999</v>
      </c>
      <c r="H293" s="131">
        <v>4.7000000000000002E-3</v>
      </c>
      <c r="I293" s="131">
        <v>1E-4</v>
      </c>
      <c r="J293" s="131">
        <v>6.1000000000000004E-3</v>
      </c>
      <c r="K293" s="132">
        <v>108</v>
      </c>
      <c r="L293" s="133">
        <v>11</v>
      </c>
      <c r="M293" s="133">
        <v>63</v>
      </c>
      <c r="N293" s="133">
        <v>6</v>
      </c>
      <c r="O293" s="131">
        <v>2.9999999999999997E-4</v>
      </c>
      <c r="P293" s="133">
        <v>189.6</v>
      </c>
      <c r="Q293" s="134"/>
      <c r="R293" s="135"/>
    </row>
    <row r="294" spans="1:18" x14ac:dyDescent="0.25">
      <c r="A294" s="127">
        <v>44753</v>
      </c>
      <c r="B294" s="128" t="s">
        <v>49</v>
      </c>
      <c r="C294" s="129" t="str">
        <f t="shared" si="9"/>
        <v>11.07.2022_KIRun</v>
      </c>
      <c r="D294" s="143">
        <f t="shared" si="10"/>
        <v>0</v>
      </c>
      <c r="E294" s="130">
        <v>1.0000000000000001E-5</v>
      </c>
      <c r="F294" s="131">
        <v>1E-3</v>
      </c>
      <c r="G294" s="131">
        <v>0.3291</v>
      </c>
      <c r="H294" s="131">
        <v>4.4999999999999997E-3</v>
      </c>
      <c r="I294" s="131">
        <v>1E-4</v>
      </c>
      <c r="J294" s="131">
        <v>6.7000000000000002E-3</v>
      </c>
      <c r="K294" s="132">
        <v>109</v>
      </c>
      <c r="L294" s="133">
        <v>11</v>
      </c>
      <c r="M294" s="133">
        <v>47</v>
      </c>
      <c r="N294" s="133">
        <v>5.4</v>
      </c>
      <c r="O294" s="131">
        <v>2.9999999999999997E-4</v>
      </c>
      <c r="P294" s="133">
        <v>233.8</v>
      </c>
      <c r="Q294" s="134"/>
      <c r="R294" s="135"/>
    </row>
    <row r="295" spans="1:18" x14ac:dyDescent="0.25">
      <c r="A295" s="127">
        <v>44753</v>
      </c>
      <c r="B295" s="128" t="s">
        <v>50</v>
      </c>
      <c r="C295" s="129" t="str">
        <f t="shared" si="9"/>
        <v>11.07.2022_LIEohBo</v>
      </c>
      <c r="D295" s="143">
        <f t="shared" si="10"/>
        <v>0</v>
      </c>
      <c r="E295" s="130">
        <v>1.0000000000000001E-5</v>
      </c>
      <c r="F295" s="131">
        <v>8.0000000000000004E-4</v>
      </c>
      <c r="G295" s="131">
        <v>0.27029999999999998</v>
      </c>
      <c r="H295" s="131">
        <v>5.0000000000000001E-3</v>
      </c>
      <c r="I295" s="131">
        <v>1E-4</v>
      </c>
      <c r="J295" s="131">
        <v>5.7000000000000002E-3</v>
      </c>
      <c r="K295" s="132">
        <v>81</v>
      </c>
      <c r="L295" s="133">
        <v>10</v>
      </c>
      <c r="M295" s="133">
        <v>18</v>
      </c>
      <c r="N295" s="133">
        <v>6.1</v>
      </c>
      <c r="O295" s="131">
        <v>4.0000000000000002E-4</v>
      </c>
      <c r="P295" s="133">
        <v>242.3</v>
      </c>
      <c r="Q295" s="134"/>
      <c r="R295" s="135"/>
    </row>
    <row r="296" spans="1:18" x14ac:dyDescent="0.25">
      <c r="A296" s="127">
        <v>44753</v>
      </c>
      <c r="B296" s="128" t="s">
        <v>53</v>
      </c>
      <c r="C296" s="129" t="str">
        <f t="shared" si="9"/>
        <v>11.07.2022_NATohBo</v>
      </c>
      <c r="D296" s="143">
        <f t="shared" si="10"/>
        <v>0</v>
      </c>
      <c r="E296" s="130">
        <v>1.0000000000000001E-5</v>
      </c>
      <c r="F296" s="131">
        <v>2.3E-3</v>
      </c>
      <c r="G296" s="131">
        <v>0.74580000000000002</v>
      </c>
      <c r="H296" s="131">
        <v>8.3000000000000001E-3</v>
      </c>
      <c r="I296" s="131">
        <v>2.0000000000000001E-4</v>
      </c>
      <c r="J296" s="131">
        <v>8.6E-3</v>
      </c>
      <c r="K296" s="132">
        <v>220</v>
      </c>
      <c r="L296" s="133">
        <v>49</v>
      </c>
      <c r="M296" s="133">
        <v>135</v>
      </c>
      <c r="N296" s="133">
        <v>15</v>
      </c>
      <c r="O296" s="131">
        <v>5.9999999999999995E-4</v>
      </c>
      <c r="P296" s="133">
        <v>384.5</v>
      </c>
      <c r="Q296" s="134"/>
      <c r="R296" s="135"/>
    </row>
    <row r="297" spans="1:18" x14ac:dyDescent="0.25">
      <c r="A297" s="127">
        <v>44753</v>
      </c>
      <c r="B297" s="128" t="s">
        <v>55</v>
      </c>
      <c r="C297" s="129" t="str">
        <f t="shared" si="9"/>
        <v>11.07.2022_QUAohBo</v>
      </c>
      <c r="D297" s="143">
        <f t="shared" si="10"/>
        <v>12</v>
      </c>
      <c r="E297" s="130"/>
      <c r="F297" s="131"/>
      <c r="G297" s="131"/>
      <c r="H297" s="131"/>
      <c r="I297" s="131"/>
      <c r="J297" s="131"/>
      <c r="K297" s="132"/>
      <c r="L297" s="133"/>
      <c r="M297" s="133"/>
      <c r="N297" s="133"/>
      <c r="O297" s="131"/>
      <c r="P297" s="133"/>
      <c r="Q297" s="134"/>
      <c r="R297" s="135" t="s">
        <v>341</v>
      </c>
    </row>
    <row r="298" spans="1:18" x14ac:dyDescent="0.25">
      <c r="A298" s="127">
        <v>44753</v>
      </c>
      <c r="B298" s="128" t="s">
        <v>57</v>
      </c>
      <c r="C298" s="129" t="str">
        <f t="shared" si="9"/>
        <v>11.07.2022_SCHohVo</v>
      </c>
      <c r="D298" s="143">
        <f t="shared" si="10"/>
        <v>12</v>
      </c>
      <c r="E298" s="130"/>
      <c r="F298" s="131"/>
      <c r="G298" s="131"/>
      <c r="H298" s="131"/>
      <c r="I298" s="131"/>
      <c r="J298" s="131"/>
      <c r="K298" s="132"/>
      <c r="L298" s="133"/>
      <c r="M298" s="133"/>
      <c r="N298" s="133"/>
      <c r="O298" s="131"/>
      <c r="P298" s="133"/>
      <c r="Q298" s="134"/>
      <c r="R298" s="135" t="s">
        <v>341</v>
      </c>
    </row>
    <row r="299" spans="1:18" x14ac:dyDescent="0.25">
      <c r="A299" s="127">
        <v>44753</v>
      </c>
      <c r="B299" s="128" t="s">
        <v>60</v>
      </c>
      <c r="C299" s="129" t="str">
        <f t="shared" si="9"/>
        <v>11.07.2022_VORohBo</v>
      </c>
      <c r="D299" s="143">
        <f t="shared" si="10"/>
        <v>0</v>
      </c>
      <c r="E299" s="130">
        <v>1.0000000000000001E-5</v>
      </c>
      <c r="F299" s="131">
        <v>8.9999999999999998E-4</v>
      </c>
      <c r="G299" s="131">
        <v>0.41299999999999998</v>
      </c>
      <c r="H299" s="131">
        <v>5.3E-3</v>
      </c>
      <c r="I299" s="131">
        <v>1E-4</v>
      </c>
      <c r="J299" s="131">
        <v>4.7999999999999996E-3</v>
      </c>
      <c r="K299" s="132">
        <v>143</v>
      </c>
      <c r="L299" s="133">
        <v>17</v>
      </c>
      <c r="M299" s="133">
        <v>26</v>
      </c>
      <c r="N299" s="133">
        <v>7.1</v>
      </c>
      <c r="O299" s="131">
        <v>5.9999999999999995E-4</v>
      </c>
      <c r="P299" s="133">
        <v>283.5</v>
      </c>
      <c r="Q299" s="134"/>
      <c r="R299" s="135"/>
    </row>
    <row r="300" spans="1:18" x14ac:dyDescent="0.25">
      <c r="A300" s="127">
        <v>44753</v>
      </c>
      <c r="B300" s="128" t="s">
        <v>62</v>
      </c>
      <c r="C300" s="129" t="str">
        <f t="shared" si="9"/>
        <v>11.07.2022_VORuhSc</v>
      </c>
      <c r="D300" s="143">
        <f t="shared" si="10"/>
        <v>0</v>
      </c>
      <c r="E300" s="130">
        <v>1.0000000000000001E-5</v>
      </c>
      <c r="F300" s="131">
        <v>1.1000000000000001E-3</v>
      </c>
      <c r="G300" s="131">
        <v>0.47210000000000002</v>
      </c>
      <c r="H300" s="131">
        <v>6.1999999999999998E-3</v>
      </c>
      <c r="I300" s="131">
        <v>1E-4</v>
      </c>
      <c r="J300" s="131">
        <v>5.1999999999999998E-3</v>
      </c>
      <c r="K300" s="132">
        <v>162</v>
      </c>
      <c r="L300" s="133">
        <v>17</v>
      </c>
      <c r="M300" s="133">
        <v>23</v>
      </c>
      <c r="N300" s="133">
        <v>6.1</v>
      </c>
      <c r="O300" s="131">
        <v>6.9999999999999999E-4</v>
      </c>
      <c r="P300" s="133">
        <v>282.3</v>
      </c>
      <c r="Q300" s="134"/>
      <c r="R300" s="135"/>
    </row>
    <row r="301" spans="1:18" x14ac:dyDescent="0.25">
      <c r="A301" s="127">
        <v>44753</v>
      </c>
      <c r="B301" s="128" t="s">
        <v>64</v>
      </c>
      <c r="C301" s="129" t="str">
        <f t="shared" si="9"/>
        <v>11.07.2022_WITob</v>
      </c>
      <c r="D301" s="143">
        <f t="shared" si="10"/>
        <v>0</v>
      </c>
      <c r="E301" s="130">
        <v>0</v>
      </c>
      <c r="F301" s="131">
        <v>1.1000000000000001E-3</v>
      </c>
      <c r="G301" s="131">
        <v>0.45440000000000003</v>
      </c>
      <c r="H301" s="131">
        <v>5.7000000000000002E-3</v>
      </c>
      <c r="I301" s="131">
        <v>2.0000000000000001E-4</v>
      </c>
      <c r="J301" s="131">
        <v>1.23E-2</v>
      </c>
      <c r="K301" s="132">
        <v>152</v>
      </c>
      <c r="L301" s="133">
        <v>17</v>
      </c>
      <c r="M301" s="133">
        <v>44</v>
      </c>
      <c r="N301" s="133">
        <v>5</v>
      </c>
      <c r="O301" s="131">
        <v>2.9999999999999997E-4</v>
      </c>
      <c r="P301" s="133">
        <v>302.3</v>
      </c>
      <c r="Q301" s="134"/>
      <c r="R301" s="135"/>
    </row>
    <row r="302" spans="1:18" x14ac:dyDescent="0.25">
      <c r="A302" s="127">
        <v>44782</v>
      </c>
      <c r="B302" s="128" t="s">
        <v>22</v>
      </c>
      <c r="C302" s="129" t="str">
        <f t="shared" si="9"/>
        <v>09.08.2022_BOYkl</v>
      </c>
      <c r="D302" s="143">
        <f t="shared" si="10"/>
        <v>12</v>
      </c>
      <c r="E302" s="130"/>
      <c r="F302" s="131"/>
      <c r="G302" s="131"/>
      <c r="H302" s="131"/>
      <c r="I302" s="131"/>
      <c r="J302" s="131"/>
      <c r="K302" s="132"/>
      <c r="L302" s="133"/>
      <c r="M302" s="133"/>
      <c r="N302" s="133"/>
      <c r="O302" s="131"/>
      <c r="P302" s="133"/>
      <c r="Q302" s="134"/>
      <c r="R302" s="135" t="s">
        <v>341</v>
      </c>
    </row>
    <row r="303" spans="1:18" x14ac:dyDescent="0.25">
      <c r="A303" s="127">
        <v>44782</v>
      </c>
      <c r="B303" s="128" t="s">
        <v>25</v>
      </c>
      <c r="C303" s="129" t="str">
        <f t="shared" si="9"/>
        <v>09.08.2022_BOYohB224</v>
      </c>
      <c r="D303" s="143">
        <f t="shared" si="10"/>
        <v>0</v>
      </c>
      <c r="E303" s="130">
        <v>1.05106135770205E-5</v>
      </c>
      <c r="F303" s="131">
        <v>1.7297133905217199E-3</v>
      </c>
      <c r="G303" s="131">
        <v>0.42035667420224099</v>
      </c>
      <c r="H303" s="131">
        <v>1.12312057270855E-2</v>
      </c>
      <c r="I303" s="131">
        <v>1.4995886139470199E-4</v>
      </c>
      <c r="J303" s="131">
        <v>1.7525888876969001E-2</v>
      </c>
      <c r="K303" s="132">
        <v>117.532846835364</v>
      </c>
      <c r="L303" s="133">
        <v>23.488647586960401</v>
      </c>
      <c r="M303" s="133">
        <v>40.9178352159364</v>
      </c>
      <c r="N303" s="133">
        <v>7.7945251443652799</v>
      </c>
      <c r="O303" s="131">
        <v>4.6303322435171202E-4</v>
      </c>
      <c r="P303" s="133">
        <v>223.01599999999999</v>
      </c>
      <c r="Q303" s="134"/>
      <c r="R303" s="135"/>
    </row>
    <row r="304" spans="1:18" x14ac:dyDescent="0.25">
      <c r="A304" s="127">
        <v>44782</v>
      </c>
      <c r="B304" s="128" t="s">
        <v>28</v>
      </c>
      <c r="C304" s="129" t="str">
        <f t="shared" si="9"/>
        <v>09.08.2022_BOYohBr</v>
      </c>
      <c r="D304" s="143">
        <f t="shared" si="10"/>
        <v>0</v>
      </c>
      <c r="E304" s="130">
        <v>1.6103873892382901E-5</v>
      </c>
      <c r="F304" s="131">
        <v>1.6805469822988E-3</v>
      </c>
      <c r="G304" s="131">
        <v>0.30185680487755101</v>
      </c>
      <c r="H304" s="131">
        <v>8.1349512556394502E-3</v>
      </c>
      <c r="I304" s="131">
        <v>1.37161775781019E-4</v>
      </c>
      <c r="J304" s="131">
        <v>1.6421566926249999E-2</v>
      </c>
      <c r="K304" s="132">
        <v>74.529443193870193</v>
      </c>
      <c r="L304" s="133">
        <v>8.4036936274239196</v>
      </c>
      <c r="M304" s="133">
        <v>15.51312088869</v>
      </c>
      <c r="N304" s="133">
        <v>4.6252088721703402</v>
      </c>
      <c r="O304" s="131">
        <v>3.55960752778852E-4</v>
      </c>
      <c r="P304" s="133">
        <v>155.672</v>
      </c>
      <c r="Q304" s="134"/>
      <c r="R304" s="135"/>
    </row>
    <row r="305" spans="1:18" x14ac:dyDescent="0.25">
      <c r="A305" s="127">
        <v>44782</v>
      </c>
      <c r="B305" s="128" t="s">
        <v>30</v>
      </c>
      <c r="C305" s="129" t="str">
        <f t="shared" si="9"/>
        <v>09.08.2022_BOYohKi</v>
      </c>
      <c r="D305" s="143">
        <f t="shared" si="10"/>
        <v>0</v>
      </c>
      <c r="E305" s="130">
        <v>1.3891343731317701E-5</v>
      </c>
      <c r="F305" s="131">
        <v>1.5699540413083E-3</v>
      </c>
      <c r="G305" s="131">
        <v>0.41514188083465903</v>
      </c>
      <c r="H305" s="131">
        <v>1.6454270003663101E-2</v>
      </c>
      <c r="I305" s="131">
        <v>2.01338573091078E-4</v>
      </c>
      <c r="J305" s="131">
        <v>2.1290871178390298E-2</v>
      </c>
      <c r="K305" s="132">
        <v>112.717177596139</v>
      </c>
      <c r="L305" s="133">
        <v>12.436356021661499</v>
      </c>
      <c r="M305" s="133">
        <v>24.4453986240426</v>
      </c>
      <c r="N305" s="133">
        <v>5.9230939343007796</v>
      </c>
      <c r="O305" s="131">
        <v>4.9313747398520204E-4</v>
      </c>
      <c r="P305" s="133">
        <v>264.49599999999998</v>
      </c>
      <c r="Q305" s="134"/>
      <c r="R305" s="135"/>
    </row>
    <row r="306" spans="1:18" x14ac:dyDescent="0.25">
      <c r="A306" s="127">
        <v>44782</v>
      </c>
      <c r="B306" s="128" t="s">
        <v>32</v>
      </c>
      <c r="C306" s="129" t="str">
        <f t="shared" si="9"/>
        <v>09.08.2022_BOYohSp</v>
      </c>
      <c r="D306" s="143">
        <f t="shared" si="10"/>
        <v>0</v>
      </c>
      <c r="E306" s="130">
        <v>1.65957685366521E-5</v>
      </c>
      <c r="F306" s="131">
        <v>9.5596322681044097E-4</v>
      </c>
      <c r="G306" s="131">
        <v>0.25211262621543001</v>
      </c>
      <c r="H306" s="131">
        <v>1.22622820657079E-2</v>
      </c>
      <c r="I306" s="131">
        <v>1.6533395933992901E-4</v>
      </c>
      <c r="J306" s="131">
        <v>2.61066593248519E-2</v>
      </c>
      <c r="K306" s="132">
        <v>66.596944650347794</v>
      </c>
      <c r="L306" s="133">
        <v>8.0496711619860104</v>
      </c>
      <c r="M306" s="133">
        <v>11.578662164262701</v>
      </c>
      <c r="N306" s="133">
        <v>4.2049177496170103</v>
      </c>
      <c r="O306" s="131">
        <v>2.4432192410861302E-4</v>
      </c>
      <c r="P306" s="133">
        <v>154.94</v>
      </c>
      <c r="Q306" s="134"/>
      <c r="R306" s="135"/>
    </row>
    <row r="307" spans="1:18" x14ac:dyDescent="0.25">
      <c r="A307" s="127">
        <v>44782</v>
      </c>
      <c r="B307" s="128" t="s">
        <v>36</v>
      </c>
      <c r="C307" s="129" t="str">
        <f t="shared" si="9"/>
        <v>09.08.2022_BOYuhSp</v>
      </c>
      <c r="D307" s="143">
        <f t="shared" si="10"/>
        <v>0</v>
      </c>
      <c r="E307" s="130">
        <v>1.2600468798462199E-5</v>
      </c>
      <c r="F307" s="131">
        <v>1.07574613696345E-3</v>
      </c>
      <c r="G307" s="131">
        <v>0.26305865648648202</v>
      </c>
      <c r="H307" s="131">
        <v>1.3150670737136201E-2</v>
      </c>
      <c r="I307" s="131">
        <v>2.1084313487192E-4</v>
      </c>
      <c r="J307" s="131">
        <v>2.75149305289113E-2</v>
      </c>
      <c r="K307" s="132">
        <v>70.216362369421702</v>
      </c>
      <c r="L307" s="133">
        <v>8.3694573358221191</v>
      </c>
      <c r="M307" s="133">
        <v>13.468598880768999</v>
      </c>
      <c r="N307" s="133">
        <v>4.4412166272764004</v>
      </c>
      <c r="O307" s="131">
        <v>2.4295407352043801E-4</v>
      </c>
      <c r="P307" s="133">
        <v>162.01599999999999</v>
      </c>
      <c r="Q307" s="134"/>
      <c r="R307" s="135"/>
    </row>
    <row r="308" spans="1:18" x14ac:dyDescent="0.25">
      <c r="A308" s="127">
        <v>44782</v>
      </c>
      <c r="B308" s="128" t="s">
        <v>38</v>
      </c>
      <c r="C308" s="129" t="str">
        <f t="shared" si="9"/>
        <v>09.08.2022_BRAob</v>
      </c>
      <c r="D308" s="143">
        <f t="shared" si="10"/>
        <v>0</v>
      </c>
      <c r="E308" s="130">
        <v>2.5815507180817099E-5</v>
      </c>
      <c r="F308" s="131">
        <v>2.1407624688449E-3</v>
      </c>
      <c r="G308" s="131">
        <v>0.38786523120729599</v>
      </c>
      <c r="H308" s="131">
        <v>1.5837110462276101E-2</v>
      </c>
      <c r="I308" s="131">
        <v>2.1623574542588999E-4</v>
      </c>
      <c r="J308" s="131">
        <v>2.4383967788460501E-2</v>
      </c>
      <c r="K308" s="132">
        <v>105.140744907604</v>
      </c>
      <c r="L308" s="133">
        <v>3.59586732827885</v>
      </c>
      <c r="M308" s="133">
        <v>9.47210961563081</v>
      </c>
      <c r="N308" s="133">
        <v>2.6559431900800101</v>
      </c>
      <c r="O308" s="131">
        <v>3.03172270298005E-4</v>
      </c>
      <c r="P308" s="133">
        <v>182.756</v>
      </c>
      <c r="Q308" s="134"/>
      <c r="R308" s="135"/>
    </row>
    <row r="309" spans="1:18" x14ac:dyDescent="0.25">
      <c r="A309" s="127">
        <v>44782</v>
      </c>
      <c r="B309" s="128" t="s">
        <v>41</v>
      </c>
      <c r="C309" s="129" t="str">
        <f t="shared" si="9"/>
        <v>09.08.2022_BRAohBo</v>
      </c>
      <c r="D309" s="143">
        <f t="shared" si="10"/>
        <v>12</v>
      </c>
      <c r="E309" s="130"/>
      <c r="F309" s="131"/>
      <c r="G309" s="131"/>
      <c r="H309" s="131"/>
      <c r="I309" s="131"/>
      <c r="J309" s="131"/>
      <c r="K309" s="132"/>
      <c r="L309" s="133"/>
      <c r="M309" s="133"/>
      <c r="N309" s="133"/>
      <c r="O309" s="131"/>
      <c r="P309" s="133"/>
      <c r="Q309" s="134"/>
      <c r="R309" s="135" t="s">
        <v>341</v>
      </c>
    </row>
    <row r="310" spans="1:18" x14ac:dyDescent="0.25">
      <c r="A310" s="127">
        <v>44782</v>
      </c>
      <c r="B310" s="128" t="s">
        <v>43</v>
      </c>
      <c r="C310" s="129" t="str">
        <f t="shared" si="9"/>
        <v>09.08.2022_HAAob</v>
      </c>
      <c r="D310" s="143">
        <f t="shared" si="10"/>
        <v>0</v>
      </c>
      <c r="E310" s="130">
        <v>1.21703099192633E-5</v>
      </c>
      <c r="F310" s="131">
        <v>1.6579984698622801E-3</v>
      </c>
      <c r="G310" s="131">
        <v>0.352505609413508</v>
      </c>
      <c r="H310" s="131">
        <v>1.2869167626784601E-2</v>
      </c>
      <c r="I310" s="131">
        <v>1.8386504673704299E-4</v>
      </c>
      <c r="J310" s="131">
        <v>2.2144684035271499E-2</v>
      </c>
      <c r="K310" s="132">
        <v>92.254507439137697</v>
      </c>
      <c r="L310" s="133">
        <v>17.7865945966129</v>
      </c>
      <c r="M310" s="133">
        <v>21.665948331169702</v>
      </c>
      <c r="N310" s="133">
        <v>4.7818657973336496</v>
      </c>
      <c r="O310" s="131">
        <v>2.7161715604174402E-4</v>
      </c>
      <c r="P310" s="133">
        <v>201.54400000000001</v>
      </c>
      <c r="Q310" s="134"/>
      <c r="R310" s="135"/>
    </row>
    <row r="311" spans="1:18" x14ac:dyDescent="0.25">
      <c r="A311" s="127">
        <v>44782</v>
      </c>
      <c r="B311" s="128" t="s">
        <v>45</v>
      </c>
      <c r="C311" s="129" t="str">
        <f t="shared" si="9"/>
        <v>09.08.2022_HAAun</v>
      </c>
      <c r="D311" s="143">
        <f t="shared" si="10"/>
        <v>0</v>
      </c>
      <c r="E311" s="130">
        <v>7.0072084830998296E-6</v>
      </c>
      <c r="F311" s="131">
        <v>1.8472072267882299E-3</v>
      </c>
      <c r="G311" s="131">
        <v>0.57884009800898295</v>
      </c>
      <c r="H311" s="131">
        <v>8.0577563525497595E-3</v>
      </c>
      <c r="I311" s="131">
        <v>1.13102648990528E-4</v>
      </c>
      <c r="J311" s="131">
        <v>1.2993571097537101E-2</v>
      </c>
      <c r="K311" s="132">
        <v>145.226065419652</v>
      </c>
      <c r="L311" s="133">
        <v>32.9760407037029</v>
      </c>
      <c r="M311" s="133">
        <v>37.240927104393201</v>
      </c>
      <c r="N311" s="133">
        <v>7.5046594491518599</v>
      </c>
      <c r="O311" s="131">
        <v>3.5769025363254799E-4</v>
      </c>
      <c r="P311" s="133">
        <v>294.99599999999998</v>
      </c>
      <c r="Q311" s="134"/>
      <c r="R311" s="135"/>
    </row>
    <row r="312" spans="1:18" x14ac:dyDescent="0.25">
      <c r="A312" s="127">
        <v>44782</v>
      </c>
      <c r="B312" s="128" t="s">
        <v>47</v>
      </c>
      <c r="C312" s="129" t="str">
        <f t="shared" si="9"/>
        <v>09.08.2022_KIRob</v>
      </c>
      <c r="D312" s="143">
        <f t="shared" si="10"/>
        <v>0</v>
      </c>
      <c r="E312" s="130">
        <v>2.2434777026519901E-5</v>
      </c>
      <c r="F312" s="131">
        <v>1.6794730867466701E-3</v>
      </c>
      <c r="G312" s="131">
        <v>0.46789123568086799</v>
      </c>
      <c r="H312" s="131">
        <v>1.7285841517079899E-2</v>
      </c>
      <c r="I312" s="131">
        <v>2.4319824542496599E-4</v>
      </c>
      <c r="J312" s="131">
        <v>2.5269797021529601E-2</v>
      </c>
      <c r="K312" s="132">
        <v>122.81749962478899</v>
      </c>
      <c r="L312" s="133">
        <v>11.640267780054501</v>
      </c>
      <c r="M312" s="133">
        <v>76.044932625999493</v>
      </c>
      <c r="N312" s="133">
        <v>6.4040740471237401</v>
      </c>
      <c r="O312" s="131">
        <v>4.6791282776090497E-4</v>
      </c>
      <c r="P312" s="133">
        <v>252.54</v>
      </c>
      <c r="Q312" s="134"/>
      <c r="R312" s="135"/>
    </row>
    <row r="313" spans="1:18" x14ac:dyDescent="0.25">
      <c r="A313" s="127">
        <v>44782</v>
      </c>
      <c r="B313" s="128" t="s">
        <v>49</v>
      </c>
      <c r="C313" s="129" t="str">
        <f t="shared" si="9"/>
        <v>09.08.2022_KIRun</v>
      </c>
      <c r="D313" s="143">
        <f t="shared" si="10"/>
        <v>0</v>
      </c>
      <c r="E313" s="130">
        <v>2.26809234962837E-5</v>
      </c>
      <c r="F313" s="131">
        <v>1.31329080824464E-3</v>
      </c>
      <c r="G313" s="131">
        <v>0.41729848182426299</v>
      </c>
      <c r="H313" s="131">
        <v>1.31697991575901E-2</v>
      </c>
      <c r="I313" s="131">
        <v>1.6760319391762301E-4</v>
      </c>
      <c r="J313" s="131">
        <v>2.2531908903287001E-2</v>
      </c>
      <c r="K313" s="132">
        <v>111.17560539028101</v>
      </c>
      <c r="L313" s="133">
        <v>10.6926252281893</v>
      </c>
      <c r="M313" s="133">
        <v>54.209118892871103</v>
      </c>
      <c r="N313" s="133">
        <v>5.5809748179142504</v>
      </c>
      <c r="O313" s="131">
        <v>3.2291924422741001E-4</v>
      </c>
      <c r="P313" s="133">
        <v>225.94399999999999</v>
      </c>
      <c r="Q313" s="134"/>
      <c r="R313" s="135"/>
    </row>
    <row r="314" spans="1:18" x14ac:dyDescent="0.25">
      <c r="A314" s="127">
        <v>44782</v>
      </c>
      <c r="B314" s="128" t="s">
        <v>50</v>
      </c>
      <c r="C314" s="129" t="str">
        <f t="shared" si="9"/>
        <v>09.08.2022_LIEohBo</v>
      </c>
      <c r="D314" s="143">
        <f t="shared" si="10"/>
        <v>12</v>
      </c>
      <c r="E314" s="130"/>
      <c r="F314" s="131"/>
      <c r="G314" s="131"/>
      <c r="H314" s="131"/>
      <c r="I314" s="131"/>
      <c r="J314" s="131"/>
      <c r="K314" s="132"/>
      <c r="L314" s="133"/>
      <c r="M314" s="133"/>
      <c r="N314" s="133"/>
      <c r="O314" s="131"/>
      <c r="P314" s="133"/>
      <c r="Q314" s="134"/>
      <c r="R314" s="135" t="s">
        <v>341</v>
      </c>
    </row>
    <row r="315" spans="1:18" x14ac:dyDescent="0.25">
      <c r="A315" s="127">
        <v>44782</v>
      </c>
      <c r="B315" s="128" t="s">
        <v>53</v>
      </c>
      <c r="C315" s="129" t="str">
        <f t="shared" si="9"/>
        <v>09.08.2022_NATohBo</v>
      </c>
      <c r="D315" s="143">
        <f t="shared" si="10"/>
        <v>0</v>
      </c>
      <c r="E315" s="130">
        <v>1.7947980939319301E-5</v>
      </c>
      <c r="F315" s="131">
        <v>3.2654850509121298E-3</v>
      </c>
      <c r="G315" s="131">
        <v>0.98642763933178401</v>
      </c>
      <c r="H315" s="131">
        <v>1.4233643783640299E-2</v>
      </c>
      <c r="I315" s="131">
        <v>1.4222946767456599E-4</v>
      </c>
      <c r="J315" s="131">
        <v>1.4518820297562501E-2</v>
      </c>
      <c r="K315" s="132">
        <v>285.58912286276501</v>
      </c>
      <c r="L315" s="133">
        <v>68.010723507314694</v>
      </c>
      <c r="M315" s="133">
        <v>246.628035979521</v>
      </c>
      <c r="N315" s="133">
        <v>22.9387177525788</v>
      </c>
      <c r="O315" s="131">
        <v>7.8232677000870401E-4</v>
      </c>
      <c r="P315" s="133">
        <v>486.536</v>
      </c>
      <c r="Q315" s="134"/>
      <c r="R315" s="135"/>
    </row>
    <row r="316" spans="1:18" x14ac:dyDescent="0.25">
      <c r="A316" s="127">
        <v>44782</v>
      </c>
      <c r="B316" s="128" t="s">
        <v>55</v>
      </c>
      <c r="C316" s="129" t="str">
        <f t="shared" si="9"/>
        <v>09.08.2022_QUAohBo</v>
      </c>
      <c r="D316" s="143">
        <f t="shared" si="10"/>
        <v>12</v>
      </c>
      <c r="E316" s="130"/>
      <c r="F316" s="131"/>
      <c r="G316" s="131"/>
      <c r="H316" s="131"/>
      <c r="I316" s="131"/>
      <c r="J316" s="131"/>
      <c r="K316" s="132"/>
      <c r="L316" s="133"/>
      <c r="M316" s="133"/>
      <c r="N316" s="133"/>
      <c r="O316" s="131"/>
      <c r="P316" s="133"/>
      <c r="Q316" s="134"/>
      <c r="R316" s="135" t="s">
        <v>341</v>
      </c>
    </row>
    <row r="317" spans="1:18" x14ac:dyDescent="0.25">
      <c r="A317" s="127">
        <v>44782</v>
      </c>
      <c r="B317" s="128" t="s">
        <v>57</v>
      </c>
      <c r="C317" s="129" t="str">
        <f t="shared" si="9"/>
        <v>09.08.2022_SCHohVo</v>
      </c>
      <c r="D317" s="143">
        <f t="shared" si="10"/>
        <v>12</v>
      </c>
      <c r="E317" s="130"/>
      <c r="F317" s="131"/>
      <c r="G317" s="131"/>
      <c r="H317" s="131"/>
      <c r="I317" s="131"/>
      <c r="J317" s="131"/>
      <c r="K317" s="132"/>
      <c r="L317" s="133"/>
      <c r="M317" s="133"/>
      <c r="N317" s="133"/>
      <c r="O317" s="131"/>
      <c r="P317" s="133"/>
      <c r="Q317" s="134"/>
      <c r="R317" s="135" t="s">
        <v>341</v>
      </c>
    </row>
    <row r="318" spans="1:18" x14ac:dyDescent="0.25">
      <c r="A318" s="127">
        <v>44782</v>
      </c>
      <c r="B318" s="128" t="s">
        <v>60</v>
      </c>
      <c r="C318" s="129" t="str">
        <f t="shared" si="9"/>
        <v>09.08.2022_VORohBo</v>
      </c>
      <c r="D318" s="143">
        <f t="shared" si="10"/>
        <v>0</v>
      </c>
      <c r="E318" s="130">
        <v>1.7333411355426699E-5</v>
      </c>
      <c r="F318" s="131">
        <v>1.20581743500832E-3</v>
      </c>
      <c r="G318" s="131">
        <v>0.52882725298833799</v>
      </c>
      <c r="H318" s="131">
        <v>1.9492739889521399E-2</v>
      </c>
      <c r="I318" s="131">
        <v>2.5437637599841898E-4</v>
      </c>
      <c r="J318" s="131">
        <v>2.53931829760808E-2</v>
      </c>
      <c r="K318" s="132">
        <v>149.59928054622699</v>
      </c>
      <c r="L318" s="133">
        <v>17.0383829892818</v>
      </c>
      <c r="M318" s="133">
        <v>28.377211099472198</v>
      </c>
      <c r="N318" s="133">
        <v>7.9447681515406501</v>
      </c>
      <c r="O318" s="131">
        <v>6.8534589578953095E-4</v>
      </c>
      <c r="P318" s="133">
        <v>289.14</v>
      </c>
      <c r="Q318" s="134"/>
      <c r="R318" s="135"/>
    </row>
    <row r="319" spans="1:18" x14ac:dyDescent="0.25">
      <c r="A319" s="127">
        <v>44782</v>
      </c>
      <c r="B319" s="128" t="s">
        <v>62</v>
      </c>
      <c r="C319" s="129" t="str">
        <f t="shared" si="9"/>
        <v>09.08.2022_VORuhSc</v>
      </c>
      <c r="D319" s="143">
        <f t="shared" si="10"/>
        <v>0</v>
      </c>
      <c r="E319" s="130">
        <v>2.2557850261401801E-5</v>
      </c>
      <c r="F319" s="131">
        <v>1.21920891986369E-3</v>
      </c>
      <c r="G319" s="131">
        <v>0.55543747481929495</v>
      </c>
      <c r="H319" s="131">
        <v>2.10775719164179E-2</v>
      </c>
      <c r="I319" s="131">
        <v>2.69904923110256E-4</v>
      </c>
      <c r="J319" s="131">
        <v>3.1913448867317E-2</v>
      </c>
      <c r="K319" s="132">
        <v>164.81410945845201</v>
      </c>
      <c r="L319" s="133">
        <v>17.478062912571499</v>
      </c>
      <c r="M319" s="133">
        <v>26.853015674868999</v>
      </c>
      <c r="N319" s="133">
        <v>7.2616733621568699</v>
      </c>
      <c r="O319" s="131">
        <v>7.9176696216846096E-4</v>
      </c>
      <c r="P319" s="133">
        <v>324.76400000000001</v>
      </c>
      <c r="Q319" s="134"/>
      <c r="R319" s="135"/>
    </row>
    <row r="320" spans="1:18" x14ac:dyDescent="0.25">
      <c r="A320" s="127">
        <v>44782</v>
      </c>
      <c r="B320" s="128" t="s">
        <v>64</v>
      </c>
      <c r="C320" s="129" t="str">
        <f t="shared" si="9"/>
        <v>09.08.2022_WITob</v>
      </c>
      <c r="D320" s="143">
        <f t="shared" si="10"/>
        <v>0</v>
      </c>
      <c r="E320" s="130">
        <v>1.24773955635803E-5</v>
      </c>
      <c r="F320" s="131">
        <v>1.72830056269922E-3</v>
      </c>
      <c r="G320" s="131">
        <v>0.47235337731101701</v>
      </c>
      <c r="H320" s="131">
        <v>1.12817263464476E-2</v>
      </c>
      <c r="I320" s="131">
        <v>2.23641436581304E-4</v>
      </c>
      <c r="J320" s="131">
        <v>1.6293152069089802E-2</v>
      </c>
      <c r="K320" s="132">
        <v>134.146123338921</v>
      </c>
      <c r="L320" s="133">
        <v>17.3188031912598</v>
      </c>
      <c r="M320" s="133">
        <v>49.320768718024297</v>
      </c>
      <c r="N320" s="133">
        <v>6.6066500511473398</v>
      </c>
      <c r="O320" s="131">
        <v>2.9688702944903801E-4</v>
      </c>
      <c r="P320" s="133">
        <v>208.13200000000001</v>
      </c>
      <c r="Q320" s="134"/>
      <c r="R320" s="135"/>
    </row>
    <row r="321" spans="1:18" x14ac:dyDescent="0.25">
      <c r="A321" s="127">
        <v>44809</v>
      </c>
      <c r="B321" s="128" t="s">
        <v>22</v>
      </c>
      <c r="C321" s="129" t="str">
        <f t="shared" si="9"/>
        <v>05.09.2022_BOYkl</v>
      </c>
      <c r="D321" s="143">
        <f t="shared" si="10"/>
        <v>12</v>
      </c>
      <c r="E321" s="130"/>
      <c r="F321" s="131"/>
      <c r="G321" s="131"/>
      <c r="H321" s="131"/>
      <c r="I321" s="131"/>
      <c r="J321" s="131"/>
      <c r="K321" s="132"/>
      <c r="L321" s="133"/>
      <c r="M321" s="133"/>
      <c r="N321" s="133"/>
      <c r="O321" s="131"/>
      <c r="P321" s="133"/>
      <c r="Q321" s="134"/>
      <c r="R321" s="135" t="s">
        <v>341</v>
      </c>
    </row>
    <row r="322" spans="1:18" x14ac:dyDescent="0.25">
      <c r="A322" s="127">
        <v>44809</v>
      </c>
      <c r="B322" s="128" t="s">
        <v>25</v>
      </c>
      <c r="C322" s="129" t="str">
        <f t="shared" si="9"/>
        <v>05.09.2022_BOYohB224</v>
      </c>
      <c r="D322" s="143">
        <f t="shared" si="10"/>
        <v>0</v>
      </c>
      <c r="E322" s="130">
        <v>1.02648654025151E-5</v>
      </c>
      <c r="F322" s="131">
        <v>1.9925685428271401E-3</v>
      </c>
      <c r="G322" s="131">
        <v>0.56869783911584204</v>
      </c>
      <c r="H322" s="131">
        <v>1.3440976576580501E-2</v>
      </c>
      <c r="I322" s="131">
        <v>1.4924235991862101E-4</v>
      </c>
      <c r="J322" s="131">
        <v>1.4845444547464601E-2</v>
      </c>
      <c r="K322" s="132">
        <v>139.58784337274801</v>
      </c>
      <c r="L322" s="133">
        <v>24.9809214687896</v>
      </c>
      <c r="M322" s="133">
        <v>44.002497544869399</v>
      </c>
      <c r="N322" s="133">
        <v>8.8717920803558297</v>
      </c>
      <c r="O322" s="131">
        <v>5.3304189405938495E-4</v>
      </c>
      <c r="P322" s="133">
        <v>245.708</v>
      </c>
      <c r="Q322" s="134"/>
      <c r="R322" s="135"/>
    </row>
    <row r="323" spans="1:18" x14ac:dyDescent="0.25">
      <c r="A323" s="127">
        <v>44809</v>
      </c>
      <c r="B323" s="128" t="s">
        <v>28</v>
      </c>
      <c r="C323" s="129" t="str">
        <f t="shared" si="9"/>
        <v>05.09.2022_BOYohBr</v>
      </c>
      <c r="D323" s="143">
        <f t="shared" si="10"/>
        <v>0</v>
      </c>
      <c r="E323" s="130">
        <v>1.0326202872326799E-5</v>
      </c>
      <c r="F323" s="131">
        <v>1.17830023405097E-3</v>
      </c>
      <c r="G323" s="131">
        <v>0.29814476216373398</v>
      </c>
      <c r="H323" s="131">
        <v>2.3193130976945499E-2</v>
      </c>
      <c r="I323" s="131">
        <v>2.2369284426320099E-4</v>
      </c>
      <c r="J323" s="131">
        <v>2.3340778079085599E-2</v>
      </c>
      <c r="K323" s="132">
        <v>66.980783032202794</v>
      </c>
      <c r="L323" s="133">
        <v>8.1841440699516106</v>
      </c>
      <c r="M323" s="133">
        <v>11.3090356535283</v>
      </c>
      <c r="N323" s="133">
        <v>4.4641205901926302</v>
      </c>
      <c r="O323" s="131">
        <v>2.0483290860432601E-4</v>
      </c>
      <c r="P323" s="133">
        <v>163.47999999999999</v>
      </c>
      <c r="Q323" s="134"/>
      <c r="R323" s="135"/>
    </row>
    <row r="324" spans="1:18" x14ac:dyDescent="0.25">
      <c r="A324" s="127">
        <v>44809</v>
      </c>
      <c r="B324" s="128" t="s">
        <v>30</v>
      </c>
      <c r="C324" s="129" t="str">
        <f t="shared" si="9"/>
        <v>05.09.2022_BOYohKi</v>
      </c>
      <c r="D324" s="143">
        <f t="shared" si="10"/>
        <v>0</v>
      </c>
      <c r="E324" s="130">
        <v>8.7895797649660093E-6</v>
      </c>
      <c r="F324" s="131">
        <v>1.55723895692339E-3</v>
      </c>
      <c r="G324" s="131">
        <v>0.52039875287333803</v>
      </c>
      <c r="H324" s="131">
        <v>1.48486102737252E-2</v>
      </c>
      <c r="I324" s="131">
        <v>1.82977186321303E-4</v>
      </c>
      <c r="J324" s="131">
        <v>2.0299646374052901E-2</v>
      </c>
      <c r="K324" s="132">
        <v>127.397637186035</v>
      </c>
      <c r="L324" s="133">
        <v>13.875112929722899</v>
      </c>
      <c r="M324" s="133">
        <v>27.243348010943699</v>
      </c>
      <c r="N324" s="133">
        <v>7.3328350964981102</v>
      </c>
      <c r="O324" s="131">
        <v>4.2793442236887901E-4</v>
      </c>
      <c r="P324" s="133">
        <v>244.732</v>
      </c>
      <c r="Q324" s="134"/>
      <c r="R324" s="135"/>
    </row>
    <row r="325" spans="1:18" x14ac:dyDescent="0.25">
      <c r="A325" s="127">
        <v>44809</v>
      </c>
      <c r="B325" s="128" t="s">
        <v>32</v>
      </c>
      <c r="C325" s="129" t="str">
        <f t="shared" ref="C325:C387" si="11">CONCATENATE(TEXT(A325,"TT.MM.JJJJ"),"_",B325)</f>
        <v>05.09.2022_BOYohSp</v>
      </c>
      <c r="D325" s="143">
        <f t="shared" ref="D325:D388" si="12">COUNTBLANK(E325:P325)</f>
        <v>0</v>
      </c>
      <c r="E325" s="130">
        <v>9.1584011743532903E-6</v>
      </c>
      <c r="F325" s="131">
        <v>1.06314598209571E-3</v>
      </c>
      <c r="G325" s="131">
        <v>0.30918293181621898</v>
      </c>
      <c r="H325" s="131">
        <v>1.6637067850191499E-2</v>
      </c>
      <c r="I325" s="131">
        <v>1.7352370055989501E-4</v>
      </c>
      <c r="J325" s="131">
        <v>2.1722569494083001E-2</v>
      </c>
      <c r="K325" s="132">
        <v>72.074096567029997</v>
      </c>
      <c r="L325" s="133">
        <v>8.4782122084835603</v>
      </c>
      <c r="M325" s="133">
        <v>12.660163829720499</v>
      </c>
      <c r="N325" s="133">
        <v>4.5351109033013</v>
      </c>
      <c r="O325" s="131">
        <v>1.9737410177584499E-4</v>
      </c>
      <c r="P325" s="133">
        <v>148.596</v>
      </c>
      <c r="Q325" s="134"/>
      <c r="R325" s="135"/>
    </row>
    <row r="326" spans="1:18" x14ac:dyDescent="0.25">
      <c r="A326" s="127">
        <v>44809</v>
      </c>
      <c r="B326" s="128" t="s">
        <v>36</v>
      </c>
      <c r="C326" s="129" t="str">
        <f t="shared" si="11"/>
        <v>05.09.2022_BOYuhSp</v>
      </c>
      <c r="D326" s="143">
        <f t="shared" si="12"/>
        <v>0</v>
      </c>
      <c r="E326" s="130">
        <v>1.11865206307248E-5</v>
      </c>
      <c r="F326" s="131">
        <v>1.5515880116509699E-3</v>
      </c>
      <c r="G326" s="131">
        <v>0.322695339030107</v>
      </c>
      <c r="H326" s="131">
        <v>1.9598997121395099E-2</v>
      </c>
      <c r="I326" s="131">
        <v>1.8821579493789E-4</v>
      </c>
      <c r="J326" s="131">
        <v>2.1812636595530899E-2</v>
      </c>
      <c r="K326" s="132">
        <v>74.092725156263697</v>
      </c>
      <c r="L326" s="133">
        <v>8.4135051594313701</v>
      </c>
      <c r="M326" s="133">
        <v>12.9888984981808</v>
      </c>
      <c r="N326" s="133">
        <v>4.6810773304815099</v>
      </c>
      <c r="O326" s="131">
        <v>2.2388032418378301E-4</v>
      </c>
      <c r="P326" s="133">
        <v>159.57599999999999</v>
      </c>
      <c r="Q326" s="134"/>
      <c r="R326" s="135"/>
    </row>
    <row r="327" spans="1:18" x14ac:dyDescent="0.25">
      <c r="A327" s="127">
        <v>44809</v>
      </c>
      <c r="B327" s="128" t="s">
        <v>38</v>
      </c>
      <c r="C327" s="129" t="str">
        <f t="shared" si="11"/>
        <v>05.09.2022_BRAob</v>
      </c>
      <c r="D327" s="143">
        <f t="shared" si="12"/>
        <v>12</v>
      </c>
      <c r="E327" s="130"/>
      <c r="F327" s="131"/>
      <c r="G327" s="131"/>
      <c r="H327" s="131"/>
      <c r="I327" s="131"/>
      <c r="J327" s="131"/>
      <c r="K327" s="132"/>
      <c r="L327" s="133"/>
      <c r="M327" s="133"/>
      <c r="N327" s="133"/>
      <c r="O327" s="131"/>
      <c r="P327" s="133"/>
      <c r="Q327" s="134"/>
      <c r="R327" s="135" t="s">
        <v>341</v>
      </c>
    </row>
    <row r="328" spans="1:18" x14ac:dyDescent="0.25">
      <c r="A328" s="127">
        <v>44809</v>
      </c>
      <c r="B328" s="128" t="s">
        <v>41</v>
      </c>
      <c r="C328" s="129" t="str">
        <f t="shared" si="11"/>
        <v>05.09.2022_BRAohBo</v>
      </c>
      <c r="D328" s="143">
        <f t="shared" si="12"/>
        <v>12</v>
      </c>
      <c r="E328" s="130"/>
      <c r="F328" s="131"/>
      <c r="G328" s="131"/>
      <c r="H328" s="131"/>
      <c r="I328" s="131"/>
      <c r="J328" s="131"/>
      <c r="K328" s="132"/>
      <c r="L328" s="133"/>
      <c r="M328" s="133"/>
      <c r="N328" s="133"/>
      <c r="O328" s="131"/>
      <c r="P328" s="133"/>
      <c r="Q328" s="134"/>
      <c r="R328" s="135" t="s">
        <v>341</v>
      </c>
    </row>
    <row r="329" spans="1:18" x14ac:dyDescent="0.25">
      <c r="A329" s="127">
        <v>44809</v>
      </c>
      <c r="B329" s="128" t="s">
        <v>43</v>
      </c>
      <c r="C329" s="129" t="str">
        <f t="shared" si="11"/>
        <v>05.09.2022_HAAob</v>
      </c>
      <c r="D329" s="143">
        <f t="shared" si="12"/>
        <v>0</v>
      </c>
      <c r="E329" s="130">
        <v>8.8509172347777193E-6</v>
      </c>
      <c r="F329" s="131">
        <v>1.75113200671782E-3</v>
      </c>
      <c r="G329" s="131">
        <v>0.56698844843135499</v>
      </c>
      <c r="H329" s="131">
        <v>1.39591690669495E-2</v>
      </c>
      <c r="I329" s="131">
        <v>1.65793975177295E-4</v>
      </c>
      <c r="J329" s="131">
        <v>2.1305859156188999E-2</v>
      </c>
      <c r="K329" s="132">
        <v>137.723262538889</v>
      </c>
      <c r="L329" s="133">
        <v>28.384080718143501</v>
      </c>
      <c r="M329" s="133">
        <v>27.243220805610701</v>
      </c>
      <c r="N329" s="133">
        <v>5.2116853546044704</v>
      </c>
      <c r="O329" s="131">
        <v>3.3089536308618199E-4</v>
      </c>
      <c r="P329" s="133">
        <v>270.35199999999998</v>
      </c>
      <c r="Q329" s="134"/>
      <c r="R329" s="135"/>
    </row>
    <row r="330" spans="1:18" x14ac:dyDescent="0.25">
      <c r="A330" s="127">
        <v>44809</v>
      </c>
      <c r="B330" s="128" t="s">
        <v>45</v>
      </c>
      <c r="C330" s="129" t="str">
        <f t="shared" si="11"/>
        <v>05.09.2022_HAAun</v>
      </c>
      <c r="D330" s="143">
        <f t="shared" si="12"/>
        <v>0</v>
      </c>
      <c r="E330" s="130">
        <v>9.3428118790469402E-6</v>
      </c>
      <c r="F330" s="131">
        <v>2.96493484706381E-3</v>
      </c>
      <c r="G330" s="131">
        <v>0.69962826740057604</v>
      </c>
      <c r="H330" s="131">
        <v>1.59469669987513E-2</v>
      </c>
      <c r="I330" s="131">
        <v>1.5758621363012599E-4</v>
      </c>
      <c r="J330" s="131">
        <v>1.8884110285391199E-2</v>
      </c>
      <c r="K330" s="132">
        <v>178.00958977887399</v>
      </c>
      <c r="L330" s="133">
        <v>44.988426769330196</v>
      </c>
      <c r="M330" s="133">
        <v>47.688998312755203</v>
      </c>
      <c r="N330" s="133">
        <v>9.5261624630860293</v>
      </c>
      <c r="O330" s="131">
        <v>4.3298164223261798E-4</v>
      </c>
      <c r="P330" s="133">
        <v>306.22000000000003</v>
      </c>
      <c r="Q330" s="134"/>
      <c r="R330" s="135"/>
    </row>
    <row r="331" spans="1:18" x14ac:dyDescent="0.25">
      <c r="A331" s="127">
        <v>44809</v>
      </c>
      <c r="B331" s="128" t="s">
        <v>47</v>
      </c>
      <c r="C331" s="129" t="str">
        <f t="shared" si="11"/>
        <v>05.09.2022_KIRob</v>
      </c>
      <c r="D331" s="143">
        <f t="shared" si="12"/>
        <v>0</v>
      </c>
      <c r="E331" s="130">
        <v>1.3645197261553901E-5</v>
      </c>
      <c r="F331" s="131">
        <v>1.86817454331978E-3</v>
      </c>
      <c r="G331" s="131">
        <v>0.51779601328181601</v>
      </c>
      <c r="H331" s="131">
        <v>4.0372967712629097E-2</v>
      </c>
      <c r="I331" s="131">
        <v>3.16530253387273E-4</v>
      </c>
      <c r="J331" s="131">
        <v>3.2103315572644703E-2</v>
      </c>
      <c r="K331" s="132">
        <v>123.14658449716499</v>
      </c>
      <c r="L331" s="133">
        <v>12.0151408078305</v>
      </c>
      <c r="M331" s="133">
        <v>80.970731233982903</v>
      </c>
      <c r="N331" s="133">
        <v>6.8876611929154601</v>
      </c>
      <c r="O331" s="131">
        <v>4.87147756411458E-4</v>
      </c>
      <c r="P331" s="133">
        <v>201.3</v>
      </c>
      <c r="Q331" s="134"/>
      <c r="R331" s="135"/>
    </row>
    <row r="332" spans="1:18" x14ac:dyDescent="0.25">
      <c r="A332" s="127">
        <v>44809</v>
      </c>
      <c r="B332" s="128" t="s">
        <v>49</v>
      </c>
      <c r="C332" s="129" t="str">
        <f t="shared" si="11"/>
        <v>05.09.2022_KIRun</v>
      </c>
      <c r="D332" s="143">
        <f t="shared" si="12"/>
        <v>0</v>
      </c>
      <c r="E332" s="130">
        <v>1.1063845691101401E-5</v>
      </c>
      <c r="F332" s="131">
        <v>1.43370839286506E-3</v>
      </c>
      <c r="G332" s="131">
        <v>0.49221531590332901</v>
      </c>
      <c r="H332" s="131">
        <v>3.4808204353261998E-2</v>
      </c>
      <c r="I332" s="131">
        <v>2.8313106939801202E-4</v>
      </c>
      <c r="J332" s="131">
        <v>2.8658334381708801E-2</v>
      </c>
      <c r="K332" s="132">
        <v>118.263784245941</v>
      </c>
      <c r="L332" s="133">
        <v>10.5695369035585</v>
      </c>
      <c r="M332" s="133">
        <v>58.293033124020099</v>
      </c>
      <c r="N332" s="133">
        <v>6.05465255177364</v>
      </c>
      <c r="O332" s="131">
        <v>3.8523494566561198E-4</v>
      </c>
      <c r="P332" s="133">
        <v>205.93600000000001</v>
      </c>
      <c r="Q332" s="134"/>
      <c r="R332" s="135"/>
    </row>
    <row r="333" spans="1:18" x14ac:dyDescent="0.25">
      <c r="A333" s="127">
        <v>44809</v>
      </c>
      <c r="B333" s="128" t="s">
        <v>50</v>
      </c>
      <c r="C333" s="129" t="str">
        <f t="shared" si="11"/>
        <v>05.09.2022_LIEohBo</v>
      </c>
      <c r="D333" s="143">
        <f t="shared" si="12"/>
        <v>12</v>
      </c>
      <c r="E333" s="130"/>
      <c r="F333" s="131"/>
      <c r="G333" s="131"/>
      <c r="H333" s="131"/>
      <c r="I333" s="131"/>
      <c r="J333" s="131"/>
      <c r="K333" s="132"/>
      <c r="L333" s="133"/>
      <c r="M333" s="133"/>
      <c r="N333" s="133"/>
      <c r="O333" s="131"/>
      <c r="P333" s="133"/>
      <c r="Q333" s="134"/>
      <c r="R333" s="135" t="s">
        <v>341</v>
      </c>
    </row>
    <row r="334" spans="1:18" x14ac:dyDescent="0.25">
      <c r="A334" s="127">
        <v>44809</v>
      </c>
      <c r="B334" s="128" t="s">
        <v>53</v>
      </c>
      <c r="C334" s="129" t="str">
        <f t="shared" si="11"/>
        <v>05.09.2022_NATohBo</v>
      </c>
      <c r="D334" s="143">
        <f t="shared" si="12"/>
        <v>0</v>
      </c>
      <c r="E334" s="130">
        <v>6.8227977784061899E-6</v>
      </c>
      <c r="F334" s="131">
        <v>3.0050730658904299E-3</v>
      </c>
      <c r="G334" s="131">
        <v>0.94109971473843101</v>
      </c>
      <c r="H334" s="131">
        <v>1.6231210435693099E-2</v>
      </c>
      <c r="I334" s="131">
        <v>1.25695098864012E-4</v>
      </c>
      <c r="J334" s="131">
        <v>1.27524141423672E-2</v>
      </c>
      <c r="K334" s="132">
        <v>252.80079291541901</v>
      </c>
      <c r="L334" s="133">
        <v>48.925174481543898</v>
      </c>
      <c r="M334" s="133">
        <v>212.617191537368</v>
      </c>
      <c r="N334" s="133">
        <v>18.084636619226401</v>
      </c>
      <c r="O334" s="131">
        <v>5.6067001812319097E-4</v>
      </c>
      <c r="P334" s="133">
        <v>373.07600000000002</v>
      </c>
      <c r="Q334" s="134"/>
      <c r="R334" s="135"/>
    </row>
    <row r="335" spans="1:18" x14ac:dyDescent="0.25">
      <c r="A335" s="127">
        <v>44809</v>
      </c>
      <c r="B335" s="128" t="s">
        <v>55</v>
      </c>
      <c r="C335" s="129" t="str">
        <f t="shared" si="11"/>
        <v>05.09.2022_QUAohBo</v>
      </c>
      <c r="D335" s="143">
        <f t="shared" si="12"/>
        <v>12</v>
      </c>
      <c r="E335" s="130"/>
      <c r="F335" s="131"/>
      <c r="G335" s="131"/>
      <c r="H335" s="131"/>
      <c r="I335" s="131"/>
      <c r="J335" s="131"/>
      <c r="K335" s="132"/>
      <c r="L335" s="133"/>
      <c r="M335" s="133"/>
      <c r="N335" s="133"/>
      <c r="O335" s="131"/>
      <c r="P335" s="133"/>
      <c r="Q335" s="134"/>
      <c r="R335" s="135" t="s">
        <v>341</v>
      </c>
    </row>
    <row r="336" spans="1:18" x14ac:dyDescent="0.25">
      <c r="A336" s="127">
        <v>44809</v>
      </c>
      <c r="B336" s="128" t="s">
        <v>57</v>
      </c>
      <c r="C336" s="129" t="str">
        <f t="shared" si="11"/>
        <v>05.09.2022_SCHohVo</v>
      </c>
      <c r="D336" s="143">
        <f t="shared" si="12"/>
        <v>12</v>
      </c>
      <c r="E336" s="130"/>
      <c r="F336" s="131"/>
      <c r="G336" s="131"/>
      <c r="H336" s="131"/>
      <c r="I336" s="131"/>
      <c r="J336" s="131"/>
      <c r="K336" s="132"/>
      <c r="L336" s="133"/>
      <c r="M336" s="133"/>
      <c r="N336" s="133"/>
      <c r="O336" s="131"/>
      <c r="P336" s="133"/>
      <c r="Q336" s="134"/>
      <c r="R336" s="135" t="s">
        <v>341</v>
      </c>
    </row>
    <row r="337" spans="1:18" x14ac:dyDescent="0.25">
      <c r="A337" s="127">
        <v>44809</v>
      </c>
      <c r="B337" s="128" t="s">
        <v>60</v>
      </c>
      <c r="C337" s="129" t="str">
        <f t="shared" si="11"/>
        <v>05.09.2022_VORohBo</v>
      </c>
      <c r="D337" s="143">
        <f t="shared" si="12"/>
        <v>0</v>
      </c>
      <c r="E337" s="130">
        <v>7.4987048321105298E-6</v>
      </c>
      <c r="F337" s="131">
        <v>1.5658857560111299E-3</v>
      </c>
      <c r="G337" s="131">
        <v>0.63825777981027898</v>
      </c>
      <c r="H337" s="131">
        <v>2.31769446998219E-2</v>
      </c>
      <c r="I337" s="131">
        <v>2.3405099467185001E-4</v>
      </c>
      <c r="J337" s="131">
        <v>2.2711370349642001E-2</v>
      </c>
      <c r="K337" s="132">
        <v>151.68729988306501</v>
      </c>
      <c r="L337" s="133">
        <v>17.1801793994583</v>
      </c>
      <c r="M337" s="133">
        <v>28.827915842799602</v>
      </c>
      <c r="N337" s="133">
        <v>8.4414651228237094</v>
      </c>
      <c r="O337" s="131">
        <v>6.2105558055761698E-4</v>
      </c>
      <c r="P337" s="133">
        <v>256.68799999999999</v>
      </c>
      <c r="Q337" s="134"/>
      <c r="R337" s="135"/>
    </row>
    <row r="338" spans="1:18" x14ac:dyDescent="0.25">
      <c r="A338" s="127">
        <v>44809</v>
      </c>
      <c r="B338" s="128" t="s">
        <v>62</v>
      </c>
      <c r="C338" s="129" t="str">
        <f t="shared" si="11"/>
        <v>05.09.2022_VORuhSc</v>
      </c>
      <c r="D338" s="143">
        <f t="shared" si="12"/>
        <v>0</v>
      </c>
      <c r="E338" s="130">
        <v>1.23547206239569E-5</v>
      </c>
      <c r="F338" s="131">
        <v>1.9671354459167602E-3</v>
      </c>
      <c r="G338" s="131">
        <v>0.73328464274085403</v>
      </c>
      <c r="H338" s="131">
        <v>3.2606035746450303E-2</v>
      </c>
      <c r="I338" s="131">
        <v>2.8688559904300299E-4</v>
      </c>
      <c r="J338" s="131">
        <v>2.8277120020625001E-2</v>
      </c>
      <c r="K338" s="132">
        <v>183.696195858349</v>
      </c>
      <c r="L338" s="133">
        <v>18.9138197157896</v>
      </c>
      <c r="M338" s="133">
        <v>29.269509155524801</v>
      </c>
      <c r="N338" s="133">
        <v>8.6091526891191901</v>
      </c>
      <c r="O338" s="131">
        <v>8.1793226691972E-4</v>
      </c>
      <c r="P338" s="133">
        <v>337.69600000000003</v>
      </c>
      <c r="Q338" s="134"/>
      <c r="R338" s="135"/>
    </row>
    <row r="339" spans="1:18" x14ac:dyDescent="0.25">
      <c r="A339" s="127">
        <v>44809</v>
      </c>
      <c r="B339" s="128" t="s">
        <v>64</v>
      </c>
      <c r="C339" s="129" t="str">
        <f t="shared" si="11"/>
        <v>05.09.2022_WITob</v>
      </c>
      <c r="D339" s="143">
        <f t="shared" si="12"/>
        <v>12</v>
      </c>
      <c r="E339" s="130"/>
      <c r="F339" s="131"/>
      <c r="G339" s="131"/>
      <c r="H339" s="131"/>
      <c r="I339" s="131"/>
      <c r="J339" s="131"/>
      <c r="K339" s="132"/>
      <c r="L339" s="133"/>
      <c r="M339" s="133"/>
      <c r="N339" s="133"/>
      <c r="O339" s="131"/>
      <c r="P339" s="133"/>
      <c r="Q339" s="134"/>
      <c r="R339" s="135" t="s">
        <v>341</v>
      </c>
    </row>
    <row r="340" spans="1:18" x14ac:dyDescent="0.25">
      <c r="A340" s="127">
        <v>44841</v>
      </c>
      <c r="B340" s="128" t="s">
        <v>22</v>
      </c>
      <c r="C340" s="129" t="str">
        <f t="shared" si="11"/>
        <v>07.10.2022_BOYkl</v>
      </c>
      <c r="D340" s="143">
        <f t="shared" si="12"/>
        <v>12</v>
      </c>
      <c r="E340" s="130"/>
      <c r="F340" s="131"/>
      <c r="G340" s="131"/>
      <c r="H340" s="131"/>
      <c r="I340" s="131"/>
      <c r="J340" s="131"/>
      <c r="K340" s="132"/>
      <c r="L340" s="133"/>
      <c r="M340" s="133"/>
      <c r="N340" s="133"/>
      <c r="O340" s="131"/>
      <c r="P340" s="133"/>
      <c r="Q340" s="134"/>
      <c r="R340" s="135" t="s">
        <v>341</v>
      </c>
    </row>
    <row r="341" spans="1:18" x14ac:dyDescent="0.25">
      <c r="A341" s="127">
        <v>44841</v>
      </c>
      <c r="B341" s="128" t="s">
        <v>25</v>
      </c>
      <c r="C341" s="129" t="str">
        <f t="shared" si="11"/>
        <v>07.10.2022_BOYohB224</v>
      </c>
      <c r="D341" s="143">
        <f t="shared" si="12"/>
        <v>0</v>
      </c>
      <c r="E341" s="130">
        <v>7.8635145390138105E-6</v>
      </c>
      <c r="F341" s="131">
        <v>2.48233515994857E-3</v>
      </c>
      <c r="G341" s="131">
        <v>0.767047830129022</v>
      </c>
      <c r="H341" s="131">
        <v>5.00873381588337E-3</v>
      </c>
      <c r="I341" s="131">
        <v>8.7278054767394396E-5</v>
      </c>
      <c r="J341" s="131">
        <v>1.5034531404462601E-2</v>
      </c>
      <c r="K341" s="132">
        <v>134.35432841620599</v>
      </c>
      <c r="L341" s="133">
        <v>22.0692221734455</v>
      </c>
      <c r="M341" s="133">
        <v>36.067346952453399</v>
      </c>
      <c r="N341" s="133">
        <v>7.20716401779368</v>
      </c>
      <c r="O341" s="131">
        <v>5.6373602406798796E-4</v>
      </c>
      <c r="P341" s="133">
        <v>252.29599999999999</v>
      </c>
      <c r="Q341" s="134"/>
      <c r="R341" s="135"/>
    </row>
    <row r="342" spans="1:18" x14ac:dyDescent="0.25">
      <c r="A342" s="127">
        <v>44841</v>
      </c>
      <c r="B342" s="128" t="s">
        <v>28</v>
      </c>
      <c r="C342" s="129" t="str">
        <f t="shared" si="11"/>
        <v>07.10.2022_BOYohBr</v>
      </c>
      <c r="D342" s="143">
        <f t="shared" si="12"/>
        <v>0</v>
      </c>
      <c r="E342" s="130">
        <v>1.04845091251529E-5</v>
      </c>
      <c r="F342" s="131">
        <v>1.1070183325184899E-3</v>
      </c>
      <c r="G342" s="131">
        <v>0.343845164009491</v>
      </c>
      <c r="H342" s="131">
        <v>2.7873062471546E-3</v>
      </c>
      <c r="I342" s="131">
        <v>3.2374907541010101E-5</v>
      </c>
      <c r="J342" s="131">
        <v>9.03785474637008E-3</v>
      </c>
      <c r="K342" s="132">
        <v>83.267430336518899</v>
      </c>
      <c r="L342" s="133">
        <v>8.3612392799496007</v>
      </c>
      <c r="M342" s="133">
        <v>12.970865720283101</v>
      </c>
      <c r="N342" s="133">
        <v>4.8929980479763397</v>
      </c>
      <c r="O342" s="131">
        <v>1.8412802828291099E-4</v>
      </c>
      <c r="P342" s="133">
        <v>166.40799999999999</v>
      </c>
      <c r="Q342" s="134"/>
      <c r="R342" s="135"/>
    </row>
    <row r="343" spans="1:18" x14ac:dyDescent="0.25">
      <c r="A343" s="127">
        <v>44841</v>
      </c>
      <c r="B343" s="128" t="s">
        <v>30</v>
      </c>
      <c r="C343" s="129" t="str">
        <f t="shared" si="11"/>
        <v>07.10.2022_BOYohKi</v>
      </c>
      <c r="D343" s="143">
        <f t="shared" si="12"/>
        <v>0</v>
      </c>
      <c r="E343" s="130">
        <v>8.0269949627746105E-6</v>
      </c>
      <c r="F343" s="131">
        <v>1.59086307704913E-3</v>
      </c>
      <c r="G343" s="131">
        <v>0.56816061961190301</v>
      </c>
      <c r="H343" s="131">
        <v>3.8849639103620101E-3</v>
      </c>
      <c r="I343" s="131">
        <v>6.73492691331847E-5</v>
      </c>
      <c r="J343" s="131">
        <v>1.1613248361129E-2</v>
      </c>
      <c r="K343" s="132">
        <v>125.077185019645</v>
      </c>
      <c r="L343" s="133">
        <v>12.312201892836599</v>
      </c>
      <c r="M343" s="133">
        <v>23.0124678128856</v>
      </c>
      <c r="N343" s="133">
        <v>5.8806650885671701</v>
      </c>
      <c r="O343" s="131">
        <v>3.6489368954583799E-4</v>
      </c>
      <c r="P343" s="133">
        <v>264.00799999999998</v>
      </c>
      <c r="Q343" s="134"/>
      <c r="R343" s="135"/>
    </row>
    <row r="344" spans="1:18" x14ac:dyDescent="0.25">
      <c r="A344" s="127">
        <v>44841</v>
      </c>
      <c r="B344" s="128" t="s">
        <v>32</v>
      </c>
      <c r="C344" s="129" t="str">
        <f t="shared" si="11"/>
        <v>07.10.2022_BOYohSp</v>
      </c>
      <c r="D344" s="143">
        <f t="shared" si="12"/>
        <v>0</v>
      </c>
      <c r="E344" s="130">
        <v>8.9282604158455106E-6</v>
      </c>
      <c r="F344" s="131">
        <v>1.2858595046411499E-3</v>
      </c>
      <c r="G344" s="131">
        <v>0.39947627996282598</v>
      </c>
      <c r="H344" s="131">
        <v>3.1588802099091098E-3</v>
      </c>
      <c r="I344" s="131">
        <v>8.8074429506742507E-5</v>
      </c>
      <c r="J344" s="131">
        <v>1.10702968155499E-2</v>
      </c>
      <c r="K344" s="132">
        <v>86.639673315545707</v>
      </c>
      <c r="L344" s="133">
        <v>8.4991055316701498</v>
      </c>
      <c r="M344" s="133">
        <v>13.9315370506399</v>
      </c>
      <c r="N344" s="133">
        <v>4.64586502571529</v>
      </c>
      <c r="O344" s="131">
        <v>2.4378084916410299E-4</v>
      </c>
      <c r="P344" s="133">
        <v>166.40799999999999</v>
      </c>
      <c r="Q344" s="134"/>
      <c r="R344" s="135"/>
    </row>
    <row r="345" spans="1:18" x14ac:dyDescent="0.25">
      <c r="A345" s="127">
        <v>44841</v>
      </c>
      <c r="B345" s="128" t="s">
        <v>36</v>
      </c>
      <c r="C345" s="129" t="str">
        <f t="shared" si="11"/>
        <v>07.10.2022_BOYuhSp</v>
      </c>
      <c r="D345" s="143">
        <f t="shared" si="12"/>
        <v>0</v>
      </c>
      <c r="E345" s="130">
        <v>5.3242601647551501E-6</v>
      </c>
      <c r="F345" s="131">
        <v>1.2342127522591501E-3</v>
      </c>
      <c r="G345" s="131">
        <v>0.3841607531549</v>
      </c>
      <c r="H345" s="131">
        <v>2.8852973353073802E-3</v>
      </c>
      <c r="I345" s="131">
        <v>3.7970034141108503E-5</v>
      </c>
      <c r="J345" s="131">
        <v>9.87714734325606E-3</v>
      </c>
      <c r="K345" s="132">
        <v>87.385690489306498</v>
      </c>
      <c r="L345" s="133">
        <v>8.6608652208714592</v>
      </c>
      <c r="M345" s="133">
        <v>14.8928214179153</v>
      </c>
      <c r="N345" s="133">
        <v>4.823092454378</v>
      </c>
      <c r="O345" s="131">
        <v>2.5299977173948602E-4</v>
      </c>
      <c r="P345" s="133">
        <v>161.52799999999999</v>
      </c>
      <c r="Q345" s="134"/>
      <c r="R345" s="135"/>
    </row>
    <row r="346" spans="1:18" x14ac:dyDescent="0.25">
      <c r="A346" s="127">
        <v>44841</v>
      </c>
      <c r="B346" s="128" t="s">
        <v>38</v>
      </c>
      <c r="C346" s="129" t="str">
        <f t="shared" si="11"/>
        <v>07.10.2022_BRAob</v>
      </c>
      <c r="D346" s="143">
        <f t="shared" si="12"/>
        <v>0</v>
      </c>
      <c r="E346" s="130">
        <v>2.1542792075258401E-5</v>
      </c>
      <c r="F346" s="131">
        <v>1.63876155285506E-3</v>
      </c>
      <c r="G346" s="131">
        <v>0.614620930069806</v>
      </c>
      <c r="H346" s="131">
        <v>3.8657210405148002E-3</v>
      </c>
      <c r="I346" s="131">
        <v>6.1062729033894403E-5</v>
      </c>
      <c r="J346" s="131">
        <v>1.2181656018435899E-2</v>
      </c>
      <c r="K346" s="132">
        <v>152.444337884574</v>
      </c>
      <c r="L346" s="133">
        <v>5.1507604548332697</v>
      </c>
      <c r="M346" s="133">
        <v>13.279624763693199</v>
      </c>
      <c r="N346" s="133">
        <v>3.0940968964525402</v>
      </c>
      <c r="O346" s="131">
        <v>3.7109534705322502E-4</v>
      </c>
      <c r="P346" s="133">
        <v>176.16800000000001</v>
      </c>
      <c r="Q346" s="134"/>
      <c r="R346" s="135"/>
    </row>
    <row r="347" spans="1:18" x14ac:dyDescent="0.25">
      <c r="A347" s="127">
        <v>44841</v>
      </c>
      <c r="B347" s="128" t="s">
        <v>41</v>
      </c>
      <c r="C347" s="129" t="str">
        <f t="shared" si="11"/>
        <v>07.10.2022_BRAohBo</v>
      </c>
      <c r="D347" s="143">
        <f t="shared" si="12"/>
        <v>0</v>
      </c>
      <c r="E347" s="130">
        <v>3.2928035872885602E-5</v>
      </c>
      <c r="F347" s="131">
        <v>2.6317293015878001E-3</v>
      </c>
      <c r="G347" s="131">
        <v>0.65600143975763303</v>
      </c>
      <c r="H347" s="131">
        <v>5.0359038854135996E-3</v>
      </c>
      <c r="I347" s="131">
        <v>4.1238904639840997E-5</v>
      </c>
      <c r="J347" s="131">
        <v>1.2890945002148199E-2</v>
      </c>
      <c r="K347" s="132">
        <v>163.41773341238701</v>
      </c>
      <c r="L347" s="133">
        <v>8.0529367988017704</v>
      </c>
      <c r="M347" s="133">
        <v>17.389807287252498</v>
      </c>
      <c r="N347" s="133">
        <v>6.56609037225995</v>
      </c>
      <c r="O347" s="131">
        <v>3.6586511739206102E-4</v>
      </c>
      <c r="P347" s="133">
        <v>181.048</v>
      </c>
      <c r="Q347" s="134"/>
      <c r="R347" s="135"/>
    </row>
    <row r="348" spans="1:18" x14ac:dyDescent="0.25">
      <c r="A348" s="127">
        <v>44841</v>
      </c>
      <c r="B348" s="128" t="s">
        <v>43</v>
      </c>
      <c r="C348" s="129" t="str">
        <f t="shared" si="11"/>
        <v>07.10.2022_HAAob</v>
      </c>
      <c r="D348" s="143">
        <f t="shared" si="12"/>
        <v>0</v>
      </c>
      <c r="E348" s="130">
        <v>4.2595142879234399E-6</v>
      </c>
      <c r="F348" s="131">
        <v>2.2780608687181002E-3</v>
      </c>
      <c r="G348" s="131">
        <v>0.735551389412061</v>
      </c>
      <c r="H348" s="131">
        <v>3.66907541141144E-3</v>
      </c>
      <c r="I348" s="131">
        <v>5.7018123004745002E-5</v>
      </c>
      <c r="J348" s="131">
        <v>1.13850919764945E-2</v>
      </c>
      <c r="K348" s="132">
        <v>139.22159243978899</v>
      </c>
      <c r="L348" s="133">
        <v>32.965303644630801</v>
      </c>
      <c r="M348" s="133">
        <v>35.098623411268001</v>
      </c>
      <c r="N348" s="133">
        <v>5.01886715145754</v>
      </c>
      <c r="O348" s="131">
        <v>3.5910556514971899E-4</v>
      </c>
      <c r="P348" s="133">
        <v>277.916</v>
      </c>
      <c r="Q348" s="134"/>
      <c r="R348" s="135"/>
    </row>
    <row r="349" spans="1:18" x14ac:dyDescent="0.25">
      <c r="A349" s="127">
        <v>44841</v>
      </c>
      <c r="B349" s="128" t="s">
        <v>45</v>
      </c>
      <c r="C349" s="129" t="str">
        <f t="shared" si="11"/>
        <v>07.10.2022_HAAun</v>
      </c>
      <c r="D349" s="143">
        <f t="shared" si="12"/>
        <v>0</v>
      </c>
      <c r="E349" s="130">
        <v>5.8975032091112001E-6</v>
      </c>
      <c r="F349" s="131">
        <v>2.8304326093728E-3</v>
      </c>
      <c r="G349" s="131">
        <v>0.76649851515183298</v>
      </c>
      <c r="H349" s="131">
        <v>4.0623796784965398E-3</v>
      </c>
      <c r="I349" s="131">
        <v>7.1184088466291003E-5</v>
      </c>
      <c r="J349" s="131">
        <v>1.10509337317422E-2</v>
      </c>
      <c r="K349" s="132">
        <v>168.28867280342899</v>
      </c>
      <c r="L349" s="133">
        <v>40.709998786344201</v>
      </c>
      <c r="M349" s="133">
        <v>46.999070968426103</v>
      </c>
      <c r="N349" s="133">
        <v>7.5873445612441897</v>
      </c>
      <c r="O349" s="131">
        <v>3.8686852839310998E-4</v>
      </c>
      <c r="P349" s="133">
        <v>325.98399999999998</v>
      </c>
      <c r="Q349" s="134"/>
      <c r="R349" s="135"/>
    </row>
    <row r="350" spans="1:18" x14ac:dyDescent="0.25">
      <c r="A350" s="127">
        <v>44841</v>
      </c>
      <c r="B350" s="128" t="s">
        <v>47</v>
      </c>
      <c r="C350" s="129" t="str">
        <f t="shared" si="11"/>
        <v>07.10.2022_KIRob</v>
      </c>
      <c r="D350" s="143">
        <f t="shared" si="12"/>
        <v>0</v>
      </c>
      <c r="E350" s="130">
        <v>1.06485203295103E-5</v>
      </c>
      <c r="F350" s="131">
        <v>1.68648595309021E-3</v>
      </c>
      <c r="G350" s="131">
        <v>0.50602772936607898</v>
      </c>
      <c r="H350" s="131">
        <v>4.5605916489700098E-3</v>
      </c>
      <c r="I350" s="131">
        <v>9.5157480129650106E-5</v>
      </c>
      <c r="J350" s="131">
        <v>7.8715538568729492E-3</v>
      </c>
      <c r="K350" s="132">
        <v>131.71653658384801</v>
      </c>
      <c r="L350" s="133">
        <v>12.6053273911166</v>
      </c>
      <c r="M350" s="133">
        <v>74.597676316496603</v>
      </c>
      <c r="N350" s="133">
        <v>6.9940272975463698</v>
      </c>
      <c r="O350" s="131">
        <v>4.5451132322206001E-4</v>
      </c>
      <c r="P350" s="133">
        <v>204.22800000000001</v>
      </c>
      <c r="Q350" s="134"/>
      <c r="R350" s="135"/>
    </row>
    <row r="351" spans="1:18" x14ac:dyDescent="0.25">
      <c r="A351" s="127">
        <v>44841</v>
      </c>
      <c r="B351" s="128" t="s">
        <v>49</v>
      </c>
      <c r="C351" s="129" t="str">
        <f t="shared" si="11"/>
        <v>07.10.2022_KIRun</v>
      </c>
      <c r="D351" s="143">
        <f t="shared" si="12"/>
        <v>0</v>
      </c>
      <c r="E351" s="130">
        <v>5.9792434209916001E-6</v>
      </c>
      <c r="F351" s="131">
        <v>1.6976533531002399E-3</v>
      </c>
      <c r="G351" s="131">
        <v>0.50952517864529401</v>
      </c>
      <c r="H351" s="131">
        <v>4.2296416747102496E-3</v>
      </c>
      <c r="I351" s="131">
        <v>4.5450932673016997E-5</v>
      </c>
      <c r="J351" s="131">
        <v>8.0212261238944097E-3</v>
      </c>
      <c r="K351" s="132">
        <v>115.531432967984</v>
      </c>
      <c r="L351" s="133">
        <v>10.5734276114836</v>
      </c>
      <c r="M351" s="133">
        <v>51.927975318671301</v>
      </c>
      <c r="N351" s="133">
        <v>5.5362735799338001</v>
      </c>
      <c r="O351" s="131">
        <v>3.0413927430801102E-4</v>
      </c>
      <c r="P351" s="133">
        <v>236.19200000000001</v>
      </c>
      <c r="Q351" s="134"/>
      <c r="R351" s="135"/>
    </row>
    <row r="352" spans="1:18" x14ac:dyDescent="0.25">
      <c r="A352" s="127">
        <v>44841</v>
      </c>
      <c r="B352" s="128" t="s">
        <v>50</v>
      </c>
      <c r="C352" s="129" t="str">
        <f t="shared" si="11"/>
        <v>07.10.2022_LIEohBo</v>
      </c>
      <c r="D352" s="143">
        <f t="shared" si="12"/>
        <v>0</v>
      </c>
      <c r="E352" s="130">
        <v>9.7472548764393899E-6</v>
      </c>
      <c r="F352" s="131">
        <v>2.0974399434383201E-3</v>
      </c>
      <c r="G352" s="131">
        <v>0.64700422619977904</v>
      </c>
      <c r="H352" s="131">
        <v>6.8456894612747496E-3</v>
      </c>
      <c r="I352" s="131">
        <v>1.05404983148211E-4</v>
      </c>
      <c r="J352" s="131">
        <v>1.7786428463151201E-2</v>
      </c>
      <c r="K352" s="132">
        <v>105.496542686026</v>
      </c>
      <c r="L352" s="133">
        <v>9.5519208608712898</v>
      </c>
      <c r="M352" s="133">
        <v>15.8347778422937</v>
      </c>
      <c r="N352" s="133">
        <v>2.4153118689184701</v>
      </c>
      <c r="O352" s="131">
        <v>5.1709235492286999E-4</v>
      </c>
      <c r="P352" s="133">
        <v>238.38800000000001</v>
      </c>
      <c r="Q352" s="134"/>
      <c r="R352" s="135"/>
    </row>
    <row r="353" spans="1:18" x14ac:dyDescent="0.25">
      <c r="A353" s="127">
        <v>44841</v>
      </c>
      <c r="B353" s="128" t="s">
        <v>53</v>
      </c>
      <c r="C353" s="129" t="str">
        <f t="shared" si="11"/>
        <v>07.10.2022_NATohBo</v>
      </c>
      <c r="D353" s="143">
        <f t="shared" si="12"/>
        <v>0</v>
      </c>
      <c r="E353" s="130">
        <v>1.8429763876047098E-5</v>
      </c>
      <c r="F353" s="131">
        <v>4.6889521363711597E-3</v>
      </c>
      <c r="G353" s="131">
        <v>1.3534429648969499</v>
      </c>
      <c r="H353" s="131">
        <v>7.4236848829023596E-3</v>
      </c>
      <c r="I353" s="131">
        <v>1.6840114439243401E-4</v>
      </c>
      <c r="J353" s="131">
        <v>2.9597197878405701E-2</v>
      </c>
      <c r="K353" s="132">
        <v>237.74666240432799</v>
      </c>
      <c r="L353" s="133">
        <v>46.204261428111799</v>
      </c>
      <c r="M353" s="133">
        <v>148.876226873836</v>
      </c>
      <c r="N353" s="133">
        <v>15.427414347181999</v>
      </c>
      <c r="O353" s="131">
        <v>7.5386376428451904E-4</v>
      </c>
      <c r="P353" s="133">
        <v>395.524</v>
      </c>
      <c r="Q353" s="134"/>
      <c r="R353" s="135"/>
    </row>
    <row r="354" spans="1:18" x14ac:dyDescent="0.25">
      <c r="A354" s="127">
        <v>44841</v>
      </c>
      <c r="B354" s="128" t="s">
        <v>55</v>
      </c>
      <c r="C354" s="129" t="str">
        <f t="shared" si="11"/>
        <v>07.10.2022_QUAohBo</v>
      </c>
      <c r="D354" s="143">
        <f t="shared" si="12"/>
        <v>12</v>
      </c>
      <c r="E354" s="130"/>
      <c r="F354" s="131"/>
      <c r="G354" s="131"/>
      <c r="H354" s="131"/>
      <c r="I354" s="131"/>
      <c r="J354" s="131"/>
      <c r="K354" s="132"/>
      <c r="L354" s="133"/>
      <c r="M354" s="133"/>
      <c r="N354" s="133"/>
      <c r="O354" s="131"/>
      <c r="P354" s="133"/>
      <c r="Q354" s="134"/>
      <c r="R354" s="135" t="s">
        <v>341</v>
      </c>
    </row>
    <row r="355" spans="1:18" x14ac:dyDescent="0.25">
      <c r="A355" s="127">
        <v>44841</v>
      </c>
      <c r="B355" s="128" t="s">
        <v>57</v>
      </c>
      <c r="C355" s="129" t="str">
        <f t="shared" si="11"/>
        <v>07.10.2022_SCHohVo</v>
      </c>
      <c r="D355" s="143">
        <f t="shared" si="12"/>
        <v>12</v>
      </c>
      <c r="E355" s="130"/>
      <c r="F355" s="131"/>
      <c r="G355" s="131"/>
      <c r="H355" s="131"/>
      <c r="I355" s="131"/>
      <c r="J355" s="131"/>
      <c r="K355" s="132"/>
      <c r="L355" s="133"/>
      <c r="M355" s="133"/>
      <c r="N355" s="133"/>
      <c r="O355" s="131"/>
      <c r="P355" s="133"/>
      <c r="Q355" s="134"/>
      <c r="R355" s="135" t="s">
        <v>341</v>
      </c>
    </row>
    <row r="356" spans="1:18" x14ac:dyDescent="0.25">
      <c r="A356" s="127">
        <v>44841</v>
      </c>
      <c r="B356" s="128" t="s">
        <v>60</v>
      </c>
      <c r="C356" s="129" t="str">
        <f t="shared" si="11"/>
        <v>07.10.2022_VORohBo</v>
      </c>
      <c r="D356" s="143">
        <f t="shared" si="12"/>
        <v>0</v>
      </c>
      <c r="E356" s="130">
        <v>9.2557520439637399E-6</v>
      </c>
      <c r="F356" s="131">
        <v>1.62837918845483E-3</v>
      </c>
      <c r="G356" s="131">
        <v>0.69229839761318102</v>
      </c>
      <c r="H356" s="131">
        <v>4.8346709149839203E-3</v>
      </c>
      <c r="I356" s="131">
        <v>1.2489518559263501E-4</v>
      </c>
      <c r="J356" s="131">
        <v>1.524528286773E-2</v>
      </c>
      <c r="K356" s="132">
        <v>168.157786760395</v>
      </c>
      <c r="L356" s="133">
        <v>17.103417709874599</v>
      </c>
      <c r="M356" s="133">
        <v>28.049306712823899</v>
      </c>
      <c r="N356" s="133">
        <v>7.5275021157823296</v>
      </c>
      <c r="O356" s="131">
        <v>7.8417890176189298E-4</v>
      </c>
      <c r="P356" s="133">
        <v>302.31599999999997</v>
      </c>
      <c r="Q356" s="134"/>
      <c r="R356" s="135"/>
    </row>
    <row r="357" spans="1:18" x14ac:dyDescent="0.25">
      <c r="A357" s="127">
        <v>44841</v>
      </c>
      <c r="B357" s="128" t="s">
        <v>62</v>
      </c>
      <c r="C357" s="129" t="str">
        <f t="shared" si="11"/>
        <v>07.10.2022_VORuhSc</v>
      </c>
      <c r="D357" s="143">
        <f t="shared" si="12"/>
        <v>0</v>
      </c>
      <c r="E357" s="130">
        <v>8.1910061671320296E-6</v>
      </c>
      <c r="F357" s="131">
        <v>1.7321163598521599E-3</v>
      </c>
      <c r="G357" s="131">
        <v>0.83541735274095397</v>
      </c>
      <c r="H357" s="131">
        <v>5.1380516525502797E-3</v>
      </c>
      <c r="I357" s="131">
        <v>5.60961478163096E-5</v>
      </c>
      <c r="J357" s="131">
        <v>1.05750780178191E-2</v>
      </c>
      <c r="K357" s="132">
        <v>209.769917952074</v>
      </c>
      <c r="L357" s="133">
        <v>18.573838077294099</v>
      </c>
      <c r="M357" s="133">
        <v>28.380327266760801</v>
      </c>
      <c r="N357" s="133">
        <v>7.36954834754237</v>
      </c>
      <c r="O357" s="131">
        <v>1.15520407674572E-3</v>
      </c>
      <c r="P357" s="133">
        <v>358.92399999999998</v>
      </c>
      <c r="Q357" s="134"/>
      <c r="R357" s="135"/>
    </row>
    <row r="358" spans="1:18" x14ac:dyDescent="0.25">
      <c r="A358" s="127">
        <v>44841</v>
      </c>
      <c r="B358" s="128" t="s">
        <v>64</v>
      </c>
      <c r="C358" s="129" t="str">
        <f t="shared" si="11"/>
        <v>07.10.2022_WITob</v>
      </c>
      <c r="D358" s="143">
        <f t="shared" si="12"/>
        <v>0</v>
      </c>
      <c r="E358" s="130">
        <v>7.6177631227759796E-6</v>
      </c>
      <c r="F358" s="131">
        <v>2.4892286655876302E-3</v>
      </c>
      <c r="G358" s="131">
        <v>0.92146971858086801</v>
      </c>
      <c r="H358" s="131">
        <v>4.4275751827740299E-3</v>
      </c>
      <c r="I358" s="131">
        <v>5.9050813515919897E-5</v>
      </c>
      <c r="J358" s="131">
        <v>9.8943076151922996E-3</v>
      </c>
      <c r="K358" s="132">
        <v>157.012090219345</v>
      </c>
      <c r="L358" s="133">
        <v>18.0504108415319</v>
      </c>
      <c r="M358" s="133">
        <v>46.6129751292276</v>
      </c>
      <c r="N358" s="133">
        <v>5.9615910169685797</v>
      </c>
      <c r="O358" s="131">
        <v>3.6780837483299598E-4</v>
      </c>
      <c r="P358" s="133">
        <v>320.12799999999999</v>
      </c>
      <c r="Q358" s="134"/>
      <c r="R358" s="135"/>
    </row>
    <row r="359" spans="1:18" x14ac:dyDescent="0.25">
      <c r="A359" s="127">
        <v>44869</v>
      </c>
      <c r="B359" s="128" t="s">
        <v>22</v>
      </c>
      <c r="C359" s="129" t="str">
        <f t="shared" si="11"/>
        <v>04.11.2022_BOYkl</v>
      </c>
      <c r="D359" s="143">
        <f t="shared" si="12"/>
        <v>12</v>
      </c>
      <c r="E359" s="130"/>
      <c r="F359" s="131"/>
      <c r="G359" s="131"/>
      <c r="H359" s="131"/>
      <c r="I359" s="131"/>
      <c r="J359" s="131"/>
      <c r="K359" s="132"/>
      <c r="L359" s="133"/>
      <c r="M359" s="133"/>
      <c r="N359" s="133"/>
      <c r="O359" s="131"/>
      <c r="P359" s="133"/>
      <c r="Q359" s="134"/>
      <c r="R359" s="135" t="s">
        <v>341</v>
      </c>
    </row>
    <row r="360" spans="1:18" x14ac:dyDescent="0.25">
      <c r="A360" s="127">
        <v>44869</v>
      </c>
      <c r="B360" s="128" t="s">
        <v>25</v>
      </c>
      <c r="C360" s="129" t="str">
        <f t="shared" si="11"/>
        <v>04.11.2022_BOYohB224</v>
      </c>
      <c r="D360" s="143">
        <f t="shared" si="12"/>
        <v>0</v>
      </c>
      <c r="E360" s="130">
        <v>7.78148338661311E-6</v>
      </c>
      <c r="F360" s="131">
        <v>2.1770082772290499E-3</v>
      </c>
      <c r="G360" s="131">
        <v>0.59228322991986404</v>
      </c>
      <c r="H360" s="131">
        <v>6.9623366685132399E-3</v>
      </c>
      <c r="I360" s="131">
        <v>9.2947926379357898E-5</v>
      </c>
      <c r="J360" s="131">
        <v>1.41447027890821E-2</v>
      </c>
      <c r="K360" s="132">
        <v>138.24256458626101</v>
      </c>
      <c r="L360" s="133">
        <v>20.948841850060099</v>
      </c>
      <c r="M360" s="133">
        <v>34.8885791665463</v>
      </c>
      <c r="N360" s="133">
        <v>7.8962275891900404</v>
      </c>
      <c r="O360" s="131">
        <v>5.6657286840883095E-4</v>
      </c>
      <c r="P360" s="133">
        <v>274.988</v>
      </c>
      <c r="Q360" s="134"/>
      <c r="R360" s="135"/>
    </row>
    <row r="361" spans="1:18" x14ac:dyDescent="0.25">
      <c r="A361" s="127">
        <v>44869</v>
      </c>
      <c r="B361" s="128" t="s">
        <v>28</v>
      </c>
      <c r="C361" s="129" t="str">
        <f t="shared" si="11"/>
        <v>04.11.2022_BOYohBr</v>
      </c>
      <c r="D361" s="143">
        <f t="shared" si="12"/>
        <v>0</v>
      </c>
      <c r="E361" s="130">
        <v>1.36172251678829E-5</v>
      </c>
      <c r="F361" s="131">
        <v>2.27152861147554E-3</v>
      </c>
      <c r="G361" s="131">
        <v>0.296725145497789</v>
      </c>
      <c r="H361" s="131">
        <v>4.4506224638848199E-3</v>
      </c>
      <c r="I361" s="131">
        <v>2.7498398374916201E-4</v>
      </c>
      <c r="J361" s="131">
        <v>6.3140131896914101E-2</v>
      </c>
      <c r="K361" s="132">
        <v>82.888354074874499</v>
      </c>
      <c r="L361" s="133">
        <v>7.6184191598598296</v>
      </c>
      <c r="M361" s="133">
        <v>11.4575936993373</v>
      </c>
      <c r="N361" s="133">
        <v>4.78280941917403</v>
      </c>
      <c r="O361" s="131">
        <v>2.2288514506835501E-4</v>
      </c>
      <c r="P361" s="133">
        <v>179.828</v>
      </c>
      <c r="Q361" s="134"/>
      <c r="R361" s="135"/>
    </row>
    <row r="362" spans="1:18" x14ac:dyDescent="0.25">
      <c r="A362" s="127">
        <v>44869</v>
      </c>
      <c r="B362" s="128" t="s">
        <v>30</v>
      </c>
      <c r="C362" s="129" t="str">
        <f t="shared" si="11"/>
        <v>04.11.2022_BOYohKi</v>
      </c>
      <c r="D362" s="143">
        <f t="shared" si="12"/>
        <v>0</v>
      </c>
      <c r="E362" s="130">
        <v>1.12143380977171E-5</v>
      </c>
      <c r="F362" s="131">
        <v>2.2695883060953599E-3</v>
      </c>
      <c r="G362" s="131">
        <v>0.48950642348502799</v>
      </c>
      <c r="H362" s="131">
        <v>5.9765675179019404E-3</v>
      </c>
      <c r="I362" s="131">
        <v>4.8962165727082195E-4</v>
      </c>
      <c r="J362" s="131">
        <v>1.0009764735851599E-2</v>
      </c>
      <c r="K362" s="132">
        <v>130.45105411518099</v>
      </c>
      <c r="L362" s="133">
        <v>12.431997819603801</v>
      </c>
      <c r="M362" s="133">
        <v>23.3506070026584</v>
      </c>
      <c r="N362" s="133">
        <v>6.8748069085037598</v>
      </c>
      <c r="O362" s="131">
        <v>5.3302299368727197E-4</v>
      </c>
      <c r="P362" s="133">
        <v>270.108</v>
      </c>
      <c r="Q362" s="134"/>
      <c r="R362" s="135"/>
    </row>
    <row r="363" spans="1:18" x14ac:dyDescent="0.25">
      <c r="A363" s="127">
        <v>44869</v>
      </c>
      <c r="B363" s="128" t="s">
        <v>32</v>
      </c>
      <c r="C363" s="129" t="str">
        <f t="shared" si="11"/>
        <v>04.11.2022_BOYohSp</v>
      </c>
      <c r="D363" s="143">
        <f t="shared" si="12"/>
        <v>0</v>
      </c>
      <c r="E363" s="130">
        <v>1.4475531535331399E-5</v>
      </c>
      <c r="F363" s="131">
        <v>2.0013383051635E-3</v>
      </c>
      <c r="G363" s="131">
        <v>0.36006978235859599</v>
      </c>
      <c r="H363" s="131">
        <v>4.7085470327053996E-3</v>
      </c>
      <c r="I363" s="131">
        <v>8.2470093097881402E-5</v>
      </c>
      <c r="J363" s="131">
        <v>1.21030439419252E-2</v>
      </c>
      <c r="K363" s="132">
        <v>97.523222570961295</v>
      </c>
      <c r="L363" s="133">
        <v>7.89995128885983</v>
      </c>
      <c r="M363" s="133">
        <v>13.752578713907999</v>
      </c>
      <c r="N363" s="133">
        <v>5.0824368493843002</v>
      </c>
      <c r="O363" s="131">
        <v>3.5291184736299701E-4</v>
      </c>
      <c r="P363" s="133">
        <v>188.85599999999999</v>
      </c>
      <c r="Q363" s="134"/>
      <c r="R363" s="135"/>
    </row>
    <row r="364" spans="1:18" x14ac:dyDescent="0.25">
      <c r="A364" s="127">
        <v>44869</v>
      </c>
      <c r="B364" s="128" t="s">
        <v>34</v>
      </c>
      <c r="C364" s="129" t="str">
        <f t="shared" si="11"/>
        <v>04.11.2022_BOYuhHa</v>
      </c>
      <c r="D364" s="143">
        <f t="shared" si="12"/>
        <v>0</v>
      </c>
      <c r="E364" s="130">
        <v>1.01843704567789E-5</v>
      </c>
      <c r="F364" s="131">
        <v>2.2513483585713699E-3</v>
      </c>
      <c r="G364" s="131">
        <v>0.56843600255009896</v>
      </c>
      <c r="H364" s="131">
        <v>8.1103174011913307E-3</v>
      </c>
      <c r="I364" s="131">
        <v>2.8234547876991801E-4</v>
      </c>
      <c r="J364" s="131">
        <v>5.8748329480990097E-2</v>
      </c>
      <c r="K364" s="132">
        <v>139.423883628938</v>
      </c>
      <c r="L364" s="133">
        <v>22.259510793865601</v>
      </c>
      <c r="M364" s="133">
        <v>40.445956762870601</v>
      </c>
      <c r="N364" s="133">
        <v>8.4245023843078393</v>
      </c>
      <c r="O364" s="131">
        <v>5.5074887816075201E-4</v>
      </c>
      <c r="P364" s="133">
        <v>277.67200000000003</v>
      </c>
      <c r="Q364" s="134"/>
      <c r="R364" s="135"/>
    </row>
    <row r="365" spans="1:18" x14ac:dyDescent="0.25">
      <c r="A365" s="127">
        <v>44869</v>
      </c>
      <c r="B365" s="128" t="s">
        <v>36</v>
      </c>
      <c r="C365" s="129" t="str">
        <f t="shared" si="11"/>
        <v>04.11.2022_BOYuhSp</v>
      </c>
      <c r="D365" s="143">
        <f t="shared" si="12"/>
        <v>0</v>
      </c>
      <c r="E365" s="130">
        <v>1.0241838053735501E-5</v>
      </c>
      <c r="F365" s="131">
        <v>1.6176546729392001E-3</v>
      </c>
      <c r="G365" s="131">
        <v>0.36050656658091501</v>
      </c>
      <c r="H365" s="131">
        <v>4.7589553208856302E-3</v>
      </c>
      <c r="I365" s="131">
        <v>1.17464239286323E-4</v>
      </c>
      <c r="J365" s="131">
        <v>2.6615222885252698E-2</v>
      </c>
      <c r="K365" s="132">
        <v>97.322627162325801</v>
      </c>
      <c r="L365" s="133">
        <v>8.2594014730389098</v>
      </c>
      <c r="M365" s="133">
        <v>14.5536155922695</v>
      </c>
      <c r="N365" s="133">
        <v>5.2122761240273103</v>
      </c>
      <c r="O365" s="131">
        <v>2.96526917676443E-4</v>
      </c>
      <c r="P365" s="133">
        <v>187.392</v>
      </c>
      <c r="Q365" s="134"/>
      <c r="R365" s="135"/>
    </row>
    <row r="366" spans="1:18" x14ac:dyDescent="0.25">
      <c r="A366" s="127">
        <v>44869</v>
      </c>
      <c r="B366" s="128" t="s">
        <v>38</v>
      </c>
      <c r="C366" s="129" t="str">
        <f t="shared" si="11"/>
        <v>04.11.2022_BRAob</v>
      </c>
      <c r="D366" s="143">
        <f t="shared" si="12"/>
        <v>0</v>
      </c>
      <c r="E366" s="130">
        <v>1.27592895591244E-5</v>
      </c>
      <c r="F366" s="131">
        <v>1.19162176676481E-3</v>
      </c>
      <c r="G366" s="131">
        <v>0.52336343427540499</v>
      </c>
      <c r="H366" s="131">
        <v>5.1324520127006799E-3</v>
      </c>
      <c r="I366" s="131">
        <v>7.3560529366546997E-5</v>
      </c>
      <c r="J366" s="131">
        <v>1.90509629448559E-2</v>
      </c>
      <c r="K366" s="132">
        <v>149.60615282680499</v>
      </c>
      <c r="L366" s="133">
        <v>4.9481408522981498</v>
      </c>
      <c r="M366" s="133">
        <v>12.798030431901299</v>
      </c>
      <c r="N366" s="133">
        <v>3.1932063565476501</v>
      </c>
      <c r="O366" s="131">
        <v>3.0430406560325002E-4</v>
      </c>
      <c r="P366" s="133">
        <v>185.928</v>
      </c>
      <c r="Q366" s="134"/>
      <c r="R366" s="135"/>
    </row>
    <row r="367" spans="1:18" x14ac:dyDescent="0.25">
      <c r="A367" s="127">
        <v>44869</v>
      </c>
      <c r="B367" s="128" t="s">
        <v>41</v>
      </c>
      <c r="C367" s="129" t="str">
        <f t="shared" si="11"/>
        <v>04.11.2022_BRAohBo</v>
      </c>
      <c r="D367" s="143">
        <f t="shared" si="12"/>
        <v>0</v>
      </c>
      <c r="E367" s="130">
        <v>2.01970796400681E-5</v>
      </c>
      <c r="F367" s="131">
        <v>2.2216902254363902E-3</v>
      </c>
      <c r="G367" s="131">
        <v>0.51709615619367599</v>
      </c>
      <c r="H367" s="131">
        <v>6.5784347311176302E-3</v>
      </c>
      <c r="I367" s="131">
        <v>1.30906076628535E-4</v>
      </c>
      <c r="J367" s="131">
        <v>3.3251058432689301E-2</v>
      </c>
      <c r="K367" s="132">
        <v>143.04940229317199</v>
      </c>
      <c r="L367" s="133">
        <v>6.9748402098105204</v>
      </c>
      <c r="M367" s="133">
        <v>16.1525960806512</v>
      </c>
      <c r="N367" s="133">
        <v>5.7834811553180696</v>
      </c>
      <c r="O367" s="131">
        <v>4.2175993254874299E-4</v>
      </c>
      <c r="P367" s="133">
        <v>180.316</v>
      </c>
      <c r="Q367" s="134"/>
      <c r="R367" s="135"/>
    </row>
    <row r="368" spans="1:18" x14ac:dyDescent="0.25">
      <c r="A368" s="127">
        <v>44869</v>
      </c>
      <c r="B368" s="128" t="s">
        <v>43</v>
      </c>
      <c r="C368" s="129" t="str">
        <f t="shared" si="11"/>
        <v>04.11.2022_HAAob</v>
      </c>
      <c r="D368" s="143">
        <f t="shared" si="12"/>
        <v>0</v>
      </c>
      <c r="E368" s="130">
        <v>5.8361125399598304E-6</v>
      </c>
      <c r="F368" s="131">
        <v>1.8935223020241599E-3</v>
      </c>
      <c r="G368" s="131">
        <v>0.62081768668270898</v>
      </c>
      <c r="H368" s="131">
        <v>6.2979978117276604E-3</v>
      </c>
      <c r="I368" s="131">
        <v>7.0936517578243502E-5</v>
      </c>
      <c r="J368" s="131">
        <v>1.5185823550312399E-2</v>
      </c>
      <c r="K368" s="132">
        <v>147.54531709576599</v>
      </c>
      <c r="L368" s="133">
        <v>29.613904840971799</v>
      </c>
      <c r="M368" s="133">
        <v>34.863726651151801</v>
      </c>
      <c r="N368" s="133">
        <v>6.0999163605833697</v>
      </c>
      <c r="O368" s="131">
        <v>4.1798187211555902E-4</v>
      </c>
      <c r="P368" s="133">
        <v>282.79599999999999</v>
      </c>
      <c r="Q368" s="134"/>
      <c r="R368" s="135"/>
    </row>
    <row r="369" spans="1:18" x14ac:dyDescent="0.25">
      <c r="A369" s="127">
        <v>44869</v>
      </c>
      <c r="B369" s="128" t="s">
        <v>45</v>
      </c>
      <c r="C369" s="129" t="str">
        <f t="shared" si="11"/>
        <v>04.11.2022_HAAun</v>
      </c>
      <c r="D369" s="143">
        <f t="shared" si="12"/>
        <v>0</v>
      </c>
      <c r="E369" s="130">
        <v>9.2689672510638405E-6</v>
      </c>
      <c r="F369" s="131">
        <v>2.5355300436424601E-3</v>
      </c>
      <c r="G369" s="131">
        <v>0.676780231862949</v>
      </c>
      <c r="H369" s="131">
        <v>7.6282743742871898E-3</v>
      </c>
      <c r="I369" s="131">
        <v>7.3577087431762802E-5</v>
      </c>
      <c r="J369" s="131">
        <v>1.5788204219774601E-2</v>
      </c>
      <c r="K369" s="132">
        <v>175.655377051562</v>
      </c>
      <c r="L369" s="133">
        <v>37.903226816980997</v>
      </c>
      <c r="M369" s="133">
        <v>46.522487877269398</v>
      </c>
      <c r="N369" s="133">
        <v>9.2503553891201893</v>
      </c>
      <c r="O369" s="131">
        <v>5.1956265261015201E-4</v>
      </c>
      <c r="P369" s="133">
        <v>357.46</v>
      </c>
      <c r="Q369" s="134"/>
      <c r="R369" s="135"/>
    </row>
    <row r="370" spans="1:18" x14ac:dyDescent="0.25">
      <c r="A370" s="127">
        <v>44869</v>
      </c>
      <c r="B370" s="128" t="s">
        <v>47</v>
      </c>
      <c r="C370" s="129" t="str">
        <f t="shared" si="11"/>
        <v>04.11.2022_KIRob</v>
      </c>
      <c r="D370" s="143">
        <f t="shared" si="12"/>
        <v>0</v>
      </c>
      <c r="E370" s="130">
        <v>1.12714349359837E-5</v>
      </c>
      <c r="F370" s="131">
        <v>2.2246841471516001E-3</v>
      </c>
      <c r="G370" s="131">
        <v>0.397989729603488</v>
      </c>
      <c r="H370" s="131">
        <v>5.8224603502222399E-3</v>
      </c>
      <c r="I370" s="131">
        <v>1.9077661844883601E-4</v>
      </c>
      <c r="J370" s="131">
        <v>1.7810530151606101E-2</v>
      </c>
      <c r="K370" s="132">
        <v>128.30757030170801</v>
      </c>
      <c r="L370" s="133">
        <v>10.903553134726399</v>
      </c>
      <c r="M370" s="133">
        <v>64.6807470390183</v>
      </c>
      <c r="N370" s="133">
        <v>6.8090887188969296</v>
      </c>
      <c r="O370" s="131">
        <v>5.8752141198413401E-4</v>
      </c>
      <c r="P370" s="133">
        <v>245.22</v>
      </c>
      <c r="Q370" s="134"/>
      <c r="R370" s="135"/>
    </row>
    <row r="371" spans="1:18" x14ac:dyDescent="0.25">
      <c r="A371" s="127">
        <v>44869</v>
      </c>
      <c r="B371" s="128" t="s">
        <v>49</v>
      </c>
      <c r="C371" s="129" t="str">
        <f t="shared" si="11"/>
        <v>04.11.2022_KIRun</v>
      </c>
      <c r="D371" s="143">
        <f t="shared" si="12"/>
        <v>0</v>
      </c>
      <c r="E371" s="130">
        <v>7.0377414543877499E-6</v>
      </c>
      <c r="F371" s="131">
        <v>1.8747898292491799E-3</v>
      </c>
      <c r="G371" s="131">
        <v>0.42775105348762599</v>
      </c>
      <c r="H371" s="131">
        <v>4.7356697955815603E-3</v>
      </c>
      <c r="I371" s="131">
        <v>1.3637575750483099E-4</v>
      </c>
      <c r="J371" s="131">
        <v>1.4789853177236601E-2</v>
      </c>
      <c r="K371" s="132">
        <v>120.5364328114</v>
      </c>
      <c r="L371" s="133">
        <v>10.323653936922801</v>
      </c>
      <c r="M371" s="133">
        <v>50.478847357791203</v>
      </c>
      <c r="N371" s="133">
        <v>6.1697936814402201</v>
      </c>
      <c r="O371" s="131">
        <v>3.1390052621639298E-4</v>
      </c>
      <c r="P371" s="133">
        <v>238.63200000000001</v>
      </c>
      <c r="Q371" s="134"/>
      <c r="R371" s="135"/>
    </row>
    <row r="372" spans="1:18" x14ac:dyDescent="0.25">
      <c r="A372" s="127">
        <v>44869</v>
      </c>
      <c r="B372" s="128" t="s">
        <v>50</v>
      </c>
      <c r="C372" s="129" t="str">
        <f t="shared" si="11"/>
        <v>04.11.2022_LIEohBo</v>
      </c>
      <c r="D372" s="143">
        <f t="shared" si="12"/>
        <v>0</v>
      </c>
      <c r="E372" s="130">
        <v>1.3102612106103801E-5</v>
      </c>
      <c r="F372" s="131">
        <v>2.0734006367116998E-3</v>
      </c>
      <c r="G372" s="131">
        <v>0.45820995061715403</v>
      </c>
      <c r="H372" s="131">
        <v>8.6467161232930204E-3</v>
      </c>
      <c r="I372" s="131">
        <v>1.9144125918659901E-4</v>
      </c>
      <c r="J372" s="131">
        <v>4.1231101362140997E-2</v>
      </c>
      <c r="K372" s="132">
        <v>108.73117674133201</v>
      </c>
      <c r="L372" s="133">
        <v>9.4093675328344997</v>
      </c>
      <c r="M372" s="133">
        <v>17.386768238831699</v>
      </c>
      <c r="N372" s="133">
        <v>8.2346734801873502</v>
      </c>
      <c r="O372" s="131">
        <v>4.5105379943291899E-4</v>
      </c>
      <c r="P372" s="133">
        <v>251.07599999999999</v>
      </c>
      <c r="Q372" s="134"/>
      <c r="R372" s="135"/>
    </row>
    <row r="373" spans="1:18" x14ac:dyDescent="0.25">
      <c r="A373" s="127">
        <v>44869</v>
      </c>
      <c r="B373" s="128" t="s">
        <v>53</v>
      </c>
      <c r="C373" s="129" t="str">
        <f t="shared" si="11"/>
        <v>04.11.2022_NATohBo</v>
      </c>
      <c r="D373" s="143">
        <f t="shared" si="12"/>
        <v>0</v>
      </c>
      <c r="E373" s="130">
        <v>2.8436450008883801E-5</v>
      </c>
      <c r="F373" s="131">
        <v>3.4527779113291499E-3</v>
      </c>
      <c r="G373" s="131">
        <v>0.91525880938682003</v>
      </c>
      <c r="H373" s="131">
        <v>1.02355559988212E-2</v>
      </c>
      <c r="I373" s="131">
        <v>2.0398145468425799E-4</v>
      </c>
      <c r="J373" s="131">
        <v>1.48673930351485E-2</v>
      </c>
      <c r="K373" s="132">
        <v>224.900984260066</v>
      </c>
      <c r="L373" s="133">
        <v>37.186271655863699</v>
      </c>
      <c r="M373" s="133">
        <v>125.24501120689099</v>
      </c>
      <c r="N373" s="133">
        <v>16.003020965068401</v>
      </c>
      <c r="O373" s="131">
        <v>7.5856828983590901E-4</v>
      </c>
      <c r="P373" s="133">
        <v>373.80799999999999</v>
      </c>
      <c r="Q373" s="134"/>
      <c r="R373" s="135"/>
    </row>
    <row r="374" spans="1:18" x14ac:dyDescent="0.25">
      <c r="A374" s="127">
        <v>44869</v>
      </c>
      <c r="B374" s="128" t="s">
        <v>55</v>
      </c>
      <c r="C374" s="129" t="str">
        <f t="shared" si="11"/>
        <v>04.11.2022_QUAohBo</v>
      </c>
      <c r="D374" s="143">
        <f t="shared" si="12"/>
        <v>12</v>
      </c>
      <c r="E374" s="130"/>
      <c r="F374" s="131"/>
      <c r="G374" s="131"/>
      <c r="H374" s="131"/>
      <c r="I374" s="131"/>
      <c r="J374" s="131"/>
      <c r="K374" s="132"/>
      <c r="L374" s="133"/>
      <c r="M374" s="133"/>
      <c r="N374" s="133"/>
      <c r="O374" s="131"/>
      <c r="P374" s="133"/>
      <c r="Q374" s="134"/>
      <c r="R374" s="135" t="s">
        <v>341</v>
      </c>
    </row>
    <row r="375" spans="1:18" x14ac:dyDescent="0.25">
      <c r="A375" s="127">
        <v>44869</v>
      </c>
      <c r="B375" s="128" t="s">
        <v>57</v>
      </c>
      <c r="C375" s="129" t="str">
        <f t="shared" si="11"/>
        <v>04.11.2022_SCHohVo</v>
      </c>
      <c r="D375" s="143">
        <f t="shared" si="12"/>
        <v>12</v>
      </c>
      <c r="E375" s="130"/>
      <c r="F375" s="131"/>
      <c r="G375" s="131"/>
      <c r="H375" s="131"/>
      <c r="I375" s="131"/>
      <c r="J375" s="131"/>
      <c r="K375" s="132"/>
      <c r="L375" s="133"/>
      <c r="M375" s="133"/>
      <c r="N375" s="133"/>
      <c r="O375" s="131"/>
      <c r="P375" s="133"/>
      <c r="Q375" s="134"/>
      <c r="R375" s="135" t="s">
        <v>341</v>
      </c>
    </row>
    <row r="376" spans="1:18" x14ac:dyDescent="0.25">
      <c r="A376" s="127">
        <v>44869</v>
      </c>
      <c r="B376" s="128" t="s">
        <v>60</v>
      </c>
      <c r="C376" s="129" t="str">
        <f t="shared" si="11"/>
        <v>04.11.2022_VORohBo</v>
      </c>
      <c r="D376" s="143">
        <f t="shared" si="12"/>
        <v>0</v>
      </c>
      <c r="E376" s="130">
        <v>4.8061448990216196E-6</v>
      </c>
      <c r="F376" s="131">
        <v>1.51090556852139E-3</v>
      </c>
      <c r="G376" s="131">
        <v>0.60266620721389697</v>
      </c>
      <c r="H376" s="131">
        <v>6.4841893445546604E-3</v>
      </c>
      <c r="I376" s="131">
        <v>1.0753149751175199E-4</v>
      </c>
      <c r="J376" s="131">
        <v>1.2237515456604099E-2</v>
      </c>
      <c r="K376" s="132">
        <v>188.92625279891499</v>
      </c>
      <c r="L376" s="133">
        <v>15.934412273369899</v>
      </c>
      <c r="M376" s="133">
        <v>24.584564771118099</v>
      </c>
      <c r="N376" s="133">
        <v>6.4600365034843303</v>
      </c>
      <c r="O376" s="131">
        <v>1.11375382826631E-3</v>
      </c>
      <c r="P376" s="133">
        <v>323.05599999999998</v>
      </c>
      <c r="Q376" s="134"/>
      <c r="R376" s="135"/>
    </row>
    <row r="377" spans="1:18" x14ac:dyDescent="0.25">
      <c r="A377" s="127">
        <v>44869</v>
      </c>
      <c r="B377" s="128" t="s">
        <v>62</v>
      </c>
      <c r="C377" s="129" t="str">
        <f t="shared" si="11"/>
        <v>04.11.2022_VORuhSc</v>
      </c>
      <c r="D377" s="143">
        <f t="shared" si="12"/>
        <v>0</v>
      </c>
      <c r="E377" s="130">
        <v>6.4652900369620503E-6</v>
      </c>
      <c r="F377" s="131">
        <v>1.4154676726557099E-3</v>
      </c>
      <c r="G377" s="131">
        <v>0.66269463665698503</v>
      </c>
      <c r="H377" s="131">
        <v>6.43800368814297E-3</v>
      </c>
      <c r="I377" s="131">
        <v>1.04515832287543E-4</v>
      </c>
      <c r="J377" s="131">
        <v>1.9824385940466299E-2</v>
      </c>
      <c r="K377" s="132">
        <v>169.658952896399</v>
      </c>
      <c r="L377" s="133">
        <v>16.347432985180799</v>
      </c>
      <c r="M377" s="133">
        <v>26.948175619951801</v>
      </c>
      <c r="N377" s="133">
        <v>8.1372306544170101</v>
      </c>
      <c r="O377" s="131">
        <v>1.38250330281023E-3</v>
      </c>
      <c r="P377" s="133">
        <v>367.70800000000003</v>
      </c>
      <c r="Q377" s="134"/>
      <c r="R377" s="135"/>
    </row>
    <row r="378" spans="1:18" x14ac:dyDescent="0.25">
      <c r="A378" s="127">
        <v>44869</v>
      </c>
      <c r="B378" s="128" t="s">
        <v>64</v>
      </c>
      <c r="C378" s="129" t="str">
        <f t="shared" si="11"/>
        <v>04.11.2022_WITob</v>
      </c>
      <c r="D378" s="143">
        <f t="shared" si="12"/>
        <v>0</v>
      </c>
      <c r="E378" s="130">
        <v>7.4952576779002602E-6</v>
      </c>
      <c r="F378" s="131">
        <v>1.80317120120698E-3</v>
      </c>
      <c r="G378" s="131">
        <v>0.69233261433634596</v>
      </c>
      <c r="H378" s="131">
        <v>6.7279776224315104E-3</v>
      </c>
      <c r="I378" s="131">
        <v>5.7477901396613098E-5</v>
      </c>
      <c r="J378" s="131">
        <v>9.2239785164544702E-3</v>
      </c>
      <c r="K378" s="132">
        <v>169.512176251043</v>
      </c>
      <c r="L378" s="133">
        <v>17.781706608644001</v>
      </c>
      <c r="M378" s="133">
        <v>46.358736564235599</v>
      </c>
      <c r="N378" s="133">
        <v>7.43599524625425</v>
      </c>
      <c r="O378" s="131">
        <v>3.5062043454919502E-4</v>
      </c>
      <c r="P378" s="133">
        <v>330.62</v>
      </c>
      <c r="Q378" s="134"/>
      <c r="R378" s="135"/>
    </row>
    <row r="379" spans="1:18" x14ac:dyDescent="0.25">
      <c r="A379" s="127">
        <v>44897</v>
      </c>
      <c r="B379" s="128" t="s">
        <v>22</v>
      </c>
      <c r="C379" s="129" t="str">
        <f t="shared" si="11"/>
        <v>02.12.2022_BOYkl</v>
      </c>
      <c r="D379" s="143">
        <f t="shared" si="12"/>
        <v>0</v>
      </c>
      <c r="E379" s="130">
        <v>8.1565240183565401E-5</v>
      </c>
      <c r="F379" s="131">
        <v>3.1381501754117699E-3</v>
      </c>
      <c r="G379" s="131">
        <v>0.32150629298966799</v>
      </c>
      <c r="H379" s="131">
        <v>3.3867080920396898E-2</v>
      </c>
      <c r="I379" s="131">
        <v>2.2933787199859398E-3</v>
      </c>
      <c r="J379" s="131">
        <v>0.28546179879215799</v>
      </c>
      <c r="K379" s="132">
        <v>81.907552694916305</v>
      </c>
      <c r="L379" s="133">
        <v>7.4129282815051596</v>
      </c>
      <c r="M379" s="133">
        <v>13.523991571709001</v>
      </c>
      <c r="N379" s="133">
        <v>7.4257517096823999</v>
      </c>
      <c r="O379" s="131">
        <v>2.6612692562189499E-4</v>
      </c>
      <c r="P379" s="133">
        <v>126.88</v>
      </c>
      <c r="Q379" s="134"/>
      <c r="R379" s="135"/>
    </row>
    <row r="380" spans="1:18" x14ac:dyDescent="0.25">
      <c r="A380" s="127">
        <v>44897</v>
      </c>
      <c r="B380" s="128" t="s">
        <v>25</v>
      </c>
      <c r="C380" s="129" t="str">
        <f t="shared" si="11"/>
        <v>02.12.2022_BOYohB224</v>
      </c>
      <c r="D380" s="143">
        <f t="shared" si="12"/>
        <v>0</v>
      </c>
      <c r="E380" s="130">
        <v>2.3066390770139099E-5</v>
      </c>
      <c r="F380" s="131">
        <v>2.2007090999476599E-3</v>
      </c>
      <c r="G380" s="131">
        <v>0.49119607466027199</v>
      </c>
      <c r="H380" s="131">
        <v>3.49863682263531E-2</v>
      </c>
      <c r="I380" s="131">
        <v>1.67727612815063E-3</v>
      </c>
      <c r="J380" s="131">
        <v>0.19034407503996201</v>
      </c>
      <c r="K380" s="132">
        <v>133.36263080382801</v>
      </c>
      <c r="L380" s="133">
        <v>19.898164185496899</v>
      </c>
      <c r="M380" s="133">
        <v>32.622540671742897</v>
      </c>
      <c r="N380" s="133">
        <v>7.0762801134709798</v>
      </c>
      <c r="O380" s="131">
        <v>4.5969310967144099E-4</v>
      </c>
      <c r="P380" s="133">
        <v>241.072</v>
      </c>
      <c r="Q380" s="134"/>
      <c r="R380" s="135"/>
    </row>
    <row r="381" spans="1:18" x14ac:dyDescent="0.25">
      <c r="A381" s="127">
        <v>44897</v>
      </c>
      <c r="B381" s="128" t="s">
        <v>28</v>
      </c>
      <c r="C381" s="129" t="str">
        <f t="shared" si="11"/>
        <v>02.12.2022_BOYohBr</v>
      </c>
      <c r="D381" s="143">
        <f t="shared" si="12"/>
        <v>0</v>
      </c>
      <c r="E381" s="130">
        <v>3.7800646741426198E-5</v>
      </c>
      <c r="F381" s="131">
        <v>2.42760387259435E-3</v>
      </c>
      <c r="G381" s="131">
        <v>0.340126834737495</v>
      </c>
      <c r="H381" s="131">
        <v>3.0697213802911599E-2</v>
      </c>
      <c r="I381" s="131">
        <v>2.5681388066613798E-3</v>
      </c>
      <c r="J381" s="131">
        <v>0.37351305321157202</v>
      </c>
      <c r="K381" s="132">
        <v>88.365299458233807</v>
      </c>
      <c r="L381" s="133">
        <v>8.0122218390801194</v>
      </c>
      <c r="M381" s="133">
        <v>12.328905020463299</v>
      </c>
      <c r="N381" s="133">
        <v>4.9310322320582598</v>
      </c>
      <c r="O381" s="131">
        <v>2.5503373631360698E-4</v>
      </c>
      <c r="P381" s="133">
        <v>161.77199999999999</v>
      </c>
      <c r="Q381" s="134"/>
      <c r="R381" s="135"/>
    </row>
    <row r="382" spans="1:18" x14ac:dyDescent="0.25">
      <c r="A382" s="127">
        <v>44897</v>
      </c>
      <c r="B382" s="128" t="s">
        <v>30</v>
      </c>
      <c r="C382" s="129" t="str">
        <f t="shared" si="11"/>
        <v>02.12.2022_BOYohKi</v>
      </c>
      <c r="D382" s="143">
        <f t="shared" si="12"/>
        <v>0</v>
      </c>
      <c r="E382" s="130">
        <v>3.5344937412878298E-5</v>
      </c>
      <c r="F382" s="131">
        <v>3.0562598871864198E-3</v>
      </c>
      <c r="G382" s="131">
        <v>0.47270794681878697</v>
      </c>
      <c r="H382" s="131">
        <v>3.8646128872049199E-2</v>
      </c>
      <c r="I382" s="131">
        <v>2.3022365181391202E-3</v>
      </c>
      <c r="J382" s="131">
        <v>0.32810651480842501</v>
      </c>
      <c r="K382" s="132">
        <v>123.326373844553</v>
      </c>
      <c r="L382" s="133">
        <v>11.392849322637099</v>
      </c>
      <c r="M382" s="133">
        <v>21.952865184043699</v>
      </c>
      <c r="N382" s="133">
        <v>5.9291296521143</v>
      </c>
      <c r="O382" s="131">
        <v>4.0858566972408602E-4</v>
      </c>
      <c r="P382" s="133">
        <v>223.50399999999999</v>
      </c>
      <c r="Q382" s="134"/>
      <c r="R382" s="135"/>
    </row>
    <row r="383" spans="1:18" x14ac:dyDescent="0.25">
      <c r="A383" s="127">
        <v>44897</v>
      </c>
      <c r="B383" s="128" t="s">
        <v>32</v>
      </c>
      <c r="C383" s="129" t="str">
        <f t="shared" si="11"/>
        <v>02.12.2022_BOYohSp</v>
      </c>
      <c r="D383" s="143">
        <f t="shared" si="12"/>
        <v>0</v>
      </c>
      <c r="E383" s="130">
        <v>2.2364515967834899E-5</v>
      </c>
      <c r="F383" s="131">
        <v>2.10026523576484E-3</v>
      </c>
      <c r="G383" s="131">
        <v>0.398072848271253</v>
      </c>
      <c r="H383" s="131">
        <v>3.9870581384926697E-2</v>
      </c>
      <c r="I383" s="131">
        <v>1.31732211980066E-3</v>
      </c>
      <c r="J383" s="131">
        <v>0.15706978769825</v>
      </c>
      <c r="K383" s="132">
        <v>109.64637132238001</v>
      </c>
      <c r="L383" s="133">
        <v>7.8310966824668196</v>
      </c>
      <c r="M383" s="133">
        <v>15.1580640436962</v>
      </c>
      <c r="N383" s="133">
        <v>4.3495935389806499</v>
      </c>
      <c r="O383" s="131">
        <v>3.9112245518227603E-4</v>
      </c>
      <c r="P383" s="133">
        <v>175.68</v>
      </c>
      <c r="Q383" s="134"/>
      <c r="R383" s="135"/>
    </row>
    <row r="384" spans="1:18" x14ac:dyDescent="0.25">
      <c r="A384" s="127">
        <v>44897</v>
      </c>
      <c r="B384" s="128" t="s">
        <v>34</v>
      </c>
      <c r="C384" s="129" t="str">
        <f t="shared" si="11"/>
        <v>02.12.2022_BOYuhHa</v>
      </c>
      <c r="D384" s="143">
        <f t="shared" si="12"/>
        <v>0</v>
      </c>
      <c r="E384" s="130">
        <v>3.0959214457913402E-5</v>
      </c>
      <c r="F384" s="131">
        <v>1.9820129784401301E-3</v>
      </c>
      <c r="G384" s="131">
        <v>0.47287011489196701</v>
      </c>
      <c r="H384" s="131">
        <v>3.7454339065244202E-2</v>
      </c>
      <c r="I384" s="131">
        <v>2.1893130971973101E-3</v>
      </c>
      <c r="J384" s="131">
        <v>0.24543843130624601</v>
      </c>
      <c r="K384" s="132">
        <v>135.097439956497</v>
      </c>
      <c r="L384" s="133">
        <v>20.971731934186899</v>
      </c>
      <c r="M384" s="133">
        <v>37.4836598748903</v>
      </c>
      <c r="N384" s="133">
        <v>7.49066666581205</v>
      </c>
      <c r="O384" s="131">
        <v>4.7851934667839899E-4</v>
      </c>
      <c r="P384" s="133">
        <v>250.34399999999999</v>
      </c>
      <c r="Q384" s="134"/>
      <c r="R384" s="135"/>
    </row>
    <row r="385" spans="1:21" x14ac:dyDescent="0.25">
      <c r="A385" s="127">
        <v>44897</v>
      </c>
      <c r="B385" s="128" t="s">
        <v>36</v>
      </c>
      <c r="C385" s="129" t="str">
        <f t="shared" si="11"/>
        <v>02.12.2022_BOYuhSp</v>
      </c>
      <c r="D385" s="143">
        <f t="shared" si="12"/>
        <v>0</v>
      </c>
      <c r="E385" s="130">
        <v>3.9730092048165301E-5</v>
      </c>
      <c r="F385" s="131">
        <v>2.0754489531656498E-3</v>
      </c>
      <c r="G385" s="131">
        <v>0.39834776094970997</v>
      </c>
      <c r="H385" s="131">
        <v>3.3231564155425802E-2</v>
      </c>
      <c r="I385" s="131">
        <v>2.0487087472673602E-3</v>
      </c>
      <c r="J385" s="131">
        <v>0.219071203002527</v>
      </c>
      <c r="K385" s="132">
        <v>109.58860446364</v>
      </c>
      <c r="L385" s="133">
        <v>8.0481058908280492</v>
      </c>
      <c r="M385" s="133">
        <v>15.7692264994915</v>
      </c>
      <c r="N385" s="133">
        <v>4.4928470654144803</v>
      </c>
      <c r="O385" s="131">
        <v>3.6913403719021902E-4</v>
      </c>
      <c r="P385" s="133">
        <v>170.31200000000001</v>
      </c>
      <c r="Q385" s="134"/>
      <c r="R385" s="135"/>
    </row>
    <row r="386" spans="1:21" x14ac:dyDescent="0.25">
      <c r="A386" s="127">
        <v>44897</v>
      </c>
      <c r="B386" s="128" t="s">
        <v>38</v>
      </c>
      <c r="C386" s="129" t="str">
        <f t="shared" si="11"/>
        <v>02.12.2022_BRAob</v>
      </c>
      <c r="D386" s="143">
        <f t="shared" si="12"/>
        <v>0</v>
      </c>
      <c r="E386" s="130">
        <v>5.0079193384165397E-5</v>
      </c>
      <c r="F386" s="131">
        <v>1.77488823939193E-3</v>
      </c>
      <c r="G386" s="131">
        <v>0.57288746704906801</v>
      </c>
      <c r="H386" s="131">
        <v>3.4616588786095297E-2</v>
      </c>
      <c r="I386" s="131">
        <v>1.8492178900223399E-3</v>
      </c>
      <c r="J386" s="131">
        <v>0.25616302457200602</v>
      </c>
      <c r="K386" s="132">
        <v>159.03879586708601</v>
      </c>
      <c r="L386" s="133">
        <v>5.5109493152050399</v>
      </c>
      <c r="M386" s="133">
        <v>14.1975616811037</v>
      </c>
      <c r="N386" s="133">
        <v>2.7907119391125299</v>
      </c>
      <c r="O386" s="131">
        <v>4.2680920354525498E-4</v>
      </c>
      <c r="P386" s="133">
        <v>167.87200000000001</v>
      </c>
      <c r="Q386" s="134"/>
      <c r="R386" s="135"/>
    </row>
    <row r="387" spans="1:21" x14ac:dyDescent="0.25">
      <c r="A387" s="127">
        <v>44897</v>
      </c>
      <c r="B387" s="128" t="s">
        <v>41</v>
      </c>
      <c r="C387" s="129" t="str">
        <f t="shared" si="11"/>
        <v>02.12.2022_BRAohBo</v>
      </c>
      <c r="D387" s="143">
        <f t="shared" si="12"/>
        <v>0</v>
      </c>
      <c r="E387" s="130">
        <v>3.0871693227504598E-5</v>
      </c>
      <c r="F387" s="131">
        <v>1.9925636299260802E-3</v>
      </c>
      <c r="G387" s="131">
        <v>0.55919771453037304</v>
      </c>
      <c r="H387" s="131">
        <v>4.0430961197562003E-2</v>
      </c>
      <c r="I387" s="131">
        <v>1.7624272617220999E-3</v>
      </c>
      <c r="J387" s="131">
        <v>0.230613676413611</v>
      </c>
      <c r="K387" s="132">
        <v>157.007334887073</v>
      </c>
      <c r="L387" s="133">
        <v>7.6402067122716204</v>
      </c>
      <c r="M387" s="133">
        <v>16.801790185618898</v>
      </c>
      <c r="N387" s="133">
        <v>3.8475535706492199</v>
      </c>
      <c r="O387" s="131">
        <v>5.4487196004173398E-4</v>
      </c>
      <c r="P387" s="133">
        <v>181.292</v>
      </c>
      <c r="Q387" s="134"/>
      <c r="R387" s="135"/>
    </row>
    <row r="388" spans="1:21" x14ac:dyDescent="0.25">
      <c r="A388" s="127">
        <v>44897</v>
      </c>
      <c r="B388" s="128" t="s">
        <v>43</v>
      </c>
      <c r="C388" s="129" t="str">
        <f t="shared" ref="C388:C450" si="13">CONCATENATE(TEXT(A388,"TT.MM.JJJJ"),"_",B388)</f>
        <v>02.12.2022_HAAob</v>
      </c>
      <c r="D388" s="143">
        <f t="shared" si="12"/>
        <v>0</v>
      </c>
      <c r="E388" s="130">
        <v>2.7275934624930599E-5</v>
      </c>
      <c r="F388" s="131">
        <v>2.20028757687296E-3</v>
      </c>
      <c r="G388" s="131">
        <v>0.53041944909524597</v>
      </c>
      <c r="H388" s="131">
        <v>2.9986659559412401E-2</v>
      </c>
      <c r="I388" s="131">
        <v>1.9319177113421601E-3</v>
      </c>
      <c r="J388" s="131">
        <v>0.21801263776438801</v>
      </c>
      <c r="K388" s="132">
        <v>146.988730894832</v>
      </c>
      <c r="L388" s="133">
        <v>33.112376684793098</v>
      </c>
      <c r="M388" s="133">
        <v>37.447765516149097</v>
      </c>
      <c r="N388" s="133">
        <v>5.4825632135458902</v>
      </c>
      <c r="O388" s="131">
        <v>3.8605590855633098E-4</v>
      </c>
      <c r="P388" s="133">
        <v>288.40800000000002</v>
      </c>
      <c r="Q388" s="134"/>
      <c r="R388" s="135"/>
    </row>
    <row r="389" spans="1:21" x14ac:dyDescent="0.25">
      <c r="A389" s="127">
        <v>44897</v>
      </c>
      <c r="B389" s="128" t="s">
        <v>45</v>
      </c>
      <c r="C389" s="129" t="str">
        <f t="shared" si="13"/>
        <v>02.12.2022_HAAun</v>
      </c>
      <c r="D389" s="143">
        <f t="shared" ref="D389:D452" si="14">COUNTBLANK(E389:P389)</f>
        <v>0</v>
      </c>
      <c r="E389" s="130">
        <v>2.57846637899133E-5</v>
      </c>
      <c r="F389" s="131">
        <v>2.1799440313349499E-3</v>
      </c>
      <c r="G389" s="131">
        <v>0.627512609586095</v>
      </c>
      <c r="H389" s="131">
        <v>4.1856262024228597E-2</v>
      </c>
      <c r="I389" s="131">
        <v>2.1575440045092501E-3</v>
      </c>
      <c r="J389" s="131">
        <v>0.228764615743798</v>
      </c>
      <c r="K389" s="132">
        <v>169.22606258976799</v>
      </c>
      <c r="L389" s="133">
        <v>38.829306820249798</v>
      </c>
      <c r="M389" s="133">
        <v>47.630035245429298</v>
      </c>
      <c r="N389" s="133">
        <v>7.5114214996408002</v>
      </c>
      <c r="O389" s="131">
        <v>4.0508049536334598E-4</v>
      </c>
      <c r="P389" s="133">
        <v>348.92</v>
      </c>
      <c r="Q389" s="134"/>
      <c r="R389" s="135"/>
    </row>
    <row r="390" spans="1:21" x14ac:dyDescent="0.25">
      <c r="A390" s="127">
        <v>44897</v>
      </c>
      <c r="B390" s="128" t="s">
        <v>47</v>
      </c>
      <c r="C390" s="129" t="str">
        <f t="shared" si="13"/>
        <v>02.12.2022_KIRob</v>
      </c>
      <c r="D390" s="143">
        <f t="shared" si="14"/>
        <v>0</v>
      </c>
      <c r="E390" s="130">
        <v>3.4555541380165297E-5</v>
      </c>
      <c r="F390" s="131">
        <v>2.3431073580433E-3</v>
      </c>
      <c r="G390" s="131">
        <v>0.464087068981062</v>
      </c>
      <c r="H390" s="131">
        <v>3.2791385069221198E-2</v>
      </c>
      <c r="I390" s="131">
        <v>2.33572357794573E-3</v>
      </c>
      <c r="J390" s="131">
        <v>0.27443116597461498</v>
      </c>
      <c r="K390" s="132">
        <v>131.71180138807301</v>
      </c>
      <c r="L390" s="133">
        <v>12.119315256829401</v>
      </c>
      <c r="M390" s="133">
        <v>70.835049204239894</v>
      </c>
      <c r="N390" s="133">
        <v>7.1772872816780398</v>
      </c>
      <c r="O390" s="131">
        <v>5.3091327123476397E-4</v>
      </c>
      <c r="P390" s="133">
        <v>230.58</v>
      </c>
      <c r="Q390" s="134"/>
      <c r="R390" s="135"/>
    </row>
    <row r="391" spans="1:21" x14ac:dyDescent="0.25">
      <c r="A391" s="127">
        <v>44897</v>
      </c>
      <c r="B391" s="128" t="s">
        <v>49</v>
      </c>
      <c r="C391" s="129" t="str">
        <f t="shared" si="13"/>
        <v>02.12.2022_KIRun</v>
      </c>
      <c r="D391" s="143">
        <f t="shared" si="14"/>
        <v>0</v>
      </c>
      <c r="E391" s="130">
        <v>3.5958722665095798E-5</v>
      </c>
      <c r="F391" s="131">
        <v>2.0710604113749098E-3</v>
      </c>
      <c r="G391" s="131">
        <v>0.47581217907554102</v>
      </c>
      <c r="H391" s="131">
        <v>2.7420485610525899E-2</v>
      </c>
      <c r="I391" s="131">
        <v>2.0592278472134099E-3</v>
      </c>
      <c r="J391" s="131">
        <v>0.25634004429664498</v>
      </c>
      <c r="K391" s="132">
        <v>119.928486409511</v>
      </c>
      <c r="L391" s="133">
        <v>10.919881875343</v>
      </c>
      <c r="M391" s="133">
        <v>53.582107832217098</v>
      </c>
      <c r="N391" s="133">
        <v>6.1311829165737501</v>
      </c>
      <c r="O391" s="131">
        <v>3.4922900558726199E-4</v>
      </c>
      <c r="P391" s="133">
        <v>213.012</v>
      </c>
      <c r="Q391" s="134"/>
      <c r="R391" s="135"/>
    </row>
    <row r="392" spans="1:21" x14ac:dyDescent="0.25">
      <c r="A392" s="127">
        <v>44897</v>
      </c>
      <c r="B392" s="128" t="s">
        <v>50</v>
      </c>
      <c r="C392" s="129" t="str">
        <f t="shared" si="13"/>
        <v>02.12.2022_LIEohBo</v>
      </c>
      <c r="D392" s="143">
        <f t="shared" si="14"/>
        <v>0</v>
      </c>
      <c r="E392" s="130">
        <v>3.0170386744878301E-5</v>
      </c>
      <c r="F392" s="131">
        <v>2.3271539944636401E-3</v>
      </c>
      <c r="G392" s="131">
        <v>0.35121868579819199</v>
      </c>
      <c r="H392" s="131">
        <v>3.6516344378178398E-2</v>
      </c>
      <c r="I392" s="131">
        <v>2.0061398712853799E-3</v>
      </c>
      <c r="J392" s="131">
        <v>0.239246296874985</v>
      </c>
      <c r="K392" s="132">
        <v>95.868950581271605</v>
      </c>
      <c r="L392" s="133">
        <v>9.1465718077651399</v>
      </c>
      <c r="M392" s="133">
        <v>16.621935400116001</v>
      </c>
      <c r="N392" s="133">
        <v>7.9717713717735901</v>
      </c>
      <c r="O392" s="131">
        <v>3.9917281067096698E-4</v>
      </c>
      <c r="P392" s="133">
        <v>207.64400000000001</v>
      </c>
      <c r="Q392" s="134"/>
      <c r="R392" s="135"/>
    </row>
    <row r="393" spans="1:21" s="23" customFormat="1" x14ac:dyDescent="0.25">
      <c r="A393" s="127">
        <v>44897</v>
      </c>
      <c r="B393" s="128" t="s">
        <v>53</v>
      </c>
      <c r="C393" s="129" t="str">
        <f t="shared" si="13"/>
        <v>02.12.2022_NATohBo</v>
      </c>
      <c r="D393" s="143">
        <f t="shared" si="14"/>
        <v>0</v>
      </c>
      <c r="E393" s="130">
        <v>2.6135885350904399E-5</v>
      </c>
      <c r="F393" s="131">
        <v>3.3417846377946999E-3</v>
      </c>
      <c r="G393" s="131">
        <v>0.79350405746011499</v>
      </c>
      <c r="H393" s="131">
        <v>3.5373286575827598E-2</v>
      </c>
      <c r="I393" s="131">
        <v>1.2978267696941101E-3</v>
      </c>
      <c r="J393" s="131">
        <v>0.15909009734598301</v>
      </c>
      <c r="K393" s="132">
        <v>217.732663533676</v>
      </c>
      <c r="L393" s="133">
        <v>46.921794109864301</v>
      </c>
      <c r="M393" s="133">
        <v>144.45508281894601</v>
      </c>
      <c r="N393" s="133">
        <v>15.6084838704306</v>
      </c>
      <c r="O393" s="131">
        <v>7.4553514923292796E-4</v>
      </c>
      <c r="P393" s="133">
        <v>362.82799999999997</v>
      </c>
      <c r="Q393" s="134"/>
      <c r="R393" s="135"/>
      <c r="T393" s="37"/>
      <c r="U393" s="37"/>
    </row>
    <row r="394" spans="1:21" s="23" customFormat="1" x14ac:dyDescent="0.25">
      <c r="A394" s="127">
        <v>44897</v>
      </c>
      <c r="B394" s="128" t="s">
        <v>55</v>
      </c>
      <c r="C394" s="129" t="str">
        <f t="shared" si="13"/>
        <v>02.12.2022_QUAohBo</v>
      </c>
      <c r="D394" s="143">
        <f t="shared" si="14"/>
        <v>0</v>
      </c>
      <c r="E394" s="130">
        <v>2.6223406581313199E-5</v>
      </c>
      <c r="F394" s="131">
        <v>2.0448942708360999E-3</v>
      </c>
      <c r="G394" s="131">
        <v>0.51278499370317698</v>
      </c>
      <c r="H394" s="131">
        <v>3.4439581563015999E-2</v>
      </c>
      <c r="I394" s="131">
        <v>1.4148933676111999E-3</v>
      </c>
      <c r="J394" s="131">
        <v>0.15312923668706599</v>
      </c>
      <c r="K394" s="132">
        <v>142.333574202417</v>
      </c>
      <c r="L394" s="133">
        <v>7.1285915750255402</v>
      </c>
      <c r="M394" s="133">
        <v>26.089585314718001</v>
      </c>
      <c r="N394" s="133">
        <v>2.81669984589064</v>
      </c>
      <c r="O394" s="131">
        <v>6.6162436249610104E-4</v>
      </c>
      <c r="P394" s="133">
        <v>238.38800000000001</v>
      </c>
      <c r="Q394" s="134"/>
      <c r="R394" s="135"/>
      <c r="T394" s="37"/>
      <c r="U394" s="37"/>
    </row>
    <row r="395" spans="1:21" s="23" customFormat="1" x14ac:dyDescent="0.25">
      <c r="A395" s="127">
        <v>44897</v>
      </c>
      <c r="B395" s="128" t="s">
        <v>57</v>
      </c>
      <c r="C395" s="129" t="str">
        <f t="shared" si="13"/>
        <v>02.12.2022_SCHohVo</v>
      </c>
      <c r="D395" s="143">
        <f t="shared" si="14"/>
        <v>12</v>
      </c>
      <c r="E395" s="130"/>
      <c r="F395" s="131"/>
      <c r="G395" s="131"/>
      <c r="H395" s="131"/>
      <c r="I395" s="131"/>
      <c r="J395" s="131"/>
      <c r="K395" s="132"/>
      <c r="L395" s="133"/>
      <c r="M395" s="133"/>
      <c r="N395" s="133"/>
      <c r="O395" s="131"/>
      <c r="P395" s="133"/>
      <c r="Q395" s="134"/>
      <c r="R395" s="135" t="s">
        <v>341</v>
      </c>
      <c r="T395" s="37"/>
      <c r="U395" s="37"/>
    </row>
    <row r="396" spans="1:21" s="23" customFormat="1" x14ac:dyDescent="0.25">
      <c r="A396" s="127">
        <v>44897</v>
      </c>
      <c r="B396" s="128" t="s">
        <v>60</v>
      </c>
      <c r="C396" s="129" t="str">
        <f t="shared" si="13"/>
        <v>02.12.2022_VORohBo</v>
      </c>
      <c r="D396" s="143">
        <f t="shared" si="14"/>
        <v>0</v>
      </c>
      <c r="E396" s="130">
        <v>2.6925281383617501E-5</v>
      </c>
      <c r="F396" s="131">
        <v>1.8367537213173401E-3</v>
      </c>
      <c r="G396" s="131">
        <v>0.69392190348282701</v>
      </c>
      <c r="H396" s="131">
        <v>3.2375403788939799E-2</v>
      </c>
      <c r="I396" s="131">
        <v>2.1659953982858999E-3</v>
      </c>
      <c r="J396" s="131">
        <v>0.246082520373196</v>
      </c>
      <c r="K396" s="132">
        <v>169.071648702441</v>
      </c>
      <c r="L396" s="133">
        <v>16.791355297037502</v>
      </c>
      <c r="M396" s="133">
        <v>26.872755468920001</v>
      </c>
      <c r="N396" s="133">
        <v>7.4925706487191599</v>
      </c>
      <c r="O396" s="131">
        <v>9.2193038957096604E-4</v>
      </c>
      <c r="P396" s="133">
        <v>303.29199999999997</v>
      </c>
      <c r="Q396" s="134"/>
      <c r="R396" s="135"/>
      <c r="T396" s="37"/>
      <c r="U396" s="37"/>
    </row>
    <row r="397" spans="1:21" s="23" customFormat="1" x14ac:dyDescent="0.25">
      <c r="A397" s="127">
        <v>44897</v>
      </c>
      <c r="B397" s="128" t="s">
        <v>62</v>
      </c>
      <c r="C397" s="129" t="str">
        <f t="shared" si="13"/>
        <v>02.12.2022_VORuhSc</v>
      </c>
      <c r="D397" s="143">
        <f t="shared" si="14"/>
        <v>0</v>
      </c>
      <c r="E397" s="130">
        <v>2.99947759643828E-5</v>
      </c>
      <c r="F397" s="131">
        <v>2.4112278924949201E-3</v>
      </c>
      <c r="G397" s="131">
        <v>0.67070587999486297</v>
      </c>
      <c r="H397" s="131">
        <v>3.5671248066171002E-2</v>
      </c>
      <c r="I397" s="131">
        <v>1.6571695194289599E-3</v>
      </c>
      <c r="J397" s="131">
        <v>0.216731276183978</v>
      </c>
      <c r="K397" s="132">
        <v>184.53077274982999</v>
      </c>
      <c r="L397" s="133">
        <v>15.8465543132784</v>
      </c>
      <c r="M397" s="133">
        <v>24.191733973371502</v>
      </c>
      <c r="N397" s="133">
        <v>6.1310034751048903</v>
      </c>
      <c r="O397" s="131">
        <v>9.5891529780914601E-4</v>
      </c>
      <c r="P397" s="133">
        <v>334.524</v>
      </c>
      <c r="Q397" s="134"/>
      <c r="R397" s="135"/>
      <c r="T397" s="37"/>
      <c r="U397" s="37"/>
    </row>
    <row r="398" spans="1:21" s="23" customFormat="1" x14ac:dyDescent="0.25">
      <c r="A398" s="127">
        <v>44897</v>
      </c>
      <c r="B398" s="128" t="s">
        <v>64</v>
      </c>
      <c r="C398" s="129" t="str">
        <f t="shared" si="13"/>
        <v>02.12.2022_WITob</v>
      </c>
      <c r="D398" s="143">
        <f t="shared" si="14"/>
        <v>0</v>
      </c>
      <c r="E398" s="130">
        <v>3.2099832051617498E-5</v>
      </c>
      <c r="F398" s="131">
        <v>2.20627910913716E-3</v>
      </c>
      <c r="G398" s="131">
        <v>0.62896890995760402</v>
      </c>
      <c r="H398" s="131">
        <v>3.0151595689411899E-2</v>
      </c>
      <c r="I398" s="131">
        <v>2.1847227102027998E-3</v>
      </c>
      <c r="J398" s="131">
        <v>0.30356261863508299</v>
      </c>
      <c r="K398" s="132">
        <v>166.47128807219499</v>
      </c>
      <c r="L398" s="133">
        <v>18.135358745149301</v>
      </c>
      <c r="M398" s="133">
        <v>45.992073326783199</v>
      </c>
      <c r="N398" s="133">
        <v>6.36225839866988</v>
      </c>
      <c r="O398" s="131">
        <v>3.8579593929582301E-4</v>
      </c>
      <c r="P398" s="133">
        <v>393.81599999999997</v>
      </c>
      <c r="Q398" s="134"/>
      <c r="R398" s="135"/>
      <c r="T398" s="37"/>
      <c r="U398" s="37"/>
    </row>
    <row r="399" spans="1:21" s="23" customFormat="1" x14ac:dyDescent="0.25">
      <c r="A399" s="127">
        <v>44939</v>
      </c>
      <c r="B399" s="128" t="s">
        <v>22</v>
      </c>
      <c r="C399" s="129" t="str">
        <f t="shared" si="13"/>
        <v>13.01.2023_BOYkl</v>
      </c>
      <c r="D399" s="143">
        <f t="shared" si="14"/>
        <v>0</v>
      </c>
      <c r="E399" s="130">
        <v>1.3947185508204901E-4</v>
      </c>
      <c r="F399" s="131">
        <v>4.5072680341244897E-3</v>
      </c>
      <c r="G399" s="131">
        <v>0.20181576132589499</v>
      </c>
      <c r="H399" s="131">
        <v>7.2920192940953699E-3</v>
      </c>
      <c r="I399" s="131">
        <v>1.4587345837987199E-4</v>
      </c>
      <c r="J399" s="131">
        <v>2.6851773116251601E-2</v>
      </c>
      <c r="K399" s="132">
        <v>63.152157993821199</v>
      </c>
      <c r="L399" s="133">
        <v>7.6932282305023403</v>
      </c>
      <c r="M399" s="133">
        <v>13.9492142546338</v>
      </c>
      <c r="N399" s="133">
        <v>10.170498278335501</v>
      </c>
      <c r="O399" s="131">
        <v>6.3521562084325404E-4</v>
      </c>
      <c r="P399" s="133">
        <v>87.84</v>
      </c>
      <c r="Q399" s="134"/>
      <c r="R399" s="135"/>
      <c r="T399" s="37"/>
      <c r="U399" s="37"/>
    </row>
    <row r="400" spans="1:21" s="23" customFormat="1" x14ac:dyDescent="0.25">
      <c r="A400" s="127">
        <v>44939</v>
      </c>
      <c r="B400" s="128" t="s">
        <v>25</v>
      </c>
      <c r="C400" s="129" t="str">
        <f t="shared" si="13"/>
        <v>13.01.2023_BOYohB224</v>
      </c>
      <c r="D400" s="143">
        <f t="shared" si="14"/>
        <v>0</v>
      </c>
      <c r="E400" s="130">
        <v>2.0611884686548899E-5</v>
      </c>
      <c r="F400" s="131">
        <v>4.4702156341584797E-3</v>
      </c>
      <c r="G400" s="131">
        <v>0.29843845102234501</v>
      </c>
      <c r="H400" s="131">
        <v>6.0347634782357698E-3</v>
      </c>
      <c r="I400" s="131">
        <v>1.7475734272654099E-4</v>
      </c>
      <c r="J400" s="131">
        <v>1.5660746118986699E-2</v>
      </c>
      <c r="K400" s="132">
        <v>86.117211256665001</v>
      </c>
      <c r="L400" s="133">
        <v>9.2619358723338099</v>
      </c>
      <c r="M400" s="133">
        <v>17.302968371303301</v>
      </c>
      <c r="N400" s="133">
        <v>7.5904159631910098</v>
      </c>
      <c r="O400" s="131">
        <v>4.0727464850141598E-4</v>
      </c>
      <c r="P400" s="133">
        <v>127.124</v>
      </c>
      <c r="Q400" s="134"/>
      <c r="R400" s="135"/>
      <c r="T400" s="37"/>
      <c r="U400" s="37"/>
    </row>
    <row r="401" spans="1:21" s="23" customFormat="1" x14ac:dyDescent="0.25">
      <c r="A401" s="127">
        <v>44939</v>
      </c>
      <c r="B401" s="128" t="s">
        <v>28</v>
      </c>
      <c r="C401" s="129" t="str">
        <f t="shared" si="13"/>
        <v>13.01.2023_BOYohBr</v>
      </c>
      <c r="D401" s="143">
        <f t="shared" si="14"/>
        <v>0</v>
      </c>
      <c r="E401" s="130">
        <v>7.4782895426539898E-5</v>
      </c>
      <c r="F401" s="131">
        <v>8.7952765028498307E-3</v>
      </c>
      <c r="G401" s="131">
        <v>0.28253979724846101</v>
      </c>
      <c r="H401" s="131">
        <v>8.7464458909086006E-3</v>
      </c>
      <c r="I401" s="131">
        <v>1.4452058003341499E-4</v>
      </c>
      <c r="J401" s="131">
        <v>2.60268942217322E-2</v>
      </c>
      <c r="K401" s="132">
        <v>76.404042184944103</v>
      </c>
      <c r="L401" s="133">
        <v>7.8036664909541598</v>
      </c>
      <c r="M401" s="133">
        <v>11.1037164533374</v>
      </c>
      <c r="N401" s="133">
        <v>7.4819430180637001</v>
      </c>
      <c r="O401" s="131">
        <v>5.5473547486109E-4</v>
      </c>
      <c r="P401" s="133">
        <v>113.70399999999999</v>
      </c>
      <c r="Q401" s="134"/>
      <c r="R401" s="135"/>
      <c r="T401" s="37"/>
      <c r="U401" s="37"/>
    </row>
    <row r="402" spans="1:21" s="23" customFormat="1" x14ac:dyDescent="0.25">
      <c r="A402" s="127">
        <v>44939</v>
      </c>
      <c r="B402" s="128" t="s">
        <v>30</v>
      </c>
      <c r="C402" s="129" t="str">
        <f t="shared" si="13"/>
        <v>13.01.2023_BOYohKi</v>
      </c>
      <c r="D402" s="143">
        <f t="shared" si="14"/>
        <v>0</v>
      </c>
      <c r="E402" s="130">
        <v>5.70685348494922E-5</v>
      </c>
      <c r="F402" s="131">
        <v>6.3258468620738997E-3</v>
      </c>
      <c r="G402" s="131">
        <v>0.29362677664294501</v>
      </c>
      <c r="H402" s="131">
        <v>7.0224310273807704E-3</v>
      </c>
      <c r="I402" s="131">
        <v>1.82278507903692E-4</v>
      </c>
      <c r="J402" s="131">
        <v>2.4829390397146999E-2</v>
      </c>
      <c r="K402" s="132">
        <v>84.836749658828893</v>
      </c>
      <c r="L402" s="133">
        <v>7.8801839476213997</v>
      </c>
      <c r="M402" s="133">
        <v>15.355912960891301</v>
      </c>
      <c r="N402" s="133">
        <v>7.4363320292891304</v>
      </c>
      <c r="O402" s="131">
        <v>5.1451988398521799E-4</v>
      </c>
      <c r="P402" s="133">
        <v>129.07599999999999</v>
      </c>
      <c r="Q402" s="134"/>
      <c r="R402" s="135"/>
      <c r="T402" s="37"/>
      <c r="U402" s="37"/>
    </row>
    <row r="403" spans="1:21" s="23" customFormat="1" x14ac:dyDescent="0.25">
      <c r="A403" s="127">
        <v>44939</v>
      </c>
      <c r="B403" s="128" t="s">
        <v>32</v>
      </c>
      <c r="C403" s="129" t="str">
        <f t="shared" si="13"/>
        <v>13.01.2023_BOYohSp</v>
      </c>
      <c r="D403" s="143">
        <f t="shared" si="14"/>
        <v>0</v>
      </c>
      <c r="E403" s="130">
        <v>6.8659842753624096E-5</v>
      </c>
      <c r="F403" s="131">
        <v>6.4499091333651204E-3</v>
      </c>
      <c r="G403" s="131">
        <v>0.31397226503175701</v>
      </c>
      <c r="H403" s="131">
        <v>7.6098619373117897E-3</v>
      </c>
      <c r="I403" s="131">
        <v>8.5964141133931099E-5</v>
      </c>
      <c r="J403" s="131">
        <v>2.4151476802287901E-2</v>
      </c>
      <c r="K403" s="132">
        <v>98.542416157192605</v>
      </c>
      <c r="L403" s="133">
        <v>8.4924466912608594</v>
      </c>
      <c r="M403" s="133">
        <v>16.3761358314141</v>
      </c>
      <c r="N403" s="133">
        <v>8.2790109066972803</v>
      </c>
      <c r="O403" s="131">
        <v>7.4558829310563096E-4</v>
      </c>
      <c r="P403" s="133">
        <v>135.17599999999999</v>
      </c>
      <c r="Q403" s="134"/>
      <c r="R403" s="135"/>
      <c r="T403" s="37"/>
      <c r="U403" s="37"/>
    </row>
    <row r="404" spans="1:21" s="23" customFormat="1" x14ac:dyDescent="0.25">
      <c r="A404" s="127">
        <v>44939</v>
      </c>
      <c r="B404" s="128" t="s">
        <v>34</v>
      </c>
      <c r="C404" s="129" t="str">
        <f t="shared" si="13"/>
        <v>13.01.2023_BOYuhHa</v>
      </c>
      <c r="D404" s="143">
        <f t="shared" si="14"/>
        <v>0</v>
      </c>
      <c r="E404" s="130">
        <v>1.6732467281029902E-5</v>
      </c>
      <c r="F404" s="131">
        <v>4.0792629328679801E-3</v>
      </c>
      <c r="G404" s="131">
        <v>0.28997338683975699</v>
      </c>
      <c r="H404" s="131">
        <v>7.00727162880759E-3</v>
      </c>
      <c r="I404" s="131">
        <v>1.6067182407715399E-4</v>
      </c>
      <c r="J404" s="131">
        <v>2.08881050517866E-2</v>
      </c>
      <c r="K404" s="132">
        <v>91.398351047641697</v>
      </c>
      <c r="L404" s="133">
        <v>9.7664441273344007</v>
      </c>
      <c r="M404" s="133">
        <v>19.060134145703099</v>
      </c>
      <c r="N404" s="133">
        <v>8.0789719514594207</v>
      </c>
      <c r="O404" s="131">
        <v>4.1755277238976902E-4</v>
      </c>
      <c r="P404" s="133">
        <v>131.51599999999999</v>
      </c>
      <c r="Q404" s="134"/>
      <c r="R404" s="135"/>
      <c r="T404" s="37"/>
      <c r="U404" s="37"/>
    </row>
    <row r="405" spans="1:21" s="23" customFormat="1" x14ac:dyDescent="0.25">
      <c r="A405" s="127">
        <v>44939</v>
      </c>
      <c r="B405" s="128" t="s">
        <v>36</v>
      </c>
      <c r="C405" s="129" t="str">
        <f t="shared" si="13"/>
        <v>13.01.2023_BOYuhSp</v>
      </c>
      <c r="D405" s="143">
        <f t="shared" si="14"/>
        <v>0</v>
      </c>
      <c r="E405" s="130">
        <v>9.3385563541286703E-5</v>
      </c>
      <c r="F405" s="131">
        <v>6.45879701003903E-3</v>
      </c>
      <c r="G405" s="131">
        <v>0.32684347239450001</v>
      </c>
      <c r="H405" s="131">
        <v>7.92503689585255E-3</v>
      </c>
      <c r="I405" s="131">
        <v>2.5925596437988E-4</v>
      </c>
      <c r="J405" s="131">
        <v>2.9573498756511999E-2</v>
      </c>
      <c r="K405" s="132">
        <v>92.974684502682905</v>
      </c>
      <c r="L405" s="133">
        <v>8.2714403908441003</v>
      </c>
      <c r="M405" s="133">
        <v>16.1827302646854</v>
      </c>
      <c r="N405" s="133">
        <v>7.6541774720020497</v>
      </c>
      <c r="O405" s="131">
        <v>7.9159189246699898E-4</v>
      </c>
      <c r="P405" s="133">
        <v>134.68799999999999</v>
      </c>
      <c r="Q405" s="134"/>
      <c r="R405" s="135"/>
      <c r="T405" s="37"/>
      <c r="U405" s="37"/>
    </row>
    <row r="406" spans="1:21" s="23" customFormat="1" x14ac:dyDescent="0.25">
      <c r="A406" s="127">
        <v>44939</v>
      </c>
      <c r="B406" s="128" t="s">
        <v>38</v>
      </c>
      <c r="C406" s="129" t="str">
        <f t="shared" si="13"/>
        <v>13.01.2023_BRAob</v>
      </c>
      <c r="D406" s="143">
        <f t="shared" si="14"/>
        <v>0</v>
      </c>
      <c r="E406" s="130">
        <v>6.9735018941429001E-5</v>
      </c>
      <c r="F406" s="131">
        <v>2.8100565908262998E-3</v>
      </c>
      <c r="G406" s="131">
        <v>0.48479474333359901</v>
      </c>
      <c r="H406" s="131">
        <v>5.9498759044904004E-3</v>
      </c>
      <c r="I406" s="131">
        <v>9.7330141916248899E-5</v>
      </c>
      <c r="J406" s="131">
        <v>2.0753697207434901E-2</v>
      </c>
      <c r="K406" s="132">
        <v>146.42826682094801</v>
      </c>
      <c r="L406" s="133">
        <v>6.6856824649665496</v>
      </c>
      <c r="M406" s="133">
        <v>20.314452889440901</v>
      </c>
      <c r="N406" s="133">
        <v>6.6493654443054302</v>
      </c>
      <c r="O406" s="131">
        <v>5.3557518501847704E-4</v>
      </c>
      <c r="P406" s="133">
        <v>151.036</v>
      </c>
      <c r="Q406" s="134"/>
      <c r="R406" s="135"/>
      <c r="T406" s="37"/>
      <c r="U406" s="37"/>
    </row>
    <row r="407" spans="1:21" s="23" customFormat="1" x14ac:dyDescent="0.25">
      <c r="A407" s="127">
        <v>44939</v>
      </c>
      <c r="B407" s="128" t="s">
        <v>41</v>
      </c>
      <c r="C407" s="129" t="str">
        <f t="shared" si="13"/>
        <v>13.01.2023_BRAohBo</v>
      </c>
      <c r="D407" s="143">
        <f t="shared" si="14"/>
        <v>0</v>
      </c>
      <c r="E407" s="130">
        <v>7.2679487363355402E-5</v>
      </c>
      <c r="F407" s="131">
        <v>4.1742266497663697E-3</v>
      </c>
      <c r="G407" s="131">
        <v>0.35503386148576399</v>
      </c>
      <c r="H407" s="131">
        <v>6.5760868417206603E-3</v>
      </c>
      <c r="I407" s="131">
        <v>1.0737260937249E-4</v>
      </c>
      <c r="J407" s="131">
        <v>2.2934517077434598E-2</v>
      </c>
      <c r="K407" s="132">
        <v>103.411857696052</v>
      </c>
      <c r="L407" s="133">
        <v>8.0157048584739208</v>
      </c>
      <c r="M407" s="133">
        <v>16.998761849055601</v>
      </c>
      <c r="N407" s="133">
        <v>7.1905484470866901</v>
      </c>
      <c r="O407" s="131">
        <v>8.03120309113712E-4</v>
      </c>
      <c r="P407" s="133">
        <v>139.56800000000001</v>
      </c>
      <c r="Q407" s="134"/>
      <c r="R407" s="135"/>
      <c r="T407" s="37"/>
      <c r="U407" s="37"/>
    </row>
    <row r="408" spans="1:21" s="23" customFormat="1" x14ac:dyDescent="0.25">
      <c r="A408" s="127">
        <v>44939</v>
      </c>
      <c r="B408" s="128" t="s">
        <v>43</v>
      </c>
      <c r="C408" s="129" t="str">
        <f t="shared" si="13"/>
        <v>13.01.2023_HAAob</v>
      </c>
      <c r="D408" s="143">
        <f t="shared" si="14"/>
        <v>0</v>
      </c>
      <c r="E408" s="130">
        <v>8.6465366156736407E-6</v>
      </c>
      <c r="F408" s="131">
        <v>1.3007298222568299E-3</v>
      </c>
      <c r="G408" s="131">
        <v>0.33770025985088498</v>
      </c>
      <c r="H408" s="131">
        <v>4.3899089868790998E-3</v>
      </c>
      <c r="I408" s="131">
        <v>1.7324725891375501E-4</v>
      </c>
      <c r="J408" s="131">
        <v>1.24297305464011E-2</v>
      </c>
      <c r="K408" s="132">
        <v>102.263274670054</v>
      </c>
      <c r="L408" s="133">
        <v>15.541916417301399</v>
      </c>
      <c r="M408" s="133">
        <v>20.843841192395701</v>
      </c>
      <c r="N408" s="133">
        <v>5.0984203301173103</v>
      </c>
      <c r="O408" s="131">
        <v>3.2780324750025298E-4</v>
      </c>
      <c r="P408" s="133">
        <v>185.44</v>
      </c>
      <c r="Q408" s="134"/>
      <c r="R408" s="135"/>
      <c r="T408" s="37"/>
      <c r="U408" s="37"/>
    </row>
    <row r="409" spans="1:21" s="23" customFormat="1" x14ac:dyDescent="0.25">
      <c r="A409" s="127">
        <v>44939</v>
      </c>
      <c r="B409" s="128" t="s">
        <v>45</v>
      </c>
      <c r="C409" s="129" t="str">
        <f t="shared" si="13"/>
        <v>13.01.2023_HAAun</v>
      </c>
      <c r="D409" s="143">
        <f t="shared" si="14"/>
        <v>0</v>
      </c>
      <c r="E409" s="130">
        <v>1.50030993845888E-5</v>
      </c>
      <c r="F409" s="131">
        <v>2.83022199733815E-3</v>
      </c>
      <c r="G409" s="131">
        <v>0.439496389010124</v>
      </c>
      <c r="H409" s="131">
        <v>5.8759167477008597E-3</v>
      </c>
      <c r="I409" s="131">
        <v>1.11016495381568E-4</v>
      </c>
      <c r="J409" s="131">
        <v>1.4429749723917499E-2</v>
      </c>
      <c r="K409" s="132">
        <v>128.968595244038</v>
      </c>
      <c r="L409" s="133">
        <v>20.632843551333199</v>
      </c>
      <c r="M409" s="133">
        <v>23.829250432540601</v>
      </c>
      <c r="N409" s="133">
        <v>8.9190605347937097</v>
      </c>
      <c r="O409" s="131">
        <v>5.8140625025316001E-4</v>
      </c>
      <c r="P409" s="133">
        <v>208.376</v>
      </c>
      <c r="Q409" s="134"/>
      <c r="R409" s="135"/>
      <c r="T409" s="37"/>
      <c r="U409" s="37"/>
    </row>
    <row r="410" spans="1:21" s="23" customFormat="1" x14ac:dyDescent="0.25">
      <c r="A410" s="127">
        <v>44939</v>
      </c>
      <c r="B410" s="128" t="s">
        <v>47</v>
      </c>
      <c r="C410" s="129" t="str">
        <f t="shared" si="13"/>
        <v>13.01.2023_KIRob</v>
      </c>
      <c r="D410" s="143">
        <f t="shared" si="14"/>
        <v>0</v>
      </c>
      <c r="E410" s="130">
        <v>1.28064084296173E-5</v>
      </c>
      <c r="F410" s="131">
        <v>1.83351999271143E-3</v>
      </c>
      <c r="G410" s="131">
        <v>0.35139743891473901</v>
      </c>
      <c r="H410" s="131">
        <v>6.2375064139625703E-3</v>
      </c>
      <c r="I410" s="131">
        <v>1.25646355045667E-4</v>
      </c>
      <c r="J410" s="131">
        <v>1.55326726742931E-2</v>
      </c>
      <c r="K410" s="132">
        <v>114.832272449923</v>
      </c>
      <c r="L410" s="133">
        <v>11.6239315263274</v>
      </c>
      <c r="M410" s="133">
        <v>46.750050025889998</v>
      </c>
      <c r="N410" s="133">
        <v>6.25693759654032</v>
      </c>
      <c r="O410" s="131">
        <v>5.4905753360107699E-4</v>
      </c>
      <c r="P410" s="133">
        <v>198.86</v>
      </c>
      <c r="Q410" s="134"/>
      <c r="R410" s="135"/>
      <c r="T410" s="37"/>
      <c r="U410" s="37"/>
    </row>
    <row r="411" spans="1:21" s="23" customFormat="1" x14ac:dyDescent="0.25">
      <c r="A411" s="127">
        <v>44939</v>
      </c>
      <c r="B411" s="128" t="s">
        <v>49</v>
      </c>
      <c r="C411" s="129" t="str">
        <f t="shared" si="13"/>
        <v>13.01.2023_KIRun</v>
      </c>
      <c r="D411" s="143">
        <f t="shared" si="14"/>
        <v>0</v>
      </c>
      <c r="E411" s="130">
        <v>8.6465366156736407E-6</v>
      </c>
      <c r="F411" s="131">
        <v>1.7789179176955501E-3</v>
      </c>
      <c r="G411" s="131">
        <v>0.30956525165884302</v>
      </c>
      <c r="H411" s="131">
        <v>4.5882387701608896E-3</v>
      </c>
      <c r="I411" s="131">
        <v>1.07337522935078E-4</v>
      </c>
      <c r="J411" s="131">
        <v>1.32843509880622E-2</v>
      </c>
      <c r="K411" s="132">
        <v>98.414463215481206</v>
      </c>
      <c r="L411" s="133">
        <v>10.4382245622959</v>
      </c>
      <c r="M411" s="133">
        <v>37.295555804158496</v>
      </c>
      <c r="N411" s="133">
        <v>5.7728590547872898</v>
      </c>
      <c r="O411" s="131">
        <v>2.8922420760153501E-4</v>
      </c>
      <c r="P411" s="133">
        <v>170.06800000000001</v>
      </c>
      <c r="Q411" s="134"/>
      <c r="R411" s="135"/>
      <c r="T411" s="37"/>
      <c r="U411" s="37"/>
    </row>
    <row r="412" spans="1:21" s="23" customFormat="1" x14ac:dyDescent="0.25">
      <c r="A412" s="127">
        <v>44939</v>
      </c>
      <c r="B412" s="128" t="s">
        <v>50</v>
      </c>
      <c r="C412" s="129" t="str">
        <f t="shared" si="13"/>
        <v>13.01.2023_LIEohBo</v>
      </c>
      <c r="D412" s="143">
        <f t="shared" si="14"/>
        <v>0</v>
      </c>
      <c r="E412" s="130">
        <v>1.23390853710869E-5</v>
      </c>
      <c r="F412" s="131">
        <v>2.2887714171949299E-3</v>
      </c>
      <c r="G412" s="131">
        <v>0.27601126919357</v>
      </c>
      <c r="H412" s="131">
        <v>5.3994359357220703E-3</v>
      </c>
      <c r="I412" s="131">
        <v>7.93825634106016E-5</v>
      </c>
      <c r="J412" s="131">
        <v>1.09378463513069E-2</v>
      </c>
      <c r="K412" s="132">
        <v>82.398811563956897</v>
      </c>
      <c r="L412" s="133">
        <v>7.8730866597444704</v>
      </c>
      <c r="M412" s="133">
        <v>12.9113178461775</v>
      </c>
      <c r="N412" s="133">
        <v>7.0832621330830801</v>
      </c>
      <c r="O412" s="131">
        <v>2.9937398792213101E-4</v>
      </c>
      <c r="P412" s="133">
        <v>178.12</v>
      </c>
      <c r="Q412" s="134"/>
      <c r="R412" s="135"/>
      <c r="T412" s="37"/>
      <c r="U412" s="37"/>
    </row>
    <row r="413" spans="1:21" s="23" customFormat="1" x14ac:dyDescent="0.25">
      <c r="A413" s="127">
        <v>44939</v>
      </c>
      <c r="B413" s="128" t="s">
        <v>53</v>
      </c>
      <c r="C413" s="129" t="str">
        <f t="shared" si="13"/>
        <v>13.01.2023_NATohBo</v>
      </c>
      <c r="D413" s="143">
        <f t="shared" si="14"/>
        <v>0</v>
      </c>
      <c r="E413" s="130">
        <v>1.6732467281029902E-5</v>
      </c>
      <c r="F413" s="131">
        <v>2.6578636802139098E-3</v>
      </c>
      <c r="G413" s="131">
        <v>0.335697729525605</v>
      </c>
      <c r="H413" s="131">
        <v>5.8690576678251498E-3</v>
      </c>
      <c r="I413" s="131">
        <v>1.9454217468214399E-4</v>
      </c>
      <c r="J413" s="131">
        <v>1.8097750969744801E-2</v>
      </c>
      <c r="K413" s="132">
        <v>100.36805406108</v>
      </c>
      <c r="L413" s="133">
        <v>12.8841148056942</v>
      </c>
      <c r="M413" s="133">
        <v>30.006975057078801</v>
      </c>
      <c r="N413" s="133">
        <v>9.5722738778729397</v>
      </c>
      <c r="O413" s="131">
        <v>4.8125857773498998E-4</v>
      </c>
      <c r="P413" s="133">
        <v>165.18799999999999</v>
      </c>
      <c r="Q413" s="134"/>
      <c r="R413" s="135"/>
      <c r="T413" s="37"/>
      <c r="U413" s="37"/>
    </row>
    <row r="414" spans="1:21" s="23" customFormat="1" x14ac:dyDescent="0.25">
      <c r="A414" s="127">
        <v>44939</v>
      </c>
      <c r="B414" s="128" t="s">
        <v>55</v>
      </c>
      <c r="C414" s="129" t="str">
        <f t="shared" si="13"/>
        <v>13.01.2023_QUAohBo</v>
      </c>
      <c r="D414" s="143">
        <f t="shared" si="14"/>
        <v>0</v>
      </c>
      <c r="E414" s="130">
        <v>3.3418293116166197E-5</v>
      </c>
      <c r="F414" s="131">
        <v>3.0596239795485799E-3</v>
      </c>
      <c r="G414" s="131">
        <v>0.40609545665811497</v>
      </c>
      <c r="H414" s="131">
        <v>5.5129851752015102E-3</v>
      </c>
      <c r="I414" s="131">
        <v>1.15123340097282E-4</v>
      </c>
      <c r="J414" s="131">
        <v>1.7263036687891101E-2</v>
      </c>
      <c r="K414" s="132">
        <v>111.694663534743</v>
      </c>
      <c r="L414" s="133">
        <v>6.9544720418136503</v>
      </c>
      <c r="M414" s="133">
        <v>19.3256244604055</v>
      </c>
      <c r="N414" s="133">
        <v>6.0810351106114098</v>
      </c>
      <c r="O414" s="131">
        <v>5.8340778251332603E-4</v>
      </c>
      <c r="P414" s="133">
        <v>183.976</v>
      </c>
      <c r="Q414" s="134"/>
      <c r="R414" s="135"/>
      <c r="T414" s="37"/>
      <c r="U414" s="37"/>
    </row>
    <row r="415" spans="1:21" s="23" customFormat="1" x14ac:dyDescent="0.25">
      <c r="A415" s="127">
        <v>44939</v>
      </c>
      <c r="B415" s="128" t="s">
        <v>57</v>
      </c>
      <c r="C415" s="129" t="str">
        <f t="shared" si="13"/>
        <v>13.01.2023_SCHohVo</v>
      </c>
      <c r="D415" s="143">
        <f t="shared" si="14"/>
        <v>0</v>
      </c>
      <c r="E415" s="130">
        <v>1.1630102078187101E-3</v>
      </c>
      <c r="F415" s="131">
        <v>2.8251591210565101E-3</v>
      </c>
      <c r="G415" s="131">
        <v>0.26177324853627498</v>
      </c>
      <c r="H415" s="131">
        <v>1.9487015766679602E-2</v>
      </c>
      <c r="I415" s="131">
        <v>1.6908108622205301E-4</v>
      </c>
      <c r="J415" s="131">
        <v>0.26020769031604102</v>
      </c>
      <c r="K415" s="132">
        <v>83.770358153015707</v>
      </c>
      <c r="L415" s="133">
        <v>9.4402588575277502</v>
      </c>
      <c r="M415" s="133">
        <v>15.7327894669545</v>
      </c>
      <c r="N415" s="133">
        <v>3.9108811120379698</v>
      </c>
      <c r="O415" s="131">
        <v>3.6217711244731399E-3</v>
      </c>
      <c r="P415" s="133">
        <v>71.248000000000005</v>
      </c>
      <c r="Q415" s="134"/>
      <c r="R415" s="135"/>
      <c r="T415" s="37"/>
      <c r="U415" s="37"/>
    </row>
    <row r="416" spans="1:21" s="23" customFormat="1" x14ac:dyDescent="0.25">
      <c r="A416" s="127">
        <v>44939</v>
      </c>
      <c r="B416" s="128" t="s">
        <v>60</v>
      </c>
      <c r="C416" s="129" t="str">
        <f t="shared" si="13"/>
        <v>13.01.2023_VORohBo</v>
      </c>
      <c r="D416" s="143">
        <f t="shared" si="14"/>
        <v>0</v>
      </c>
      <c r="E416" s="130">
        <v>4.9636795892772203E-5</v>
      </c>
      <c r="F416" s="131">
        <v>1.6278187372272799E-3</v>
      </c>
      <c r="G416" s="131">
        <v>0.376116797018893</v>
      </c>
      <c r="H416" s="131">
        <v>6.8933063654058003E-3</v>
      </c>
      <c r="I416" s="131">
        <v>1.07234359695725E-4</v>
      </c>
      <c r="J416" s="131">
        <v>1.5953190178136199E-2</v>
      </c>
      <c r="K416" s="132">
        <v>126.743962608335</v>
      </c>
      <c r="L416" s="133">
        <v>12.5767383402018</v>
      </c>
      <c r="M416" s="133">
        <v>18.958503393379001</v>
      </c>
      <c r="N416" s="133">
        <v>5.82032268481061</v>
      </c>
      <c r="O416" s="131">
        <v>6.9720583685051998E-4</v>
      </c>
      <c r="P416" s="133">
        <v>187.636</v>
      </c>
      <c r="Q416" s="134"/>
      <c r="R416" s="135"/>
      <c r="T416" s="37"/>
      <c r="U416" s="37"/>
    </row>
    <row r="417" spans="1:21" s="23" customFormat="1" x14ac:dyDescent="0.25">
      <c r="A417" s="127">
        <v>44939</v>
      </c>
      <c r="B417" s="128" t="s">
        <v>62</v>
      </c>
      <c r="C417" s="129" t="str">
        <f t="shared" si="13"/>
        <v>13.01.2023_VORuhSc</v>
      </c>
      <c r="D417" s="143">
        <f t="shared" si="14"/>
        <v>0</v>
      </c>
      <c r="E417" s="130">
        <v>9.8386798580504096E-5</v>
      </c>
      <c r="F417" s="131">
        <v>1.9656299848396E-3</v>
      </c>
      <c r="G417" s="131">
        <v>0.36289552179543999</v>
      </c>
      <c r="H417" s="131">
        <v>7.9336341126796193E-3</v>
      </c>
      <c r="I417" s="131">
        <v>1.16010616862598E-4</v>
      </c>
      <c r="J417" s="131">
        <v>3.4256893865650603E-2</v>
      </c>
      <c r="K417" s="132">
        <v>118.882318436202</v>
      </c>
      <c r="L417" s="133">
        <v>10.981332001428401</v>
      </c>
      <c r="M417" s="133">
        <v>16.708373307967602</v>
      </c>
      <c r="N417" s="133">
        <v>4.7528692405621804</v>
      </c>
      <c r="O417" s="131">
        <v>7.5119299260593703E-4</v>
      </c>
      <c r="P417" s="133">
        <v>174.70400000000001</v>
      </c>
      <c r="Q417" s="134"/>
      <c r="R417" s="135"/>
      <c r="T417" s="37"/>
      <c r="U417" s="37"/>
    </row>
    <row r="418" spans="1:21" s="23" customFormat="1" x14ac:dyDescent="0.25">
      <c r="A418" s="127">
        <v>44939</v>
      </c>
      <c r="B418" s="128" t="s">
        <v>64</v>
      </c>
      <c r="C418" s="129" t="str">
        <f t="shared" si="13"/>
        <v>13.01.2023_WITob</v>
      </c>
      <c r="D418" s="143">
        <f t="shared" si="14"/>
        <v>0</v>
      </c>
      <c r="E418" s="130">
        <v>1.10770405331762E-5</v>
      </c>
      <c r="F418" s="131">
        <v>2.55124582147265E-3</v>
      </c>
      <c r="G418" s="131">
        <v>0.61011201791298797</v>
      </c>
      <c r="H418" s="131">
        <v>5.9998933427248104E-3</v>
      </c>
      <c r="I418" s="131">
        <v>1.3263657584784599E-4</v>
      </c>
      <c r="J418" s="131">
        <v>1.2534179039105101E-2</v>
      </c>
      <c r="K418" s="132">
        <v>167.175005006742</v>
      </c>
      <c r="L418" s="133">
        <v>21.263642702805399</v>
      </c>
      <c r="M418" s="133">
        <v>44.375154365967397</v>
      </c>
      <c r="N418" s="133">
        <v>5.8627085586912902</v>
      </c>
      <c r="O418" s="131">
        <v>3.2239085876566002E-4</v>
      </c>
      <c r="P418" s="133">
        <v>281.08800000000002</v>
      </c>
      <c r="Q418" s="134"/>
      <c r="R418" s="135"/>
      <c r="T418" s="37"/>
      <c r="U418" s="37"/>
    </row>
    <row r="419" spans="1:21" s="23" customFormat="1" x14ac:dyDescent="0.25">
      <c r="A419" s="127">
        <v>44967</v>
      </c>
      <c r="B419" s="128" t="s">
        <v>22</v>
      </c>
      <c r="C419" s="129" t="str">
        <f t="shared" si="13"/>
        <v>10.02.2023_BOYkl</v>
      </c>
      <c r="D419" s="143">
        <f t="shared" si="14"/>
        <v>0</v>
      </c>
      <c r="E419" s="130">
        <v>9.9328706710030402E-5</v>
      </c>
      <c r="F419" s="131">
        <v>3.0883437889723002E-3</v>
      </c>
      <c r="G419" s="131">
        <v>0.14890116784736801</v>
      </c>
      <c r="H419" s="131">
        <v>7.4834391421119096E-3</v>
      </c>
      <c r="I419" s="131">
        <v>6.55593080170741E-5</v>
      </c>
      <c r="J419" s="131">
        <v>9.9952335946727894E-3</v>
      </c>
      <c r="K419" s="132">
        <v>65.247904878159304</v>
      </c>
      <c r="L419" s="133">
        <v>6.8313904452485499</v>
      </c>
      <c r="M419" s="133">
        <v>15.0796562704718</v>
      </c>
      <c r="N419" s="133">
        <v>7.24496692337424</v>
      </c>
      <c r="O419" s="131">
        <v>1.0447840305056501E-3</v>
      </c>
      <c r="P419" s="133">
        <v>100.28400000000001</v>
      </c>
      <c r="Q419" s="134"/>
      <c r="R419" s="135"/>
      <c r="T419" s="37"/>
      <c r="U419" s="37"/>
    </row>
    <row r="420" spans="1:21" s="23" customFormat="1" x14ac:dyDescent="0.25">
      <c r="A420" s="127">
        <v>44967</v>
      </c>
      <c r="B420" s="128" t="s">
        <v>25</v>
      </c>
      <c r="C420" s="129" t="str">
        <f t="shared" si="13"/>
        <v>10.02.2023_BOYohB224</v>
      </c>
      <c r="D420" s="143">
        <f t="shared" si="14"/>
        <v>0</v>
      </c>
      <c r="E420" s="130">
        <v>1.3382943871515701E-5</v>
      </c>
      <c r="F420" s="131">
        <v>1.7842780443691601E-3</v>
      </c>
      <c r="G420" s="131">
        <v>0.158361619671398</v>
      </c>
      <c r="H420" s="131">
        <v>5.6077532048920296E-3</v>
      </c>
      <c r="I420" s="131">
        <v>7.6514040510707195E-5</v>
      </c>
      <c r="J420" s="131">
        <v>6.8233826358508496E-3</v>
      </c>
      <c r="K420" s="132">
        <v>121.720374555915</v>
      </c>
      <c r="L420" s="133">
        <v>15.154919944429301</v>
      </c>
      <c r="M420" s="133">
        <v>26.214228716862799</v>
      </c>
      <c r="N420" s="133">
        <v>6.4473939228689803</v>
      </c>
      <c r="O420" s="131">
        <v>5.9601452662744203E-4</v>
      </c>
      <c r="P420" s="133">
        <v>188.124</v>
      </c>
      <c r="Q420" s="134"/>
      <c r="R420" s="135"/>
      <c r="T420" s="37"/>
      <c r="U420" s="37"/>
    </row>
    <row r="421" spans="1:21" s="23" customFormat="1" x14ac:dyDescent="0.25">
      <c r="A421" s="127">
        <v>44967</v>
      </c>
      <c r="B421" s="128" t="s">
        <v>28</v>
      </c>
      <c r="C421" s="129" t="str">
        <f t="shared" si="13"/>
        <v>10.02.2023_BOYohBr</v>
      </c>
      <c r="D421" s="143">
        <f t="shared" si="14"/>
        <v>0</v>
      </c>
      <c r="E421" s="130">
        <v>3.7221630227573702E-5</v>
      </c>
      <c r="F421" s="131">
        <v>2.2901291264568898E-3</v>
      </c>
      <c r="G421" s="131">
        <v>0.15882218505672499</v>
      </c>
      <c r="H421" s="131">
        <v>6.2944469465527004E-3</v>
      </c>
      <c r="I421" s="131">
        <v>9.4634649844381095E-5</v>
      </c>
      <c r="J421" s="131">
        <v>9.3361167105115404E-3</v>
      </c>
      <c r="K421" s="132">
        <v>91.221229245008601</v>
      </c>
      <c r="L421" s="133">
        <v>8.5097908476237105</v>
      </c>
      <c r="M421" s="133">
        <v>13.325825248471</v>
      </c>
      <c r="N421" s="133">
        <v>5.8077948286513603</v>
      </c>
      <c r="O421" s="131">
        <v>4.0481420630442599E-4</v>
      </c>
      <c r="P421" s="133">
        <v>146.64400000000001</v>
      </c>
      <c r="Q421" s="134"/>
      <c r="R421" s="135"/>
      <c r="T421" s="37"/>
      <c r="U421" s="37"/>
    </row>
    <row r="422" spans="1:21" s="23" customFormat="1" x14ac:dyDescent="0.25">
      <c r="A422" s="127">
        <v>44967</v>
      </c>
      <c r="B422" s="128" t="s">
        <v>30</v>
      </c>
      <c r="C422" s="129" t="str">
        <f t="shared" si="13"/>
        <v>10.02.2023_BOYohKi</v>
      </c>
      <c r="D422" s="143">
        <f t="shared" si="14"/>
        <v>0</v>
      </c>
      <c r="E422" s="130">
        <v>2.5406793660802799E-5</v>
      </c>
      <c r="F422" s="131">
        <v>1.9870483557786001E-3</v>
      </c>
      <c r="G422" s="131">
        <v>0.161555258716512</v>
      </c>
      <c r="H422" s="131">
        <v>6.3064121070340699E-3</v>
      </c>
      <c r="I422" s="131">
        <v>9.8340838386760701E-5</v>
      </c>
      <c r="J422" s="131">
        <v>1.3563321890141301E-2</v>
      </c>
      <c r="K422" s="132">
        <v>114.410863632451</v>
      </c>
      <c r="L422" s="133">
        <v>10.014978828675099</v>
      </c>
      <c r="M422" s="133">
        <v>21.291693902586601</v>
      </c>
      <c r="N422" s="133">
        <v>5.7089385131149601</v>
      </c>
      <c r="O422" s="131">
        <v>6.1806398023189898E-4</v>
      </c>
      <c r="P422" s="133">
        <v>169.09200000000001</v>
      </c>
      <c r="Q422" s="134"/>
      <c r="R422" s="135"/>
      <c r="T422" s="37"/>
      <c r="U422" s="37"/>
    </row>
    <row r="423" spans="1:21" s="23" customFormat="1" x14ac:dyDescent="0.25">
      <c r="A423" s="127">
        <v>44967</v>
      </c>
      <c r="B423" s="128" t="s">
        <v>32</v>
      </c>
      <c r="C423" s="129" t="str">
        <f t="shared" si="13"/>
        <v>10.02.2023_BOYohSp</v>
      </c>
      <c r="D423" s="143">
        <f t="shared" si="14"/>
        <v>0</v>
      </c>
      <c r="E423" s="130">
        <v>2.4831922609571E-5</v>
      </c>
      <c r="F423" s="131">
        <v>2.3272866180222701E-3</v>
      </c>
      <c r="G423" s="131">
        <v>0.15722004562581801</v>
      </c>
      <c r="H423" s="131">
        <v>5.9380537100405303E-3</v>
      </c>
      <c r="I423" s="131">
        <v>6.5775143159578606E-5</v>
      </c>
      <c r="J423" s="131">
        <v>9.7501432307992297E-3</v>
      </c>
      <c r="K423" s="132">
        <v>107.591508821183</v>
      </c>
      <c r="L423" s="133">
        <v>8.3747389312503095</v>
      </c>
      <c r="M423" s="133">
        <v>19.160768350828501</v>
      </c>
      <c r="N423" s="133">
        <v>5.5699661275557899</v>
      </c>
      <c r="O423" s="131">
        <v>5.4621695404688899E-4</v>
      </c>
      <c r="P423" s="133">
        <v>158.84399999999999</v>
      </c>
      <c r="Q423" s="134"/>
      <c r="R423" s="135"/>
      <c r="T423" s="37"/>
      <c r="U423" s="37"/>
    </row>
    <row r="424" spans="1:21" s="23" customFormat="1" x14ac:dyDescent="0.25">
      <c r="A424" s="127">
        <v>44967</v>
      </c>
      <c r="B424" s="128" t="s">
        <v>34</v>
      </c>
      <c r="C424" s="129" t="str">
        <f t="shared" si="13"/>
        <v>10.02.2023_BOYuhHa</v>
      </c>
      <c r="D424" s="143">
        <f t="shared" si="14"/>
        <v>0</v>
      </c>
      <c r="E424" s="130">
        <v>1.28602414366007E-5</v>
      </c>
      <c r="F424" s="131">
        <v>2.2269440027165598E-3</v>
      </c>
      <c r="G424" s="131">
        <v>0.15384603212985701</v>
      </c>
      <c r="H424" s="131">
        <v>5.58575687336842E-3</v>
      </c>
      <c r="I424" s="131">
        <v>5.5465235577531303E-5</v>
      </c>
      <c r="J424" s="131">
        <v>3.8138743999937201E-3</v>
      </c>
      <c r="K424" s="132">
        <v>123.425609331706</v>
      </c>
      <c r="L424" s="133">
        <v>16.256783588743001</v>
      </c>
      <c r="M424" s="133">
        <v>29.629445421910699</v>
      </c>
      <c r="N424" s="133">
        <v>6.4498491313374604</v>
      </c>
      <c r="O424" s="131">
        <v>5.2879575806959297E-4</v>
      </c>
      <c r="P424" s="133">
        <v>184.464</v>
      </c>
      <c r="Q424" s="134"/>
      <c r="R424" s="135"/>
      <c r="T424" s="37"/>
      <c r="U424" s="37"/>
    </row>
    <row r="425" spans="1:21" s="23" customFormat="1" x14ac:dyDescent="0.25">
      <c r="A425" s="127">
        <v>44967</v>
      </c>
      <c r="B425" s="128" t="s">
        <v>36</v>
      </c>
      <c r="C425" s="129" t="str">
        <f t="shared" si="13"/>
        <v>10.02.2023_BOYuhSp</v>
      </c>
      <c r="D425" s="143">
        <f t="shared" si="14"/>
        <v>0</v>
      </c>
      <c r="E425" s="130">
        <v>4.2554008081103E-5</v>
      </c>
      <c r="F425" s="131">
        <v>2.0700463620869801E-3</v>
      </c>
      <c r="G425" s="131">
        <v>0.160539356599428</v>
      </c>
      <c r="H425" s="131">
        <v>6.12351331806493E-3</v>
      </c>
      <c r="I425" s="131">
        <v>8.1974894779408605E-5</v>
      </c>
      <c r="J425" s="131">
        <v>1.3837814836718001E-2</v>
      </c>
      <c r="K425" s="132">
        <v>107.668998881744</v>
      </c>
      <c r="L425" s="133">
        <v>8.1056562623257093</v>
      </c>
      <c r="M425" s="133">
        <v>18.1715557052961</v>
      </c>
      <c r="N425" s="133">
        <v>4.99013349074011</v>
      </c>
      <c r="O425" s="131">
        <v>6.9389373730093505E-4</v>
      </c>
      <c r="P425" s="133">
        <v>158.11199999999999</v>
      </c>
      <c r="Q425" s="134"/>
      <c r="R425" s="135"/>
      <c r="T425" s="37"/>
      <c r="U425" s="37"/>
    </row>
    <row r="426" spans="1:21" s="23" customFormat="1" x14ac:dyDescent="0.25">
      <c r="A426" s="127">
        <v>44967</v>
      </c>
      <c r="B426" s="128" t="s">
        <v>38</v>
      </c>
      <c r="C426" s="129" t="str">
        <f t="shared" si="13"/>
        <v>10.02.2023_BRAob</v>
      </c>
      <c r="D426" s="143">
        <f t="shared" si="14"/>
        <v>0</v>
      </c>
      <c r="E426" s="130">
        <v>3.0425482301933299E-5</v>
      </c>
      <c r="F426" s="131">
        <v>1.6231295543102701E-3</v>
      </c>
      <c r="G426" s="131">
        <v>0.16983749565278</v>
      </c>
      <c r="H426" s="131">
        <v>5.3237265369143602E-3</v>
      </c>
      <c r="I426" s="131">
        <v>9.1754596310942007E-5</v>
      </c>
      <c r="J426" s="131">
        <v>1.05796746563595E-2</v>
      </c>
      <c r="K426" s="132">
        <v>153.16528349983801</v>
      </c>
      <c r="L426" s="133">
        <v>6.0827502227030203</v>
      </c>
      <c r="M426" s="133">
        <v>21.9603609716935</v>
      </c>
      <c r="N426" s="133">
        <v>3.9241376995346902</v>
      </c>
      <c r="O426" s="131">
        <v>5.8607471902233897E-4</v>
      </c>
      <c r="P426" s="133">
        <v>180.072</v>
      </c>
      <c r="Q426" s="134"/>
      <c r="R426" s="135"/>
      <c r="T426" s="37"/>
      <c r="U426" s="37"/>
    </row>
    <row r="427" spans="1:21" s="23" customFormat="1" x14ac:dyDescent="0.25">
      <c r="A427" s="127">
        <v>44967</v>
      </c>
      <c r="B427" s="128" t="s">
        <v>41</v>
      </c>
      <c r="C427" s="129" t="str">
        <f t="shared" si="13"/>
        <v>10.02.2023_BRAohBo</v>
      </c>
      <c r="D427" s="143">
        <f t="shared" si="14"/>
        <v>0</v>
      </c>
      <c r="E427" s="130">
        <v>2.4675078003371601E-5</v>
      </c>
      <c r="F427" s="131">
        <v>2.01334990974911E-3</v>
      </c>
      <c r="G427" s="131">
        <v>0.16417233001057899</v>
      </c>
      <c r="H427" s="131">
        <v>5.4027264198249396E-3</v>
      </c>
      <c r="I427" s="131">
        <v>1.1920801156067E-4</v>
      </c>
      <c r="J427" s="131">
        <v>1.08429575391968E-2</v>
      </c>
      <c r="K427" s="132">
        <v>121.317972576047</v>
      </c>
      <c r="L427" s="133">
        <v>7.45104262988208</v>
      </c>
      <c r="M427" s="133">
        <v>19.290224541604498</v>
      </c>
      <c r="N427" s="133">
        <v>4.6443321457839897</v>
      </c>
      <c r="O427" s="131">
        <v>6.8170504867306298E-4</v>
      </c>
      <c r="P427" s="133">
        <v>172.26400000000001</v>
      </c>
      <c r="Q427" s="134"/>
      <c r="R427" s="135"/>
      <c r="T427" s="37"/>
      <c r="U427" s="37"/>
    </row>
    <row r="428" spans="1:21" s="23" customFormat="1" x14ac:dyDescent="0.25">
      <c r="A428" s="127">
        <v>44967</v>
      </c>
      <c r="B428" s="128" t="s">
        <v>43</v>
      </c>
      <c r="C428" s="129" t="str">
        <f t="shared" si="13"/>
        <v>10.02.2023_HAAob</v>
      </c>
      <c r="D428" s="143">
        <f t="shared" si="14"/>
        <v>0</v>
      </c>
      <c r="E428" s="130">
        <v>6.9004851582740304E-6</v>
      </c>
      <c r="F428" s="131">
        <v>1.36103730970089E-3</v>
      </c>
      <c r="G428" s="131">
        <v>0.158698000733139</v>
      </c>
      <c r="H428" s="131">
        <v>3.83239263781982E-3</v>
      </c>
      <c r="I428" s="131">
        <v>9.0496898237629698E-5</v>
      </c>
      <c r="J428" s="131">
        <v>7.0322796610947699E-3</v>
      </c>
      <c r="K428" s="132">
        <v>108.654222153167</v>
      </c>
      <c r="L428" s="133">
        <v>15.586065558224201</v>
      </c>
      <c r="M428" s="133">
        <v>19.650007572439701</v>
      </c>
      <c r="N428" s="133">
        <v>4.47449100643286</v>
      </c>
      <c r="O428" s="131">
        <v>2.8285888329838299E-4</v>
      </c>
      <c r="P428" s="133">
        <v>198.61600000000001</v>
      </c>
      <c r="Q428" s="134"/>
      <c r="R428" s="135"/>
      <c r="T428" s="37"/>
      <c r="U428" s="37"/>
    </row>
    <row r="429" spans="1:21" s="23" customFormat="1" x14ac:dyDescent="0.25">
      <c r="A429" s="127">
        <v>44967</v>
      </c>
      <c r="B429" s="128" t="s">
        <v>45</v>
      </c>
      <c r="C429" s="129" t="str">
        <f t="shared" si="13"/>
        <v>10.02.2023_HAAun</v>
      </c>
      <c r="D429" s="143">
        <f t="shared" si="14"/>
        <v>0</v>
      </c>
      <c r="E429" s="130">
        <v>9.9327012923786396E-6</v>
      </c>
      <c r="F429" s="131">
        <v>2.1797636531040599E-3</v>
      </c>
      <c r="G429" s="131">
        <v>0.16362721258018301</v>
      </c>
      <c r="H429" s="131">
        <v>5.1101457283205401E-3</v>
      </c>
      <c r="I429" s="131">
        <v>8.9322081716804204E-5</v>
      </c>
      <c r="J429" s="131">
        <v>9.0232624340462596E-3</v>
      </c>
      <c r="K429" s="132">
        <v>140.88931576801599</v>
      </c>
      <c r="L429" s="133">
        <v>22.575739138428101</v>
      </c>
      <c r="M429" s="133">
        <v>26.323060662976001</v>
      </c>
      <c r="N429" s="133">
        <v>6.6690735907293002</v>
      </c>
      <c r="O429" s="131">
        <v>4.6891032523614499E-4</v>
      </c>
      <c r="P429" s="133">
        <v>231.06800000000001</v>
      </c>
      <c r="Q429" s="134"/>
      <c r="R429" s="135"/>
      <c r="T429" s="37"/>
      <c r="U429" s="37"/>
    </row>
    <row r="430" spans="1:21" s="23" customFormat="1" x14ac:dyDescent="0.25">
      <c r="A430" s="127">
        <v>44967</v>
      </c>
      <c r="B430" s="128" t="s">
        <v>47</v>
      </c>
      <c r="C430" s="129" t="str">
        <f t="shared" si="13"/>
        <v>10.02.2023_KIRob</v>
      </c>
      <c r="D430" s="143">
        <f t="shared" si="14"/>
        <v>0</v>
      </c>
      <c r="E430" s="130">
        <v>1.2285370385369E-5</v>
      </c>
      <c r="F430" s="131">
        <v>1.6436817279851901E-3</v>
      </c>
      <c r="G430" s="131">
        <v>0.17066139715273801</v>
      </c>
      <c r="H430" s="131">
        <v>5.4474639173373402E-3</v>
      </c>
      <c r="I430" s="131">
        <v>1.2145835829235699E-4</v>
      </c>
      <c r="J430" s="131">
        <v>7.3280558305144003E-3</v>
      </c>
      <c r="K430" s="132">
        <v>116.269714977002</v>
      </c>
      <c r="L430" s="133">
        <v>11.816377846580099</v>
      </c>
      <c r="M430" s="133">
        <v>55.159010355887801</v>
      </c>
      <c r="N430" s="133">
        <v>6.2921169995805402</v>
      </c>
      <c r="O430" s="131">
        <v>5.2049484884543397E-4</v>
      </c>
      <c r="P430" s="133">
        <v>189.58799999999999</v>
      </c>
      <c r="Q430" s="134"/>
      <c r="R430" s="135"/>
      <c r="T430" s="37"/>
      <c r="U430" s="37"/>
    </row>
    <row r="431" spans="1:21" s="23" customFormat="1" x14ac:dyDescent="0.25">
      <c r="A431" s="127">
        <v>44967</v>
      </c>
      <c r="B431" s="128" t="s">
        <v>49</v>
      </c>
      <c r="C431" s="129" t="str">
        <f t="shared" si="13"/>
        <v>10.02.2023_KIRun</v>
      </c>
      <c r="D431" s="143">
        <f t="shared" si="14"/>
        <v>0</v>
      </c>
      <c r="E431" s="130">
        <v>8.3642552303850799E-6</v>
      </c>
      <c r="F431" s="131">
        <v>1.29828837664585E-3</v>
      </c>
      <c r="G431" s="131">
        <v>0.16904942648278201</v>
      </c>
      <c r="H431" s="131">
        <v>4.6826281994017203E-3</v>
      </c>
      <c r="I431" s="131">
        <v>8.7385784231216294E-5</v>
      </c>
      <c r="J431" s="131">
        <v>1.01427991133641E-2</v>
      </c>
      <c r="K431" s="132">
        <v>108.153921450298</v>
      </c>
      <c r="L431" s="133">
        <v>10.9723947824634</v>
      </c>
      <c r="M431" s="133">
        <v>44.507445377808097</v>
      </c>
      <c r="N431" s="133">
        <v>5.7244197310093101</v>
      </c>
      <c r="O431" s="131">
        <v>3.3566810184996798E-4</v>
      </c>
      <c r="P431" s="133">
        <v>175.92400000000001</v>
      </c>
      <c r="Q431" s="134"/>
      <c r="R431" s="135"/>
      <c r="T431" s="37"/>
      <c r="U431" s="37"/>
    </row>
    <row r="432" spans="1:21" s="23" customFormat="1" x14ac:dyDescent="0.25">
      <c r="A432" s="127">
        <v>44967</v>
      </c>
      <c r="B432" s="128" t="s">
        <v>50</v>
      </c>
      <c r="C432" s="129" t="str">
        <f t="shared" si="13"/>
        <v>10.02.2023_LIEohBo</v>
      </c>
      <c r="D432" s="143">
        <f t="shared" si="14"/>
        <v>0</v>
      </c>
      <c r="E432" s="130">
        <v>6.1687695008429096E-6</v>
      </c>
      <c r="F432" s="131">
        <v>1.3135958411593801E-3</v>
      </c>
      <c r="G432" s="131">
        <v>0.15318990885683101</v>
      </c>
      <c r="H432" s="131">
        <v>5.4973826245400103E-3</v>
      </c>
      <c r="I432" s="131">
        <v>9.4999414451832801E-5</v>
      </c>
      <c r="J432" s="131">
        <v>5.3786544244570798E-3</v>
      </c>
      <c r="K432" s="132">
        <v>100.57947873689299</v>
      </c>
      <c r="L432" s="133">
        <v>11.5585023581776</v>
      </c>
      <c r="M432" s="133">
        <v>19.717819792395499</v>
      </c>
      <c r="N432" s="133">
        <v>5.6756041099727801</v>
      </c>
      <c r="O432" s="131">
        <v>3.21804325786393E-4</v>
      </c>
      <c r="P432" s="133">
        <v>219.11199999999999</v>
      </c>
      <c r="Q432" s="134"/>
      <c r="R432" s="135"/>
      <c r="T432" s="37"/>
      <c r="U432" s="37"/>
    </row>
    <row r="433" spans="1:21" s="23" customFormat="1" x14ac:dyDescent="0.25">
      <c r="A433" s="127">
        <v>44967</v>
      </c>
      <c r="B433" s="128" t="s">
        <v>53</v>
      </c>
      <c r="C433" s="129" t="str">
        <f t="shared" si="13"/>
        <v>10.02.2023_NATohBo</v>
      </c>
      <c r="D433" s="143">
        <f t="shared" si="14"/>
        <v>0</v>
      </c>
      <c r="E433" s="130">
        <v>2.37861789824924E-5</v>
      </c>
      <c r="F433" s="131">
        <v>2.4407393686555201E-3</v>
      </c>
      <c r="G433" s="131">
        <v>0.165156506872291</v>
      </c>
      <c r="H433" s="131">
        <v>7.9719993272989297E-3</v>
      </c>
      <c r="I433" s="131">
        <v>5.9784190061000299E-5</v>
      </c>
      <c r="J433" s="131">
        <v>8.2325421927268595E-3</v>
      </c>
      <c r="K433" s="132">
        <v>181.106121731413</v>
      </c>
      <c r="L433" s="133">
        <v>34.266279962144601</v>
      </c>
      <c r="M433" s="133">
        <v>78.553933013465098</v>
      </c>
      <c r="N433" s="133">
        <v>10.9508335516398</v>
      </c>
      <c r="O433" s="131">
        <v>6.1024893594096197E-4</v>
      </c>
      <c r="P433" s="133">
        <v>280.60000000000002</v>
      </c>
      <c r="Q433" s="134"/>
      <c r="R433" s="135"/>
      <c r="T433" s="37"/>
      <c r="U433" s="37"/>
    </row>
    <row r="434" spans="1:21" s="23" customFormat="1" x14ac:dyDescent="0.25">
      <c r="A434" s="127">
        <v>44967</v>
      </c>
      <c r="B434" s="128" t="s">
        <v>55</v>
      </c>
      <c r="C434" s="129" t="str">
        <f t="shared" si="13"/>
        <v>10.02.2023_QUAohBo</v>
      </c>
      <c r="D434" s="143">
        <f t="shared" si="14"/>
        <v>0</v>
      </c>
      <c r="E434" s="130">
        <v>2.0544949625871501E-5</v>
      </c>
      <c r="F434" s="131">
        <v>1.93982662015569E-3</v>
      </c>
      <c r="G434" s="131">
        <v>0.15772897498611099</v>
      </c>
      <c r="H434" s="131">
        <v>5.2172816098362699E-3</v>
      </c>
      <c r="I434" s="131">
        <v>1.12952974032888E-4</v>
      </c>
      <c r="J434" s="131">
        <v>1.2175664860105E-2</v>
      </c>
      <c r="K434" s="132">
        <v>121.64393676227699</v>
      </c>
      <c r="L434" s="133">
        <v>6.1894336985212499</v>
      </c>
      <c r="M434" s="133">
        <v>19.1292675678392</v>
      </c>
      <c r="N434" s="133">
        <v>3.5219315405690099</v>
      </c>
      <c r="O434" s="131">
        <v>6.2675336641815295E-4</v>
      </c>
      <c r="P434" s="133">
        <v>184.22</v>
      </c>
      <c r="Q434" s="134"/>
      <c r="R434" s="135"/>
      <c r="T434" s="37"/>
      <c r="U434" s="37"/>
    </row>
    <row r="435" spans="1:21" s="23" customFormat="1" x14ac:dyDescent="0.25">
      <c r="A435" s="127">
        <v>44967</v>
      </c>
      <c r="B435" s="128" t="s">
        <v>57</v>
      </c>
      <c r="C435" s="129" t="str">
        <f t="shared" si="13"/>
        <v>10.02.2023_SCHohVo</v>
      </c>
      <c r="D435" s="143">
        <f t="shared" si="14"/>
        <v>0</v>
      </c>
      <c r="E435" s="130">
        <v>5.5429459718175304E-4</v>
      </c>
      <c r="F435" s="131">
        <v>2.5055852921518698E-3</v>
      </c>
      <c r="G435" s="131">
        <v>0.16187702224106801</v>
      </c>
      <c r="H435" s="131">
        <v>1.7442602563041799E-2</v>
      </c>
      <c r="I435" s="131">
        <v>9.5130223629108198E-5</v>
      </c>
      <c r="J435" s="131">
        <v>7.8887084406943905E-2</v>
      </c>
      <c r="K435" s="132">
        <v>88.062391311280194</v>
      </c>
      <c r="L435" s="133">
        <v>8.5008725469654394</v>
      </c>
      <c r="M435" s="133">
        <v>16.175343338630299</v>
      </c>
      <c r="N435" s="133">
        <v>2.4891575018093501</v>
      </c>
      <c r="O435" s="131">
        <v>1.5110216686401101E-3</v>
      </c>
      <c r="P435" s="133">
        <v>99.063999999999993</v>
      </c>
      <c r="Q435" s="134"/>
      <c r="R435" s="135"/>
      <c r="T435" s="37"/>
      <c r="U435" s="37"/>
    </row>
    <row r="436" spans="1:21" s="23" customFormat="1" x14ac:dyDescent="0.25">
      <c r="A436" s="127">
        <v>44967</v>
      </c>
      <c r="B436" s="128" t="s">
        <v>60</v>
      </c>
      <c r="C436" s="129" t="str">
        <f t="shared" si="13"/>
        <v>10.02.2023_VORohBo</v>
      </c>
      <c r="D436" s="143">
        <f t="shared" si="14"/>
        <v>0</v>
      </c>
      <c r="E436" s="130">
        <v>1.1344302748172801E-5</v>
      </c>
      <c r="F436" s="131">
        <v>1.2704763821658001E-3</v>
      </c>
      <c r="G436" s="131">
        <v>0.16835688875361299</v>
      </c>
      <c r="H436" s="131">
        <v>6.8811146937116704E-3</v>
      </c>
      <c r="I436" s="131">
        <v>1.3962936132547299E-4</v>
      </c>
      <c r="J436" s="131">
        <v>9.9024230186229491E-3</v>
      </c>
      <c r="K436" s="132">
        <v>144.31140590469099</v>
      </c>
      <c r="L436" s="133">
        <v>13.4937525953282</v>
      </c>
      <c r="M436" s="133">
        <v>20.004156479748598</v>
      </c>
      <c r="N436" s="133">
        <v>5.2490715205927501</v>
      </c>
      <c r="O436" s="131">
        <v>6.8232492060114197E-4</v>
      </c>
      <c r="P436" s="133">
        <v>224.23599999999999</v>
      </c>
      <c r="Q436" s="134"/>
      <c r="R436" s="135"/>
      <c r="T436" s="37"/>
      <c r="U436" s="37"/>
    </row>
    <row r="437" spans="1:21" s="23" customFormat="1" x14ac:dyDescent="0.25">
      <c r="A437" s="127">
        <v>44967</v>
      </c>
      <c r="B437" s="128" t="s">
        <v>62</v>
      </c>
      <c r="C437" s="129" t="str">
        <f t="shared" si="13"/>
        <v>10.02.2023_VORuhSc</v>
      </c>
      <c r="D437" s="143">
        <f t="shared" si="14"/>
        <v>0</v>
      </c>
      <c r="E437" s="130">
        <v>2.6400029914315699E-5</v>
      </c>
      <c r="F437" s="131">
        <v>1.3836093588768599E-3</v>
      </c>
      <c r="G437" s="131">
        <v>0.17530021499045501</v>
      </c>
      <c r="H437" s="131">
        <v>8.59818541859865E-3</v>
      </c>
      <c r="I437" s="131">
        <v>9.3558476309697793E-5</v>
      </c>
      <c r="J437" s="131">
        <v>1.8214333321437199E-2</v>
      </c>
      <c r="K437" s="132">
        <v>150.713907700562</v>
      </c>
      <c r="L437" s="133">
        <v>12.8247985661993</v>
      </c>
      <c r="M437" s="133">
        <v>19.344947006385901</v>
      </c>
      <c r="N437" s="133">
        <v>4.5378240243982599</v>
      </c>
      <c r="O437" s="131">
        <v>7.0938150615458301E-4</v>
      </c>
      <c r="P437" s="133">
        <v>251.56399999999999</v>
      </c>
      <c r="Q437" s="134"/>
      <c r="R437" s="135"/>
      <c r="T437" s="37"/>
      <c r="U437" s="37"/>
    </row>
    <row r="438" spans="1:21" s="23" customFormat="1" x14ac:dyDescent="0.25">
      <c r="A438" s="127">
        <v>44967</v>
      </c>
      <c r="B438" s="128" t="s">
        <v>64</v>
      </c>
      <c r="C438" s="129" t="str">
        <f t="shared" si="13"/>
        <v>10.02.2023_WITob</v>
      </c>
      <c r="D438" s="143">
        <f t="shared" si="14"/>
        <v>0</v>
      </c>
      <c r="E438" s="130">
        <v>6.9004851582740304E-6</v>
      </c>
      <c r="F438" s="131">
        <v>2.5476203781243999E-3</v>
      </c>
      <c r="G438" s="131">
        <v>0.163604510117067</v>
      </c>
      <c r="H438" s="131">
        <v>5.3642462148063104E-3</v>
      </c>
      <c r="I438" s="131">
        <v>9.3012187163617094E-5</v>
      </c>
      <c r="J438" s="131">
        <v>5.6665949489774102E-3</v>
      </c>
      <c r="K438" s="132">
        <v>166.978822769396</v>
      </c>
      <c r="L438" s="133">
        <v>20.705968483298999</v>
      </c>
      <c r="M438" s="133">
        <v>46.687587373792397</v>
      </c>
      <c r="N438" s="133">
        <v>5.50648746723608</v>
      </c>
      <c r="O438" s="131">
        <v>3.01036752996902E-4</v>
      </c>
      <c r="P438" s="133">
        <v>233.50800000000001</v>
      </c>
      <c r="Q438" s="134"/>
      <c r="R438" s="135"/>
      <c r="T438" s="37"/>
      <c r="U438" s="37"/>
    </row>
    <row r="439" spans="1:21" s="23" customFormat="1" x14ac:dyDescent="0.25">
      <c r="A439" s="127">
        <v>44995</v>
      </c>
      <c r="B439" s="128" t="s">
        <v>22</v>
      </c>
      <c r="C439" s="129" t="str">
        <f t="shared" si="13"/>
        <v>10.03.2023_BOYkl</v>
      </c>
      <c r="D439" s="143">
        <f t="shared" si="14"/>
        <v>0</v>
      </c>
      <c r="E439" s="130">
        <v>1.2928345944405699E-4</v>
      </c>
      <c r="F439" s="131">
        <v>8.0746586165787292E-3</v>
      </c>
      <c r="G439" s="131">
        <v>0.23972637911922201</v>
      </c>
      <c r="H439" s="131">
        <v>6.2764359324750099E-3</v>
      </c>
      <c r="I439" s="131">
        <v>9.5213883557260096E-5</v>
      </c>
      <c r="J439" s="131">
        <v>1.9127555732135301E-2</v>
      </c>
      <c r="K439" s="132">
        <v>66.277152051275706</v>
      </c>
      <c r="L439" s="133">
        <v>6.99121549110854</v>
      </c>
      <c r="M439" s="133">
        <v>14.4344721780865</v>
      </c>
      <c r="N439" s="133">
        <v>8.34895018321191</v>
      </c>
      <c r="O439" s="131">
        <v>7.2964710234954902E-4</v>
      </c>
      <c r="P439" s="133">
        <v>96.135999999999996</v>
      </c>
      <c r="Q439" s="134"/>
      <c r="R439" s="135"/>
      <c r="T439" s="37"/>
      <c r="U439" s="37"/>
    </row>
    <row r="440" spans="1:21" s="23" customFormat="1" x14ac:dyDescent="0.25">
      <c r="A440" s="127">
        <v>44995</v>
      </c>
      <c r="B440" s="128" t="s">
        <v>25</v>
      </c>
      <c r="C440" s="129" t="str">
        <f t="shared" si="13"/>
        <v>10.03.2023_BOYohB224</v>
      </c>
      <c r="D440" s="143">
        <f t="shared" si="14"/>
        <v>0</v>
      </c>
      <c r="E440" s="130">
        <v>5.1251968227366698E-5</v>
      </c>
      <c r="F440" s="131">
        <v>4.3060948438627096E-3</v>
      </c>
      <c r="G440" s="131">
        <v>0.38147274934963998</v>
      </c>
      <c r="H440" s="131">
        <v>6.4278052590595602E-3</v>
      </c>
      <c r="I440" s="131">
        <v>1.3227566726433599E-4</v>
      </c>
      <c r="J440" s="131">
        <v>2.0927040270238399E-2</v>
      </c>
      <c r="K440" s="132">
        <v>121.14681069698</v>
      </c>
      <c r="L440" s="133">
        <v>13.5466216481069</v>
      </c>
      <c r="M440" s="133">
        <v>23.507665305446299</v>
      </c>
      <c r="N440" s="133">
        <v>7.1112607406149202</v>
      </c>
      <c r="O440" s="131">
        <v>6.9215898748793496E-4</v>
      </c>
      <c r="P440" s="133">
        <v>143.22800000000001</v>
      </c>
      <c r="Q440" s="134"/>
      <c r="R440" s="135"/>
      <c r="T440" s="37"/>
      <c r="U440" s="37"/>
    </row>
    <row r="441" spans="1:21" s="23" customFormat="1" x14ac:dyDescent="0.25">
      <c r="A441" s="127">
        <v>44995</v>
      </c>
      <c r="B441" s="128" t="s">
        <v>28</v>
      </c>
      <c r="C441" s="129" t="str">
        <f t="shared" si="13"/>
        <v>10.03.2023_BOYohBr</v>
      </c>
      <c r="D441" s="143">
        <f t="shared" si="14"/>
        <v>0</v>
      </c>
      <c r="E441" s="130">
        <v>8.4885052966092705E-5</v>
      </c>
      <c r="F441" s="131">
        <v>7.6316039127883404E-3</v>
      </c>
      <c r="G441" s="131">
        <v>0.31984847475779898</v>
      </c>
      <c r="H441" s="131">
        <v>8.10398955900608E-3</v>
      </c>
      <c r="I441" s="131">
        <v>1.05372215149265E-4</v>
      </c>
      <c r="J441" s="131">
        <v>2.06516482634828E-2</v>
      </c>
      <c r="K441" s="132">
        <v>93.609395416694696</v>
      </c>
      <c r="L441" s="133">
        <v>9.3737686824660091</v>
      </c>
      <c r="M441" s="133">
        <v>12.5551174410925</v>
      </c>
      <c r="N441" s="133">
        <v>6.9815662537510201</v>
      </c>
      <c r="O441" s="131">
        <v>7.7703003995502297E-4</v>
      </c>
      <c r="P441" s="133">
        <v>126.392</v>
      </c>
      <c r="Q441" s="134"/>
      <c r="R441" s="135"/>
      <c r="T441" s="37"/>
      <c r="U441" s="37"/>
    </row>
    <row r="442" spans="1:21" s="23" customFormat="1" x14ac:dyDescent="0.25">
      <c r="A442" s="127">
        <v>44995</v>
      </c>
      <c r="B442" s="128" t="s">
        <v>30</v>
      </c>
      <c r="C442" s="129" t="str">
        <f t="shared" si="13"/>
        <v>10.03.2023_BOYohKi</v>
      </c>
      <c r="D442" s="143">
        <f t="shared" si="14"/>
        <v>0</v>
      </c>
      <c r="E442" s="130">
        <v>7.4495221318142697E-5</v>
      </c>
      <c r="F442" s="131">
        <v>7.4920353022730497E-3</v>
      </c>
      <c r="G442" s="131">
        <v>0.37808182933699203</v>
      </c>
      <c r="H442" s="131">
        <v>6.836270034419E-3</v>
      </c>
      <c r="I442" s="131">
        <v>1.3470899156009701E-4</v>
      </c>
      <c r="J442" s="131">
        <v>2.3091135906095701E-2</v>
      </c>
      <c r="K442" s="132">
        <v>117.096447819505</v>
      </c>
      <c r="L442" s="133">
        <v>10.7943968074061</v>
      </c>
      <c r="M442" s="133">
        <v>21.620028574971499</v>
      </c>
      <c r="N442" s="133">
        <v>7.09409622571531</v>
      </c>
      <c r="O442" s="131">
        <v>9.0212425578590604E-4</v>
      </c>
      <c r="P442" s="133">
        <v>145.66800000000001</v>
      </c>
      <c r="Q442" s="134"/>
      <c r="R442" s="135"/>
      <c r="T442" s="37"/>
      <c r="U442" s="37"/>
    </row>
    <row r="443" spans="1:21" s="23" customFormat="1" x14ac:dyDescent="0.25">
      <c r="A443" s="127">
        <v>44995</v>
      </c>
      <c r="B443" s="128" t="s">
        <v>32</v>
      </c>
      <c r="C443" s="129" t="str">
        <f t="shared" si="13"/>
        <v>10.03.2023_BOYohSp</v>
      </c>
      <c r="D443" s="143">
        <f t="shared" si="14"/>
        <v>0</v>
      </c>
      <c r="E443" s="130">
        <v>5.22698170607759E-5</v>
      </c>
      <c r="F443" s="131">
        <v>6.5748108383205496E-3</v>
      </c>
      <c r="G443" s="131">
        <v>0.34762368606774002</v>
      </c>
      <c r="H443" s="131">
        <v>6.8145190275202602E-3</v>
      </c>
      <c r="I443" s="131">
        <v>7.4045307988168199E-5</v>
      </c>
      <c r="J443" s="131">
        <v>1.4177072971234101E-2</v>
      </c>
      <c r="K443" s="132">
        <v>105.00462961285901</v>
      </c>
      <c r="L443" s="133">
        <v>10.0213351283513</v>
      </c>
      <c r="M443" s="133">
        <v>18.447452166426899</v>
      </c>
      <c r="N443" s="133">
        <v>7.2767319645292803</v>
      </c>
      <c r="O443" s="131">
        <v>6.7859553741078801E-4</v>
      </c>
      <c r="P443" s="133">
        <v>136.63999999999999</v>
      </c>
      <c r="Q443" s="134"/>
      <c r="R443" s="135"/>
      <c r="T443" s="37"/>
      <c r="U443" s="37"/>
    </row>
    <row r="444" spans="1:21" s="23" customFormat="1" x14ac:dyDescent="0.25">
      <c r="A444" s="127">
        <v>44995</v>
      </c>
      <c r="B444" s="128" t="s">
        <v>34</v>
      </c>
      <c r="C444" s="129" t="str">
        <f t="shared" si="13"/>
        <v>10.03.2023_BOYuhHa</v>
      </c>
      <c r="D444" s="143">
        <f t="shared" si="14"/>
        <v>0</v>
      </c>
      <c r="E444" s="130">
        <v>2.46352038820492E-5</v>
      </c>
      <c r="F444" s="131">
        <v>4.51612270997887E-3</v>
      </c>
      <c r="G444" s="131">
        <v>0.34353012677046901</v>
      </c>
      <c r="H444" s="131">
        <v>5.8867334035973299E-3</v>
      </c>
      <c r="I444" s="131">
        <v>1.08132772616097E-4</v>
      </c>
      <c r="J444" s="131">
        <v>1.9922189141379099E-2</v>
      </c>
      <c r="K444" s="132">
        <v>103.53871739470701</v>
      </c>
      <c r="L444" s="133">
        <v>11.683293822494599</v>
      </c>
      <c r="M444" s="133">
        <v>26.363140529180701</v>
      </c>
      <c r="N444" s="133">
        <v>6.42855657441911</v>
      </c>
      <c r="O444" s="131">
        <v>5.1677949435085201E-4</v>
      </c>
      <c r="P444" s="133">
        <v>134.93199999999999</v>
      </c>
      <c r="Q444" s="134"/>
      <c r="R444" s="135"/>
      <c r="T444" s="37"/>
      <c r="U444" s="37"/>
    </row>
    <row r="445" spans="1:21" s="23" customFormat="1" x14ac:dyDescent="0.25">
      <c r="A445" s="127">
        <v>44995</v>
      </c>
      <c r="B445" s="128" t="s">
        <v>36</v>
      </c>
      <c r="C445" s="129" t="str">
        <f t="shared" si="13"/>
        <v>10.03.2023_BOYuhSp</v>
      </c>
      <c r="D445" s="143">
        <f t="shared" si="14"/>
        <v>0</v>
      </c>
      <c r="E445" s="130">
        <v>1.06200535763794E-4</v>
      </c>
      <c r="F445" s="131">
        <v>6.1707939032144702E-3</v>
      </c>
      <c r="G445" s="131">
        <v>0.39255661877300801</v>
      </c>
      <c r="H445" s="131">
        <v>7.1303924577832004E-3</v>
      </c>
      <c r="I445" s="131">
        <v>1.5431385346325601E-4</v>
      </c>
      <c r="J445" s="131">
        <v>2.0668429482130199E-2</v>
      </c>
      <c r="K445" s="132">
        <v>113.248490723058</v>
      </c>
      <c r="L445" s="133">
        <v>10.0400618180955</v>
      </c>
      <c r="M445" s="133">
        <v>21.1047212003552</v>
      </c>
      <c r="N445" s="133">
        <v>7.0097553971481403</v>
      </c>
      <c r="O445" s="131">
        <v>1.19912647365801E-3</v>
      </c>
      <c r="P445" s="133">
        <v>139.81200000000001</v>
      </c>
      <c r="Q445" s="134"/>
      <c r="R445" s="135"/>
      <c r="T445" s="37"/>
      <c r="U445" s="37"/>
    </row>
    <row r="446" spans="1:21" s="23" customFormat="1" x14ac:dyDescent="0.25">
      <c r="A446" s="127">
        <v>44995</v>
      </c>
      <c r="B446" s="128" t="s">
        <v>38</v>
      </c>
      <c r="C446" s="129" t="str">
        <f t="shared" si="13"/>
        <v>10.03.2023_BRAob</v>
      </c>
      <c r="D446" s="143">
        <f t="shared" si="14"/>
        <v>0</v>
      </c>
      <c r="E446" s="130">
        <v>5.8000031836518197E-5</v>
      </c>
      <c r="F446" s="131">
        <v>4.9358479173291702E-3</v>
      </c>
      <c r="G446" s="131">
        <v>0.54753790686233095</v>
      </c>
      <c r="H446" s="131">
        <v>5.3829688558949202E-3</v>
      </c>
      <c r="I446" s="131">
        <v>8.6094586417176895E-5</v>
      </c>
      <c r="J446" s="131">
        <v>1.52361142971761E-2</v>
      </c>
      <c r="K446" s="132">
        <v>151.514093872172</v>
      </c>
      <c r="L446" s="133">
        <v>7.8314525318728903</v>
      </c>
      <c r="M446" s="133">
        <v>20.667865247406901</v>
      </c>
      <c r="N446" s="133">
        <v>8.18821979924593</v>
      </c>
      <c r="O446" s="131">
        <v>5.47617296288171E-4</v>
      </c>
      <c r="P446" s="133">
        <v>168.60400000000001</v>
      </c>
      <c r="Q446" s="134"/>
      <c r="R446" s="135"/>
      <c r="T446" s="37"/>
      <c r="U446" s="37"/>
    </row>
    <row r="447" spans="1:21" s="23" customFormat="1" x14ac:dyDescent="0.25">
      <c r="A447" s="127">
        <v>44995</v>
      </c>
      <c r="B447" s="128" t="s">
        <v>41</v>
      </c>
      <c r="C447" s="129" t="str">
        <f t="shared" si="13"/>
        <v>10.03.2023_BRAohBo</v>
      </c>
      <c r="D447" s="143">
        <f t="shared" si="14"/>
        <v>0</v>
      </c>
      <c r="E447" s="130">
        <v>6.4426742557931305E-5</v>
      </c>
      <c r="F447" s="131">
        <v>7.3186283574794599E-3</v>
      </c>
      <c r="G447" s="131">
        <v>0.409485664971038</v>
      </c>
      <c r="H447" s="131">
        <v>5.9632508535153199E-3</v>
      </c>
      <c r="I447" s="131">
        <v>9.0875232600639406E-5</v>
      </c>
      <c r="J447" s="131">
        <v>2.3189313851597001E-2</v>
      </c>
      <c r="K447" s="132">
        <v>121.268009341178</v>
      </c>
      <c r="L447" s="133">
        <v>9.4386775514492296</v>
      </c>
      <c r="M447" s="133">
        <v>19.212110751075102</v>
      </c>
      <c r="N447" s="133">
        <v>7.7202431904511801</v>
      </c>
      <c r="O447" s="131">
        <v>6.4288461151065497E-4</v>
      </c>
      <c r="P447" s="133">
        <v>155.916</v>
      </c>
      <c r="Q447" s="134"/>
      <c r="R447" s="135"/>
      <c r="T447" s="37"/>
      <c r="U447" s="37"/>
    </row>
    <row r="448" spans="1:21" s="23" customFormat="1" x14ac:dyDescent="0.25">
      <c r="A448" s="127">
        <v>44995</v>
      </c>
      <c r="B448" s="128" t="s">
        <v>43</v>
      </c>
      <c r="C448" s="129" t="str">
        <f t="shared" si="13"/>
        <v>10.03.2023_HAAob</v>
      </c>
      <c r="D448" s="143">
        <f t="shared" si="14"/>
        <v>0</v>
      </c>
      <c r="E448" s="130">
        <v>9.4257729847345604E-6</v>
      </c>
      <c r="F448" s="131">
        <v>3.1678882396194998E-3</v>
      </c>
      <c r="G448" s="131">
        <v>0.54735672038909799</v>
      </c>
      <c r="H448" s="131">
        <v>4.7228116156018199E-3</v>
      </c>
      <c r="I448" s="131">
        <v>7.1527179603002794E-5</v>
      </c>
      <c r="J448" s="131">
        <v>1.2692268603235701E-2</v>
      </c>
      <c r="K448" s="132">
        <v>160.592233262223</v>
      </c>
      <c r="L448" s="133">
        <v>29.597865631836601</v>
      </c>
      <c r="M448" s="133">
        <v>28.608754510986799</v>
      </c>
      <c r="N448" s="133">
        <v>4.9386242137348404</v>
      </c>
      <c r="O448" s="131">
        <v>3.3198544512456598E-4</v>
      </c>
      <c r="P448" s="133">
        <v>209.108</v>
      </c>
      <c r="Q448" s="134"/>
      <c r="R448" s="135"/>
      <c r="T448" s="37"/>
      <c r="U448" s="37"/>
    </row>
    <row r="449" spans="1:21" s="23" customFormat="1" x14ac:dyDescent="0.25">
      <c r="A449" s="127">
        <v>44995</v>
      </c>
      <c r="B449" s="128" t="s">
        <v>45</v>
      </c>
      <c r="C449" s="129" t="str">
        <f t="shared" si="13"/>
        <v>10.03.2023_HAAun</v>
      </c>
      <c r="D449" s="143">
        <f t="shared" si="14"/>
        <v>0</v>
      </c>
      <c r="E449" s="130">
        <v>2.16361416187276E-5</v>
      </c>
      <c r="F449" s="131">
        <v>4.8121729201134299E-3</v>
      </c>
      <c r="G449" s="131">
        <v>0.55443964947528401</v>
      </c>
      <c r="H449" s="131">
        <v>5.8041099468089099E-3</v>
      </c>
      <c r="I449" s="131">
        <v>8.0163001255122306E-5</v>
      </c>
      <c r="J449" s="131">
        <v>1.7031488862056701E-2</v>
      </c>
      <c r="K449" s="132">
        <v>184.774007455478</v>
      </c>
      <c r="L449" s="133">
        <v>28.318024790850799</v>
      </c>
      <c r="M449" s="133">
        <v>29.713240292731399</v>
      </c>
      <c r="N449" s="133">
        <v>8.6825822171890596</v>
      </c>
      <c r="O449" s="131">
        <v>5.5867802667666701E-4</v>
      </c>
      <c r="P449" s="133">
        <v>222.04</v>
      </c>
      <c r="Q449" s="134"/>
      <c r="R449" s="135"/>
      <c r="T449" s="37"/>
      <c r="U449" s="37"/>
    </row>
    <row r="450" spans="1:21" s="23" customFormat="1" x14ac:dyDescent="0.25">
      <c r="A450" s="127">
        <v>44995</v>
      </c>
      <c r="B450" s="128" t="s">
        <v>47</v>
      </c>
      <c r="C450" s="129" t="str">
        <f t="shared" si="13"/>
        <v>10.03.2023_KIRob</v>
      </c>
      <c r="D450" s="143">
        <f t="shared" si="14"/>
        <v>0</v>
      </c>
      <c r="E450" s="130">
        <v>1.3067193990176901E-5</v>
      </c>
      <c r="F450" s="131">
        <v>4.7141376955926999E-3</v>
      </c>
      <c r="G450" s="131">
        <v>0.40773611768796197</v>
      </c>
      <c r="H450" s="131">
        <v>5.7197866051570496E-3</v>
      </c>
      <c r="I450" s="131">
        <v>5.8438866722072901E-5</v>
      </c>
      <c r="J450" s="131">
        <v>1.55306102686988E-2</v>
      </c>
      <c r="K450" s="132">
        <v>106.229151018406</v>
      </c>
      <c r="L450" s="133">
        <v>9.7975183095296892</v>
      </c>
      <c r="M450" s="133">
        <v>36.937210682177401</v>
      </c>
      <c r="N450" s="133">
        <v>5.1762374385045797</v>
      </c>
      <c r="O450" s="131">
        <v>5.4366604438576497E-4</v>
      </c>
      <c r="P450" s="133">
        <v>166.16399999999999</v>
      </c>
      <c r="Q450" s="134"/>
      <c r="R450" s="135"/>
      <c r="T450" s="37"/>
      <c r="U450" s="37"/>
    </row>
    <row r="451" spans="1:21" s="23" customFormat="1" x14ac:dyDescent="0.25">
      <c r="A451" s="127">
        <v>44995</v>
      </c>
      <c r="B451" s="128" t="s">
        <v>49</v>
      </c>
      <c r="C451" s="129" t="str">
        <f t="shared" ref="C451:C514" si="15">CONCATENATE(TEXT(A451,"TT.MM.JJJJ"),"_",B451)</f>
        <v>10.03.2023_KIRun</v>
      </c>
      <c r="D451" s="143">
        <f t="shared" si="14"/>
        <v>0</v>
      </c>
      <c r="E451" s="130">
        <v>1.0336041477756101E-5</v>
      </c>
      <c r="F451" s="131">
        <v>2.6518486994473798E-3</v>
      </c>
      <c r="G451" s="131">
        <v>0.45107624902267401</v>
      </c>
      <c r="H451" s="131">
        <v>5.4116938804447002E-3</v>
      </c>
      <c r="I451" s="131">
        <v>1.22587076584946E-4</v>
      </c>
      <c r="J451" s="131">
        <v>1.7974969511580501E-2</v>
      </c>
      <c r="K451" s="132">
        <v>116.91050456514</v>
      </c>
      <c r="L451" s="133">
        <v>10.797697818788199</v>
      </c>
      <c r="M451" s="133">
        <v>42.0693742616604</v>
      </c>
      <c r="N451" s="133">
        <v>5.2501209916039802</v>
      </c>
      <c r="O451" s="131">
        <v>4.1291565170764599E-4</v>
      </c>
      <c r="P451" s="133">
        <v>182.268</v>
      </c>
      <c r="Q451" s="134"/>
      <c r="R451" s="135"/>
      <c r="T451" s="37"/>
      <c r="U451" s="37"/>
    </row>
    <row r="452" spans="1:21" s="23" customFormat="1" x14ac:dyDescent="0.25">
      <c r="A452" s="127">
        <v>44995</v>
      </c>
      <c r="B452" s="128" t="s">
        <v>50</v>
      </c>
      <c r="C452" s="129" t="str">
        <f t="shared" si="15"/>
        <v>10.03.2023_LIEohBo</v>
      </c>
      <c r="D452" s="143">
        <f t="shared" si="14"/>
        <v>0</v>
      </c>
      <c r="E452" s="130">
        <v>1.02825983409184E-5</v>
      </c>
      <c r="F452" s="131">
        <v>3.1906515191355098E-3</v>
      </c>
      <c r="G452" s="131">
        <v>0.33440995779773702</v>
      </c>
      <c r="H452" s="131">
        <v>5.3009560727969801E-3</v>
      </c>
      <c r="I452" s="131">
        <v>6.8383989771911497E-5</v>
      </c>
      <c r="J452" s="131">
        <v>1.12985040908932E-2</v>
      </c>
      <c r="K452" s="132">
        <v>106.94333777243401</v>
      </c>
      <c r="L452" s="133">
        <v>13.3145574898546</v>
      </c>
      <c r="M452" s="133">
        <v>18.806022845060699</v>
      </c>
      <c r="N452" s="133">
        <v>7.0772752530121004</v>
      </c>
      <c r="O452" s="131">
        <v>3.2314885664053302E-4</v>
      </c>
      <c r="P452" s="133">
        <v>178.364</v>
      </c>
      <c r="Q452" s="134"/>
      <c r="R452" s="135"/>
      <c r="T452" s="37"/>
      <c r="U452" s="37"/>
    </row>
    <row r="453" spans="1:21" s="23" customFormat="1" x14ac:dyDescent="0.25">
      <c r="A453" s="127">
        <v>44995</v>
      </c>
      <c r="B453" s="128" t="s">
        <v>53</v>
      </c>
      <c r="C453" s="129" t="str">
        <f t="shared" si="15"/>
        <v>10.03.2023_NATohBo</v>
      </c>
      <c r="D453" s="143">
        <f t="shared" ref="D453:D516" si="16">COUNTBLANK(E453:P453)</f>
        <v>0</v>
      </c>
      <c r="E453" s="130">
        <v>2.62954114575791E-5</v>
      </c>
      <c r="F453" s="131">
        <v>4.1894121468617198E-3</v>
      </c>
      <c r="G453" s="131">
        <v>0.44017050525190998</v>
      </c>
      <c r="H453" s="131">
        <v>5.5630803628352599E-3</v>
      </c>
      <c r="I453" s="131">
        <v>8.7574233420569303E-5</v>
      </c>
      <c r="J453" s="131">
        <v>1.27236186437839E-2</v>
      </c>
      <c r="K453" s="132">
        <v>143.115177293171</v>
      </c>
      <c r="L453" s="133">
        <v>19.121026630322699</v>
      </c>
      <c r="M453" s="133">
        <v>45.118665581233998</v>
      </c>
      <c r="N453" s="133">
        <v>8.4182114501344198</v>
      </c>
      <c r="O453" s="131">
        <v>5.0491583847335399E-4</v>
      </c>
      <c r="P453" s="133">
        <v>184.464</v>
      </c>
      <c r="Q453" s="134"/>
      <c r="R453" s="135"/>
      <c r="T453" s="37"/>
      <c r="U453" s="37"/>
    </row>
    <row r="454" spans="1:21" s="23" customFormat="1" x14ac:dyDescent="0.25">
      <c r="A454" s="127">
        <v>44995</v>
      </c>
      <c r="B454" s="128" t="s">
        <v>55</v>
      </c>
      <c r="C454" s="129" t="str">
        <f t="shared" si="15"/>
        <v>10.03.2023_QUAohBo</v>
      </c>
      <c r="D454" s="143">
        <f t="shared" si="16"/>
        <v>0</v>
      </c>
      <c r="E454" s="130">
        <v>2.8491091501554501E-5</v>
      </c>
      <c r="F454" s="131">
        <v>4.6023084630277301E-3</v>
      </c>
      <c r="G454" s="131">
        <v>0.44282721781687601</v>
      </c>
      <c r="H454" s="131">
        <v>5.1210475153915498E-3</v>
      </c>
      <c r="I454" s="131">
        <v>6.4484937404823498E-5</v>
      </c>
      <c r="J454" s="131">
        <v>1.5993067722906401E-2</v>
      </c>
      <c r="K454" s="132">
        <v>144.29106667840901</v>
      </c>
      <c r="L454" s="133">
        <v>9.4693527997350309</v>
      </c>
      <c r="M454" s="133">
        <v>37.021730859452703</v>
      </c>
      <c r="N454" s="133">
        <v>6.1031737852779102</v>
      </c>
      <c r="O454" s="131">
        <v>5.9774373728577396E-4</v>
      </c>
      <c r="P454" s="133">
        <v>174.94800000000001</v>
      </c>
      <c r="Q454" s="134"/>
      <c r="R454" s="135"/>
      <c r="T454" s="37"/>
      <c r="U454" s="37"/>
    </row>
    <row r="455" spans="1:21" s="23" customFormat="1" x14ac:dyDescent="0.25">
      <c r="A455" s="127">
        <v>44995</v>
      </c>
      <c r="B455" s="128" t="s">
        <v>57</v>
      </c>
      <c r="C455" s="129" t="str">
        <f t="shared" si="15"/>
        <v>10.03.2023_SCHohVo</v>
      </c>
      <c r="D455" s="143">
        <f t="shared" si="16"/>
        <v>0</v>
      </c>
      <c r="E455" s="130">
        <v>6.8396595931576303E-4</v>
      </c>
      <c r="F455" s="131">
        <v>4.75840084643076E-3</v>
      </c>
      <c r="G455" s="131">
        <v>0.301869573218006</v>
      </c>
      <c r="H455" s="131">
        <v>1.34305764059798E-2</v>
      </c>
      <c r="I455" s="131">
        <v>1.3975907508413399E-4</v>
      </c>
      <c r="J455" s="131">
        <v>0.15532397333523201</v>
      </c>
      <c r="K455" s="132">
        <v>74.121089548783701</v>
      </c>
      <c r="L455" s="133">
        <v>6.5824829242622904</v>
      </c>
      <c r="M455" s="133">
        <v>14.350489727865201</v>
      </c>
      <c r="N455" s="133">
        <v>2.3148174653869602</v>
      </c>
      <c r="O455" s="131">
        <v>2.76641065182301E-3</v>
      </c>
      <c r="P455" s="133">
        <v>74.908000000000001</v>
      </c>
      <c r="Q455" s="134"/>
      <c r="R455" s="135"/>
      <c r="T455" s="37"/>
      <c r="U455" s="37"/>
    </row>
    <row r="456" spans="1:21" s="23" customFormat="1" x14ac:dyDescent="0.25">
      <c r="A456" s="127">
        <v>44995</v>
      </c>
      <c r="B456" s="128" t="s">
        <v>60</v>
      </c>
      <c r="C456" s="129" t="str">
        <f t="shared" si="15"/>
        <v>10.03.2023_VORohBo</v>
      </c>
      <c r="D456" s="143">
        <f t="shared" si="16"/>
        <v>0</v>
      </c>
      <c r="E456" s="130">
        <v>4.9806227265899802E-5</v>
      </c>
      <c r="F456" s="131">
        <v>3.3843221104119898E-3</v>
      </c>
      <c r="G456" s="131">
        <v>0.488256371498552</v>
      </c>
      <c r="H456" s="131">
        <v>7.9409327483239405E-3</v>
      </c>
      <c r="I456" s="131">
        <v>9.4090321551008505E-5</v>
      </c>
      <c r="J456" s="131">
        <v>1.7246559790378702E-2</v>
      </c>
      <c r="K456" s="132">
        <v>146.481406059649</v>
      </c>
      <c r="L456" s="133">
        <v>13.4524533977538</v>
      </c>
      <c r="M456" s="133">
        <v>20.519988582756401</v>
      </c>
      <c r="N456" s="133">
        <v>4.9340903716845004</v>
      </c>
      <c r="O456" s="131">
        <v>1.04978291081585E-3</v>
      </c>
      <c r="P456" s="133">
        <v>194.95599999999999</v>
      </c>
      <c r="Q456" s="134"/>
      <c r="R456" s="135"/>
      <c r="T456" s="37"/>
      <c r="U456" s="37"/>
    </row>
    <row r="457" spans="1:21" s="23" customFormat="1" x14ac:dyDescent="0.25">
      <c r="A457" s="127">
        <v>44995</v>
      </c>
      <c r="B457" s="128" t="s">
        <v>62</v>
      </c>
      <c r="C457" s="129" t="str">
        <f t="shared" si="15"/>
        <v>10.03.2023_VORuhSc</v>
      </c>
      <c r="D457" s="143">
        <f t="shared" si="16"/>
        <v>0</v>
      </c>
      <c r="E457" s="130">
        <v>1.0127335617404201E-4</v>
      </c>
      <c r="F457" s="131">
        <v>3.3041435698686998E-3</v>
      </c>
      <c r="G457" s="131">
        <v>0.51423758308634504</v>
      </c>
      <c r="H457" s="131">
        <v>8.8487909910251201E-3</v>
      </c>
      <c r="I457" s="131">
        <v>9.8516265412700895E-5</v>
      </c>
      <c r="J457" s="131">
        <v>3.5083444371133803E-2</v>
      </c>
      <c r="K457" s="132">
        <v>134.68101913048699</v>
      </c>
      <c r="L457" s="133">
        <v>10.9918646236752</v>
      </c>
      <c r="M457" s="133">
        <v>17.922027026303599</v>
      </c>
      <c r="N457" s="133">
        <v>3.92168828883247</v>
      </c>
      <c r="O457" s="131">
        <v>1.31019901328216E-3</v>
      </c>
      <c r="P457" s="133">
        <v>177.14400000000001</v>
      </c>
      <c r="Q457" s="134"/>
      <c r="R457" s="135"/>
      <c r="T457" s="37"/>
      <c r="U457" s="37"/>
    </row>
    <row r="458" spans="1:21" s="23" customFormat="1" x14ac:dyDescent="0.25">
      <c r="A458" s="127">
        <v>44995</v>
      </c>
      <c r="B458" s="128" t="s">
        <v>64</v>
      </c>
      <c r="C458" s="129" t="str">
        <f t="shared" si="15"/>
        <v>10.03.2023_WITob</v>
      </c>
      <c r="D458" s="143">
        <f t="shared" si="16"/>
        <v>0</v>
      </c>
      <c r="E458" s="130">
        <v>1.06039512286569E-5</v>
      </c>
      <c r="F458" s="131">
        <v>3.1770527370029102E-3</v>
      </c>
      <c r="G458" s="131">
        <v>0.69601434079153601</v>
      </c>
      <c r="H458" s="131">
        <v>5.8322023966392699E-3</v>
      </c>
      <c r="I458" s="131">
        <v>4.6062170765276398E-5</v>
      </c>
      <c r="J458" s="131">
        <v>7.3307809470838699E-3</v>
      </c>
      <c r="K458" s="132">
        <v>206.41305042956199</v>
      </c>
      <c r="L458" s="133">
        <v>27.506840440966499</v>
      </c>
      <c r="M458" s="133">
        <v>47.087757495495097</v>
      </c>
      <c r="N458" s="133">
        <v>5.5020326545889002</v>
      </c>
      <c r="O458" s="131">
        <v>3.5095344874297202E-4</v>
      </c>
      <c r="P458" s="133">
        <v>252.29599999999999</v>
      </c>
      <c r="Q458" s="134"/>
      <c r="R458" s="135"/>
      <c r="T458" s="37"/>
      <c r="U458" s="37"/>
    </row>
    <row r="459" spans="1:21" s="23" customFormat="1" x14ac:dyDescent="0.25">
      <c r="A459" s="127">
        <v>45020</v>
      </c>
      <c r="B459" s="128" t="s">
        <v>22</v>
      </c>
      <c r="C459" s="129" t="str">
        <f t="shared" si="15"/>
        <v>04.04.2023_BOYkl</v>
      </c>
      <c r="D459" s="143">
        <f t="shared" si="16"/>
        <v>0</v>
      </c>
      <c r="E459" s="130">
        <v>1.25499093191421E-4</v>
      </c>
      <c r="F459" s="131">
        <v>3.03560703432105E-3</v>
      </c>
      <c r="G459" s="131">
        <v>0.273723388833503</v>
      </c>
      <c r="H459" s="131">
        <v>2.36028858818167E-2</v>
      </c>
      <c r="I459" s="131">
        <v>3.72111852754157E-4</v>
      </c>
      <c r="J459" s="131">
        <v>5.5290894475928998E-2</v>
      </c>
      <c r="K459" s="132">
        <v>90.574461165940207</v>
      </c>
      <c r="L459" s="133">
        <v>12.8815363765929</v>
      </c>
      <c r="M459" s="133">
        <v>21.128873392698601</v>
      </c>
      <c r="N459" s="133">
        <v>10.633300810550599</v>
      </c>
      <c r="O459" s="131">
        <v>1.01095666689804E-3</v>
      </c>
      <c r="P459" s="133">
        <v>100.28400000000001</v>
      </c>
      <c r="Q459" s="134"/>
      <c r="R459" s="135"/>
      <c r="T459" s="37"/>
      <c r="U459" s="37"/>
    </row>
    <row r="460" spans="1:21" s="23" customFormat="1" x14ac:dyDescent="0.25">
      <c r="A460" s="127">
        <v>45020</v>
      </c>
      <c r="B460" s="128" t="s">
        <v>25</v>
      </c>
      <c r="C460" s="129" t="str">
        <f t="shared" si="15"/>
        <v>04.04.2023_BOYohB224</v>
      </c>
      <c r="D460" s="143">
        <f t="shared" si="16"/>
        <v>0</v>
      </c>
      <c r="E460" s="130">
        <v>3.0892480360674599E-5</v>
      </c>
      <c r="F460" s="131">
        <v>3.4789828675519199E-3</v>
      </c>
      <c r="G460" s="131">
        <v>0.50355355851425898</v>
      </c>
      <c r="H460" s="131">
        <v>9.1696549969806102E-3</v>
      </c>
      <c r="I460" s="131">
        <v>2.7778892041555199E-4</v>
      </c>
      <c r="J460" s="131">
        <v>1.52646024404876E-2</v>
      </c>
      <c r="K460" s="132">
        <v>142.029974441989</v>
      </c>
      <c r="L460" s="133">
        <v>23.2983559512478</v>
      </c>
      <c r="M460" s="133">
        <v>24.5258656243881</v>
      </c>
      <c r="N460" s="133">
        <v>6.3695302265948399</v>
      </c>
      <c r="O460" s="131">
        <v>7.2460617648119905E-4</v>
      </c>
      <c r="P460" s="133">
        <v>189.58799999999999</v>
      </c>
      <c r="Q460" s="134"/>
      <c r="R460" s="135"/>
      <c r="T460" s="37"/>
      <c r="U460" s="37"/>
    </row>
    <row r="461" spans="1:21" s="23" customFormat="1" x14ac:dyDescent="0.25">
      <c r="A461" s="127">
        <v>45020</v>
      </c>
      <c r="B461" s="128" t="s">
        <v>28</v>
      </c>
      <c r="C461" s="129" t="str">
        <f t="shared" si="15"/>
        <v>04.04.2023_BOYohBr</v>
      </c>
      <c r="D461" s="143">
        <f t="shared" si="16"/>
        <v>0</v>
      </c>
      <c r="E461" s="130">
        <v>4.9463312759372502E-5</v>
      </c>
      <c r="F461" s="131">
        <v>7.2768442868450097E-3</v>
      </c>
      <c r="G461" s="131">
        <v>0.37408134255689401</v>
      </c>
      <c r="H461" s="131">
        <v>1.18214903415211E-2</v>
      </c>
      <c r="I461" s="131">
        <v>2.9287046789043102E-4</v>
      </c>
      <c r="J461" s="131">
        <v>1.4770288109890801E-2</v>
      </c>
      <c r="K461" s="132">
        <v>99.822486149304098</v>
      </c>
      <c r="L461" s="133">
        <v>12.3160466295334</v>
      </c>
      <c r="M461" s="133">
        <v>12.846316778640301</v>
      </c>
      <c r="N461" s="133">
        <v>6.9523029101252201</v>
      </c>
      <c r="O461" s="131">
        <v>4.9199929180518095E-4</v>
      </c>
      <c r="P461" s="133">
        <v>144.20400000000001</v>
      </c>
      <c r="Q461" s="134"/>
      <c r="R461" s="135"/>
      <c r="T461" s="37"/>
      <c r="U461" s="37"/>
    </row>
    <row r="462" spans="1:21" s="23" customFormat="1" x14ac:dyDescent="0.25">
      <c r="A462" s="127">
        <v>45020</v>
      </c>
      <c r="B462" s="128" t="s">
        <v>30</v>
      </c>
      <c r="C462" s="129" t="str">
        <f t="shared" si="15"/>
        <v>04.04.2023_BOYohKi</v>
      </c>
      <c r="D462" s="143">
        <f t="shared" si="16"/>
        <v>0</v>
      </c>
      <c r="E462" s="130">
        <v>6.2077477347822696E-5</v>
      </c>
      <c r="F462" s="131">
        <v>3.5396240141787601E-3</v>
      </c>
      <c r="G462" s="131">
        <v>0.46368003353577703</v>
      </c>
      <c r="H462" s="131">
        <v>9.8317452456346006E-3</v>
      </c>
      <c r="I462" s="131">
        <v>2.3896634532954899E-4</v>
      </c>
      <c r="J462" s="131">
        <v>2.4820441047436002E-2</v>
      </c>
      <c r="K462" s="132">
        <v>132.126572742413</v>
      </c>
      <c r="L462" s="133">
        <v>14.1504712435516</v>
      </c>
      <c r="M462" s="133">
        <v>19.410964109704601</v>
      </c>
      <c r="N462" s="133">
        <v>5.5083041806933899</v>
      </c>
      <c r="O462" s="131">
        <v>9.0981698878901196E-4</v>
      </c>
      <c r="P462" s="133">
        <v>170.8</v>
      </c>
      <c r="Q462" s="134"/>
      <c r="R462" s="135"/>
      <c r="T462" s="37"/>
      <c r="U462" s="37"/>
    </row>
    <row r="463" spans="1:21" s="23" customFormat="1" x14ac:dyDescent="0.25">
      <c r="A463" s="127">
        <v>45020</v>
      </c>
      <c r="B463" s="128" t="s">
        <v>32</v>
      </c>
      <c r="C463" s="129" t="str">
        <f t="shared" si="15"/>
        <v>04.04.2023_BOYohSp</v>
      </c>
      <c r="D463" s="143">
        <f t="shared" si="16"/>
        <v>0</v>
      </c>
      <c r="E463" s="130">
        <v>5.3609631874859701E-5</v>
      </c>
      <c r="F463" s="131">
        <v>4.6282269338869799E-3</v>
      </c>
      <c r="G463" s="131">
        <v>0.51190837316323001</v>
      </c>
      <c r="H463" s="131">
        <v>1.1972016695409799E-2</v>
      </c>
      <c r="I463" s="131">
        <v>2.2165375275406499E-4</v>
      </c>
      <c r="J463" s="131">
        <v>2.1060236711417699E-2</v>
      </c>
      <c r="K463" s="132">
        <v>130.88860832742401</v>
      </c>
      <c r="L463" s="133">
        <v>12.876946834155801</v>
      </c>
      <c r="M463" s="133">
        <v>25.7732572918678</v>
      </c>
      <c r="N463" s="133">
        <v>7.3714567718681501</v>
      </c>
      <c r="O463" s="131">
        <v>6.9549413964113997E-4</v>
      </c>
      <c r="P463" s="133">
        <v>177.14400000000001</v>
      </c>
      <c r="Q463" s="134"/>
      <c r="R463" s="135"/>
      <c r="T463" s="37"/>
      <c r="U463" s="37"/>
    </row>
    <row r="464" spans="1:21" s="23" customFormat="1" x14ac:dyDescent="0.25">
      <c r="A464" s="127">
        <v>45020</v>
      </c>
      <c r="B464" s="128" t="s">
        <v>34</v>
      </c>
      <c r="C464" s="129" t="str">
        <f t="shared" si="15"/>
        <v>04.04.2023_BOYuhHa</v>
      </c>
      <c r="D464" s="143">
        <f t="shared" si="16"/>
        <v>0</v>
      </c>
      <c r="E464" s="130">
        <v>2.44688455167031E-5</v>
      </c>
      <c r="F464" s="131">
        <v>3.1948824394320298E-3</v>
      </c>
      <c r="G464" s="131">
        <v>0.50289403842916602</v>
      </c>
      <c r="H464" s="131">
        <v>7.5109246224691296E-3</v>
      </c>
      <c r="I464" s="131">
        <v>3.3447082833814597E-4</v>
      </c>
      <c r="J464" s="131">
        <v>2.00419897573774E-2</v>
      </c>
      <c r="K464" s="132">
        <v>143.57095341242501</v>
      </c>
      <c r="L464" s="133">
        <v>25.693857664843399</v>
      </c>
      <c r="M464" s="133">
        <v>27.820165796110999</v>
      </c>
      <c r="N464" s="133">
        <v>6.6834954040753898</v>
      </c>
      <c r="O464" s="131">
        <v>6.6423349878741401E-4</v>
      </c>
      <c r="P464" s="133">
        <v>186.904</v>
      </c>
      <c r="Q464" s="134"/>
      <c r="R464" s="135"/>
      <c r="T464" s="37"/>
      <c r="U464" s="37"/>
    </row>
    <row r="465" spans="1:21" s="23" customFormat="1" x14ac:dyDescent="0.25">
      <c r="A465" s="127">
        <v>45020</v>
      </c>
      <c r="B465" s="128" t="s">
        <v>36</v>
      </c>
      <c r="C465" s="129" t="str">
        <f t="shared" si="15"/>
        <v>04.04.2023_BOYuhSp</v>
      </c>
      <c r="D465" s="143">
        <f t="shared" si="16"/>
        <v>0</v>
      </c>
      <c r="E465" s="130">
        <v>7.74363031158503E-5</v>
      </c>
      <c r="F465" s="131">
        <v>3.84084337470111E-3</v>
      </c>
      <c r="G465" s="131">
        <v>0.43764581407334102</v>
      </c>
      <c r="H465" s="131">
        <v>1.5031915107829001E-2</v>
      </c>
      <c r="I465" s="131">
        <v>3.3555039789152501E-4</v>
      </c>
      <c r="J465" s="131">
        <v>2.6070746600372601E-2</v>
      </c>
      <c r="K465" s="132">
        <v>120.646999686684</v>
      </c>
      <c r="L465" s="133">
        <v>12.863052764396</v>
      </c>
      <c r="M465" s="133">
        <v>22.1158914464961</v>
      </c>
      <c r="N465" s="133">
        <v>6.2241468898972601</v>
      </c>
      <c r="O465" s="131">
        <v>1.03553451114571E-3</v>
      </c>
      <c r="P465" s="133">
        <v>156.404</v>
      </c>
      <c r="Q465" s="134"/>
      <c r="R465" s="135"/>
      <c r="T465" s="37"/>
      <c r="U465" s="37"/>
    </row>
    <row r="466" spans="1:21" s="23" customFormat="1" x14ac:dyDescent="0.25">
      <c r="A466" s="127">
        <v>45020</v>
      </c>
      <c r="B466" s="128" t="s">
        <v>38</v>
      </c>
      <c r="C466" s="129" t="str">
        <f t="shared" si="15"/>
        <v>04.04.2023_BRAob</v>
      </c>
      <c r="D466" s="143">
        <f t="shared" si="16"/>
        <v>0</v>
      </c>
      <c r="E466" s="130">
        <v>2.9490822424764701E-5</v>
      </c>
      <c r="F466" s="131">
        <v>2.5368037014674698E-3</v>
      </c>
      <c r="G466" s="131">
        <v>0.65699506303179001</v>
      </c>
      <c r="H466" s="131">
        <v>1.31356891098935E-2</v>
      </c>
      <c r="I466" s="131">
        <v>4.3631038614786599E-4</v>
      </c>
      <c r="J466" s="131">
        <v>3.83766431359008E-2</v>
      </c>
      <c r="K466" s="132">
        <v>160.06612230038101</v>
      </c>
      <c r="L466" s="133">
        <v>8.0806336643397607</v>
      </c>
      <c r="M466" s="133">
        <v>20.2851529020394</v>
      </c>
      <c r="N466" s="133">
        <v>4.1522597476878396</v>
      </c>
      <c r="O466" s="131">
        <v>5.7647057149980705E-4</v>
      </c>
      <c r="P466" s="133">
        <v>181.78</v>
      </c>
      <c r="Q466" s="134"/>
      <c r="R466" s="135"/>
      <c r="T466" s="37"/>
      <c r="U466" s="37"/>
    </row>
    <row r="467" spans="1:21" s="23" customFormat="1" x14ac:dyDescent="0.25">
      <c r="A467" s="127">
        <v>45020</v>
      </c>
      <c r="B467" s="128" t="s">
        <v>41</v>
      </c>
      <c r="C467" s="129" t="str">
        <f t="shared" si="15"/>
        <v>04.04.2023_BRAohBo</v>
      </c>
      <c r="D467" s="143">
        <f t="shared" si="16"/>
        <v>0</v>
      </c>
      <c r="E467" s="130">
        <v>1.9096075707294801E-5</v>
      </c>
      <c r="F467" s="131">
        <v>2.57757580904335E-3</v>
      </c>
      <c r="G467" s="131">
        <v>0.47693050582560598</v>
      </c>
      <c r="H467" s="131">
        <v>1.03302133078392E-2</v>
      </c>
      <c r="I467" s="131">
        <v>2.8016652051178698E-4</v>
      </c>
      <c r="J467" s="131">
        <v>1.76153678918398E-2</v>
      </c>
      <c r="K467" s="132">
        <v>127.75921536356699</v>
      </c>
      <c r="L467" s="133">
        <v>11.221259116822701</v>
      </c>
      <c r="M467" s="133">
        <v>20.631075967186899</v>
      </c>
      <c r="N467" s="133">
        <v>5.7026088371710797</v>
      </c>
      <c r="O467" s="131">
        <v>7.0709812975457403E-4</v>
      </c>
      <c r="P467" s="133">
        <v>172.50800000000001</v>
      </c>
      <c r="Q467" s="134"/>
      <c r="R467" s="135"/>
      <c r="T467" s="37"/>
      <c r="U467" s="37"/>
    </row>
    <row r="468" spans="1:21" s="23" customFormat="1" x14ac:dyDescent="0.25">
      <c r="A468" s="127">
        <v>45020</v>
      </c>
      <c r="B468" s="128" t="s">
        <v>43</v>
      </c>
      <c r="C468" s="129" t="str">
        <f t="shared" si="15"/>
        <v>04.04.2023_HAAob</v>
      </c>
      <c r="D468" s="143">
        <f t="shared" si="16"/>
        <v>0</v>
      </c>
      <c r="E468" s="130">
        <v>9.8108487166305096E-6</v>
      </c>
      <c r="F468" s="131">
        <v>1.85851025178579E-3</v>
      </c>
      <c r="G468" s="131">
        <v>0.54810986665363604</v>
      </c>
      <c r="H468" s="131">
        <v>6.9002727267698499E-3</v>
      </c>
      <c r="I468" s="131">
        <v>2.5976236205921201E-4</v>
      </c>
      <c r="J468" s="131">
        <v>1.0843400355741301E-2</v>
      </c>
      <c r="K468" s="132">
        <v>154.14073767357999</v>
      </c>
      <c r="L468" s="133">
        <v>38.100138123881997</v>
      </c>
      <c r="M468" s="133">
        <v>25.430076089863402</v>
      </c>
      <c r="N468" s="133">
        <v>5.2087958719415699</v>
      </c>
      <c r="O468" s="131">
        <v>3.51217162740669E-4</v>
      </c>
      <c r="P468" s="133">
        <v>228.62799999999999</v>
      </c>
      <c r="Q468" s="134"/>
      <c r="R468" s="135"/>
      <c r="T468" s="37"/>
      <c r="U468" s="37"/>
    </row>
    <row r="469" spans="1:21" s="23" customFormat="1" x14ac:dyDescent="0.25">
      <c r="A469" s="127">
        <v>45020</v>
      </c>
      <c r="B469" s="128" t="s">
        <v>45</v>
      </c>
      <c r="C469" s="129" t="str">
        <f t="shared" si="15"/>
        <v>04.04.2023_HAAun</v>
      </c>
      <c r="D469" s="143">
        <f t="shared" si="16"/>
        <v>0</v>
      </c>
      <c r="E469" s="130">
        <v>1.78113487385005E-5</v>
      </c>
      <c r="F469" s="131">
        <v>4.0709707184507097E-3</v>
      </c>
      <c r="G469" s="131">
        <v>0.69523390191493395</v>
      </c>
      <c r="H469" s="131">
        <v>1.02607144541102E-2</v>
      </c>
      <c r="I469" s="131">
        <v>1.86719881245321E-4</v>
      </c>
      <c r="J469" s="131">
        <v>2.0868546978750301E-2</v>
      </c>
      <c r="K469" s="132">
        <v>189.521414437505</v>
      </c>
      <c r="L469" s="133">
        <v>47.759509788492203</v>
      </c>
      <c r="M469" s="133">
        <v>29.947672074527102</v>
      </c>
      <c r="N469" s="133">
        <v>7.6080713398592401</v>
      </c>
      <c r="O469" s="131">
        <v>5.1261756034038503E-4</v>
      </c>
      <c r="P469" s="133">
        <v>252.78399999999999</v>
      </c>
      <c r="Q469" s="134"/>
      <c r="R469" s="135"/>
      <c r="T469" s="37"/>
      <c r="U469" s="37"/>
    </row>
    <row r="470" spans="1:21" s="23" customFormat="1" x14ac:dyDescent="0.25">
      <c r="A470" s="127">
        <v>45020</v>
      </c>
      <c r="B470" s="128" t="s">
        <v>47</v>
      </c>
      <c r="C470" s="129" t="str">
        <f t="shared" si="15"/>
        <v>04.04.2023_KIRob</v>
      </c>
      <c r="D470" s="143">
        <f t="shared" si="16"/>
        <v>0</v>
      </c>
      <c r="E470" s="130">
        <v>1.69939672207993E-5</v>
      </c>
      <c r="F470" s="131">
        <v>1.8186698997346301E-3</v>
      </c>
      <c r="G470" s="131">
        <v>0.579854574039535</v>
      </c>
      <c r="H470" s="131">
        <v>1.5130209190167099E-2</v>
      </c>
      <c r="I470" s="131">
        <v>2.4540408699926902E-4</v>
      </c>
      <c r="J470" s="131">
        <v>1.1014046230565599E-2</v>
      </c>
      <c r="K470" s="132">
        <v>157.22863193665199</v>
      </c>
      <c r="L470" s="133">
        <v>17.017211059750299</v>
      </c>
      <c r="M470" s="133">
        <v>50.404821210922002</v>
      </c>
      <c r="N470" s="133">
        <v>5.8633812884323504</v>
      </c>
      <c r="O470" s="131">
        <v>6.8686418736501199E-4</v>
      </c>
      <c r="P470" s="133">
        <v>211.304</v>
      </c>
      <c r="Q470" s="134"/>
      <c r="R470" s="135"/>
      <c r="T470" s="37"/>
      <c r="U470" s="37"/>
    </row>
    <row r="471" spans="1:21" s="23" customFormat="1" x14ac:dyDescent="0.25">
      <c r="A471" s="127">
        <v>45020</v>
      </c>
      <c r="B471" s="128" t="s">
        <v>49</v>
      </c>
      <c r="C471" s="129" t="str">
        <f t="shared" si="15"/>
        <v>04.04.2023_KIRun</v>
      </c>
      <c r="D471" s="143">
        <f t="shared" si="16"/>
        <v>0</v>
      </c>
      <c r="E471" s="130">
        <v>1.7285727012534299E-5</v>
      </c>
      <c r="F471" s="131">
        <v>1.54949117439956E-3</v>
      </c>
      <c r="G471" s="131">
        <v>0.52184022888070902</v>
      </c>
      <c r="H471" s="131">
        <v>6.7824492412843296E-3</v>
      </c>
      <c r="I471" s="131">
        <v>9.5690125867368002E-5</v>
      </c>
      <c r="J471" s="131">
        <v>7.0286581580136101E-3</v>
      </c>
      <c r="K471" s="132">
        <v>140.95218567209599</v>
      </c>
      <c r="L471" s="133">
        <v>16.3669191148498</v>
      </c>
      <c r="M471" s="133">
        <v>45.508270631782601</v>
      </c>
      <c r="N471" s="133">
        <v>5.7382566566120801</v>
      </c>
      <c r="O471" s="131">
        <v>4.5940340608832903E-4</v>
      </c>
      <c r="P471" s="133">
        <v>203.74</v>
      </c>
      <c r="Q471" s="134"/>
      <c r="R471" s="135"/>
      <c r="T471" s="37"/>
      <c r="U471" s="37"/>
    </row>
    <row r="472" spans="1:21" s="23" customFormat="1" x14ac:dyDescent="0.25">
      <c r="A472" s="127">
        <v>45020</v>
      </c>
      <c r="B472" s="128" t="s">
        <v>50</v>
      </c>
      <c r="C472" s="129" t="str">
        <f t="shared" si="15"/>
        <v>04.04.2023_LIEohBo</v>
      </c>
      <c r="D472" s="143">
        <f t="shared" si="16"/>
        <v>0</v>
      </c>
      <c r="E472" s="130">
        <v>9.9860559586192494E-6</v>
      </c>
      <c r="F472" s="131">
        <v>3.0271448611949299E-3</v>
      </c>
      <c r="G472" s="131">
        <v>0.48833905026798902</v>
      </c>
      <c r="H472" s="131">
        <v>9.7222686133633801E-3</v>
      </c>
      <c r="I472" s="131">
        <v>1.78116926665547E-4</v>
      </c>
      <c r="J472" s="131">
        <v>1.34229350314674E-2</v>
      </c>
      <c r="K472" s="132">
        <v>138.50905847326101</v>
      </c>
      <c r="L472" s="133">
        <v>28.130283917200199</v>
      </c>
      <c r="M472" s="133">
        <v>21.994669279031399</v>
      </c>
      <c r="N472" s="133">
        <v>5.8212138708393697</v>
      </c>
      <c r="O472" s="131">
        <v>3.6306402191173899E-4</v>
      </c>
      <c r="P472" s="133">
        <v>249.124</v>
      </c>
      <c r="Q472" s="134"/>
      <c r="R472" s="135"/>
      <c r="T472" s="37"/>
      <c r="U472" s="37"/>
    </row>
    <row r="473" spans="1:21" s="23" customFormat="1" x14ac:dyDescent="0.25">
      <c r="A473" s="127">
        <v>45020</v>
      </c>
      <c r="B473" s="128" t="s">
        <v>53</v>
      </c>
      <c r="C473" s="129" t="str">
        <f t="shared" si="15"/>
        <v>04.04.2023_NATohBo</v>
      </c>
      <c r="D473" s="143">
        <f t="shared" si="16"/>
        <v>0</v>
      </c>
      <c r="E473" s="130">
        <v>2.4644052758691899E-5</v>
      </c>
      <c r="F473" s="131">
        <v>2.6968730579182902E-3</v>
      </c>
      <c r="G473" s="131">
        <v>0.64463072154071999</v>
      </c>
      <c r="H473" s="131">
        <v>8.8475014932281101E-3</v>
      </c>
      <c r="I473" s="131">
        <v>2.3834103748388499E-4</v>
      </c>
      <c r="J473" s="131">
        <v>1.6778334791717701E-2</v>
      </c>
      <c r="K473" s="132">
        <v>187.77141372335399</v>
      </c>
      <c r="L473" s="133">
        <v>43.735440890187597</v>
      </c>
      <c r="M473" s="133">
        <v>55.616500384783699</v>
      </c>
      <c r="N473" s="133">
        <v>8.7902033429472795</v>
      </c>
      <c r="O473" s="131">
        <v>5.9739811979468802E-4</v>
      </c>
      <c r="P473" s="133">
        <v>238.876</v>
      </c>
      <c r="Q473" s="134"/>
      <c r="R473" s="135"/>
      <c r="T473" s="37"/>
      <c r="U473" s="37"/>
    </row>
    <row r="474" spans="1:21" s="23" customFormat="1" x14ac:dyDescent="0.25">
      <c r="A474" s="127">
        <v>45020</v>
      </c>
      <c r="B474" s="128" t="s">
        <v>55</v>
      </c>
      <c r="C474" s="129" t="str">
        <f t="shared" si="15"/>
        <v>04.04.2023_QUAohBo</v>
      </c>
      <c r="D474" s="143">
        <f t="shared" si="16"/>
        <v>0</v>
      </c>
      <c r="E474" s="130">
        <v>2.2541565854827099E-5</v>
      </c>
      <c r="F474" s="131">
        <v>2.35674078411189E-3</v>
      </c>
      <c r="G474" s="131">
        <v>0.59760909373360305</v>
      </c>
      <c r="H474" s="131">
        <v>1.14316866364926E-2</v>
      </c>
      <c r="I474" s="131">
        <v>2.45104217452727E-4</v>
      </c>
      <c r="J474" s="131">
        <v>1.9834410573370601E-2</v>
      </c>
      <c r="K474" s="132">
        <v>154.183013714173</v>
      </c>
      <c r="L474" s="133">
        <v>11.5946616143847</v>
      </c>
      <c r="M474" s="133">
        <v>29.037720185007402</v>
      </c>
      <c r="N474" s="133">
        <v>5.11379086312186</v>
      </c>
      <c r="O474" s="131">
        <v>7.0097122664293597E-4</v>
      </c>
      <c r="P474" s="133">
        <v>208.864</v>
      </c>
      <c r="Q474" s="134"/>
      <c r="R474" s="135"/>
      <c r="T474" s="37"/>
      <c r="U474" s="37"/>
    </row>
    <row r="475" spans="1:21" s="23" customFormat="1" x14ac:dyDescent="0.25">
      <c r="A475" s="127">
        <v>45020</v>
      </c>
      <c r="B475" s="128" t="s">
        <v>57</v>
      </c>
      <c r="C475" s="129" t="str">
        <f t="shared" si="15"/>
        <v>04.04.2023_SCHohVo</v>
      </c>
      <c r="D475" s="143">
        <f t="shared" si="16"/>
        <v>0</v>
      </c>
      <c r="E475" s="130">
        <v>2.7278670167274997E-4</v>
      </c>
      <c r="F475" s="131">
        <v>2.96184526900278E-3</v>
      </c>
      <c r="G475" s="131">
        <v>0.34346122672843399</v>
      </c>
      <c r="H475" s="131">
        <v>2.2368111096902399E-2</v>
      </c>
      <c r="I475" s="131">
        <v>3.79972529792555E-4</v>
      </c>
      <c r="J475" s="131">
        <v>6.8029866109329096E-2</v>
      </c>
      <c r="K475" s="132">
        <v>81.316443640312102</v>
      </c>
      <c r="L475" s="133">
        <v>8.92007513392028</v>
      </c>
      <c r="M475" s="133">
        <v>12.150263710716301</v>
      </c>
      <c r="N475" s="133">
        <v>2.1015396514207798</v>
      </c>
      <c r="O475" s="131">
        <v>2.14348519291503E-3</v>
      </c>
      <c r="P475" s="133">
        <v>92.963999999999999</v>
      </c>
      <c r="Q475" s="134"/>
      <c r="R475" s="135"/>
      <c r="T475" s="37"/>
      <c r="U475" s="37"/>
    </row>
    <row r="476" spans="1:21" s="23" customFormat="1" x14ac:dyDescent="0.25">
      <c r="A476" s="127">
        <v>45020</v>
      </c>
      <c r="B476" s="128" t="s">
        <v>60</v>
      </c>
      <c r="C476" s="129" t="str">
        <f t="shared" si="15"/>
        <v>04.04.2023_VORohBo</v>
      </c>
      <c r="D476" s="143">
        <f t="shared" si="16"/>
        <v>0</v>
      </c>
      <c r="E476" s="130">
        <v>3.4980523201288602E-5</v>
      </c>
      <c r="F476" s="131">
        <v>2.15843358885377E-3</v>
      </c>
      <c r="G476" s="131">
        <v>0.60366850072578704</v>
      </c>
      <c r="H476" s="131">
        <v>2.0245915827411299E-2</v>
      </c>
      <c r="I476" s="131">
        <v>5.4827125139650899E-4</v>
      </c>
      <c r="J476" s="131">
        <v>4.3727597130052302E-2</v>
      </c>
      <c r="K476" s="132">
        <v>168.58967621809001</v>
      </c>
      <c r="L476" s="133">
        <v>17.763846279663198</v>
      </c>
      <c r="M476" s="133">
        <v>19.597703408333999</v>
      </c>
      <c r="N476" s="133">
        <v>4.8887245820093801</v>
      </c>
      <c r="O476" s="131">
        <v>1.33137187351876E-3</v>
      </c>
      <c r="P476" s="133">
        <v>219.35599999999999</v>
      </c>
      <c r="Q476" s="134"/>
      <c r="R476" s="135"/>
      <c r="T476" s="37"/>
      <c r="U476" s="37"/>
    </row>
    <row r="477" spans="1:21" s="23" customFormat="1" x14ac:dyDescent="0.25">
      <c r="A477" s="127">
        <v>45020</v>
      </c>
      <c r="B477" s="128" t="s">
        <v>62</v>
      </c>
      <c r="C477" s="129" t="str">
        <f t="shared" si="15"/>
        <v>04.04.2023_VORuhSc</v>
      </c>
      <c r="D477" s="143">
        <f t="shared" si="16"/>
        <v>0</v>
      </c>
      <c r="E477" s="130">
        <v>8.3860316377191006E-5</v>
      </c>
      <c r="F477" s="131">
        <v>2.3424353814888201E-3</v>
      </c>
      <c r="G477" s="131">
        <v>0.59633325826556305</v>
      </c>
      <c r="H477" s="131">
        <v>1.8074128562856E-2</v>
      </c>
      <c r="I477" s="131">
        <v>4.9282320722389699E-4</v>
      </c>
      <c r="J477" s="131">
        <v>3.65591242230894E-2</v>
      </c>
      <c r="K477" s="132">
        <v>149.60751740428799</v>
      </c>
      <c r="L477" s="133">
        <v>14.1193759431586</v>
      </c>
      <c r="M477" s="133">
        <v>16.6895426085634</v>
      </c>
      <c r="N477" s="133">
        <v>3.7237149940171101</v>
      </c>
      <c r="O477" s="131">
        <v>1.5341432344545801E-3</v>
      </c>
      <c r="P477" s="133">
        <v>193.98</v>
      </c>
      <c r="Q477" s="134"/>
      <c r="R477" s="135"/>
      <c r="T477" s="37"/>
      <c r="U477" s="37"/>
    </row>
    <row r="478" spans="1:21" s="23" customFormat="1" x14ac:dyDescent="0.25">
      <c r="A478" s="127">
        <v>45020</v>
      </c>
      <c r="B478" s="128" t="s">
        <v>64</v>
      </c>
      <c r="C478" s="129" t="str">
        <f t="shared" si="15"/>
        <v>04.04.2023_WITob</v>
      </c>
      <c r="D478" s="143">
        <f t="shared" si="16"/>
        <v>0</v>
      </c>
      <c r="E478" s="130">
        <v>1.3081131622174E-5</v>
      </c>
      <c r="F478" s="131">
        <v>2.2931499638121802E-3</v>
      </c>
      <c r="G478" s="131">
        <v>0.88543234050384101</v>
      </c>
      <c r="H478" s="131">
        <v>9.1907324649044692E-3</v>
      </c>
      <c r="I478" s="131">
        <v>1.5911258394330299E-4</v>
      </c>
      <c r="J478" s="131">
        <v>1.23927680438533E-2</v>
      </c>
      <c r="K478" s="132">
        <v>230.12679523617101</v>
      </c>
      <c r="L478" s="133">
        <v>38.666027839340401</v>
      </c>
      <c r="M478" s="133">
        <v>50.859615331153798</v>
      </c>
      <c r="N478" s="133">
        <v>5.0272257446470396</v>
      </c>
      <c r="O478" s="131">
        <v>4.65150721217187E-4</v>
      </c>
      <c r="P478" s="133">
        <v>286.45600000000002</v>
      </c>
      <c r="Q478" s="134"/>
      <c r="R478" s="135"/>
      <c r="T478" s="37"/>
      <c r="U478" s="37"/>
    </row>
    <row r="479" spans="1:21" s="23" customFormat="1" x14ac:dyDescent="0.25">
      <c r="A479" s="127">
        <v>45050</v>
      </c>
      <c r="B479" s="128" t="s">
        <v>22</v>
      </c>
      <c r="C479" s="129" t="str">
        <f t="shared" si="15"/>
        <v>04.05.2023_BOYkl</v>
      </c>
      <c r="D479" s="143">
        <f t="shared" si="16"/>
        <v>0</v>
      </c>
      <c r="E479" s="130">
        <v>4.89794219157151E-5</v>
      </c>
      <c r="F479" s="131">
        <v>2.4160658056031399E-4</v>
      </c>
      <c r="G479" s="131">
        <v>0.32791609672698602</v>
      </c>
      <c r="H479" s="131">
        <v>1.8502735312441999E-2</v>
      </c>
      <c r="I479" s="131">
        <v>5.2752712907317605E-4</v>
      </c>
      <c r="J479" s="131">
        <v>3.9531245035341897E-3</v>
      </c>
      <c r="K479" s="132">
        <v>77.352245727494406</v>
      </c>
      <c r="L479" s="133">
        <v>9.4001707066192903</v>
      </c>
      <c r="M479" s="133">
        <v>13.399278102060901</v>
      </c>
      <c r="N479" s="133">
        <v>4.9182788257768504</v>
      </c>
      <c r="O479" s="131">
        <v>6.3014444316959598E-4</v>
      </c>
      <c r="P479" s="133">
        <v>108.824</v>
      </c>
      <c r="Q479" s="134"/>
      <c r="R479" s="135"/>
      <c r="T479" s="37"/>
      <c r="U479" s="37"/>
    </row>
    <row r="480" spans="1:21" s="23" customFormat="1" x14ac:dyDescent="0.25">
      <c r="A480" s="127">
        <v>45050</v>
      </c>
      <c r="B480" s="128" t="s">
        <v>25</v>
      </c>
      <c r="C480" s="129" t="str">
        <f t="shared" si="15"/>
        <v>04.05.2023_BOYohB224</v>
      </c>
      <c r="D480" s="143">
        <f t="shared" si="16"/>
        <v>0</v>
      </c>
      <c r="E480" s="130">
        <v>1.23494630946537E-5</v>
      </c>
      <c r="F480" s="131">
        <v>2.0096851411016499E-4</v>
      </c>
      <c r="G480" s="131">
        <v>0.702026537620425</v>
      </c>
      <c r="H480" s="131">
        <v>8.3421042577689203E-3</v>
      </c>
      <c r="I480" s="131">
        <v>2.5951846165762302E-4</v>
      </c>
      <c r="J480" s="131">
        <v>1.0416167480761099E-3</v>
      </c>
      <c r="K480" s="132">
        <v>152.64504654906401</v>
      </c>
      <c r="L480" s="133">
        <v>20.330410845799399</v>
      </c>
      <c r="M480" s="133">
        <v>20.1941430329878</v>
      </c>
      <c r="N480" s="133">
        <v>4.2078271243841598</v>
      </c>
      <c r="O480" s="131">
        <v>4.7696633020950199E-4</v>
      </c>
      <c r="P480" s="133">
        <v>188.124</v>
      </c>
      <c r="Q480" s="134"/>
      <c r="R480" s="135"/>
      <c r="T480" s="37"/>
      <c r="U480" s="37"/>
    </row>
    <row r="481" spans="1:21" s="23" customFormat="1" x14ac:dyDescent="0.25">
      <c r="A481" s="127">
        <v>45050</v>
      </c>
      <c r="B481" s="128" t="s">
        <v>28</v>
      </c>
      <c r="C481" s="129" t="str">
        <f t="shared" si="15"/>
        <v>04.05.2023_BOYohBr</v>
      </c>
      <c r="D481" s="143">
        <f t="shared" si="16"/>
        <v>0</v>
      </c>
      <c r="E481" s="130">
        <v>1.7320444120673001E-5</v>
      </c>
      <c r="F481" s="131">
        <v>2.8884099301540201E-4</v>
      </c>
      <c r="G481" s="131">
        <v>0.45590551003063501</v>
      </c>
      <c r="H481" s="131">
        <v>1.53982570627393E-2</v>
      </c>
      <c r="I481" s="131">
        <v>1.3031807151532801E-4</v>
      </c>
      <c r="J481" s="131">
        <v>1.77816575154225E-3</v>
      </c>
      <c r="K481" s="132">
        <v>101.76008381996</v>
      </c>
      <c r="L481" s="133">
        <v>12.6630943871805</v>
      </c>
      <c r="M481" s="133">
        <v>12.214428078270201</v>
      </c>
      <c r="N481" s="133">
        <v>4.7157450515999901</v>
      </c>
      <c r="O481" s="131">
        <v>2.8420906234945302E-4</v>
      </c>
      <c r="P481" s="133">
        <v>150.304</v>
      </c>
      <c r="Q481" s="134"/>
      <c r="R481" s="135"/>
      <c r="T481" s="37"/>
      <c r="U481" s="37"/>
    </row>
    <row r="482" spans="1:21" s="23" customFormat="1" x14ac:dyDescent="0.25">
      <c r="A482" s="127">
        <v>45050</v>
      </c>
      <c r="B482" s="128" t="s">
        <v>30</v>
      </c>
      <c r="C482" s="129" t="str">
        <f t="shared" si="15"/>
        <v>04.05.2023_BOYohKi</v>
      </c>
      <c r="D482" s="143">
        <f t="shared" si="16"/>
        <v>0</v>
      </c>
      <c r="E482" s="130">
        <v>1.19832516684531E-5</v>
      </c>
      <c r="F482" s="131">
        <v>2.1114097466250499E-4</v>
      </c>
      <c r="G482" s="131">
        <v>0.59791177380334704</v>
      </c>
      <c r="H482" s="131">
        <v>1.0787708996930601E-2</v>
      </c>
      <c r="I482" s="131">
        <v>1.7121882301765701E-4</v>
      </c>
      <c r="J482" s="131">
        <v>1.0688021365723101E-3</v>
      </c>
      <c r="K482" s="132">
        <v>135.99800566610901</v>
      </c>
      <c r="L482" s="133">
        <v>14.679594924579201</v>
      </c>
      <c r="M482" s="133">
        <v>19.484193495581501</v>
      </c>
      <c r="N482" s="133">
        <v>4.3864611549155104</v>
      </c>
      <c r="O482" s="131">
        <v>6.0698094876127204E-4</v>
      </c>
      <c r="P482" s="133">
        <v>172.26400000000001</v>
      </c>
      <c r="Q482" s="134"/>
      <c r="R482" s="135"/>
      <c r="T482" s="37"/>
      <c r="U482" s="37"/>
    </row>
    <row r="483" spans="1:21" s="23" customFormat="1" x14ac:dyDescent="0.25">
      <c r="A483" s="127">
        <v>45050</v>
      </c>
      <c r="B483" s="128" t="s">
        <v>32</v>
      </c>
      <c r="C483" s="129" t="str">
        <f t="shared" si="15"/>
        <v>04.05.2023_BOYohSp</v>
      </c>
      <c r="D483" s="143">
        <f t="shared" si="16"/>
        <v>0</v>
      </c>
      <c r="E483" s="130">
        <v>1.31344440684077E-5</v>
      </c>
      <c r="F483" s="131">
        <v>2.26863695019091E-4</v>
      </c>
      <c r="G483" s="131">
        <v>0.48932345868411498</v>
      </c>
      <c r="H483" s="131">
        <v>7.0659930569046802E-3</v>
      </c>
      <c r="I483" s="131">
        <v>2.4605314741536999E-4</v>
      </c>
      <c r="J483" s="131">
        <v>1.11726650802075E-3</v>
      </c>
      <c r="K483" s="132">
        <v>109.015671616452</v>
      </c>
      <c r="L483" s="133">
        <v>8.9214122105656308</v>
      </c>
      <c r="M483" s="133">
        <v>14.0093880883441</v>
      </c>
      <c r="N483" s="133">
        <v>3.2138391918692601</v>
      </c>
      <c r="O483" s="131">
        <v>3.0247787401888699E-4</v>
      </c>
      <c r="P483" s="133">
        <v>155.184</v>
      </c>
      <c r="Q483" s="134"/>
      <c r="R483" s="135"/>
      <c r="T483" s="37"/>
      <c r="U483" s="37"/>
    </row>
    <row r="484" spans="1:21" s="23" customFormat="1" x14ac:dyDescent="0.25">
      <c r="A484" s="127">
        <v>45050</v>
      </c>
      <c r="B484" s="128" t="s">
        <v>34</v>
      </c>
      <c r="C484" s="129" t="str">
        <f t="shared" si="15"/>
        <v>04.05.2023_BOYuhHa</v>
      </c>
      <c r="D484" s="143">
        <f t="shared" si="16"/>
        <v>0</v>
      </c>
      <c r="E484" s="130">
        <v>8.7388897000388295E-6</v>
      </c>
      <c r="F484" s="131">
        <v>2.2696169119854401E-4</v>
      </c>
      <c r="G484" s="131">
        <v>0.72656658551494402</v>
      </c>
      <c r="H484" s="131">
        <v>8.8266414393439897E-3</v>
      </c>
      <c r="I484" s="131">
        <v>2.1134320110452199E-4</v>
      </c>
      <c r="J484" s="131">
        <v>9.1558539636482996E-4</v>
      </c>
      <c r="K484" s="132">
        <v>158.71946503479899</v>
      </c>
      <c r="L484" s="133">
        <v>24.6432211120575</v>
      </c>
      <c r="M484" s="133">
        <v>28.023208160751999</v>
      </c>
      <c r="N484" s="133">
        <v>4.9626590168502904</v>
      </c>
      <c r="O484" s="131">
        <v>4.5354326929229798E-4</v>
      </c>
      <c r="P484" s="133">
        <v>176.9</v>
      </c>
      <c r="Q484" s="134"/>
      <c r="R484" s="135"/>
      <c r="T484" s="37"/>
      <c r="U484" s="37"/>
    </row>
    <row r="485" spans="1:21" s="23" customFormat="1" x14ac:dyDescent="0.25">
      <c r="A485" s="127">
        <v>45050</v>
      </c>
      <c r="B485" s="128" t="s">
        <v>36</v>
      </c>
      <c r="C485" s="129" t="str">
        <f t="shared" si="15"/>
        <v>04.05.2023_BOYuhSp</v>
      </c>
      <c r="D485" s="143">
        <f t="shared" si="16"/>
        <v>0</v>
      </c>
      <c r="E485" s="130">
        <v>2.00415984681358E-5</v>
      </c>
      <c r="F485" s="131">
        <v>2.0750825914718401E-4</v>
      </c>
      <c r="G485" s="131">
        <v>0.57919488976335798</v>
      </c>
      <c r="H485" s="131">
        <v>1.18623436616103E-2</v>
      </c>
      <c r="I485" s="131">
        <v>1.6605074950542501E-4</v>
      </c>
      <c r="J485" s="131">
        <v>1.29735909414862E-3</v>
      </c>
      <c r="K485" s="132">
        <v>125.897227775465</v>
      </c>
      <c r="L485" s="133">
        <v>13.410145023079</v>
      </c>
      <c r="M485" s="133">
        <v>21.062430419879998</v>
      </c>
      <c r="N485" s="133">
        <v>4.6186136295449103</v>
      </c>
      <c r="O485" s="131">
        <v>7.2639280888332097E-4</v>
      </c>
      <c r="P485" s="133">
        <v>171.53200000000001</v>
      </c>
      <c r="Q485" s="134"/>
      <c r="R485" s="135"/>
      <c r="T485" s="37"/>
      <c r="U485" s="37"/>
    </row>
    <row r="486" spans="1:21" s="23" customFormat="1" x14ac:dyDescent="0.25">
      <c r="A486" s="127">
        <v>45050</v>
      </c>
      <c r="B486" s="128" t="s">
        <v>38</v>
      </c>
      <c r="C486" s="129" t="str">
        <f t="shared" si="15"/>
        <v>04.05.2023_BRAob</v>
      </c>
      <c r="D486" s="143">
        <f t="shared" si="16"/>
        <v>0</v>
      </c>
      <c r="E486" s="130">
        <v>1.28726707156051E-5</v>
      </c>
      <c r="F486" s="131">
        <v>2.8090193745349597E-4</v>
      </c>
      <c r="G486" s="131">
        <v>0.81910619782045702</v>
      </c>
      <c r="H486" s="131">
        <v>1.3416660564596301E-2</v>
      </c>
      <c r="I486" s="131">
        <v>4.7382026115782601E-4</v>
      </c>
      <c r="J486" s="131">
        <v>1.70207429137557E-3</v>
      </c>
      <c r="K486" s="132">
        <v>171.75928504968101</v>
      </c>
      <c r="L486" s="133">
        <v>8.4659389112366892</v>
      </c>
      <c r="M486" s="133">
        <v>19.206887915388101</v>
      </c>
      <c r="N486" s="133">
        <v>2.8210478494734499</v>
      </c>
      <c r="O486" s="131">
        <v>5.2977367782517997E-4</v>
      </c>
      <c r="P486" s="133">
        <v>187.88</v>
      </c>
      <c r="Q486" s="134"/>
      <c r="R486" s="135"/>
      <c r="T486" s="37"/>
      <c r="U486" s="37"/>
    </row>
    <row r="487" spans="1:21" s="23" customFormat="1" x14ac:dyDescent="0.25">
      <c r="A487" s="127">
        <v>45050</v>
      </c>
      <c r="B487" s="128" t="s">
        <v>41</v>
      </c>
      <c r="C487" s="129" t="str">
        <f t="shared" si="15"/>
        <v>04.05.2023_BRAohBo</v>
      </c>
      <c r="D487" s="143">
        <f t="shared" si="16"/>
        <v>0</v>
      </c>
      <c r="E487" s="130">
        <v>1.52276136368673E-5</v>
      </c>
      <c r="F487" s="131">
        <v>2.2098538451239199E-4</v>
      </c>
      <c r="G487" s="131">
        <v>0.585370441767748</v>
      </c>
      <c r="H487" s="131">
        <v>1.53883586347158E-2</v>
      </c>
      <c r="I487" s="131">
        <v>1.9737597341368501E-4</v>
      </c>
      <c r="J487" s="131">
        <v>2.2015650497110698E-3</v>
      </c>
      <c r="K487" s="132">
        <v>141.18639894285701</v>
      </c>
      <c r="L487" s="133">
        <v>12.3156171559823</v>
      </c>
      <c r="M487" s="133">
        <v>29.169301815008499</v>
      </c>
      <c r="N487" s="133">
        <v>5.1513688058112503</v>
      </c>
      <c r="O487" s="131">
        <v>4.8293494233293398E-4</v>
      </c>
      <c r="P487" s="133">
        <v>195.2</v>
      </c>
      <c r="Q487" s="134"/>
      <c r="R487" s="135"/>
      <c r="T487" s="37"/>
      <c r="U487" s="37"/>
    </row>
    <row r="488" spans="1:21" s="23" customFormat="1" x14ac:dyDescent="0.25">
      <c r="A488" s="127">
        <v>45050</v>
      </c>
      <c r="B488" s="128" t="s">
        <v>43</v>
      </c>
      <c r="C488" s="129" t="str">
        <f t="shared" si="15"/>
        <v>04.05.2023_HAAob</v>
      </c>
      <c r="D488" s="143">
        <f t="shared" si="16"/>
        <v>0</v>
      </c>
      <c r="E488" s="130">
        <v>7.9016896895857896E-6</v>
      </c>
      <c r="F488" s="131">
        <v>1.3375599164647299E-4</v>
      </c>
      <c r="G488" s="131">
        <v>0.49105080493139702</v>
      </c>
      <c r="H488" s="131">
        <v>8.6698424410920193E-3</v>
      </c>
      <c r="I488" s="131">
        <v>3.4704436673908498E-4</v>
      </c>
      <c r="J488" s="131">
        <v>2.3404788083936701E-3</v>
      </c>
      <c r="K488" s="132">
        <v>113.312328973131</v>
      </c>
      <c r="L488" s="133">
        <v>22.005745030001801</v>
      </c>
      <c r="M488" s="133">
        <v>17.953731550704699</v>
      </c>
      <c r="N488" s="133">
        <v>4.0436701005573399</v>
      </c>
      <c r="O488" s="131">
        <v>2.3304521316942301E-4</v>
      </c>
      <c r="P488" s="133">
        <v>173.97200000000001</v>
      </c>
      <c r="Q488" s="134"/>
      <c r="R488" s="135"/>
      <c r="T488" s="37"/>
      <c r="U488" s="37"/>
    </row>
    <row r="489" spans="1:21" s="23" customFormat="1" x14ac:dyDescent="0.25">
      <c r="A489" s="127">
        <v>45050</v>
      </c>
      <c r="B489" s="128" t="s">
        <v>45</v>
      </c>
      <c r="C489" s="129" t="str">
        <f t="shared" si="15"/>
        <v>04.05.2023_HAAun</v>
      </c>
      <c r="D489" s="143">
        <f t="shared" si="16"/>
        <v>0</v>
      </c>
      <c r="E489" s="130">
        <v>1.00470782947443E-5</v>
      </c>
      <c r="F489" s="131">
        <v>3.52283662453166E-4</v>
      </c>
      <c r="G489" s="131">
        <v>0.80843500103183397</v>
      </c>
      <c r="H489" s="131">
        <v>1.17353529024633E-2</v>
      </c>
      <c r="I489" s="131">
        <v>3.1629965589139298E-4</v>
      </c>
      <c r="J489" s="131">
        <v>2.00983239188337E-3</v>
      </c>
      <c r="K489" s="132">
        <v>181.34330237981499</v>
      </c>
      <c r="L489" s="133">
        <v>45.984201176886501</v>
      </c>
      <c r="M489" s="133">
        <v>30.998233593337201</v>
      </c>
      <c r="N489" s="133">
        <v>7.3216155674631196</v>
      </c>
      <c r="O489" s="131">
        <v>3.9271204119442702E-4</v>
      </c>
      <c r="P489" s="133">
        <v>250.58799999999999</v>
      </c>
      <c r="Q489" s="134"/>
      <c r="R489" s="135"/>
      <c r="T489" s="37"/>
      <c r="U489" s="37"/>
    </row>
    <row r="490" spans="1:21" s="23" customFormat="1" x14ac:dyDescent="0.25">
      <c r="A490" s="127">
        <v>45050</v>
      </c>
      <c r="B490" s="128" t="s">
        <v>47</v>
      </c>
      <c r="C490" s="129" t="str">
        <f t="shared" si="15"/>
        <v>04.05.2023_KIRob</v>
      </c>
      <c r="D490" s="143">
        <f t="shared" si="16"/>
        <v>0</v>
      </c>
      <c r="E490" s="130">
        <v>2.2239545194647201E-5</v>
      </c>
      <c r="F490" s="131">
        <v>1.8854144304491599E-4</v>
      </c>
      <c r="G490" s="131">
        <v>0.83187097515388397</v>
      </c>
      <c r="H490" s="131">
        <v>2.24047555139711E-2</v>
      </c>
      <c r="I490" s="131">
        <v>3.5873288693574897E-4</v>
      </c>
      <c r="J490" s="131">
        <v>2.8857610965052102E-3</v>
      </c>
      <c r="K490" s="132">
        <v>164.40251229047701</v>
      </c>
      <c r="L490" s="133">
        <v>24.6112423279626</v>
      </c>
      <c r="M490" s="133">
        <v>67.259281375498006</v>
      </c>
      <c r="N490" s="133">
        <v>6.4239288577744196</v>
      </c>
      <c r="O490" s="131">
        <v>5.3358779093253201E-4</v>
      </c>
      <c r="P490" s="133">
        <v>228.14</v>
      </c>
      <c r="Q490" s="134"/>
      <c r="R490" s="135"/>
      <c r="T490" s="37"/>
      <c r="U490" s="37"/>
    </row>
    <row r="491" spans="1:21" s="23" customFormat="1" x14ac:dyDescent="0.25">
      <c r="A491" s="127">
        <v>45050</v>
      </c>
      <c r="B491" s="128" t="s">
        <v>49</v>
      </c>
      <c r="C491" s="129" t="str">
        <f t="shared" si="15"/>
        <v>04.05.2023_KIRun</v>
      </c>
      <c r="D491" s="143">
        <f t="shared" si="16"/>
        <v>0</v>
      </c>
      <c r="E491" s="130">
        <v>1.6431025073520899E-5</v>
      </c>
      <c r="F491" s="131">
        <v>1.3049186493569999E-4</v>
      </c>
      <c r="G491" s="131">
        <v>0.63959191427538098</v>
      </c>
      <c r="H491" s="131">
        <v>8.4866658944257895E-3</v>
      </c>
      <c r="I491" s="131">
        <v>1.17838616111598E-4</v>
      </c>
      <c r="J491" s="131">
        <v>1.0087633183724E-3</v>
      </c>
      <c r="K491" s="132">
        <v>152.02924646269301</v>
      </c>
      <c r="L491" s="133">
        <v>17.999024504253399</v>
      </c>
      <c r="M491" s="133">
        <v>41.7845409033431</v>
      </c>
      <c r="N491" s="133">
        <v>4.3246290771903997</v>
      </c>
      <c r="O491" s="131">
        <v>3.2558526207059101E-4</v>
      </c>
      <c r="P491" s="133">
        <v>199.10400000000001</v>
      </c>
      <c r="Q491" s="134"/>
      <c r="R491" s="135"/>
      <c r="T491" s="37"/>
      <c r="U491" s="37"/>
    </row>
    <row r="492" spans="1:21" s="23" customFormat="1" x14ac:dyDescent="0.25">
      <c r="A492" s="127">
        <v>45050</v>
      </c>
      <c r="B492" s="128" t="s">
        <v>50</v>
      </c>
      <c r="C492" s="129" t="str">
        <f t="shared" si="15"/>
        <v>04.05.2023_LIEohBo</v>
      </c>
      <c r="D492" s="143">
        <f t="shared" si="16"/>
        <v>0</v>
      </c>
      <c r="E492" s="130">
        <v>6.2269505840258101E-6</v>
      </c>
      <c r="F492" s="131">
        <v>1.5267998402147099E-4</v>
      </c>
      <c r="G492" s="131">
        <v>0.51618604455563299</v>
      </c>
      <c r="H492" s="131">
        <v>8.2621745576398099E-3</v>
      </c>
      <c r="I492" s="131">
        <v>7.56234713145825E-5</v>
      </c>
      <c r="J492" s="131">
        <v>1.0374390179417299E-3</v>
      </c>
      <c r="K492" s="132">
        <v>121.56669981227699</v>
      </c>
      <c r="L492" s="133">
        <v>16.944206617011499</v>
      </c>
      <c r="M492" s="133">
        <v>17.8670177320069</v>
      </c>
      <c r="N492" s="133">
        <v>3.6699600498651002</v>
      </c>
      <c r="O492" s="131">
        <v>3.04539857234158E-4</v>
      </c>
      <c r="P492" s="133">
        <v>205.20400000000001</v>
      </c>
      <c r="Q492" s="134"/>
      <c r="R492" s="135"/>
      <c r="T492" s="37"/>
      <c r="U492" s="37"/>
    </row>
    <row r="493" spans="1:21" s="23" customFormat="1" x14ac:dyDescent="0.25">
      <c r="A493" s="127">
        <v>45050</v>
      </c>
      <c r="B493" s="128" t="s">
        <v>53</v>
      </c>
      <c r="C493" s="129" t="str">
        <f t="shared" si="15"/>
        <v>04.05.2023_NATohBo</v>
      </c>
      <c r="D493" s="143">
        <f t="shared" si="16"/>
        <v>0</v>
      </c>
      <c r="E493" s="130">
        <v>1.5436828868317101E-5</v>
      </c>
      <c r="F493" s="131">
        <v>3.3269883869893602E-4</v>
      </c>
      <c r="G493" s="131">
        <v>1.3763808284208201</v>
      </c>
      <c r="H493" s="131">
        <v>1.20375526319142E-2</v>
      </c>
      <c r="I493" s="131">
        <v>2.4980114819794802E-4</v>
      </c>
      <c r="J493" s="131">
        <v>1.59305763589852E-3</v>
      </c>
      <c r="K493" s="132">
        <v>275.27970272721802</v>
      </c>
      <c r="L493" s="133">
        <v>69.8900516559697</v>
      </c>
      <c r="M493" s="133">
        <v>99.989090844245695</v>
      </c>
      <c r="N493" s="133">
        <v>11.408145528678</v>
      </c>
      <c r="O493" s="131">
        <v>6.1520933392896198E-4</v>
      </c>
      <c r="P493" s="133">
        <v>298.65600000000001</v>
      </c>
      <c r="Q493" s="134"/>
      <c r="R493" s="135"/>
      <c r="T493" s="37"/>
      <c r="U493" s="37"/>
    </row>
    <row r="494" spans="1:21" s="23" customFormat="1" x14ac:dyDescent="0.25">
      <c r="A494" s="127">
        <v>45050</v>
      </c>
      <c r="B494" s="128" t="s">
        <v>55</v>
      </c>
      <c r="C494" s="129" t="str">
        <f t="shared" si="15"/>
        <v>04.05.2023_QUAohBo</v>
      </c>
      <c r="D494" s="143">
        <f t="shared" si="16"/>
        <v>0</v>
      </c>
      <c r="E494" s="130">
        <v>1.36576516893591E-5</v>
      </c>
      <c r="F494" s="131">
        <v>2.2016662278240401E-4</v>
      </c>
      <c r="G494" s="131">
        <v>0.66736790607751795</v>
      </c>
      <c r="H494" s="131">
        <v>1.0388300419572701E-2</v>
      </c>
      <c r="I494" s="131">
        <v>1.1055891250358601E-4</v>
      </c>
      <c r="J494" s="131">
        <v>1.2559547710508301E-3</v>
      </c>
      <c r="K494" s="132">
        <v>152.938677086122</v>
      </c>
      <c r="L494" s="133">
        <v>10.6929316484491</v>
      </c>
      <c r="M494" s="133">
        <v>25.972737226372899</v>
      </c>
      <c r="N494" s="133">
        <v>5.0252180290207704</v>
      </c>
      <c r="O494" s="131">
        <v>5.1428698042698502E-4</v>
      </c>
      <c r="P494" s="133">
        <v>217.892</v>
      </c>
      <c r="Q494" s="134"/>
      <c r="R494" s="135"/>
      <c r="T494" s="37"/>
      <c r="U494" s="37"/>
    </row>
    <row r="495" spans="1:21" s="23" customFormat="1" x14ac:dyDescent="0.25">
      <c r="A495" s="127">
        <v>45050</v>
      </c>
      <c r="B495" s="128" t="s">
        <v>57</v>
      </c>
      <c r="C495" s="129" t="str">
        <f t="shared" si="15"/>
        <v>04.05.2023_SCHohVo</v>
      </c>
      <c r="D495" s="143">
        <f t="shared" si="16"/>
        <v>0</v>
      </c>
      <c r="E495" s="130">
        <v>1.06279642153223E-4</v>
      </c>
      <c r="F495" s="131">
        <v>2.7538532713101998E-4</v>
      </c>
      <c r="G495" s="131">
        <v>0.51790656243378097</v>
      </c>
      <c r="H495" s="131">
        <v>2.81609975772362E-2</v>
      </c>
      <c r="I495" s="131">
        <v>3.7463555555963801E-4</v>
      </c>
      <c r="J495" s="131">
        <v>6.1997005786516898E-3</v>
      </c>
      <c r="K495" s="132">
        <v>116.264173959928</v>
      </c>
      <c r="L495" s="133">
        <v>12.4462104638772</v>
      </c>
      <c r="M495" s="133">
        <v>15.279101604985801</v>
      </c>
      <c r="N495" s="133">
        <v>2.0500405399019801</v>
      </c>
      <c r="O495" s="131">
        <v>2.7700002224382999E-3</v>
      </c>
      <c r="P495" s="133">
        <v>146.15600000000001</v>
      </c>
      <c r="Q495" s="134"/>
      <c r="R495" s="135"/>
      <c r="T495" s="37"/>
      <c r="U495" s="37"/>
    </row>
    <row r="496" spans="1:21" s="23" customFormat="1" x14ac:dyDescent="0.25">
      <c r="A496" s="127">
        <v>45050</v>
      </c>
      <c r="B496" s="128" t="s">
        <v>60</v>
      </c>
      <c r="C496" s="129" t="str">
        <f t="shared" si="15"/>
        <v>04.05.2023_VORohBo</v>
      </c>
      <c r="D496" s="143">
        <f t="shared" si="16"/>
        <v>0</v>
      </c>
      <c r="E496" s="130">
        <v>1.24016821313526E-5</v>
      </c>
      <c r="F496" s="131">
        <v>1.7412486224247E-4</v>
      </c>
      <c r="G496" s="131">
        <v>0.81002242831327498</v>
      </c>
      <c r="H496" s="131">
        <v>1.5925537533441898E-2</v>
      </c>
      <c r="I496" s="131">
        <v>3.5915611561567102E-4</v>
      </c>
      <c r="J496" s="131">
        <v>1.77653628781213E-3</v>
      </c>
      <c r="K496" s="132">
        <v>184.79483983476399</v>
      </c>
      <c r="L496" s="133">
        <v>21.622669242092801</v>
      </c>
      <c r="M496" s="133">
        <v>18.332911689620001</v>
      </c>
      <c r="N496" s="133">
        <v>4.4571744375750297</v>
      </c>
      <c r="O496" s="131">
        <v>7.7139234517740302E-4</v>
      </c>
      <c r="P496" s="133">
        <v>227.65199999999999</v>
      </c>
      <c r="Q496" s="134"/>
      <c r="R496" s="135"/>
      <c r="T496" s="37"/>
      <c r="U496" s="37"/>
    </row>
    <row r="497" spans="1:21" s="23" customFormat="1" x14ac:dyDescent="0.25">
      <c r="A497" s="127">
        <v>45050</v>
      </c>
      <c r="B497" s="128" t="s">
        <v>62</v>
      </c>
      <c r="C497" s="129" t="str">
        <f t="shared" si="15"/>
        <v>04.05.2023_VORuhSc</v>
      </c>
      <c r="D497" s="143">
        <f t="shared" si="16"/>
        <v>0</v>
      </c>
      <c r="E497" s="130">
        <v>2.03033718209384E-5</v>
      </c>
      <c r="F497" s="131">
        <v>1.91144452673311E-4</v>
      </c>
      <c r="G497" s="131">
        <v>1.0178551304277701</v>
      </c>
      <c r="H497" s="131">
        <v>1.9047190893390801E-2</v>
      </c>
      <c r="I497" s="131">
        <v>5.5409030650056704E-4</v>
      </c>
      <c r="J497" s="131">
        <v>2.6273843012240001E-3</v>
      </c>
      <c r="K497" s="132">
        <v>192.90504453118601</v>
      </c>
      <c r="L497" s="133">
        <v>20.203472531643602</v>
      </c>
      <c r="M497" s="133">
        <v>17.436072902953001</v>
      </c>
      <c r="N497" s="133">
        <v>3.71486493009643</v>
      </c>
      <c r="O497" s="131">
        <v>9.8199852234644408E-4</v>
      </c>
      <c r="P497" s="133">
        <v>244.244</v>
      </c>
      <c r="Q497" s="134"/>
      <c r="R497" s="135"/>
      <c r="T497" s="37"/>
      <c r="U497" s="37"/>
    </row>
    <row r="498" spans="1:21" s="23" customFormat="1" x14ac:dyDescent="0.25">
      <c r="A498" s="127">
        <v>45050</v>
      </c>
      <c r="B498" s="128" t="s">
        <v>64</v>
      </c>
      <c r="C498" s="129" t="str">
        <f t="shared" si="15"/>
        <v>04.05.2023_WITob</v>
      </c>
      <c r="D498" s="143">
        <f t="shared" si="16"/>
        <v>0</v>
      </c>
      <c r="E498" s="130">
        <v>9.3668744790420894E-6</v>
      </c>
      <c r="F498" s="131">
        <v>2.2859930989290199E-4</v>
      </c>
      <c r="G498" s="131">
        <v>1.1327002830739501</v>
      </c>
      <c r="H498" s="131">
        <v>1.1938956475369101E-2</v>
      </c>
      <c r="I498" s="131">
        <v>1.4980685808064099E-4</v>
      </c>
      <c r="J498" s="131">
        <v>1.0498453904015199E-3</v>
      </c>
      <c r="K498" s="132">
        <v>229.135607723634</v>
      </c>
      <c r="L498" s="133">
        <v>33.461824629107603</v>
      </c>
      <c r="M498" s="133">
        <v>49.653612312539302</v>
      </c>
      <c r="N498" s="133">
        <v>4.8850982909322802</v>
      </c>
      <c r="O498" s="131">
        <v>4.0833378181799498E-4</v>
      </c>
      <c r="P498" s="133">
        <v>283.04000000000002</v>
      </c>
      <c r="Q498" s="134"/>
      <c r="R498" s="135"/>
      <c r="T498" s="37"/>
      <c r="U498" s="37"/>
    </row>
    <row r="499" spans="1:21" s="23" customFormat="1" x14ac:dyDescent="0.25">
      <c r="A499" s="127">
        <v>45082</v>
      </c>
      <c r="B499" s="128" t="s">
        <v>22</v>
      </c>
      <c r="C499" s="129" t="str">
        <f t="shared" si="15"/>
        <v>05.06.2023_BOYkl</v>
      </c>
      <c r="D499" s="143">
        <f t="shared" si="16"/>
        <v>12</v>
      </c>
      <c r="E499" s="130"/>
      <c r="F499" s="131"/>
      <c r="G499" s="131"/>
      <c r="H499" s="131"/>
      <c r="I499" s="131"/>
      <c r="J499" s="131"/>
      <c r="K499" s="132"/>
      <c r="L499" s="133"/>
      <c r="M499" s="133"/>
      <c r="N499" s="133"/>
      <c r="O499" s="131"/>
      <c r="P499" s="133"/>
      <c r="Q499" s="134"/>
      <c r="R499" s="135" t="s">
        <v>341</v>
      </c>
      <c r="T499" s="37"/>
      <c r="U499" s="37"/>
    </row>
    <row r="500" spans="1:21" s="23" customFormat="1" x14ac:dyDescent="0.25">
      <c r="A500" s="127">
        <v>45082</v>
      </c>
      <c r="B500" s="128" t="s">
        <v>25</v>
      </c>
      <c r="C500" s="129" t="str">
        <f t="shared" si="15"/>
        <v>05.06.2023_BOYohB224</v>
      </c>
      <c r="D500" s="143">
        <f t="shared" si="16"/>
        <v>0</v>
      </c>
      <c r="E500" s="130">
        <v>5.4263331856842904E-6</v>
      </c>
      <c r="F500" s="131">
        <v>1.22936552736706E-3</v>
      </c>
      <c r="G500" s="131">
        <v>0.35650786191817202</v>
      </c>
      <c r="H500" s="131">
        <v>4.7030920941660498E-3</v>
      </c>
      <c r="I500" s="131">
        <v>1.40732900082841E-5</v>
      </c>
      <c r="J500" s="131">
        <v>1.55481651791022E-3</v>
      </c>
      <c r="K500" s="132">
        <v>205.408637013006</v>
      </c>
      <c r="L500" s="133">
        <v>39.365603313061001</v>
      </c>
      <c r="M500" s="133">
        <v>77.751324087469499</v>
      </c>
      <c r="N500" s="133">
        <v>10.204846363442</v>
      </c>
      <c r="O500" s="131">
        <v>4.1754867180119302E-4</v>
      </c>
      <c r="P500" s="133">
        <v>242.048</v>
      </c>
      <c r="Q500" s="134"/>
      <c r="R500" s="135"/>
      <c r="T500" s="37"/>
      <c r="U500" s="37"/>
    </row>
    <row r="501" spans="1:21" s="23" customFormat="1" x14ac:dyDescent="0.25">
      <c r="A501" s="127">
        <v>45082</v>
      </c>
      <c r="B501" s="128" t="s">
        <v>28</v>
      </c>
      <c r="C501" s="129" t="str">
        <f t="shared" si="15"/>
        <v>05.06.2023_BOYohBr</v>
      </c>
      <c r="D501" s="143">
        <f t="shared" si="16"/>
        <v>0</v>
      </c>
      <c r="E501" s="130">
        <v>5.8596150161624101E-6</v>
      </c>
      <c r="F501" s="131">
        <v>9.1509561506350598E-4</v>
      </c>
      <c r="G501" s="131">
        <v>0.22577987483547701</v>
      </c>
      <c r="H501" s="131">
        <v>3.40991592036304E-3</v>
      </c>
      <c r="I501" s="131">
        <v>1.02351027791173E-5</v>
      </c>
      <c r="J501" s="131">
        <v>2.5478432375824699E-3</v>
      </c>
      <c r="K501" s="132">
        <v>116.311763099941</v>
      </c>
      <c r="L501" s="133">
        <v>11.7651088509184</v>
      </c>
      <c r="M501" s="133">
        <v>23.115566485620601</v>
      </c>
      <c r="N501" s="133">
        <v>5.8905080662760598</v>
      </c>
      <c r="O501" s="131">
        <v>1.9684776777302801E-4</v>
      </c>
      <c r="P501" s="133">
        <v>156.648</v>
      </c>
      <c r="Q501" s="134"/>
      <c r="R501" s="135"/>
      <c r="T501" s="37"/>
      <c r="U501" s="37"/>
    </row>
    <row r="502" spans="1:21" s="23" customFormat="1" x14ac:dyDescent="0.25">
      <c r="A502" s="127">
        <v>45082</v>
      </c>
      <c r="B502" s="128" t="s">
        <v>30</v>
      </c>
      <c r="C502" s="129" t="str">
        <f t="shared" si="15"/>
        <v>05.06.2023_BOYohKi</v>
      </c>
      <c r="D502" s="143">
        <f t="shared" si="16"/>
        <v>0</v>
      </c>
      <c r="E502" s="130">
        <v>5.1168459134585903E-6</v>
      </c>
      <c r="F502" s="131">
        <v>9.8847308491255108E-4</v>
      </c>
      <c r="G502" s="131">
        <v>0.32190368999937402</v>
      </c>
      <c r="H502" s="131">
        <v>5.3380673832997003E-3</v>
      </c>
      <c r="I502" s="131">
        <v>1.3801902654031501E-5</v>
      </c>
      <c r="J502" s="131">
        <v>1.2542616481052201E-3</v>
      </c>
      <c r="K502" s="132">
        <v>181.167449737998</v>
      </c>
      <c r="L502" s="133">
        <v>19.100642246555299</v>
      </c>
      <c r="M502" s="133">
        <v>47.671302113948002</v>
      </c>
      <c r="N502" s="133">
        <v>7.7038209181473398</v>
      </c>
      <c r="O502" s="131">
        <v>4.3237605599515301E-4</v>
      </c>
      <c r="P502" s="133">
        <v>241.804</v>
      </c>
      <c r="Q502" s="134"/>
      <c r="R502" s="135"/>
      <c r="T502" s="37"/>
      <c r="U502" s="37"/>
    </row>
    <row r="503" spans="1:21" s="23" customFormat="1" x14ac:dyDescent="0.25">
      <c r="A503" s="127">
        <v>45082</v>
      </c>
      <c r="B503" s="128" t="s">
        <v>32</v>
      </c>
      <c r="C503" s="129" t="str">
        <f t="shared" si="15"/>
        <v>05.06.2023_BOYohSp</v>
      </c>
      <c r="D503" s="143">
        <f t="shared" si="16"/>
        <v>0</v>
      </c>
      <c r="E503" s="130">
        <v>6.5817522601721801E-6</v>
      </c>
      <c r="F503" s="131">
        <v>1.02235363370317E-3</v>
      </c>
      <c r="G503" s="131">
        <v>0.24926360655117399</v>
      </c>
      <c r="H503" s="131">
        <v>3.5047136862619501E-3</v>
      </c>
      <c r="I503" s="131">
        <v>1.45126834237224E-5</v>
      </c>
      <c r="J503" s="131">
        <v>2.1436342963765198E-3</v>
      </c>
      <c r="K503" s="132">
        <v>132.30126278700001</v>
      </c>
      <c r="L503" s="133">
        <v>12.4215867747948</v>
      </c>
      <c r="M503" s="133">
        <v>35.3082874959835</v>
      </c>
      <c r="N503" s="133">
        <v>6.4738260756967199</v>
      </c>
      <c r="O503" s="131">
        <v>2.4005911509789201E-4</v>
      </c>
      <c r="P503" s="133">
        <v>172.50800000000001</v>
      </c>
      <c r="Q503" s="134"/>
      <c r="R503" s="135"/>
      <c r="T503" s="37"/>
      <c r="U503" s="37"/>
    </row>
    <row r="504" spans="1:21" s="23" customFormat="1" x14ac:dyDescent="0.25">
      <c r="A504" s="127">
        <v>45082</v>
      </c>
      <c r="B504" s="128" t="s">
        <v>34</v>
      </c>
      <c r="C504" s="129" t="str">
        <f t="shared" si="15"/>
        <v>05.06.2023_BOYuhHa</v>
      </c>
      <c r="D504" s="143">
        <f t="shared" si="16"/>
        <v>0</v>
      </c>
      <c r="E504" s="130">
        <v>4.2090173395734398E-6</v>
      </c>
      <c r="F504" s="131">
        <v>1.26713758075375E-3</v>
      </c>
      <c r="G504" s="131">
        <v>0.40405420619933502</v>
      </c>
      <c r="H504" s="131">
        <v>5.35452737145054E-3</v>
      </c>
      <c r="I504" s="131">
        <v>1.13206501757819E-5</v>
      </c>
      <c r="J504" s="131">
        <v>1.76540298238017E-3</v>
      </c>
      <c r="K504" s="132">
        <v>230.25720908934801</v>
      </c>
      <c r="L504" s="133">
        <v>45.191653257425898</v>
      </c>
      <c r="M504" s="133">
        <v>102.564935097476</v>
      </c>
      <c r="N504" s="133">
        <v>11.004039488933801</v>
      </c>
      <c r="O504" s="131">
        <v>3.7994703942858301E-4</v>
      </c>
      <c r="P504" s="133">
        <v>268.64400000000001</v>
      </c>
      <c r="Q504" s="134"/>
      <c r="R504" s="135"/>
      <c r="T504" s="37"/>
      <c r="U504" s="37"/>
    </row>
    <row r="505" spans="1:21" s="23" customFormat="1" x14ac:dyDescent="0.25">
      <c r="A505" s="127">
        <v>45082</v>
      </c>
      <c r="B505" s="128" t="s">
        <v>36</v>
      </c>
      <c r="C505" s="129" t="str">
        <f t="shared" si="15"/>
        <v>05.06.2023_BOYuhSp</v>
      </c>
      <c r="D505" s="143">
        <f t="shared" si="16"/>
        <v>0</v>
      </c>
      <c r="E505" s="130">
        <v>7.5514790980988799E-6</v>
      </c>
      <c r="F505" s="131">
        <v>1.05362740544369E-3</v>
      </c>
      <c r="G505" s="131">
        <v>0.26073911488172502</v>
      </c>
      <c r="H505" s="131">
        <v>4.7550762882559196E-3</v>
      </c>
      <c r="I505" s="131">
        <v>1.07132605244857E-5</v>
      </c>
      <c r="J505" s="131">
        <v>2.4398819800238998E-3</v>
      </c>
      <c r="K505" s="132">
        <v>138.05806262620399</v>
      </c>
      <c r="L505" s="133">
        <v>13.3546704952841</v>
      </c>
      <c r="M505" s="133">
        <v>39.293753260736899</v>
      </c>
      <c r="N505" s="133">
        <v>6.9376572968365098</v>
      </c>
      <c r="O505" s="131">
        <v>3.0316724575792602E-4</v>
      </c>
      <c r="P505" s="133">
        <v>169.09200000000001</v>
      </c>
      <c r="Q505" s="134"/>
      <c r="R505" s="135"/>
      <c r="T505" s="37"/>
      <c r="U505" s="37"/>
    </row>
    <row r="506" spans="1:21" s="23" customFormat="1" x14ac:dyDescent="0.25">
      <c r="A506" s="127">
        <v>45082</v>
      </c>
      <c r="B506" s="128" t="s">
        <v>38</v>
      </c>
      <c r="C506" s="129" t="str">
        <f t="shared" si="15"/>
        <v>05.06.2023_BRAob</v>
      </c>
      <c r="D506" s="143">
        <f t="shared" si="16"/>
        <v>0</v>
      </c>
      <c r="E506" s="130">
        <v>3.6313088434109701E-6</v>
      </c>
      <c r="F506" s="131">
        <v>7.5921773234263604E-4</v>
      </c>
      <c r="G506" s="131">
        <v>0.32228461186622198</v>
      </c>
      <c r="H506" s="131">
        <v>3.5715004948911199E-3</v>
      </c>
      <c r="I506" s="131">
        <v>1.28972774253734E-5</v>
      </c>
      <c r="J506" s="131">
        <v>1.4270278627780001E-3</v>
      </c>
      <c r="K506" s="132">
        <v>173.45481930516101</v>
      </c>
      <c r="L506" s="133">
        <v>6.2774430945387998</v>
      </c>
      <c r="M506" s="133">
        <v>26.021257134375102</v>
      </c>
      <c r="N506" s="133">
        <v>3.6194196649100001</v>
      </c>
      <c r="O506" s="131">
        <v>2.7569532138636398E-4</v>
      </c>
      <c r="P506" s="133">
        <v>165.18799999999999</v>
      </c>
      <c r="Q506" s="134"/>
      <c r="R506" s="135"/>
      <c r="T506" s="37"/>
      <c r="U506" s="37"/>
    </row>
    <row r="507" spans="1:21" s="23" customFormat="1" x14ac:dyDescent="0.25">
      <c r="A507" s="127">
        <v>45082</v>
      </c>
      <c r="B507" s="128" t="s">
        <v>41</v>
      </c>
      <c r="C507" s="129" t="str">
        <f t="shared" si="15"/>
        <v>05.06.2023_BRAohBo</v>
      </c>
      <c r="D507" s="143">
        <f t="shared" si="16"/>
        <v>0</v>
      </c>
      <c r="E507" s="130">
        <v>5.1374784100417898E-6</v>
      </c>
      <c r="F507" s="131">
        <v>1.0809530259979401E-3</v>
      </c>
      <c r="G507" s="131">
        <v>0.30725220421273802</v>
      </c>
      <c r="H507" s="131">
        <v>4.0682025725194701E-3</v>
      </c>
      <c r="I507" s="131">
        <v>1.495206677511E-5</v>
      </c>
      <c r="J507" s="131">
        <v>2.6940806198542402E-3</v>
      </c>
      <c r="K507" s="132">
        <v>161.22733674015501</v>
      </c>
      <c r="L507" s="133">
        <v>8.3564345139079297</v>
      </c>
      <c r="M507" s="133">
        <v>40.339199482370603</v>
      </c>
      <c r="N507" s="133">
        <v>6.3258345666318796</v>
      </c>
      <c r="O507" s="131">
        <v>2.85363978453835E-4</v>
      </c>
      <c r="P507" s="133">
        <v>177.876</v>
      </c>
      <c r="Q507" s="134"/>
      <c r="R507" s="135"/>
      <c r="T507" s="37"/>
      <c r="U507" s="37"/>
    </row>
    <row r="508" spans="1:21" s="23" customFormat="1" x14ac:dyDescent="0.25">
      <c r="A508" s="127">
        <v>45082</v>
      </c>
      <c r="B508" s="128" t="s">
        <v>43</v>
      </c>
      <c r="C508" s="129" t="str">
        <f t="shared" si="15"/>
        <v>05.06.2023_HAAob</v>
      </c>
      <c r="D508" s="143">
        <f t="shared" si="16"/>
        <v>0</v>
      </c>
      <c r="E508" s="130">
        <v>2.3520968435039202E-6</v>
      </c>
      <c r="F508" s="131">
        <v>7.9287037510333098E-4</v>
      </c>
      <c r="G508" s="131">
        <v>0.27271151945127298</v>
      </c>
      <c r="H508" s="131">
        <v>3.23072417633035E-3</v>
      </c>
      <c r="I508" s="131">
        <v>1.4073288952882801E-5</v>
      </c>
      <c r="J508" s="131">
        <v>2.4850965515198602E-3</v>
      </c>
      <c r="K508" s="132">
        <v>146.94361673062801</v>
      </c>
      <c r="L508" s="133">
        <v>25.650069912096299</v>
      </c>
      <c r="M508" s="133">
        <v>42.939744726382798</v>
      </c>
      <c r="N508" s="133">
        <v>5.5073419995371102</v>
      </c>
      <c r="O508" s="131">
        <v>1.7248580505083199E-4</v>
      </c>
      <c r="P508" s="133">
        <v>155.672</v>
      </c>
      <c r="Q508" s="134"/>
      <c r="R508" s="135"/>
      <c r="T508" s="37"/>
      <c r="U508" s="37"/>
    </row>
    <row r="509" spans="1:21" s="23" customFormat="1" x14ac:dyDescent="0.25">
      <c r="A509" s="127">
        <v>45082</v>
      </c>
      <c r="B509" s="128" t="s">
        <v>45</v>
      </c>
      <c r="C509" s="129" t="str">
        <f t="shared" si="15"/>
        <v>05.06.2023_HAAun</v>
      </c>
      <c r="D509" s="143">
        <f t="shared" si="16"/>
        <v>0</v>
      </c>
      <c r="E509" s="130">
        <v>1.89818331480457E-6</v>
      </c>
      <c r="F509" s="131">
        <v>1.29367716698973E-3</v>
      </c>
      <c r="G509" s="131">
        <v>0.35957327123049299</v>
      </c>
      <c r="H509" s="131">
        <v>4.2748899209409602E-3</v>
      </c>
      <c r="I509" s="131">
        <v>2.6595945936862801E-5</v>
      </c>
      <c r="J509" s="131">
        <v>2.7952081366062502E-3</v>
      </c>
      <c r="K509" s="132">
        <v>208.41082347286499</v>
      </c>
      <c r="L509" s="133">
        <v>50.238738952025599</v>
      </c>
      <c r="M509" s="133">
        <v>66.173050901944805</v>
      </c>
      <c r="N509" s="133">
        <v>9.1427518555854199</v>
      </c>
      <c r="O509" s="131">
        <v>2.5704130510555102E-4</v>
      </c>
      <c r="P509" s="133">
        <v>217.892</v>
      </c>
      <c r="Q509" s="134"/>
      <c r="R509" s="135"/>
      <c r="T509" s="37"/>
      <c r="U509" s="37"/>
    </row>
    <row r="510" spans="1:21" s="23" customFormat="1" x14ac:dyDescent="0.25">
      <c r="A510" s="127">
        <v>45082</v>
      </c>
      <c r="B510" s="128" t="s">
        <v>47</v>
      </c>
      <c r="C510" s="129" t="str">
        <f t="shared" si="15"/>
        <v>05.06.2023_KIRob</v>
      </c>
      <c r="D510" s="143">
        <f t="shared" si="16"/>
        <v>0</v>
      </c>
      <c r="E510" s="130">
        <v>4.6216667496939501E-6</v>
      </c>
      <c r="F510" s="131">
        <v>9.9760305473961595E-4</v>
      </c>
      <c r="G510" s="131">
        <v>0.30700364387719498</v>
      </c>
      <c r="H510" s="131">
        <v>4.8085721553712104E-3</v>
      </c>
      <c r="I510" s="131">
        <v>1.49003749349591E-5</v>
      </c>
      <c r="J510" s="131">
        <v>1.7228999536096699E-3</v>
      </c>
      <c r="K510" s="132">
        <v>169.49169461216701</v>
      </c>
      <c r="L510" s="133">
        <v>16.8463347853593</v>
      </c>
      <c r="M510" s="133">
        <v>117.61952754984399</v>
      </c>
      <c r="N510" s="133">
        <v>8.1741575739894294</v>
      </c>
      <c r="O510" s="131">
        <v>2.9035277540134601E-4</v>
      </c>
      <c r="P510" s="133">
        <v>206.42400000000001</v>
      </c>
      <c r="Q510" s="134"/>
      <c r="R510" s="135"/>
      <c r="T510" s="37"/>
      <c r="U510" s="37"/>
    </row>
    <row r="511" spans="1:21" s="23" customFormat="1" x14ac:dyDescent="0.25">
      <c r="A511" s="127">
        <v>45082</v>
      </c>
      <c r="B511" s="128" t="s">
        <v>49</v>
      </c>
      <c r="C511" s="129" t="str">
        <f t="shared" si="15"/>
        <v>05.06.2023_KIRun</v>
      </c>
      <c r="D511" s="143">
        <f t="shared" si="16"/>
        <v>0</v>
      </c>
      <c r="E511" s="130">
        <v>5.7358202853995598E-6</v>
      </c>
      <c r="F511" s="131">
        <v>7.9308003712615397E-4</v>
      </c>
      <c r="G511" s="131">
        <v>0.27397272583620103</v>
      </c>
      <c r="H511" s="131">
        <v>3.7606873351035998E-3</v>
      </c>
      <c r="I511" s="131">
        <v>1.23674282042142E-5</v>
      </c>
      <c r="J511" s="131">
        <v>1.03371837353171E-3</v>
      </c>
      <c r="K511" s="132">
        <v>160.47080007864599</v>
      </c>
      <c r="L511" s="133">
        <v>15.070581612901099</v>
      </c>
      <c r="M511" s="133">
        <v>84.856995267209896</v>
      </c>
      <c r="N511" s="133">
        <v>7.0448117355884401</v>
      </c>
      <c r="O511" s="131">
        <v>2.0946318746781301E-4</v>
      </c>
      <c r="P511" s="133">
        <v>206.18</v>
      </c>
      <c r="Q511" s="134"/>
      <c r="R511" s="135"/>
      <c r="T511" s="37"/>
      <c r="U511" s="37"/>
    </row>
    <row r="512" spans="1:21" s="23" customFormat="1" x14ac:dyDescent="0.25">
      <c r="A512" s="127">
        <v>45082</v>
      </c>
      <c r="B512" s="128" t="s">
        <v>50</v>
      </c>
      <c r="C512" s="129" t="str">
        <f t="shared" si="15"/>
        <v>05.06.2023_LIEohBo</v>
      </c>
      <c r="D512" s="143">
        <f t="shared" si="16"/>
        <v>0</v>
      </c>
      <c r="E512" s="130">
        <v>5.0136836110770003E-6</v>
      </c>
      <c r="F512" s="131">
        <v>1.0038400471004199E-3</v>
      </c>
      <c r="G512" s="131">
        <v>0.29769748669447699</v>
      </c>
      <c r="H512" s="131">
        <v>5.6609209532276399E-3</v>
      </c>
      <c r="I512" s="131">
        <v>1.29489707154452E-5</v>
      </c>
      <c r="J512" s="131">
        <v>1.6124781398034901E-3</v>
      </c>
      <c r="K512" s="132">
        <v>157.51871812108101</v>
      </c>
      <c r="L512" s="133">
        <v>19.622639578941801</v>
      </c>
      <c r="M512" s="133">
        <v>51.914010871585297</v>
      </c>
      <c r="N512" s="133">
        <v>5.5560729927910302</v>
      </c>
      <c r="O512" s="131">
        <v>3.3721108747282902E-4</v>
      </c>
      <c r="P512" s="133">
        <v>247.904</v>
      </c>
      <c r="Q512" s="134"/>
      <c r="R512" s="135"/>
      <c r="T512" s="37"/>
      <c r="U512" s="37"/>
    </row>
    <row r="513" spans="1:21" s="23" customFormat="1" x14ac:dyDescent="0.25">
      <c r="A513" s="127">
        <v>45082</v>
      </c>
      <c r="B513" s="128" t="s">
        <v>53</v>
      </c>
      <c r="C513" s="129" t="str">
        <f t="shared" si="15"/>
        <v>05.06.2023_NATohBo</v>
      </c>
      <c r="D513" s="143">
        <f t="shared" si="16"/>
        <v>0</v>
      </c>
      <c r="E513" s="130">
        <v>1.16986159101428E-5</v>
      </c>
      <c r="F513" s="131">
        <v>1.8698882986043E-3</v>
      </c>
      <c r="G513" s="131">
        <v>0.52384512882655299</v>
      </c>
      <c r="H513" s="131">
        <v>7.2089625865181702E-3</v>
      </c>
      <c r="I513" s="131">
        <v>1.50554527622193E-5</v>
      </c>
      <c r="J513" s="131">
        <v>2.7381738281995098E-3</v>
      </c>
      <c r="K513" s="132">
        <v>344.15416115145098</v>
      </c>
      <c r="L513" s="133">
        <v>114.028629235962</v>
      </c>
      <c r="M513" s="133">
        <v>349.35763833909101</v>
      </c>
      <c r="N513" s="133">
        <v>25.652920882106599</v>
      </c>
      <c r="O513" s="131">
        <v>4.9078576957241001E-4</v>
      </c>
      <c r="P513" s="133">
        <v>334.036</v>
      </c>
      <c r="Q513" s="134"/>
      <c r="R513" s="135"/>
      <c r="T513" s="37"/>
      <c r="U513" s="37"/>
    </row>
    <row r="514" spans="1:21" s="23" customFormat="1" x14ac:dyDescent="0.25">
      <c r="A514" s="127">
        <v>45082</v>
      </c>
      <c r="B514" s="128" t="s">
        <v>55</v>
      </c>
      <c r="C514" s="129" t="str">
        <f t="shared" si="15"/>
        <v>05.06.2023_QUAohBo</v>
      </c>
      <c r="D514" s="143">
        <f t="shared" si="16"/>
        <v>0</v>
      </c>
      <c r="E514" s="130">
        <v>5.1581113679905001E-6</v>
      </c>
      <c r="F514" s="131">
        <v>1.10773003946954E-3</v>
      </c>
      <c r="G514" s="131">
        <v>0.34121482182752799</v>
      </c>
      <c r="H514" s="131">
        <v>4.2274796486899396E-3</v>
      </c>
      <c r="I514" s="131">
        <v>1.10104928476992E-5</v>
      </c>
      <c r="J514" s="131">
        <v>1.1707255574391899E-3</v>
      </c>
      <c r="K514" s="132">
        <v>192.98875766027601</v>
      </c>
      <c r="L514" s="133">
        <v>10.8067139526219</v>
      </c>
      <c r="M514" s="133">
        <v>49.216086614430601</v>
      </c>
      <c r="N514" s="133">
        <v>5.0737093510877296</v>
      </c>
      <c r="O514" s="131">
        <v>4.1951317971851301E-4</v>
      </c>
      <c r="P514" s="133">
        <v>229.60400000000001</v>
      </c>
      <c r="Q514" s="134"/>
      <c r="R514" s="135"/>
      <c r="T514" s="37"/>
      <c r="U514" s="37"/>
    </row>
    <row r="515" spans="1:21" s="23" customFormat="1" x14ac:dyDescent="0.25">
      <c r="A515" s="127">
        <v>45082</v>
      </c>
      <c r="B515" s="128" t="s">
        <v>57</v>
      </c>
      <c r="C515" s="129" t="str">
        <f t="shared" ref="C515:C578" si="17">CONCATENATE(TEXT(A515,"TT.MM.JJJJ"),"_",B515)</f>
        <v>05.06.2023_SCHohVo</v>
      </c>
      <c r="D515" s="143">
        <f t="shared" si="16"/>
        <v>0</v>
      </c>
      <c r="E515" s="130">
        <v>2.4882854813132699E-5</v>
      </c>
      <c r="F515" s="131">
        <v>1.13217438417556E-3</v>
      </c>
      <c r="G515" s="131">
        <v>0.25766164616414899</v>
      </c>
      <c r="H515" s="131">
        <v>6.8302352971934396E-3</v>
      </c>
      <c r="I515" s="131">
        <v>1.6993938789231399E-5</v>
      </c>
      <c r="J515" s="131">
        <v>1.4790367056990701E-2</v>
      </c>
      <c r="K515" s="132">
        <v>126.549730499902</v>
      </c>
      <c r="L515" s="133">
        <v>6.4460664619450903</v>
      </c>
      <c r="M515" s="133">
        <v>22.244677569315201</v>
      </c>
      <c r="N515" s="133">
        <v>2.6835407933326598</v>
      </c>
      <c r="O515" s="131">
        <v>8.1096616001820701E-4</v>
      </c>
      <c r="P515" s="133">
        <v>232.53200000000001</v>
      </c>
      <c r="Q515" s="134"/>
      <c r="R515" s="135"/>
      <c r="T515" s="37"/>
      <c r="U515" s="37"/>
    </row>
    <row r="516" spans="1:21" s="23" customFormat="1" x14ac:dyDescent="0.25">
      <c r="A516" s="127">
        <v>45082</v>
      </c>
      <c r="B516" s="128" t="s">
        <v>60</v>
      </c>
      <c r="C516" s="129" t="str">
        <f t="shared" si="17"/>
        <v>05.06.2023_VORohBo</v>
      </c>
      <c r="D516" s="143">
        <f t="shared" si="16"/>
        <v>0</v>
      </c>
      <c r="E516" s="130">
        <v>3.3218217156130598E-6</v>
      </c>
      <c r="F516" s="131">
        <v>6.9862404253742401E-4</v>
      </c>
      <c r="G516" s="131">
        <v>0.42891199234542299</v>
      </c>
      <c r="H516" s="131">
        <v>5.8004783215534804E-3</v>
      </c>
      <c r="I516" s="131">
        <v>8.1027823344893998E-6</v>
      </c>
      <c r="J516" s="131">
        <v>1.0698900782613601E-3</v>
      </c>
      <c r="K516" s="132">
        <v>235.401430093957</v>
      </c>
      <c r="L516" s="133">
        <v>25.1175451215836</v>
      </c>
      <c r="M516" s="133">
        <v>49.458998438308598</v>
      </c>
      <c r="N516" s="133">
        <v>9.4221572009178995</v>
      </c>
      <c r="O516" s="131">
        <v>6.2018802703934801E-4</v>
      </c>
      <c r="P516" s="133">
        <v>270.596</v>
      </c>
      <c r="Q516" s="134"/>
      <c r="R516" s="135"/>
      <c r="T516" s="37"/>
      <c r="U516" s="37"/>
    </row>
    <row r="517" spans="1:21" s="23" customFormat="1" x14ac:dyDescent="0.25">
      <c r="A517" s="127">
        <v>45082</v>
      </c>
      <c r="B517" s="128" t="s">
        <v>62</v>
      </c>
      <c r="C517" s="129" t="str">
        <f t="shared" si="17"/>
        <v>05.06.2023_VORuhSc</v>
      </c>
      <c r="D517" s="143">
        <f t="shared" ref="D517:D580" si="18">COUNTBLANK(E517:P517)</f>
        <v>0</v>
      </c>
      <c r="E517" s="130">
        <v>3.56941110893742E-6</v>
      </c>
      <c r="F517" s="131">
        <v>6.5513299340420102E-4</v>
      </c>
      <c r="G517" s="131">
        <v>0.44347509532650198</v>
      </c>
      <c r="H517" s="131">
        <v>6.6814786901840699E-3</v>
      </c>
      <c r="I517" s="131">
        <v>1.44739083361931E-5</v>
      </c>
      <c r="J517" s="131">
        <v>2.7047982914141602E-3</v>
      </c>
      <c r="K517" s="132">
        <v>244.50727071993501</v>
      </c>
      <c r="L517" s="133">
        <v>23.112359039048201</v>
      </c>
      <c r="M517" s="133">
        <v>42.070386164518197</v>
      </c>
      <c r="N517" s="133">
        <v>7.5256895271936299</v>
      </c>
      <c r="O517" s="131">
        <v>8.1570861913975905E-4</v>
      </c>
      <c r="P517" s="133">
        <v>308.66000000000003</v>
      </c>
      <c r="Q517" s="134"/>
      <c r="R517" s="135"/>
      <c r="T517" s="37"/>
      <c r="U517" s="37"/>
    </row>
    <row r="518" spans="1:21" s="23" customFormat="1" x14ac:dyDescent="0.25">
      <c r="A518" s="127">
        <v>45082</v>
      </c>
      <c r="B518" s="128" t="s">
        <v>64</v>
      </c>
      <c r="C518" s="129" t="str">
        <f t="shared" si="17"/>
        <v>05.06.2023_WITob</v>
      </c>
      <c r="D518" s="143">
        <f t="shared" si="18"/>
        <v>0</v>
      </c>
      <c r="E518" s="130">
        <v>3.3011893634571902E-6</v>
      </c>
      <c r="F518" s="131">
        <v>9.2598475087254896E-4</v>
      </c>
      <c r="G518" s="131">
        <v>0.46969433749175898</v>
      </c>
      <c r="H518" s="131">
        <v>5.7080087319912797E-3</v>
      </c>
      <c r="I518" s="131">
        <v>1.15920365022776E-5</v>
      </c>
      <c r="J518" s="131">
        <v>1.71985656714983E-3</v>
      </c>
      <c r="K518" s="132">
        <v>277.16760086395198</v>
      </c>
      <c r="L518" s="133">
        <v>31.759920190729201</v>
      </c>
      <c r="M518" s="133">
        <v>101.01043685967799</v>
      </c>
      <c r="N518" s="133">
        <v>7.0301722560940201</v>
      </c>
      <c r="O518" s="131">
        <v>2.7855413437509398E-4</v>
      </c>
      <c r="P518" s="133">
        <v>327.69200000000001</v>
      </c>
      <c r="Q518" s="134"/>
      <c r="R518" s="135"/>
      <c r="T518" s="37"/>
      <c r="U518" s="37"/>
    </row>
    <row r="519" spans="1:21" s="23" customFormat="1" x14ac:dyDescent="0.25">
      <c r="A519" s="127">
        <v>45124</v>
      </c>
      <c r="B519" s="128" t="s">
        <v>22</v>
      </c>
      <c r="C519" s="129" t="str">
        <f t="shared" si="17"/>
        <v>17.07.2023_BOYkl</v>
      </c>
      <c r="D519" s="143">
        <f t="shared" si="18"/>
        <v>12</v>
      </c>
      <c r="E519" s="130"/>
      <c r="F519" s="131"/>
      <c r="G519" s="131"/>
      <c r="H519" s="131"/>
      <c r="I519" s="131"/>
      <c r="J519" s="131"/>
      <c r="K519" s="132"/>
      <c r="L519" s="133"/>
      <c r="M519" s="133"/>
      <c r="N519" s="133"/>
      <c r="O519" s="131"/>
      <c r="P519" s="133"/>
      <c r="Q519" s="134"/>
      <c r="R519" s="135" t="s">
        <v>341</v>
      </c>
      <c r="T519" s="37"/>
      <c r="U519" s="37"/>
    </row>
    <row r="520" spans="1:21" s="23" customFormat="1" x14ac:dyDescent="0.25">
      <c r="A520" s="127">
        <v>45124</v>
      </c>
      <c r="B520" s="128" t="s">
        <v>25</v>
      </c>
      <c r="C520" s="129" t="str">
        <f t="shared" si="17"/>
        <v>17.07.2023_BOYohB224</v>
      </c>
      <c r="D520" s="143">
        <f t="shared" si="18"/>
        <v>0</v>
      </c>
      <c r="E520" s="130">
        <v>4.4055343858012797E-6</v>
      </c>
      <c r="F520" s="131">
        <v>1.1684523119161101E-3</v>
      </c>
      <c r="G520" s="131">
        <v>0.32017283209460901</v>
      </c>
      <c r="H520" s="131">
        <v>4.0801732560594196E-3</v>
      </c>
      <c r="I520" s="131">
        <v>1.3380793534396E-5</v>
      </c>
      <c r="J520" s="131">
        <v>1.3596843959571799E-3</v>
      </c>
      <c r="K520" s="132">
        <v>192.97724814174501</v>
      </c>
      <c r="L520" s="133">
        <v>38.210178824817703</v>
      </c>
      <c r="M520" s="133">
        <v>79.131407127520902</v>
      </c>
      <c r="N520" s="133">
        <v>10.6417851014733</v>
      </c>
      <c r="O520" s="131">
        <v>3.06114296589681E-4</v>
      </c>
      <c r="P520" s="133">
        <v>192.76</v>
      </c>
      <c r="Q520" s="134"/>
      <c r="R520" s="135"/>
      <c r="T520" s="37"/>
      <c r="U520" s="37"/>
    </row>
    <row r="521" spans="1:21" s="23" customFormat="1" x14ac:dyDescent="0.25">
      <c r="A521" s="127">
        <v>45124</v>
      </c>
      <c r="B521" s="128" t="s">
        <v>28</v>
      </c>
      <c r="C521" s="129" t="str">
        <f t="shared" si="17"/>
        <v>17.07.2023_BOYohBr</v>
      </c>
      <c r="D521" s="143">
        <f t="shared" si="18"/>
        <v>0</v>
      </c>
      <c r="E521" s="130">
        <v>8.4345323274245104E-6</v>
      </c>
      <c r="F521" s="131">
        <v>1.3858351082082199E-3</v>
      </c>
      <c r="G521" s="131">
        <v>0.216006091537019</v>
      </c>
      <c r="H521" s="131">
        <v>2.5116198059676998E-3</v>
      </c>
      <c r="I521" s="131">
        <v>1.76807024552015E-5</v>
      </c>
      <c r="J521" s="131">
        <v>2.21407626560171E-3</v>
      </c>
      <c r="K521" s="132">
        <v>118.31724433072399</v>
      </c>
      <c r="L521" s="133">
        <v>12.6257082614844</v>
      </c>
      <c r="M521" s="133">
        <v>32.805587049481801</v>
      </c>
      <c r="N521" s="133">
        <v>6.9436277003049698</v>
      </c>
      <c r="O521" s="131">
        <v>1.3488783740147299E-4</v>
      </c>
      <c r="P521" s="133">
        <v>152.744</v>
      </c>
      <c r="Q521" s="134"/>
      <c r="R521" s="135"/>
      <c r="T521" s="37"/>
      <c r="U521" s="37"/>
    </row>
    <row r="522" spans="1:21" s="23" customFormat="1" x14ac:dyDescent="0.25">
      <c r="A522" s="127">
        <v>45124</v>
      </c>
      <c r="B522" s="128" t="s">
        <v>30</v>
      </c>
      <c r="C522" s="129" t="str">
        <f t="shared" si="17"/>
        <v>17.07.2023_BOYohKi</v>
      </c>
      <c r="D522" s="143">
        <f t="shared" si="18"/>
        <v>0</v>
      </c>
      <c r="E522" s="130">
        <v>4.7067674494393598E-6</v>
      </c>
      <c r="F522" s="131">
        <v>1.06106239278896E-3</v>
      </c>
      <c r="G522" s="131">
        <v>0.295660083435001</v>
      </c>
      <c r="H522" s="131">
        <v>3.9006272560776802E-3</v>
      </c>
      <c r="I522" s="131">
        <v>1.22381614402829E-5</v>
      </c>
      <c r="J522" s="131">
        <v>9.7156495564891304E-4</v>
      </c>
      <c r="K522" s="132">
        <v>170.73035593255199</v>
      </c>
      <c r="L522" s="133">
        <v>19.0382951066095</v>
      </c>
      <c r="M522" s="133">
        <v>49.948778870443903</v>
      </c>
      <c r="N522" s="133">
        <v>8.3238977092572295</v>
      </c>
      <c r="O522" s="131">
        <v>3.06805356419976E-4</v>
      </c>
      <c r="P522" s="133">
        <v>200.08</v>
      </c>
      <c r="Q522" s="134"/>
      <c r="R522" s="135"/>
      <c r="T522" s="37"/>
      <c r="U522" s="37"/>
    </row>
    <row r="523" spans="1:21" s="23" customFormat="1" x14ac:dyDescent="0.25">
      <c r="A523" s="127">
        <v>45124</v>
      </c>
      <c r="B523" s="128" t="s">
        <v>32</v>
      </c>
      <c r="C523" s="129" t="str">
        <f t="shared" si="17"/>
        <v>17.07.2023_BOYohSp</v>
      </c>
      <c r="D523" s="143">
        <f t="shared" si="18"/>
        <v>0</v>
      </c>
      <c r="E523" s="130">
        <v>4.0289926261067397E-6</v>
      </c>
      <c r="F523" s="131">
        <v>1.1794015168338199E-3</v>
      </c>
      <c r="G523" s="131">
        <v>0.201866035881658</v>
      </c>
      <c r="H523" s="131">
        <v>2.3884828393179501E-3</v>
      </c>
      <c r="I523" s="131">
        <v>1.2899685787992799E-5</v>
      </c>
      <c r="J523" s="131">
        <v>1.23646817500413E-3</v>
      </c>
      <c r="K523" s="132">
        <v>121.54593305149599</v>
      </c>
      <c r="L523" s="133">
        <v>12.8768137738283</v>
      </c>
      <c r="M523" s="133">
        <v>34.260374725535499</v>
      </c>
      <c r="N523" s="133">
        <v>6.6354377215137097</v>
      </c>
      <c r="O523" s="131">
        <v>1.2700771595748901E-4</v>
      </c>
      <c r="P523" s="133">
        <v>150.06</v>
      </c>
      <c r="Q523" s="134"/>
      <c r="R523" s="135"/>
      <c r="T523" s="37"/>
      <c r="U523" s="37"/>
    </row>
    <row r="524" spans="1:21" s="23" customFormat="1" x14ac:dyDescent="0.25">
      <c r="A524" s="127">
        <v>45124</v>
      </c>
      <c r="B524" s="128" t="s">
        <v>34</v>
      </c>
      <c r="C524" s="129" t="str">
        <f t="shared" si="17"/>
        <v>17.07.2023_BOYuhHa</v>
      </c>
      <c r="D524" s="143">
        <f t="shared" si="18"/>
        <v>0</v>
      </c>
      <c r="E524" s="130">
        <v>3.6524512544594901E-6</v>
      </c>
      <c r="F524" s="131">
        <v>1.93070691859042E-3</v>
      </c>
      <c r="G524" s="131">
        <v>0.32403279627678</v>
      </c>
      <c r="H524" s="131">
        <v>4.0360049870014096E-3</v>
      </c>
      <c r="I524" s="131">
        <v>1.2328369515833199E-5</v>
      </c>
      <c r="J524" s="131">
        <v>9.8244100205678304E-4</v>
      </c>
      <c r="K524" s="132">
        <v>197.93744121498401</v>
      </c>
      <c r="L524" s="133">
        <v>42.221117138526203</v>
      </c>
      <c r="M524" s="133">
        <v>99.068319344817496</v>
      </c>
      <c r="N524" s="133">
        <v>11.3862567573437</v>
      </c>
      <c r="O524" s="131">
        <v>2.6319641774996699E-4</v>
      </c>
      <c r="P524" s="133">
        <v>233.50800000000001</v>
      </c>
      <c r="Q524" s="134"/>
      <c r="R524" s="135"/>
      <c r="T524" s="37"/>
      <c r="U524" s="37"/>
    </row>
    <row r="525" spans="1:21" s="23" customFormat="1" x14ac:dyDescent="0.25">
      <c r="A525" s="127">
        <v>45124</v>
      </c>
      <c r="B525" s="128" t="s">
        <v>36</v>
      </c>
      <c r="C525" s="129" t="str">
        <f t="shared" si="17"/>
        <v>17.07.2023_BOYuhSp</v>
      </c>
      <c r="D525" s="143">
        <f t="shared" si="18"/>
        <v>0</v>
      </c>
      <c r="E525" s="130">
        <v>4.6314598882386403E-6</v>
      </c>
      <c r="F525" s="131">
        <v>1.7440343903309E-3</v>
      </c>
      <c r="G525" s="131">
        <v>0.211759688676636</v>
      </c>
      <c r="H525" s="131">
        <v>2.4840074320950502E-3</v>
      </c>
      <c r="I525" s="131">
        <v>1.0734699084505101E-5</v>
      </c>
      <c r="J525" s="131">
        <v>1.21292236945517E-3</v>
      </c>
      <c r="K525" s="132">
        <v>120.417273569036</v>
      </c>
      <c r="L525" s="133">
        <v>13.519968144042901</v>
      </c>
      <c r="M525" s="133">
        <v>35.229294124473199</v>
      </c>
      <c r="N525" s="133">
        <v>6.5037199154519598</v>
      </c>
      <c r="O525" s="131">
        <v>1.57320533334742E-4</v>
      </c>
      <c r="P525" s="133">
        <v>145.91200000000001</v>
      </c>
      <c r="Q525" s="134"/>
      <c r="R525" s="135"/>
      <c r="T525" s="37"/>
      <c r="U525" s="37"/>
    </row>
    <row r="526" spans="1:21" s="23" customFormat="1" x14ac:dyDescent="0.25">
      <c r="A526" s="127">
        <v>45124</v>
      </c>
      <c r="B526" s="128" t="s">
        <v>38</v>
      </c>
      <c r="C526" s="129" t="str">
        <f t="shared" si="17"/>
        <v>17.07.2023_BRAob</v>
      </c>
      <c r="D526" s="143">
        <f t="shared" si="18"/>
        <v>0</v>
      </c>
      <c r="E526" s="130">
        <v>7.6814485810642294E-6</v>
      </c>
      <c r="F526" s="131">
        <v>1.01548466041753E-3</v>
      </c>
      <c r="G526" s="131">
        <v>0.29253775678121402</v>
      </c>
      <c r="H526" s="131">
        <v>3.2139648322044999E-3</v>
      </c>
      <c r="I526" s="131">
        <v>1.22381632586413E-5</v>
      </c>
      <c r="J526" s="131">
        <v>1.2275549340347101E-3</v>
      </c>
      <c r="K526" s="132">
        <v>171.30701956732599</v>
      </c>
      <c r="L526" s="133">
        <v>6.7303505326112703</v>
      </c>
      <c r="M526" s="133">
        <v>26.1764227113005</v>
      </c>
      <c r="N526" s="133">
        <v>4.2186226983455102</v>
      </c>
      <c r="O526" s="131">
        <v>2.41814744564161E-4</v>
      </c>
      <c r="P526" s="133">
        <v>166.16399999999999</v>
      </c>
      <c r="Q526" s="134"/>
      <c r="R526" s="135"/>
      <c r="T526" s="37"/>
      <c r="U526" s="37"/>
    </row>
    <row r="527" spans="1:21" s="23" customFormat="1" x14ac:dyDescent="0.25">
      <c r="A527" s="127">
        <v>45124</v>
      </c>
      <c r="B527" s="128" t="s">
        <v>41</v>
      </c>
      <c r="C527" s="129" t="str">
        <f t="shared" si="17"/>
        <v>17.07.2023_BRAohBo</v>
      </c>
      <c r="D527" s="143">
        <f t="shared" si="18"/>
        <v>0</v>
      </c>
      <c r="E527" s="130">
        <v>1.8789454184964299E-5</v>
      </c>
      <c r="F527" s="131">
        <v>1.8394616370175901E-3</v>
      </c>
      <c r="G527" s="131">
        <v>0.304443783715655</v>
      </c>
      <c r="H527" s="131">
        <v>5.1527381532071297E-3</v>
      </c>
      <c r="I527" s="131">
        <v>2.2221172946559901E-5</v>
      </c>
      <c r="J527" s="131">
        <v>3.7609748134890902E-3</v>
      </c>
      <c r="K527" s="132">
        <v>174.39091477509001</v>
      </c>
      <c r="L527" s="133">
        <v>11.631123882706101</v>
      </c>
      <c r="M527" s="133">
        <v>38.8372289158687</v>
      </c>
      <c r="N527" s="133">
        <v>7.7441531638575603</v>
      </c>
      <c r="O527" s="131">
        <v>3.0770782770408198E-4</v>
      </c>
      <c r="P527" s="133">
        <v>189.1</v>
      </c>
      <c r="Q527" s="134"/>
      <c r="R527" s="135"/>
      <c r="T527" s="37"/>
      <c r="U527" s="37"/>
    </row>
    <row r="528" spans="1:21" s="23" customFormat="1" x14ac:dyDescent="0.25">
      <c r="A528" s="127">
        <v>45124</v>
      </c>
      <c r="B528" s="128" t="s">
        <v>43</v>
      </c>
      <c r="C528" s="129" t="str">
        <f t="shared" si="17"/>
        <v>17.07.2023_HAAob</v>
      </c>
      <c r="D528" s="143">
        <f t="shared" si="18"/>
        <v>0</v>
      </c>
      <c r="E528" s="130">
        <v>4.5561510384274799E-6</v>
      </c>
      <c r="F528" s="131">
        <v>7.2833671784543999E-4</v>
      </c>
      <c r="G528" s="131">
        <v>0.27383663426427801</v>
      </c>
      <c r="H528" s="131">
        <v>2.98580958014672E-3</v>
      </c>
      <c r="I528" s="131">
        <v>1.40122495545776E-5</v>
      </c>
      <c r="J528" s="131">
        <v>1.60631265094051E-3</v>
      </c>
      <c r="K528" s="132">
        <v>165.53402621240099</v>
      </c>
      <c r="L528" s="133">
        <v>36.7204376350535</v>
      </c>
      <c r="M528" s="133">
        <v>48.696051320000201</v>
      </c>
      <c r="N528" s="133">
        <v>6.6006968382364199</v>
      </c>
      <c r="O528" s="131">
        <v>1.5228088318434399E-4</v>
      </c>
      <c r="P528" s="133">
        <v>208.864</v>
      </c>
      <c r="Q528" s="134"/>
      <c r="R528" s="135"/>
      <c r="T528" s="37"/>
      <c r="U528" s="37"/>
    </row>
    <row r="529" spans="1:21" s="23" customFormat="1" x14ac:dyDescent="0.25">
      <c r="A529" s="127">
        <v>45124</v>
      </c>
      <c r="B529" s="128" t="s">
        <v>45</v>
      </c>
      <c r="C529" s="129" t="str">
        <f t="shared" si="17"/>
        <v>17.07.2023_HAAun</v>
      </c>
      <c r="D529" s="143">
        <f t="shared" si="18"/>
        <v>0</v>
      </c>
      <c r="E529" s="130">
        <v>3.08763901760846E-6</v>
      </c>
      <c r="F529" s="131">
        <v>9.7826940573927999E-4</v>
      </c>
      <c r="G529" s="131">
        <v>0.38643490977366501</v>
      </c>
      <c r="H529" s="131">
        <v>4.1284171112821897E-3</v>
      </c>
      <c r="I529" s="131">
        <v>1.4974465684688E-5</v>
      </c>
      <c r="J529" s="131">
        <v>1.16537846909978E-3</v>
      </c>
      <c r="K529" s="132">
        <v>239.60994346432</v>
      </c>
      <c r="L529" s="133">
        <v>65.350397867774703</v>
      </c>
      <c r="M529" s="133">
        <v>84.875011193568497</v>
      </c>
      <c r="N529" s="133">
        <v>11.3859068504439</v>
      </c>
      <c r="O529" s="131">
        <v>2.3079895630690299E-4</v>
      </c>
      <c r="P529" s="133">
        <v>256.2</v>
      </c>
      <c r="Q529" s="134"/>
      <c r="R529" s="135"/>
      <c r="T529" s="37"/>
      <c r="U529" s="37"/>
    </row>
    <row r="530" spans="1:21" s="23" customFormat="1" x14ac:dyDescent="0.25">
      <c r="A530" s="127">
        <v>45124</v>
      </c>
      <c r="B530" s="128" t="s">
        <v>47</v>
      </c>
      <c r="C530" s="129" t="str">
        <f t="shared" si="17"/>
        <v>17.07.2023_KIRob</v>
      </c>
      <c r="D530" s="143">
        <f t="shared" si="18"/>
        <v>0</v>
      </c>
      <c r="E530" s="130">
        <v>8.7357654716002296E-6</v>
      </c>
      <c r="F530" s="131">
        <v>1.4609451267311199E-3</v>
      </c>
      <c r="G530" s="131">
        <v>0.28500813649351198</v>
      </c>
      <c r="H530" s="131">
        <v>4.20371949781466E-3</v>
      </c>
      <c r="I530" s="131">
        <v>1.73800102518316E-5</v>
      </c>
      <c r="J530" s="131">
        <v>1.28481290161864E-3</v>
      </c>
      <c r="K530" s="132">
        <v>186.496251131744</v>
      </c>
      <c r="L530" s="133">
        <v>20.189623028478501</v>
      </c>
      <c r="M530" s="133">
        <v>155.84609562373501</v>
      </c>
      <c r="N530" s="133">
        <v>9.5418943190730108</v>
      </c>
      <c r="O530" s="131">
        <v>2.7423051893501902E-4</v>
      </c>
      <c r="P530" s="133">
        <v>156.16</v>
      </c>
      <c r="Q530" s="134"/>
      <c r="R530" s="135"/>
      <c r="T530" s="37"/>
      <c r="U530" s="37"/>
    </row>
    <row r="531" spans="1:21" s="23" customFormat="1" x14ac:dyDescent="0.25">
      <c r="A531" s="127">
        <v>45124</v>
      </c>
      <c r="B531" s="128" t="s">
        <v>49</v>
      </c>
      <c r="C531" s="129" t="str">
        <f t="shared" si="17"/>
        <v>17.07.2023_KIRun</v>
      </c>
      <c r="D531" s="143">
        <f t="shared" si="18"/>
        <v>0</v>
      </c>
      <c r="E531" s="130">
        <v>4.8197308120156898E-6</v>
      </c>
      <c r="F531" s="131">
        <v>1.2333355577823901E-3</v>
      </c>
      <c r="G531" s="131">
        <v>0.29678856214011801</v>
      </c>
      <c r="H531" s="131">
        <v>3.7495558668080601E-3</v>
      </c>
      <c r="I531" s="131">
        <v>1.29898934250322E-5</v>
      </c>
      <c r="J531" s="131">
        <v>9.3050032431278497E-4</v>
      </c>
      <c r="K531" s="132">
        <v>178.30736596264401</v>
      </c>
      <c r="L531" s="133">
        <v>17.552834008112701</v>
      </c>
      <c r="M531" s="133">
        <v>110.483481286905</v>
      </c>
      <c r="N531" s="133">
        <v>7.9544884602188102</v>
      </c>
      <c r="O531" s="131">
        <v>1.9583767734401299E-4</v>
      </c>
      <c r="P531" s="133">
        <v>219.84399999999999</v>
      </c>
      <c r="Q531" s="134"/>
      <c r="R531" s="135"/>
      <c r="T531" s="37"/>
      <c r="U531" s="37"/>
    </row>
    <row r="532" spans="1:21" s="23" customFormat="1" x14ac:dyDescent="0.25">
      <c r="A532" s="127">
        <v>45124</v>
      </c>
      <c r="B532" s="128" t="s">
        <v>50</v>
      </c>
      <c r="C532" s="129" t="str">
        <f t="shared" si="17"/>
        <v>17.07.2023_LIEohBo</v>
      </c>
      <c r="D532" s="143">
        <f t="shared" si="18"/>
        <v>0</v>
      </c>
      <c r="E532" s="130">
        <v>5.8740472559318201E-6</v>
      </c>
      <c r="F532" s="131">
        <v>1.6199715981127199E-3</v>
      </c>
      <c r="G532" s="131">
        <v>0.22564002466736399</v>
      </c>
      <c r="H532" s="131">
        <v>4.2302640832943897E-3</v>
      </c>
      <c r="I532" s="131">
        <v>1.6177237667148201E-5</v>
      </c>
      <c r="J532" s="131">
        <v>8.76014199403462E-4</v>
      </c>
      <c r="K532" s="132">
        <v>129.31284229531801</v>
      </c>
      <c r="L532" s="133">
        <v>14.9963599798755</v>
      </c>
      <c r="M532" s="133">
        <v>47.613940792807398</v>
      </c>
      <c r="N532" s="133">
        <v>8.1081940199855396</v>
      </c>
      <c r="O532" s="131">
        <v>3.5767678805753798E-4</v>
      </c>
      <c r="P532" s="133">
        <v>198.37200000000001</v>
      </c>
      <c r="Q532" s="134"/>
      <c r="R532" s="135"/>
      <c r="T532" s="37"/>
      <c r="U532" s="37"/>
    </row>
    <row r="533" spans="1:21" s="23" customFormat="1" x14ac:dyDescent="0.25">
      <c r="A533" s="127">
        <v>45124</v>
      </c>
      <c r="B533" s="128" t="s">
        <v>53</v>
      </c>
      <c r="C533" s="129" t="str">
        <f t="shared" si="17"/>
        <v>17.07.2023_NATohBo</v>
      </c>
      <c r="D533" s="143">
        <f t="shared" si="18"/>
        <v>0</v>
      </c>
      <c r="E533" s="130">
        <v>7.2672518619828899E-6</v>
      </c>
      <c r="F533" s="131">
        <v>1.3900106842372299E-3</v>
      </c>
      <c r="G533" s="131">
        <v>0.49699993002068099</v>
      </c>
      <c r="H533" s="131">
        <v>6.1243589531596301E-3</v>
      </c>
      <c r="I533" s="131">
        <v>1.38619023683073E-5</v>
      </c>
      <c r="J533" s="131">
        <v>1.55595360113859E-3</v>
      </c>
      <c r="K533" s="132">
        <v>369.49371443926998</v>
      </c>
      <c r="L533" s="133">
        <v>135.15298987424401</v>
      </c>
      <c r="M533" s="133">
        <v>470.04514452630002</v>
      </c>
      <c r="N533" s="133">
        <v>32.5040091843711</v>
      </c>
      <c r="O533" s="131">
        <v>3.9813592145577701E-4</v>
      </c>
      <c r="P533" s="133">
        <v>341.6</v>
      </c>
      <c r="Q533" s="134"/>
      <c r="R533" s="135"/>
      <c r="T533" s="37"/>
      <c r="U533" s="37"/>
    </row>
    <row r="534" spans="1:21" s="23" customFormat="1" x14ac:dyDescent="0.25">
      <c r="A534" s="127">
        <v>45124</v>
      </c>
      <c r="B534" s="128" t="s">
        <v>55</v>
      </c>
      <c r="C534" s="129" t="str">
        <f t="shared" si="17"/>
        <v>17.07.2023_QUAohBo</v>
      </c>
      <c r="D534" s="143">
        <f t="shared" si="18"/>
        <v>12</v>
      </c>
      <c r="E534" s="130"/>
      <c r="F534" s="131"/>
      <c r="G534" s="131"/>
      <c r="H534" s="131"/>
      <c r="I534" s="131"/>
      <c r="J534" s="131"/>
      <c r="K534" s="132"/>
      <c r="L534" s="133"/>
      <c r="M534" s="133"/>
      <c r="N534" s="133"/>
      <c r="O534" s="131"/>
      <c r="P534" s="133"/>
      <c r="Q534" s="134"/>
      <c r="R534" s="135" t="s">
        <v>341</v>
      </c>
      <c r="T534" s="37"/>
      <c r="U534" s="37"/>
    </row>
    <row r="535" spans="1:21" s="23" customFormat="1" x14ac:dyDescent="0.25">
      <c r="A535" s="127">
        <v>45124</v>
      </c>
      <c r="B535" s="128" t="s">
        <v>57</v>
      </c>
      <c r="C535" s="129" t="str">
        <f t="shared" si="17"/>
        <v>17.07.2023_SCHohVo</v>
      </c>
      <c r="D535" s="143">
        <f t="shared" si="18"/>
        <v>12</v>
      </c>
      <c r="E535" s="130"/>
      <c r="F535" s="131"/>
      <c r="G535" s="131"/>
      <c r="H535" s="131"/>
      <c r="I535" s="131"/>
      <c r="J535" s="131"/>
      <c r="K535" s="132"/>
      <c r="L535" s="133"/>
      <c r="M535" s="133"/>
      <c r="N535" s="133"/>
      <c r="O535" s="131"/>
      <c r="P535" s="133"/>
      <c r="Q535" s="134"/>
      <c r="R535" s="135" t="s">
        <v>341</v>
      </c>
      <c r="T535" s="37"/>
      <c r="U535" s="37"/>
    </row>
    <row r="536" spans="1:21" s="23" customFormat="1" x14ac:dyDescent="0.25">
      <c r="A536" s="127">
        <v>45124</v>
      </c>
      <c r="B536" s="128" t="s">
        <v>60</v>
      </c>
      <c r="C536" s="129" t="str">
        <f t="shared" si="17"/>
        <v>17.07.2023_VORohBo</v>
      </c>
      <c r="D536" s="143">
        <f t="shared" si="18"/>
        <v>0</v>
      </c>
      <c r="E536" s="130">
        <v>7.1166353045382597E-6</v>
      </c>
      <c r="F536" s="131">
        <v>1.5887272582040799E-3</v>
      </c>
      <c r="G536" s="131">
        <v>0.34684962615304599</v>
      </c>
      <c r="H536" s="131">
        <v>4.5615539970940196E-3</v>
      </c>
      <c r="I536" s="131">
        <v>2.5438599355667299E-5</v>
      </c>
      <c r="J536" s="131">
        <v>1.30622278615927E-3</v>
      </c>
      <c r="K536" s="132">
        <v>223.36798739126701</v>
      </c>
      <c r="L536" s="133">
        <v>25.515065351593599</v>
      </c>
      <c r="M536" s="133">
        <v>51.943641949803201</v>
      </c>
      <c r="N536" s="133">
        <v>9.8141914839677504</v>
      </c>
      <c r="O536" s="131">
        <v>3.8312152792497098E-4</v>
      </c>
      <c r="P536" s="133">
        <v>236.19200000000001</v>
      </c>
      <c r="Q536" s="134"/>
      <c r="R536" s="135"/>
      <c r="T536" s="37"/>
      <c r="U536" s="37"/>
    </row>
    <row r="537" spans="1:21" s="23" customFormat="1" x14ac:dyDescent="0.25">
      <c r="A537" s="127">
        <v>45124</v>
      </c>
      <c r="B537" s="128" t="s">
        <v>62</v>
      </c>
      <c r="C537" s="129" t="str">
        <f t="shared" si="17"/>
        <v>17.07.2023_VORuhSc</v>
      </c>
      <c r="D537" s="143">
        <f t="shared" si="18"/>
        <v>0</v>
      </c>
      <c r="E537" s="130">
        <v>5.5351596209550199E-6</v>
      </c>
      <c r="F537" s="131">
        <v>9.3592134208886704E-4</v>
      </c>
      <c r="G537" s="131">
        <v>0.34889521054127898</v>
      </c>
      <c r="H537" s="131">
        <v>4.3131054476715901E-3</v>
      </c>
      <c r="I537" s="131">
        <v>1.0945184247212E-5</v>
      </c>
      <c r="J537" s="131">
        <v>1.18115395615043E-3</v>
      </c>
      <c r="K537" s="132">
        <v>238.933937252882</v>
      </c>
      <c r="L537" s="133">
        <v>24.358270826960901</v>
      </c>
      <c r="M537" s="133">
        <v>47.293221693874401</v>
      </c>
      <c r="N537" s="133">
        <v>8.3810218786787498</v>
      </c>
      <c r="O537" s="131">
        <v>4.1455070046655002E-4</v>
      </c>
      <c r="P537" s="133">
        <v>240.828</v>
      </c>
      <c r="Q537" s="134"/>
      <c r="R537" s="135"/>
      <c r="T537" s="37"/>
      <c r="U537" s="37"/>
    </row>
    <row r="538" spans="1:21" s="23" customFormat="1" x14ac:dyDescent="0.25">
      <c r="A538" s="127">
        <v>45124</v>
      </c>
      <c r="B538" s="128" t="s">
        <v>64</v>
      </c>
      <c r="C538" s="129" t="str">
        <f t="shared" si="17"/>
        <v>17.07.2023_WITob</v>
      </c>
      <c r="D538" s="143">
        <f t="shared" si="18"/>
        <v>0</v>
      </c>
      <c r="E538" s="130">
        <v>2.1086310354561798E-6</v>
      </c>
      <c r="F538" s="131">
        <v>7.8046274034242603E-4</v>
      </c>
      <c r="G538" s="131">
        <v>0.39448735501131199</v>
      </c>
      <c r="H538" s="131">
        <v>4.4246983693335597E-3</v>
      </c>
      <c r="I538" s="131">
        <v>8.7200607658834694E-6</v>
      </c>
      <c r="J538" s="131">
        <v>8.4459645402681601E-4</v>
      </c>
      <c r="K538" s="132">
        <v>252.025849930611</v>
      </c>
      <c r="L538" s="133">
        <v>28.948459745579299</v>
      </c>
      <c r="M538" s="133">
        <v>102.533439790692</v>
      </c>
      <c r="N538" s="133">
        <v>8.7874570954763591</v>
      </c>
      <c r="O538" s="131">
        <v>1.94673164688619E-4</v>
      </c>
      <c r="P538" s="133">
        <v>184.952</v>
      </c>
      <c r="Q538" s="134"/>
      <c r="R538" s="135"/>
      <c r="T538" s="37"/>
      <c r="U538" s="37"/>
    </row>
    <row r="539" spans="1:21" s="23" customFormat="1" x14ac:dyDescent="0.25">
      <c r="A539" s="127">
        <v>45149</v>
      </c>
      <c r="B539" s="128" t="s">
        <v>22</v>
      </c>
      <c r="C539" s="129" t="str">
        <f t="shared" si="17"/>
        <v>11.08.2023_BOYkl</v>
      </c>
      <c r="D539" s="143">
        <f t="shared" si="18"/>
        <v>0</v>
      </c>
      <c r="E539" s="130">
        <v>1.3170665877908E-4</v>
      </c>
      <c r="F539" s="131">
        <v>2.8306054696601202E-3</v>
      </c>
      <c r="G539" s="131">
        <v>0.25222170241344199</v>
      </c>
      <c r="H539" s="131">
        <v>1.0984086610048099E-2</v>
      </c>
      <c r="I539" s="131">
        <v>6.0403990690347897E-5</v>
      </c>
      <c r="J539" s="131">
        <v>7.9779992179143302E-3</v>
      </c>
      <c r="K539" s="132">
        <v>60.246501288262102</v>
      </c>
      <c r="L539" s="133">
        <v>5.99937631727758</v>
      </c>
      <c r="M539" s="133">
        <v>13.055699883162699</v>
      </c>
      <c r="N539" s="133">
        <v>9.18476591011812</v>
      </c>
      <c r="O539" s="131">
        <v>9.6678757906272603E-4</v>
      </c>
      <c r="P539" s="133">
        <v>101.01600000000001</v>
      </c>
      <c r="Q539" s="134"/>
      <c r="R539" s="135"/>
      <c r="T539" s="37"/>
      <c r="U539" s="37"/>
    </row>
    <row r="540" spans="1:21" s="23" customFormat="1" x14ac:dyDescent="0.25">
      <c r="A540" s="127">
        <v>45149</v>
      </c>
      <c r="B540" s="128" t="s">
        <v>25</v>
      </c>
      <c r="C540" s="129" t="str">
        <f t="shared" si="17"/>
        <v>11.08.2023_BOYohB224</v>
      </c>
      <c r="D540" s="143">
        <f t="shared" si="18"/>
        <v>0</v>
      </c>
      <c r="E540" s="130">
        <v>1.25583861969645E-5</v>
      </c>
      <c r="F540" s="131">
        <v>1.7859937882481001E-3</v>
      </c>
      <c r="G540" s="131">
        <v>0.43587840897323799</v>
      </c>
      <c r="H540" s="131">
        <v>7.9909780773921198E-3</v>
      </c>
      <c r="I540" s="131">
        <v>1.7360681574786E-5</v>
      </c>
      <c r="J540" s="131">
        <v>1.90996606621575E-3</v>
      </c>
      <c r="K540" s="132">
        <v>131.31840105074599</v>
      </c>
      <c r="L540" s="133">
        <v>16.1084617960869</v>
      </c>
      <c r="M540" s="133">
        <v>29.824754068187001</v>
      </c>
      <c r="N540" s="133">
        <v>8.4214431336164797</v>
      </c>
      <c r="O540" s="131">
        <v>6.6275898303040995E-4</v>
      </c>
      <c r="P540" s="133">
        <v>208.376</v>
      </c>
      <c r="Q540" s="134"/>
      <c r="R540" s="135"/>
      <c r="T540" s="37"/>
      <c r="U540" s="37"/>
    </row>
    <row r="541" spans="1:21" s="23" customFormat="1" x14ac:dyDescent="0.25">
      <c r="A541" s="127">
        <v>45149</v>
      </c>
      <c r="B541" s="128" t="s">
        <v>28</v>
      </c>
      <c r="C541" s="129" t="str">
        <f t="shared" si="17"/>
        <v>11.08.2023_BOYohBr</v>
      </c>
      <c r="D541" s="143">
        <f t="shared" si="18"/>
        <v>0</v>
      </c>
      <c r="E541" s="130">
        <v>2.6063413349596299E-5</v>
      </c>
      <c r="F541" s="131">
        <v>2.7857589816675001E-3</v>
      </c>
      <c r="G541" s="131">
        <v>0.33230019269257299</v>
      </c>
      <c r="H541" s="131">
        <v>8.4557985876696495E-3</v>
      </c>
      <c r="I541" s="131">
        <v>1.9321534336326E-5</v>
      </c>
      <c r="J541" s="131">
        <v>4.11815009805039E-3</v>
      </c>
      <c r="K541" s="132">
        <v>75.858234753259595</v>
      </c>
      <c r="L541" s="133">
        <v>6.3697828426091299</v>
      </c>
      <c r="M541" s="133">
        <v>11.7686400354676</v>
      </c>
      <c r="N541" s="133">
        <v>7.1167423329260204</v>
      </c>
      <c r="O541" s="131">
        <v>5.3449053338710498E-4</v>
      </c>
      <c r="P541" s="133">
        <v>145.91200000000001</v>
      </c>
      <c r="Q541" s="134"/>
      <c r="R541" s="135"/>
      <c r="T541" s="37"/>
      <c r="U541" s="37"/>
    </row>
    <row r="542" spans="1:21" s="23" customFormat="1" x14ac:dyDescent="0.25">
      <c r="A542" s="127">
        <v>45149</v>
      </c>
      <c r="B542" s="128" t="s">
        <v>30</v>
      </c>
      <c r="C542" s="129" t="str">
        <f t="shared" si="17"/>
        <v>11.08.2023_BOYohKi</v>
      </c>
      <c r="D542" s="143">
        <f t="shared" si="18"/>
        <v>0</v>
      </c>
      <c r="E542" s="130">
        <v>2.12672328610269E-5</v>
      </c>
      <c r="F542" s="131">
        <v>3.1926491051156298E-3</v>
      </c>
      <c r="G542" s="131">
        <v>0.42225566794305602</v>
      </c>
      <c r="H542" s="131">
        <v>8.7186838343738492E-3</v>
      </c>
      <c r="I542" s="131">
        <v>3.8260547693964701E-5</v>
      </c>
      <c r="J542" s="131">
        <v>4.2379070729596799E-3</v>
      </c>
      <c r="K542" s="132">
        <v>105.366473035718</v>
      </c>
      <c r="L542" s="133">
        <v>8.5370696105797492</v>
      </c>
      <c r="M542" s="133">
        <v>20.5965362161846</v>
      </c>
      <c r="N542" s="133">
        <v>7.1006724648381701</v>
      </c>
      <c r="O542" s="131">
        <v>6.9800192903947899E-4</v>
      </c>
      <c r="P542" s="133">
        <v>180.072</v>
      </c>
      <c r="Q542" s="134"/>
      <c r="R542" s="135"/>
      <c r="T542" s="37"/>
      <c r="U542" s="37"/>
    </row>
    <row r="543" spans="1:21" s="23" customFormat="1" x14ac:dyDescent="0.25">
      <c r="A543" s="127">
        <v>45149</v>
      </c>
      <c r="B543" s="128" t="s">
        <v>32</v>
      </c>
      <c r="C543" s="129" t="str">
        <f t="shared" si="17"/>
        <v>11.08.2023_BOYohSp</v>
      </c>
      <c r="D543" s="143">
        <f t="shared" si="18"/>
        <v>0</v>
      </c>
      <c r="E543" s="130">
        <v>2.49905847213624E-5</v>
      </c>
      <c r="F543" s="131">
        <v>2.3737320067495201E-3</v>
      </c>
      <c r="G543" s="131">
        <v>0.388348945670491</v>
      </c>
      <c r="H543" s="131">
        <v>8.3594558910700702E-3</v>
      </c>
      <c r="I543" s="131">
        <v>2.3147592996602899E-5</v>
      </c>
      <c r="J543" s="131">
        <v>3.8655176408960898E-3</v>
      </c>
      <c r="K543" s="132">
        <v>98.267003009987704</v>
      </c>
      <c r="L543" s="133">
        <v>6.7003207416841102</v>
      </c>
      <c r="M543" s="133">
        <v>17.937122751016499</v>
      </c>
      <c r="N543" s="133">
        <v>6.9792014818941199</v>
      </c>
      <c r="O543" s="131">
        <v>5.5187044679792005E-4</v>
      </c>
      <c r="P543" s="133">
        <v>182.024</v>
      </c>
      <c r="Q543" s="134"/>
      <c r="R543" s="135"/>
      <c r="T543" s="37"/>
      <c r="U543" s="37"/>
    </row>
    <row r="544" spans="1:21" s="23" customFormat="1" x14ac:dyDescent="0.25">
      <c r="A544" s="127">
        <v>45149</v>
      </c>
      <c r="B544" s="128" t="s">
        <v>34</v>
      </c>
      <c r="C544" s="129" t="str">
        <f t="shared" si="17"/>
        <v>11.08.2023_BOYuhHa</v>
      </c>
      <c r="D544" s="143">
        <f t="shared" si="18"/>
        <v>0</v>
      </c>
      <c r="E544" s="130">
        <v>1.3883645757628999E-5</v>
      </c>
      <c r="F544" s="131">
        <v>1.87424719180345E-3</v>
      </c>
      <c r="G544" s="131">
        <v>0.47486004670686499</v>
      </c>
      <c r="H544" s="131">
        <v>1.0121233642395399E-2</v>
      </c>
      <c r="I544" s="131">
        <v>2.17128189786885E-5</v>
      </c>
      <c r="J544" s="131">
        <v>3.2796811944772399E-3</v>
      </c>
      <c r="K544" s="132">
        <v>139.71044667034101</v>
      </c>
      <c r="L544" s="133">
        <v>18.162438742561299</v>
      </c>
      <c r="M544" s="133">
        <v>36.005032439344497</v>
      </c>
      <c r="N544" s="133">
        <v>8.9172366270733203</v>
      </c>
      <c r="O544" s="131">
        <v>6.56077599586878E-4</v>
      </c>
      <c r="P544" s="133">
        <v>216.428</v>
      </c>
      <c r="Q544" s="134"/>
      <c r="R544" s="135"/>
      <c r="T544" s="37"/>
      <c r="U544" s="37"/>
    </row>
    <row r="545" spans="1:21" s="23" customFormat="1" x14ac:dyDescent="0.25">
      <c r="A545" s="127">
        <v>45149</v>
      </c>
      <c r="B545" s="128" t="s">
        <v>36</v>
      </c>
      <c r="C545" s="129" t="str">
        <f t="shared" si="17"/>
        <v>11.08.2023_BOYuhSp</v>
      </c>
      <c r="D545" s="143">
        <f t="shared" si="18"/>
        <v>0</v>
      </c>
      <c r="E545" s="130">
        <v>3.2437298958261197E-5</v>
      </c>
      <c r="F545" s="131">
        <v>2.6932457903189998E-3</v>
      </c>
      <c r="G545" s="131">
        <v>0.38338212458767001</v>
      </c>
      <c r="H545" s="131">
        <v>8.35599903274711E-3</v>
      </c>
      <c r="I545" s="131">
        <v>2.0325874994800901E-5</v>
      </c>
      <c r="J545" s="131">
        <v>3.6538662121555401E-3</v>
      </c>
      <c r="K545" s="132">
        <v>91.4012657395198</v>
      </c>
      <c r="L545" s="133">
        <v>6.6044002654685396</v>
      </c>
      <c r="M545" s="133">
        <v>18.1040441279909</v>
      </c>
      <c r="N545" s="133">
        <v>6.8097393231908603</v>
      </c>
      <c r="O545" s="131">
        <v>6.2523321694647998E-4</v>
      </c>
      <c r="P545" s="133">
        <v>167.14</v>
      </c>
      <c r="Q545" s="134"/>
      <c r="R545" s="135"/>
      <c r="T545" s="37"/>
      <c r="U545" s="37"/>
    </row>
    <row r="546" spans="1:21" s="23" customFormat="1" x14ac:dyDescent="0.25">
      <c r="A546" s="127">
        <v>45149</v>
      </c>
      <c r="B546" s="128" t="s">
        <v>38</v>
      </c>
      <c r="C546" s="129" t="str">
        <f t="shared" si="17"/>
        <v>11.08.2023_BRAob</v>
      </c>
      <c r="D546" s="143">
        <f t="shared" si="18"/>
        <v>0</v>
      </c>
      <c r="E546" s="130">
        <v>1.6534161983019599E-5</v>
      </c>
      <c r="F546" s="131">
        <v>1.6745175468156201E-3</v>
      </c>
      <c r="G546" s="131">
        <v>0.48781749981880701</v>
      </c>
      <c r="H546" s="131">
        <v>8.0348762910909793E-3</v>
      </c>
      <c r="I546" s="131">
        <v>4.4047481741451398E-5</v>
      </c>
      <c r="J546" s="131">
        <v>3.06456349124813E-3</v>
      </c>
      <c r="K546" s="132">
        <v>128.49876692612301</v>
      </c>
      <c r="L546" s="133">
        <v>4.9340259341799104</v>
      </c>
      <c r="M546" s="133">
        <v>16.667219217378001</v>
      </c>
      <c r="N546" s="133">
        <v>4.3635656673933303</v>
      </c>
      <c r="O546" s="131">
        <v>1.1597639683209799E-3</v>
      </c>
      <c r="P546" s="133">
        <v>176.41200000000001</v>
      </c>
      <c r="Q546" s="134"/>
      <c r="R546" s="135"/>
      <c r="T546" s="37"/>
      <c r="U546" s="37"/>
    </row>
    <row r="547" spans="1:21" s="23" customFormat="1" x14ac:dyDescent="0.25">
      <c r="A547" s="127">
        <v>45149</v>
      </c>
      <c r="B547" s="128" t="s">
        <v>41</v>
      </c>
      <c r="C547" s="129" t="str">
        <f t="shared" si="17"/>
        <v>11.08.2023_BRAohBo</v>
      </c>
      <c r="D547" s="143">
        <f t="shared" si="18"/>
        <v>12</v>
      </c>
      <c r="E547" s="130"/>
      <c r="F547" s="131"/>
      <c r="G547" s="131"/>
      <c r="H547" s="131"/>
      <c r="I547" s="131"/>
      <c r="J547" s="131"/>
      <c r="K547" s="132"/>
      <c r="L547" s="133"/>
      <c r="M547" s="133"/>
      <c r="N547" s="133"/>
      <c r="O547" s="131"/>
      <c r="P547" s="133"/>
      <c r="Q547" s="134"/>
      <c r="R547" s="135" t="s">
        <v>341</v>
      </c>
      <c r="T547" s="37"/>
      <c r="U547" s="37"/>
    </row>
    <row r="548" spans="1:21" s="23" customFormat="1" x14ac:dyDescent="0.25">
      <c r="A548" s="127">
        <v>45149</v>
      </c>
      <c r="B548" s="128" t="s">
        <v>43</v>
      </c>
      <c r="C548" s="129" t="str">
        <f t="shared" si="17"/>
        <v>11.08.2023_HAAob</v>
      </c>
      <c r="D548" s="143">
        <f t="shared" si="18"/>
        <v>0</v>
      </c>
      <c r="E548" s="130">
        <v>4.0388752976513803E-6</v>
      </c>
      <c r="F548" s="131">
        <v>8.3610209913803201E-4</v>
      </c>
      <c r="G548" s="131">
        <v>0.34867689261420298</v>
      </c>
      <c r="H548" s="131">
        <v>5.2012585006920298E-3</v>
      </c>
      <c r="I548" s="131">
        <v>2.30519416235539E-5</v>
      </c>
      <c r="J548" s="131">
        <v>2.3589903000838801E-3</v>
      </c>
      <c r="K548" s="132">
        <v>92.744203726513106</v>
      </c>
      <c r="L548" s="133">
        <v>12.7703434901428</v>
      </c>
      <c r="M548" s="133">
        <v>18.490763644201898</v>
      </c>
      <c r="N548" s="133">
        <v>5.7714709379509097</v>
      </c>
      <c r="O548" s="131">
        <v>2.8608331820943901E-4</v>
      </c>
      <c r="P548" s="133">
        <v>174.70400000000001</v>
      </c>
      <c r="Q548" s="134"/>
      <c r="R548" s="135"/>
      <c r="T548" s="37"/>
      <c r="U548" s="37"/>
    </row>
    <row r="549" spans="1:21" s="23" customFormat="1" x14ac:dyDescent="0.25">
      <c r="A549" s="127">
        <v>45149</v>
      </c>
      <c r="B549" s="128" t="s">
        <v>45</v>
      </c>
      <c r="C549" s="129" t="str">
        <f t="shared" si="17"/>
        <v>11.08.2023_HAAun</v>
      </c>
      <c r="D549" s="143">
        <f t="shared" si="18"/>
        <v>0</v>
      </c>
      <c r="E549" s="130">
        <v>1.11700205352265E-5</v>
      </c>
      <c r="F549" s="131">
        <v>2.1124045158397E-3</v>
      </c>
      <c r="G549" s="131">
        <v>0.44770172783962803</v>
      </c>
      <c r="H549" s="131">
        <v>6.7092211250166104E-3</v>
      </c>
      <c r="I549" s="131">
        <v>3.0751887350727298E-5</v>
      </c>
      <c r="J549" s="131">
        <v>5.16519011502296E-3</v>
      </c>
      <c r="K549" s="132">
        <v>125.614168449963</v>
      </c>
      <c r="L549" s="133">
        <v>22.4680650613547</v>
      </c>
      <c r="M549" s="133">
        <v>26.250498156118901</v>
      </c>
      <c r="N549" s="133">
        <v>8.0557004883241401</v>
      </c>
      <c r="O549" s="131">
        <v>5.2410306094537098E-4</v>
      </c>
      <c r="P549" s="133">
        <v>224.48</v>
      </c>
      <c r="Q549" s="134"/>
      <c r="R549" s="135"/>
      <c r="T549" s="37"/>
      <c r="U549" s="37"/>
    </row>
    <row r="550" spans="1:21" s="23" customFormat="1" x14ac:dyDescent="0.25">
      <c r="A550" s="127">
        <v>45149</v>
      </c>
      <c r="B550" s="128" t="s">
        <v>47</v>
      </c>
      <c r="C550" s="129" t="str">
        <f t="shared" si="17"/>
        <v>11.08.2023_KIRob</v>
      </c>
      <c r="D550" s="143">
        <f t="shared" si="18"/>
        <v>0</v>
      </c>
      <c r="E550" s="130">
        <v>1.28108166999102E-5</v>
      </c>
      <c r="F550" s="131">
        <v>1.26167311720733E-3</v>
      </c>
      <c r="G550" s="131">
        <v>0.44331034998843</v>
      </c>
      <c r="H550" s="131">
        <v>8.3955284019927995E-3</v>
      </c>
      <c r="I550" s="131">
        <v>2.1760647785187001E-5</v>
      </c>
      <c r="J550" s="131">
        <v>3.0838695619542999E-3</v>
      </c>
      <c r="K550" s="132">
        <v>154.72985987767501</v>
      </c>
      <c r="L550" s="133">
        <v>14.8072245647054</v>
      </c>
      <c r="M550" s="133">
        <v>62.159634306707801</v>
      </c>
      <c r="N550" s="133">
        <v>7.5629412536236602</v>
      </c>
      <c r="O550" s="131">
        <v>8.0878961587594299E-4</v>
      </c>
      <c r="P550" s="133">
        <v>211.548</v>
      </c>
      <c r="Q550" s="134"/>
      <c r="R550" s="135"/>
      <c r="T550" s="37"/>
      <c r="U550" s="37"/>
    </row>
    <row r="551" spans="1:21" s="23" customFormat="1" x14ac:dyDescent="0.25">
      <c r="A551" s="127">
        <v>45149</v>
      </c>
      <c r="B551" s="128" t="s">
        <v>49</v>
      </c>
      <c r="C551" s="129" t="str">
        <f t="shared" si="17"/>
        <v>11.08.2023_KIRun</v>
      </c>
      <c r="D551" s="143">
        <f t="shared" si="18"/>
        <v>0</v>
      </c>
      <c r="E551" s="130">
        <v>6.9418185655899801E-6</v>
      </c>
      <c r="F551" s="131">
        <v>7.7147953140055999E-4</v>
      </c>
      <c r="G551" s="131">
        <v>0.37272922752243398</v>
      </c>
      <c r="H551" s="131">
        <v>6.6337644540237399E-3</v>
      </c>
      <c r="I551" s="131">
        <v>2.9317117089806801E-5</v>
      </c>
      <c r="J551" s="131">
        <v>2.4506068102520999E-3</v>
      </c>
      <c r="K551" s="132">
        <v>190.391431578344</v>
      </c>
      <c r="L551" s="133">
        <v>17.857256994798799</v>
      </c>
      <c r="M551" s="133">
        <v>61.209710101903703</v>
      </c>
      <c r="N551" s="133">
        <v>7.8844252695211896</v>
      </c>
      <c r="O551" s="131">
        <v>3.7072687990942802E-4</v>
      </c>
      <c r="P551" s="133">
        <v>217.16</v>
      </c>
      <c r="Q551" s="134"/>
      <c r="R551" s="135"/>
      <c r="T551" s="37"/>
      <c r="U551" s="37"/>
    </row>
    <row r="552" spans="1:21" s="23" customFormat="1" x14ac:dyDescent="0.25">
      <c r="A552" s="127">
        <v>45149</v>
      </c>
      <c r="B552" s="128" t="s">
        <v>50</v>
      </c>
      <c r="C552" s="129" t="str">
        <f t="shared" si="17"/>
        <v>11.08.2023_LIEohBo</v>
      </c>
      <c r="D552" s="143">
        <f t="shared" si="18"/>
        <v>0</v>
      </c>
      <c r="E552" s="130">
        <v>8.8350423004707596E-6</v>
      </c>
      <c r="F552" s="131">
        <v>1.03995638768904E-3</v>
      </c>
      <c r="G552" s="131">
        <v>0.37525330616657598</v>
      </c>
      <c r="H552" s="131">
        <v>1.00499687146562E-2</v>
      </c>
      <c r="I552" s="131">
        <v>2.1904123668370201E-5</v>
      </c>
      <c r="J552" s="131">
        <v>1.9902771803884801E-3</v>
      </c>
      <c r="K552" s="132">
        <v>110.51083051834399</v>
      </c>
      <c r="L552" s="133">
        <v>10.6791662634367</v>
      </c>
      <c r="M552" s="133">
        <v>21.572671776290299</v>
      </c>
      <c r="N552" s="133">
        <v>6.7368902662750303</v>
      </c>
      <c r="O552" s="131">
        <v>5.86600982925762E-4</v>
      </c>
      <c r="P552" s="133">
        <v>229.11600000000001</v>
      </c>
      <c r="Q552" s="134"/>
      <c r="R552" s="135"/>
      <c r="T552" s="37"/>
      <c r="U552" s="37"/>
    </row>
    <row r="553" spans="1:21" s="23" customFormat="1" x14ac:dyDescent="0.25">
      <c r="A553" s="127">
        <v>45149</v>
      </c>
      <c r="B553" s="128" t="s">
        <v>53</v>
      </c>
      <c r="C553" s="129" t="str">
        <f t="shared" si="17"/>
        <v>11.08.2023_NATohBo</v>
      </c>
      <c r="D553" s="143">
        <f t="shared" si="18"/>
        <v>0</v>
      </c>
      <c r="E553" s="130">
        <v>1.5903086652109699E-5</v>
      </c>
      <c r="F553" s="131">
        <v>1.5378011042553701E-3</v>
      </c>
      <c r="G553" s="131">
        <v>0.51149454024976704</v>
      </c>
      <c r="H553" s="131">
        <v>8.3955544615128795E-3</v>
      </c>
      <c r="I553" s="131">
        <v>1.6499819310355999E-5</v>
      </c>
      <c r="J553" s="131">
        <v>3.0575560489806901E-3</v>
      </c>
      <c r="K553" s="132">
        <v>152.432087401015</v>
      </c>
      <c r="L553" s="133">
        <v>30.761595885060899</v>
      </c>
      <c r="M553" s="133">
        <v>67.567487603093397</v>
      </c>
      <c r="N553" s="133">
        <v>12.0978416066727</v>
      </c>
      <c r="O553" s="131">
        <v>4.9001073957507699E-4</v>
      </c>
      <c r="P553" s="133">
        <v>231.31200000000001</v>
      </c>
      <c r="Q553" s="134"/>
      <c r="R553" s="135"/>
      <c r="T553" s="37"/>
      <c r="U553" s="37"/>
    </row>
    <row r="554" spans="1:21" s="23" customFormat="1" x14ac:dyDescent="0.25">
      <c r="A554" s="127">
        <v>45149</v>
      </c>
      <c r="B554" s="128" t="s">
        <v>55</v>
      </c>
      <c r="C554" s="129" t="str">
        <f t="shared" si="17"/>
        <v>11.08.2023_QUAohBo</v>
      </c>
      <c r="D554" s="143">
        <f t="shared" si="18"/>
        <v>0</v>
      </c>
      <c r="E554" s="130">
        <v>2.0888589395136301E-5</v>
      </c>
      <c r="F554" s="131">
        <v>1.6485854753770599E-3</v>
      </c>
      <c r="G554" s="131">
        <v>0.44273457379390702</v>
      </c>
      <c r="H554" s="131">
        <v>7.0572945175530997E-3</v>
      </c>
      <c r="I554" s="131">
        <v>1.6691122577219601E-5</v>
      </c>
      <c r="J554" s="131">
        <v>1.63838442636785E-3</v>
      </c>
      <c r="K554" s="132">
        <v>122.138685383713</v>
      </c>
      <c r="L554" s="133">
        <v>6.0542346076345099</v>
      </c>
      <c r="M554" s="133">
        <v>20.156778622754999</v>
      </c>
      <c r="N554" s="133">
        <v>5.3297686295882096</v>
      </c>
      <c r="O554" s="131">
        <v>5.6395503149790605E-4</v>
      </c>
      <c r="P554" s="133">
        <v>224.72399999999999</v>
      </c>
      <c r="Q554" s="134"/>
      <c r="R554" s="135"/>
      <c r="T554" s="37"/>
      <c r="U554" s="37"/>
    </row>
    <row r="555" spans="1:21" s="23" customFormat="1" x14ac:dyDescent="0.25">
      <c r="A555" s="127">
        <v>45149</v>
      </c>
      <c r="B555" s="128" t="s">
        <v>57</v>
      </c>
      <c r="C555" s="129" t="str">
        <f t="shared" si="17"/>
        <v>11.08.2023_SCHohVo</v>
      </c>
      <c r="D555" s="143">
        <f t="shared" si="18"/>
        <v>0</v>
      </c>
      <c r="E555" s="130">
        <v>7.74332905693185E-5</v>
      </c>
      <c r="F555" s="131">
        <v>1.91565675456881E-3</v>
      </c>
      <c r="G555" s="131">
        <v>0.34921931002373402</v>
      </c>
      <c r="H555" s="131">
        <v>1.546453484193E-2</v>
      </c>
      <c r="I555" s="131">
        <v>3.9838805648445797E-5</v>
      </c>
      <c r="J555" s="131">
        <v>7.0202941183457697E-3</v>
      </c>
      <c r="K555" s="132">
        <v>93.855629535731197</v>
      </c>
      <c r="L555" s="133">
        <v>7.2741808270209098</v>
      </c>
      <c r="M555" s="133">
        <v>15.8010392952351</v>
      </c>
      <c r="N555" s="133">
        <v>3.8236191703244198</v>
      </c>
      <c r="O555" s="131">
        <v>2.0070400157261498E-3</v>
      </c>
      <c r="P555" s="133">
        <v>143.96</v>
      </c>
      <c r="Q555" s="134"/>
      <c r="R555" s="135"/>
      <c r="T555" s="37"/>
      <c r="U555" s="37"/>
    </row>
    <row r="556" spans="1:21" s="23" customFormat="1" x14ac:dyDescent="0.25">
      <c r="A556" s="127">
        <v>45149</v>
      </c>
      <c r="B556" s="128" t="s">
        <v>60</v>
      </c>
      <c r="C556" s="129" t="str">
        <f t="shared" si="17"/>
        <v>11.08.2023_VORohBo</v>
      </c>
      <c r="D556" s="143">
        <f t="shared" si="18"/>
        <v>0</v>
      </c>
      <c r="E556" s="130">
        <v>1.03496237965498E-5</v>
      </c>
      <c r="F556" s="131">
        <v>1.4181780488590301E-3</v>
      </c>
      <c r="G556" s="131">
        <v>0.57767793694099601</v>
      </c>
      <c r="H556" s="131">
        <v>1.0288039835205201E-2</v>
      </c>
      <c r="I556" s="131">
        <v>4.3617050018727698E-5</v>
      </c>
      <c r="J556" s="131">
        <v>2.6884095088223199E-3</v>
      </c>
      <c r="K556" s="132">
        <v>164.18692019550701</v>
      </c>
      <c r="L556" s="133">
        <v>14.714748674541999</v>
      </c>
      <c r="M556" s="133">
        <v>22.527995546840099</v>
      </c>
      <c r="N556" s="133">
        <v>7.0483164071687003</v>
      </c>
      <c r="O556" s="131">
        <v>1.16833969356411E-3</v>
      </c>
      <c r="P556" s="133">
        <v>270.35199999999998</v>
      </c>
      <c r="Q556" s="134"/>
      <c r="R556" s="135"/>
      <c r="T556" s="37"/>
      <c r="U556" s="37"/>
    </row>
    <row r="557" spans="1:21" s="23" customFormat="1" x14ac:dyDescent="0.25">
      <c r="A557" s="127">
        <v>45149</v>
      </c>
      <c r="B557" s="128" t="s">
        <v>62</v>
      </c>
      <c r="C557" s="129" t="str">
        <f t="shared" si="17"/>
        <v>11.08.2023_VORuhSc</v>
      </c>
      <c r="D557" s="143">
        <f t="shared" si="18"/>
        <v>0</v>
      </c>
      <c r="E557" s="130">
        <v>1.18010959888453E-5</v>
      </c>
      <c r="F557" s="131">
        <v>7.71832906691704E-4</v>
      </c>
      <c r="G557" s="131">
        <v>0.54711846968672395</v>
      </c>
      <c r="H557" s="131">
        <v>1.0493141237573099E-2</v>
      </c>
      <c r="I557" s="131">
        <v>4.7873560079489799E-5</v>
      </c>
      <c r="J557" s="131">
        <v>3.29171248263283E-3</v>
      </c>
      <c r="K557" s="132">
        <v>183.31984045337899</v>
      </c>
      <c r="L557" s="133">
        <v>14.3508651247214</v>
      </c>
      <c r="M557" s="133">
        <v>20.5700877915592</v>
      </c>
      <c r="N557" s="133">
        <v>5.8835770870399502</v>
      </c>
      <c r="O557" s="131">
        <v>1.17542954423668E-3</v>
      </c>
      <c r="P557" s="133">
        <v>290.36</v>
      </c>
      <c r="Q557" s="134"/>
      <c r="R557" s="135"/>
      <c r="T557" s="37"/>
      <c r="U557" s="37"/>
    </row>
    <row r="558" spans="1:21" s="23" customFormat="1" x14ac:dyDescent="0.25">
      <c r="A558" s="127">
        <v>45149</v>
      </c>
      <c r="B558" s="128" t="s">
        <v>64</v>
      </c>
      <c r="C558" s="129" t="str">
        <f t="shared" si="17"/>
        <v>11.08.2023_WITob</v>
      </c>
      <c r="D558" s="143">
        <f t="shared" si="18"/>
        <v>0</v>
      </c>
      <c r="E558" s="130">
        <v>7.1311407586957199E-6</v>
      </c>
      <c r="F558" s="131">
        <v>1.0023277007121701E-3</v>
      </c>
      <c r="G558" s="131">
        <v>0.68293824667646397</v>
      </c>
      <c r="H558" s="131">
        <v>9.3425144373771897E-3</v>
      </c>
      <c r="I558" s="131">
        <v>1.2769420253150601E-5</v>
      </c>
      <c r="J558" s="131">
        <v>1.9355679933487099E-3</v>
      </c>
      <c r="K558" s="132">
        <v>198.51360191021701</v>
      </c>
      <c r="L558" s="133">
        <v>22.981111064704098</v>
      </c>
      <c r="M558" s="133">
        <v>52.841927836904297</v>
      </c>
      <c r="N558" s="133">
        <v>6.8947183498750704</v>
      </c>
      <c r="O558" s="131">
        <v>5.3370117700459905E-4</v>
      </c>
      <c r="P558" s="133">
        <v>325.74</v>
      </c>
      <c r="Q558" s="134"/>
      <c r="R558" s="135"/>
      <c r="T558" s="37"/>
      <c r="U558" s="37"/>
    </row>
    <row r="559" spans="1:21" s="23" customFormat="1" x14ac:dyDescent="0.25">
      <c r="A559" s="127">
        <v>45177</v>
      </c>
      <c r="B559" s="128" t="s">
        <v>22</v>
      </c>
      <c r="C559" s="129" t="str">
        <f t="shared" si="17"/>
        <v>08.09.2023_BOYkl</v>
      </c>
      <c r="D559" s="143">
        <f t="shared" si="18"/>
        <v>0</v>
      </c>
      <c r="E559" s="130">
        <v>5.4324679125844703E-2</v>
      </c>
      <c r="F559" s="131">
        <v>2.2175169701209802E-3</v>
      </c>
      <c r="G559" s="131">
        <v>0.16308412586729701</v>
      </c>
      <c r="H559" s="131">
        <v>7.59043750334877E-3</v>
      </c>
      <c r="I559" s="131">
        <v>2.3589192939547701E-5</v>
      </c>
      <c r="J559" s="131">
        <v>2.5260759112661498E-3</v>
      </c>
      <c r="K559" s="132">
        <v>77.041410908770402</v>
      </c>
      <c r="L559" s="133">
        <v>6.8068430199906196</v>
      </c>
      <c r="M559" s="133">
        <v>17.570824265700701</v>
      </c>
      <c r="N559" s="133">
        <v>9.1273085788178498</v>
      </c>
      <c r="O559" s="131" t="s">
        <v>215</v>
      </c>
      <c r="P559" s="133">
        <v>135.17599999999999</v>
      </c>
      <c r="Q559" s="134"/>
      <c r="R559" s="135"/>
      <c r="T559" s="37"/>
      <c r="U559" s="37"/>
    </row>
    <row r="560" spans="1:21" s="23" customFormat="1" x14ac:dyDescent="0.25">
      <c r="A560" s="127">
        <v>45177</v>
      </c>
      <c r="B560" s="128" t="s">
        <v>25</v>
      </c>
      <c r="C560" s="129" t="str">
        <f t="shared" si="17"/>
        <v>08.09.2023_BOYohB224</v>
      </c>
      <c r="D560" s="143">
        <f t="shared" si="18"/>
        <v>0</v>
      </c>
      <c r="E560" s="130">
        <v>3.9529271806188603E-3</v>
      </c>
      <c r="F560" s="131">
        <v>1.22641638025445E-3</v>
      </c>
      <c r="G560" s="131">
        <v>0.25518838963688001</v>
      </c>
      <c r="H560" s="131">
        <v>3.8071688438748499E-3</v>
      </c>
      <c r="I560" s="131">
        <v>3.2088050151038597E-5</v>
      </c>
      <c r="J560" s="131">
        <v>3.74305128751636E-3</v>
      </c>
      <c r="K560" s="132">
        <v>145.33960276473201</v>
      </c>
      <c r="L560" s="133">
        <v>22.2838867426651</v>
      </c>
      <c r="M560" s="133">
        <v>38.857670750336403</v>
      </c>
      <c r="N560" s="133">
        <v>8.4864888030376004</v>
      </c>
      <c r="O560" s="131">
        <v>3.0410744220294301E-4</v>
      </c>
      <c r="P560" s="133">
        <v>226.43199999999999</v>
      </c>
      <c r="Q560" s="134"/>
      <c r="R560" s="135"/>
      <c r="T560" s="37"/>
      <c r="U560" s="37"/>
    </row>
    <row r="561" spans="1:21" s="23" customFormat="1" x14ac:dyDescent="0.25">
      <c r="A561" s="127">
        <v>45177</v>
      </c>
      <c r="B561" s="128" t="s">
        <v>28</v>
      </c>
      <c r="C561" s="129" t="str">
        <f t="shared" si="17"/>
        <v>08.09.2023_BOYohBr</v>
      </c>
      <c r="D561" s="143">
        <f t="shared" si="18"/>
        <v>0</v>
      </c>
      <c r="E561" s="130">
        <v>2.1985182559539899E-2</v>
      </c>
      <c r="F561" s="131">
        <v>1.4188118506048501E-3</v>
      </c>
      <c r="G561" s="131">
        <v>0.16786547502732099</v>
      </c>
      <c r="H561" s="131">
        <v>2.9817294540258098E-3</v>
      </c>
      <c r="I561" s="131">
        <v>1.7614682197053399E-5</v>
      </c>
      <c r="J561" s="131">
        <v>1.90363328119795E-3</v>
      </c>
      <c r="K561" s="132">
        <v>92.107043717819295</v>
      </c>
      <c r="L561" s="133">
        <v>7.9923423810939598</v>
      </c>
      <c r="M561" s="133">
        <v>13.9579332680287</v>
      </c>
      <c r="N561" s="133">
        <v>6.1574729337493999</v>
      </c>
      <c r="O561" s="131">
        <v>1.50517568354701E-4</v>
      </c>
      <c r="P561" s="133">
        <v>156.648</v>
      </c>
      <c r="Q561" s="134"/>
      <c r="R561" s="135"/>
      <c r="T561" s="37"/>
      <c r="U561" s="37"/>
    </row>
    <row r="562" spans="1:21" s="23" customFormat="1" x14ac:dyDescent="0.25">
      <c r="A562" s="127">
        <v>45177</v>
      </c>
      <c r="B562" s="128" t="s">
        <v>30</v>
      </c>
      <c r="C562" s="129" t="str">
        <f t="shared" si="17"/>
        <v>08.09.2023_BOYohKi</v>
      </c>
      <c r="D562" s="143">
        <f t="shared" si="18"/>
        <v>0</v>
      </c>
      <c r="E562" s="130">
        <v>1.13382794867196E-2</v>
      </c>
      <c r="F562" s="131">
        <v>1.2527316270273699E-3</v>
      </c>
      <c r="G562" s="131">
        <v>0.246638609462419</v>
      </c>
      <c r="H562" s="131">
        <v>3.8097841657756099E-3</v>
      </c>
      <c r="I562" s="131">
        <v>1.1254402983281701E-5</v>
      </c>
      <c r="J562" s="131">
        <v>1.5222504280384701E-3</v>
      </c>
      <c r="K562" s="132">
        <v>138.63366177175101</v>
      </c>
      <c r="L562" s="133">
        <v>12.678138153308</v>
      </c>
      <c r="M562" s="133">
        <v>28.1056726443346</v>
      </c>
      <c r="N562" s="133">
        <v>7.3291248104291702</v>
      </c>
      <c r="O562" s="131">
        <v>3.3857545619106298E-4</v>
      </c>
      <c r="P562" s="133">
        <v>207.88800000000001</v>
      </c>
      <c r="Q562" s="134"/>
      <c r="R562" s="135"/>
      <c r="T562" s="37"/>
      <c r="U562" s="37"/>
    </row>
    <row r="563" spans="1:21" s="23" customFormat="1" x14ac:dyDescent="0.25">
      <c r="A563" s="127">
        <v>45177</v>
      </c>
      <c r="B563" s="128" t="s">
        <v>32</v>
      </c>
      <c r="C563" s="129" t="str">
        <f t="shared" si="17"/>
        <v>08.09.2023_BOYohSp</v>
      </c>
      <c r="D563" s="143">
        <f t="shared" si="18"/>
        <v>0</v>
      </c>
      <c r="E563" s="130">
        <v>7.17466137733868E-3</v>
      </c>
      <c r="F563" s="131">
        <v>1.581974646177E-3</v>
      </c>
      <c r="G563" s="131">
        <v>0.21013791297862799</v>
      </c>
      <c r="H563" s="131">
        <v>3.4262479796730101E-3</v>
      </c>
      <c r="I563" s="131">
        <v>1.4704602730514501E-5</v>
      </c>
      <c r="J563" s="131">
        <v>1.50967445586582E-3</v>
      </c>
      <c r="K563" s="132">
        <v>119.995976456508</v>
      </c>
      <c r="L563" s="133">
        <v>9.5883322980164802</v>
      </c>
      <c r="M563" s="133">
        <v>22.621690110657099</v>
      </c>
      <c r="N563" s="133">
        <v>6.9166548563617098</v>
      </c>
      <c r="O563" s="131">
        <v>2.26777706301075E-4</v>
      </c>
      <c r="P563" s="133">
        <v>180.072</v>
      </c>
      <c r="Q563" s="134"/>
      <c r="R563" s="135"/>
      <c r="T563" s="37"/>
      <c r="U563" s="37"/>
    </row>
    <row r="564" spans="1:21" s="23" customFormat="1" x14ac:dyDescent="0.25">
      <c r="A564" s="127">
        <v>45177</v>
      </c>
      <c r="B564" s="128" t="s">
        <v>34</v>
      </c>
      <c r="C564" s="129" t="str">
        <f t="shared" si="17"/>
        <v>08.09.2023_BOYuhHa</v>
      </c>
      <c r="D564" s="143">
        <f t="shared" si="18"/>
        <v>0</v>
      </c>
      <c r="E564" s="130">
        <v>3.3101914813578699E-3</v>
      </c>
      <c r="F564" s="131">
        <v>1.3491977414637299E-3</v>
      </c>
      <c r="G564" s="131">
        <v>0.27255825685792601</v>
      </c>
      <c r="H564" s="131">
        <v>5.11250164269256E-3</v>
      </c>
      <c r="I564" s="131">
        <v>1.8639828942555699E-5</v>
      </c>
      <c r="J564" s="131">
        <v>1.6282543393620001E-3</v>
      </c>
      <c r="K564" s="132">
        <v>145.78180379912001</v>
      </c>
      <c r="L564" s="133">
        <v>23.0791060062421</v>
      </c>
      <c r="M564" s="133">
        <v>45.402433980505599</v>
      </c>
      <c r="N564" s="133">
        <v>8.5244736599136797</v>
      </c>
      <c r="O564" s="131">
        <v>2.7218411271751899E-4</v>
      </c>
      <c r="P564" s="133">
        <v>249.124</v>
      </c>
      <c r="Q564" s="134"/>
      <c r="R564" s="135"/>
      <c r="T564" s="37"/>
      <c r="U564" s="37"/>
    </row>
    <row r="565" spans="1:21" s="23" customFormat="1" x14ac:dyDescent="0.25">
      <c r="A565" s="127">
        <v>45177</v>
      </c>
      <c r="B565" s="128" t="s">
        <v>36</v>
      </c>
      <c r="C565" s="129" t="str">
        <f t="shared" si="17"/>
        <v>08.09.2023_BOYuhSp</v>
      </c>
      <c r="D565" s="143">
        <f t="shared" si="18"/>
        <v>0</v>
      </c>
      <c r="E565" s="130">
        <v>1.15592411530622E-2</v>
      </c>
      <c r="F565" s="131">
        <v>1.5104435676846599E-3</v>
      </c>
      <c r="G565" s="131">
        <v>0.210123790667679</v>
      </c>
      <c r="H565" s="131">
        <v>4.5493443639426498E-3</v>
      </c>
      <c r="I565" s="131">
        <v>1.1948849914251101E-5</v>
      </c>
      <c r="J565" s="131">
        <v>2.0060430801878801E-3</v>
      </c>
      <c r="K565" s="132">
        <v>120.251937196353</v>
      </c>
      <c r="L565" s="133">
        <v>9.8510368644178996</v>
      </c>
      <c r="M565" s="133">
        <v>23.954800749587001</v>
      </c>
      <c r="N565" s="133">
        <v>6.9919120689573901</v>
      </c>
      <c r="O565" s="131">
        <v>2.51366225696207E-4</v>
      </c>
      <c r="P565" s="133">
        <v>180.316</v>
      </c>
      <c r="Q565" s="134"/>
      <c r="R565" s="135"/>
      <c r="T565" s="37"/>
      <c r="U565" s="37"/>
    </row>
    <row r="566" spans="1:21" s="23" customFormat="1" x14ac:dyDescent="0.25">
      <c r="A566" s="127">
        <v>45177</v>
      </c>
      <c r="B566" s="128" t="s">
        <v>38</v>
      </c>
      <c r="C566" s="129" t="str">
        <f t="shared" si="17"/>
        <v>08.09.2023_BRAob</v>
      </c>
      <c r="D566" s="143">
        <f t="shared" si="18"/>
        <v>0</v>
      </c>
      <c r="E566" s="130">
        <v>3.3578565598463002E-3</v>
      </c>
      <c r="F566" s="131">
        <v>4.9966732015015896E-4</v>
      </c>
      <c r="G566" s="131">
        <v>0.25511378228713599</v>
      </c>
      <c r="H566" s="131">
        <v>2.98357712595815E-3</v>
      </c>
      <c r="I566" s="131">
        <v>1.8154813190366999E-5</v>
      </c>
      <c r="J566" s="131">
        <v>9.5446684190554599E-4</v>
      </c>
      <c r="K566" s="132">
        <v>136.95882121338499</v>
      </c>
      <c r="L566" s="133">
        <v>4.6700704198702701</v>
      </c>
      <c r="M566" s="133">
        <v>16.9158267367572</v>
      </c>
      <c r="N566" s="133">
        <v>3.8596841579518801</v>
      </c>
      <c r="O566" s="131">
        <v>3.7502664905244301E-4</v>
      </c>
      <c r="P566" s="133">
        <v>200.56800000000001</v>
      </c>
      <c r="Q566" s="134"/>
      <c r="R566" s="135"/>
      <c r="T566" s="37"/>
      <c r="U566" s="37"/>
    </row>
    <row r="567" spans="1:21" s="23" customFormat="1" x14ac:dyDescent="0.25">
      <c r="A567" s="127">
        <v>45177</v>
      </c>
      <c r="B567" s="128" t="s">
        <v>41</v>
      </c>
      <c r="C567" s="129" t="str">
        <f t="shared" si="17"/>
        <v>08.09.2023_BRAohBo</v>
      </c>
      <c r="D567" s="143">
        <f t="shared" si="18"/>
        <v>0</v>
      </c>
      <c r="E567" s="130">
        <v>7.6791651505957501E-2</v>
      </c>
      <c r="F567" s="131">
        <v>1.6253015658632701E-3</v>
      </c>
      <c r="G567" s="131">
        <v>0.25848570026019202</v>
      </c>
      <c r="H567" s="131">
        <v>3.9429860788755501E-3</v>
      </c>
      <c r="I567" s="131">
        <v>4.04987941533942E-5</v>
      </c>
      <c r="J567" s="131">
        <v>1.62236312783539E-3</v>
      </c>
      <c r="K567" s="132">
        <v>145.75303651389001</v>
      </c>
      <c r="L567" s="133">
        <v>7.9919062104955403</v>
      </c>
      <c r="M567" s="133">
        <v>22.531026995593699</v>
      </c>
      <c r="N567" s="133">
        <v>6.3311658896155398</v>
      </c>
      <c r="O567" s="131">
        <v>2.5191263643395802E-4</v>
      </c>
      <c r="P567" s="133">
        <v>209.596</v>
      </c>
      <c r="Q567" s="134"/>
      <c r="R567" s="135"/>
      <c r="T567" s="37"/>
      <c r="U567" s="37"/>
    </row>
    <row r="568" spans="1:21" s="23" customFormat="1" x14ac:dyDescent="0.25">
      <c r="A568" s="127">
        <v>45177</v>
      </c>
      <c r="B568" s="128" t="s">
        <v>43</v>
      </c>
      <c r="C568" s="129" t="str">
        <f t="shared" si="17"/>
        <v>08.09.2023_HAAob</v>
      </c>
      <c r="D568" s="143">
        <f t="shared" si="18"/>
        <v>0</v>
      </c>
      <c r="E568" s="130">
        <v>1.89069966357607E-2</v>
      </c>
      <c r="F568" s="131">
        <v>7.1877572501001595E-4</v>
      </c>
      <c r="G568" s="131">
        <v>0.21334184975131601</v>
      </c>
      <c r="H568" s="131">
        <v>2.3553115148215501E-3</v>
      </c>
      <c r="I568" s="131">
        <v>1.05268891577318E-5</v>
      </c>
      <c r="J568" s="131">
        <v>2.0958894141562801E-3</v>
      </c>
      <c r="K568" s="132">
        <v>124.32750780792</v>
      </c>
      <c r="L568" s="133">
        <v>20.627363225377501</v>
      </c>
      <c r="M568" s="133">
        <v>26.882062102916802</v>
      </c>
      <c r="N568" s="133">
        <v>6.6271420132072203</v>
      </c>
      <c r="O568" s="131">
        <v>1.4640652484487101E-4</v>
      </c>
      <c r="P568" s="133">
        <v>220.82</v>
      </c>
      <c r="Q568" s="134"/>
      <c r="R568" s="135"/>
      <c r="T568" s="37"/>
      <c r="U568" s="37"/>
    </row>
    <row r="569" spans="1:21" s="23" customFormat="1" x14ac:dyDescent="0.25">
      <c r="A569" s="127">
        <v>45177</v>
      </c>
      <c r="B569" s="128" t="s">
        <v>45</v>
      </c>
      <c r="C569" s="129" t="str">
        <f t="shared" si="17"/>
        <v>08.09.2023_HAAun</v>
      </c>
      <c r="D569" s="143">
        <f t="shared" si="18"/>
        <v>0</v>
      </c>
      <c r="E569" s="130">
        <v>1.45796587163185E-2</v>
      </c>
      <c r="F569" s="131">
        <v>1.0062551536362001E-3</v>
      </c>
      <c r="G569" s="131">
        <v>0.286003842744668</v>
      </c>
      <c r="H569" s="131">
        <v>3.3469485082998E-3</v>
      </c>
      <c r="I569" s="131">
        <v>1.4098336089789701E-5</v>
      </c>
      <c r="J569" s="131">
        <v>2.0706108860135699E-3</v>
      </c>
      <c r="K569" s="132">
        <v>174.627274437024</v>
      </c>
      <c r="L569" s="133">
        <v>37.1030654118602</v>
      </c>
      <c r="M569" s="133">
        <v>43.411864383844097</v>
      </c>
      <c r="N569" s="133">
        <v>9.5926493041932996</v>
      </c>
      <c r="O569" s="131">
        <v>2.5861788557500899E-4</v>
      </c>
      <c r="P569" s="133">
        <v>274.988</v>
      </c>
      <c r="Q569" s="134"/>
      <c r="R569" s="135"/>
      <c r="T569" s="37"/>
      <c r="U569" s="37"/>
    </row>
    <row r="570" spans="1:21" s="23" customFormat="1" x14ac:dyDescent="0.25">
      <c r="A570" s="127">
        <v>45177</v>
      </c>
      <c r="B570" s="128" t="s">
        <v>47</v>
      </c>
      <c r="C570" s="129" t="str">
        <f t="shared" si="17"/>
        <v>08.09.2023_KIRob</v>
      </c>
      <c r="D570" s="143">
        <f t="shared" si="18"/>
        <v>0</v>
      </c>
      <c r="E570" s="130">
        <v>5.1261112745860701E-3</v>
      </c>
      <c r="F570" s="131">
        <v>9.7566921196425602E-4</v>
      </c>
      <c r="G570" s="131">
        <v>0.276626932529009</v>
      </c>
      <c r="H570" s="131">
        <v>6.0073719674423797E-3</v>
      </c>
      <c r="I570" s="131">
        <v>1.05599547277087E-5</v>
      </c>
      <c r="J570" s="131">
        <v>3.5254873208593E-3</v>
      </c>
      <c r="K570" s="132">
        <v>152.94420738048899</v>
      </c>
      <c r="L570" s="133">
        <v>13.9387371529694</v>
      </c>
      <c r="M570" s="133">
        <v>78.037783292597396</v>
      </c>
      <c r="N570" s="133">
        <v>8.32322930981063</v>
      </c>
      <c r="O570" s="131">
        <v>4.5719772755603398E-4</v>
      </c>
      <c r="P570" s="133">
        <v>214.476</v>
      </c>
      <c r="Q570" s="134"/>
      <c r="R570" s="135"/>
      <c r="T570" s="37"/>
      <c r="U570" s="37"/>
    </row>
    <row r="571" spans="1:21" s="23" customFormat="1" x14ac:dyDescent="0.25">
      <c r="A571" s="127">
        <v>45177</v>
      </c>
      <c r="B571" s="128" t="s">
        <v>49</v>
      </c>
      <c r="C571" s="129" t="str">
        <f t="shared" si="17"/>
        <v>08.09.2023_KIRun</v>
      </c>
      <c r="D571" s="143">
        <f t="shared" si="18"/>
        <v>0</v>
      </c>
      <c r="E571" s="130">
        <v>5.2075235233222704E-3</v>
      </c>
      <c r="F571" s="131">
        <v>8.2772419073456904E-4</v>
      </c>
      <c r="G571" s="131">
        <v>0.259457689048947</v>
      </c>
      <c r="H571" s="131">
        <v>3.2966215298151202E-3</v>
      </c>
      <c r="I571" s="131">
        <v>1.43408418278553E-5</v>
      </c>
      <c r="J571" s="131">
        <v>1.31638634294389E-3</v>
      </c>
      <c r="K571" s="132">
        <v>138.03203002595001</v>
      </c>
      <c r="L571" s="133">
        <v>12.950301922149499</v>
      </c>
      <c r="M571" s="133">
        <v>58.549135680605403</v>
      </c>
      <c r="N571" s="133">
        <v>7.3421962158727396</v>
      </c>
      <c r="O571" s="131">
        <v>2.28746401188995E-4</v>
      </c>
      <c r="P571" s="133">
        <v>205.69200000000001</v>
      </c>
      <c r="Q571" s="134"/>
      <c r="R571" s="135"/>
      <c r="T571" s="37"/>
      <c r="U571" s="37"/>
    </row>
    <row r="572" spans="1:21" s="23" customFormat="1" x14ac:dyDescent="0.25">
      <c r="A572" s="127">
        <v>45177</v>
      </c>
      <c r="B572" s="128" t="s">
        <v>50</v>
      </c>
      <c r="C572" s="129" t="str">
        <f t="shared" si="17"/>
        <v>08.09.2023_LIEohBo</v>
      </c>
      <c r="D572" s="143">
        <f t="shared" si="18"/>
        <v>0</v>
      </c>
      <c r="E572" s="130">
        <v>1.3273176977943E-2</v>
      </c>
      <c r="F572" s="131">
        <v>8.8922663504614405E-4</v>
      </c>
      <c r="G572" s="131">
        <v>0.21276509096944299</v>
      </c>
      <c r="H572" s="131">
        <v>4.0608871438380699E-3</v>
      </c>
      <c r="I572" s="131">
        <v>1.8739034215191201E-5</v>
      </c>
      <c r="J572" s="131">
        <v>1.42657347631895E-3</v>
      </c>
      <c r="K572" s="132">
        <v>112.158986177187</v>
      </c>
      <c r="L572" s="133">
        <v>11.6689828385396</v>
      </c>
      <c r="M572" s="133">
        <v>26.7280803729554</v>
      </c>
      <c r="N572" s="133">
        <v>7.1445558623213596</v>
      </c>
      <c r="O572" s="131">
        <v>2.9239611571948401E-4</v>
      </c>
      <c r="P572" s="133">
        <v>239.364</v>
      </c>
      <c r="Q572" s="134"/>
      <c r="R572" s="135"/>
      <c r="T572" s="37"/>
      <c r="U572" s="37"/>
    </row>
    <row r="573" spans="1:21" s="23" customFormat="1" x14ac:dyDescent="0.25">
      <c r="A573" s="127">
        <v>45177</v>
      </c>
      <c r="B573" s="128" t="s">
        <v>53</v>
      </c>
      <c r="C573" s="129" t="str">
        <f t="shared" si="17"/>
        <v>08.09.2023_NATohBo</v>
      </c>
      <c r="D573" s="143">
        <f t="shared" si="18"/>
        <v>0</v>
      </c>
      <c r="E573" s="130">
        <v>1.8064808329211101E-2</v>
      </c>
      <c r="F573" s="131">
        <v>1.44918720600231E-3</v>
      </c>
      <c r="G573" s="131">
        <v>0.39110117985130699</v>
      </c>
      <c r="H573" s="131">
        <v>4.7445359519458002E-3</v>
      </c>
      <c r="I573" s="131">
        <v>1.7019437698756001E-5</v>
      </c>
      <c r="J573" s="131">
        <v>2.56910581895468E-3</v>
      </c>
      <c r="K573" s="132">
        <v>253.50447210551599</v>
      </c>
      <c r="L573" s="133">
        <v>56.644025314261299</v>
      </c>
      <c r="M573" s="133">
        <v>149.05059422430699</v>
      </c>
      <c r="N573" s="133">
        <v>16.340291881710801</v>
      </c>
      <c r="O573" s="131">
        <v>3.4915962219905799E-4</v>
      </c>
      <c r="P573" s="133">
        <v>383.56799999999998</v>
      </c>
      <c r="Q573" s="134"/>
      <c r="R573" s="135"/>
      <c r="T573" s="37"/>
      <c r="U573" s="37"/>
    </row>
    <row r="574" spans="1:21" s="23" customFormat="1" x14ac:dyDescent="0.25">
      <c r="A574" s="127">
        <v>45177</v>
      </c>
      <c r="B574" s="128" t="s">
        <v>55</v>
      </c>
      <c r="C574" s="129" t="str">
        <f t="shared" si="17"/>
        <v>08.09.2023_QUAohBo</v>
      </c>
      <c r="D574" s="143">
        <f t="shared" si="18"/>
        <v>0</v>
      </c>
      <c r="E574" s="130">
        <v>6.5251707712827298E-3</v>
      </c>
      <c r="F574" s="131">
        <v>1.2389323535280999E-3</v>
      </c>
      <c r="G574" s="131">
        <v>0.22403847890353301</v>
      </c>
      <c r="H574" s="131">
        <v>2.78276613403123E-3</v>
      </c>
      <c r="I574" s="131">
        <v>2.3578174241579298E-5</v>
      </c>
      <c r="J574" s="131">
        <v>1.3365737889433401E-3</v>
      </c>
      <c r="K574" s="132">
        <v>130.40392871256199</v>
      </c>
      <c r="L574" s="133">
        <v>6.1790538786114704</v>
      </c>
      <c r="M574" s="133">
        <v>21.486723719581999</v>
      </c>
      <c r="N574" s="133">
        <v>3.9394426322075198</v>
      </c>
      <c r="O574" s="131">
        <v>3.1307831388312701E-4</v>
      </c>
      <c r="P574" s="133">
        <v>275.23200000000003</v>
      </c>
      <c r="Q574" s="134"/>
      <c r="R574" s="135"/>
      <c r="T574" s="37"/>
      <c r="U574" s="37"/>
    </row>
    <row r="575" spans="1:21" s="23" customFormat="1" x14ac:dyDescent="0.25">
      <c r="A575" s="127">
        <v>45177</v>
      </c>
      <c r="B575" s="128" t="s">
        <v>57</v>
      </c>
      <c r="C575" s="129" t="str">
        <f t="shared" si="17"/>
        <v>08.09.2023_SCHohVo</v>
      </c>
      <c r="D575" s="143">
        <f t="shared" si="18"/>
        <v>0</v>
      </c>
      <c r="E575" s="130">
        <v>1.555781675181E-2</v>
      </c>
      <c r="F575" s="131">
        <v>1.9389670464165401E-3</v>
      </c>
      <c r="G575" s="131">
        <v>0.28523856865821601</v>
      </c>
      <c r="H575" s="131">
        <v>8.5057111506115397E-3</v>
      </c>
      <c r="I575" s="131">
        <v>4.5040405773568997E-5</v>
      </c>
      <c r="J575" s="131">
        <v>1.1740547616422599E-2</v>
      </c>
      <c r="K575" s="132">
        <v>148.201882690361</v>
      </c>
      <c r="L575" s="133">
        <v>7.2668478671007897</v>
      </c>
      <c r="M575" s="133">
        <v>24.360930653866902</v>
      </c>
      <c r="N575" s="133">
        <v>4.6987180142600504</v>
      </c>
      <c r="O575" s="131">
        <v>1.4020623797368901E-3</v>
      </c>
      <c r="P575" s="133">
        <v>305.488</v>
      </c>
      <c r="Q575" s="134"/>
      <c r="R575" s="135"/>
      <c r="T575" s="37"/>
      <c r="U575" s="37"/>
    </row>
    <row r="576" spans="1:21" s="23" customFormat="1" x14ac:dyDescent="0.25">
      <c r="A576" s="127">
        <v>45177</v>
      </c>
      <c r="B576" s="128" t="s">
        <v>60</v>
      </c>
      <c r="C576" s="129" t="str">
        <f t="shared" si="17"/>
        <v>08.09.2023_VORohBo</v>
      </c>
      <c r="D576" s="143">
        <f t="shared" si="18"/>
        <v>0</v>
      </c>
      <c r="E576" s="130">
        <v>4.44636231767677E-3</v>
      </c>
      <c r="F576" s="131">
        <v>1.1684952887076601E-3</v>
      </c>
      <c r="G576" s="131">
        <v>0.33903556772233601</v>
      </c>
      <c r="H576" s="131">
        <v>4.5571495165508697E-3</v>
      </c>
      <c r="I576" s="131">
        <v>2.79653816980919E-5</v>
      </c>
      <c r="J576" s="131">
        <v>1.41508477517209E-3</v>
      </c>
      <c r="K576" s="132">
        <v>197.08133511816601</v>
      </c>
      <c r="L576" s="133">
        <v>18.7973354441895</v>
      </c>
      <c r="M576" s="133">
        <v>32.797178593287001</v>
      </c>
      <c r="N576" s="133">
        <v>9.0648773211530909</v>
      </c>
      <c r="O576" s="131">
        <v>6.1058358280795201E-4</v>
      </c>
      <c r="P576" s="133">
        <v>287.67599999999999</v>
      </c>
      <c r="Q576" s="134"/>
      <c r="R576" s="135"/>
      <c r="T576" s="37"/>
      <c r="U576" s="37"/>
    </row>
    <row r="577" spans="1:21" s="23" customFormat="1" x14ac:dyDescent="0.25">
      <c r="A577" s="127">
        <v>45177</v>
      </c>
      <c r="B577" s="128" t="s">
        <v>62</v>
      </c>
      <c r="C577" s="129" t="str">
        <f t="shared" si="17"/>
        <v>08.09.2023_VORuhSc</v>
      </c>
      <c r="D577" s="143">
        <f t="shared" si="18"/>
        <v>0</v>
      </c>
      <c r="E577" s="130">
        <v>3.4412948358830998E-3</v>
      </c>
      <c r="F577" s="131">
        <v>6.6007833688102495E-4</v>
      </c>
      <c r="G577" s="131">
        <v>0.360750586162077</v>
      </c>
      <c r="H577" s="131">
        <v>4.7018281143702701E-3</v>
      </c>
      <c r="I577" s="131">
        <v>1.39550366188946E-5</v>
      </c>
      <c r="J577" s="131">
        <v>1.6249512672967599E-3</v>
      </c>
      <c r="K577" s="132">
        <v>204.829861842356</v>
      </c>
      <c r="L577" s="133">
        <v>17.531490246898301</v>
      </c>
      <c r="M577" s="133">
        <v>28.957836538816402</v>
      </c>
      <c r="N577" s="133">
        <v>7.4897788562522596</v>
      </c>
      <c r="O577" s="131">
        <v>7.0887276971233102E-4</v>
      </c>
      <c r="P577" s="133">
        <v>325.49599999999998</v>
      </c>
      <c r="Q577" s="134"/>
      <c r="R577" s="135"/>
      <c r="T577" s="37"/>
      <c r="U577" s="37"/>
    </row>
    <row r="578" spans="1:21" s="23" customFormat="1" x14ac:dyDescent="0.25">
      <c r="A578" s="127">
        <v>45177</v>
      </c>
      <c r="B578" s="128" t="s">
        <v>64</v>
      </c>
      <c r="C578" s="129" t="str">
        <f t="shared" si="17"/>
        <v>08.09.2023_WITob</v>
      </c>
      <c r="D578" s="143">
        <f t="shared" si="18"/>
        <v>0</v>
      </c>
      <c r="E578" s="130">
        <v>2.5681792213052899E-3</v>
      </c>
      <c r="F578" s="131">
        <v>8.7485360311557797E-4</v>
      </c>
      <c r="G578" s="131">
        <v>0.347228051980638</v>
      </c>
      <c r="H578" s="131">
        <v>3.9154439838982799E-3</v>
      </c>
      <c r="I578" s="131">
        <v>2.21010728040636E-5</v>
      </c>
      <c r="J578" s="131">
        <v>1.8324688285158799E-3</v>
      </c>
      <c r="K578" s="132">
        <v>205.44596329739301</v>
      </c>
      <c r="L578" s="133">
        <v>23.3241462610196</v>
      </c>
      <c r="M578" s="133">
        <v>60.692179704364399</v>
      </c>
      <c r="N578" s="133">
        <v>7.3390248782306999</v>
      </c>
      <c r="O578" s="131">
        <v>2.4719454891324098E-4</v>
      </c>
      <c r="P578" s="133">
        <v>312.56400000000002</v>
      </c>
      <c r="Q578" s="134"/>
      <c r="R578" s="135"/>
      <c r="T578" s="37"/>
      <c r="U578" s="37"/>
    </row>
    <row r="579" spans="1:21" s="23" customFormat="1" x14ac:dyDescent="0.25">
      <c r="A579" s="127">
        <v>45205</v>
      </c>
      <c r="B579" s="128" t="s">
        <v>22</v>
      </c>
      <c r="C579" s="129" t="str">
        <f t="shared" ref="C579:C642" si="19">CONCATENATE(TEXT(A579,"TT.MM.JJJJ"),"_",B579)</f>
        <v>06.10.2023_BOYkl</v>
      </c>
      <c r="D579" s="143">
        <f t="shared" si="18"/>
        <v>0</v>
      </c>
      <c r="E579" s="130">
        <v>4.8414338800689002E-5</v>
      </c>
      <c r="F579" s="131">
        <v>1.2993820327710499E-3</v>
      </c>
      <c r="G579" s="131">
        <v>0.12712141231751001</v>
      </c>
      <c r="H579" s="131">
        <v>5.2113981105388098E-3</v>
      </c>
      <c r="I579" s="131">
        <v>1.29850123205841E-5</v>
      </c>
      <c r="J579" s="131">
        <v>2.4484953050489E-3</v>
      </c>
      <c r="K579" s="132">
        <v>50.315483493388697</v>
      </c>
      <c r="L579" s="133">
        <v>4.1176811939436799</v>
      </c>
      <c r="M579" s="133">
        <v>12.6741864437603</v>
      </c>
      <c r="N579" s="133">
        <v>6.7201667957736797</v>
      </c>
      <c r="O579" s="131">
        <v>3.1363832590287802E-4</v>
      </c>
      <c r="P579" s="133">
        <v>122.488</v>
      </c>
      <c r="Q579" s="134"/>
      <c r="R579" s="135"/>
      <c r="T579" s="37"/>
      <c r="U579" s="37"/>
    </row>
    <row r="580" spans="1:21" s="23" customFormat="1" x14ac:dyDescent="0.25">
      <c r="A580" s="127">
        <v>45205</v>
      </c>
      <c r="B580" s="128" t="s">
        <v>25</v>
      </c>
      <c r="C580" s="129" t="str">
        <f t="shared" si="19"/>
        <v>06.10.2023_BOYohB224</v>
      </c>
      <c r="D580" s="143">
        <f t="shared" si="18"/>
        <v>0</v>
      </c>
      <c r="E580" s="130">
        <v>3.9928737709030996E-6</v>
      </c>
      <c r="F580" s="131">
        <v>8.5782664875865E-4</v>
      </c>
      <c r="G580" s="131">
        <v>0.259342506950414</v>
      </c>
      <c r="H580" s="131">
        <v>3.32495031121091E-3</v>
      </c>
      <c r="I580" s="131">
        <v>9.4025426609681302E-6</v>
      </c>
      <c r="J580" s="131">
        <v>1.2240891644051701E-3</v>
      </c>
      <c r="K580" s="132">
        <v>113.02954668755299</v>
      </c>
      <c r="L580" s="133">
        <v>15.4108682756899</v>
      </c>
      <c r="M580" s="133">
        <v>33.196913549183897</v>
      </c>
      <c r="N580" s="133">
        <v>7.75260319170643</v>
      </c>
      <c r="O580" s="131">
        <v>2.9639570951610198E-4</v>
      </c>
      <c r="P580" s="133">
        <v>224.72399999999999</v>
      </c>
      <c r="Q580" s="134"/>
      <c r="R580" s="135"/>
      <c r="T580" s="37"/>
      <c r="U580" s="37"/>
    </row>
    <row r="581" spans="1:21" s="23" customFormat="1" x14ac:dyDescent="0.25">
      <c r="A581" s="127">
        <v>45205</v>
      </c>
      <c r="B581" s="128" t="s">
        <v>28</v>
      </c>
      <c r="C581" s="129" t="str">
        <f t="shared" si="19"/>
        <v>06.10.2023_BOYohBr</v>
      </c>
      <c r="D581" s="143">
        <f t="shared" ref="D581:D644" si="20">COUNTBLANK(E581:P581)</f>
        <v>0</v>
      </c>
      <c r="E581" s="130">
        <v>4.4919840158319698E-6</v>
      </c>
      <c r="F581" s="131">
        <v>1.00571529415346E-3</v>
      </c>
      <c r="G581" s="131">
        <v>0.156266325182987</v>
      </c>
      <c r="H581" s="131">
        <v>2.3305197609030698E-3</v>
      </c>
      <c r="I581" s="131">
        <v>1.14197472641734E-5</v>
      </c>
      <c r="J581" s="131">
        <v>9.0695792967265701E-4</v>
      </c>
      <c r="K581" s="132">
        <v>70.326192929125199</v>
      </c>
      <c r="L581" s="133">
        <v>5.5621535173064602</v>
      </c>
      <c r="M581" s="133">
        <v>11.882240312204299</v>
      </c>
      <c r="N581" s="133">
        <v>5.5012661994940997</v>
      </c>
      <c r="O581" s="131">
        <v>1.2207685749589101E-4</v>
      </c>
      <c r="P581" s="133">
        <v>146.64400000000001</v>
      </c>
      <c r="Q581" s="134"/>
      <c r="R581" s="135"/>
      <c r="T581" s="37"/>
      <c r="U581" s="37"/>
    </row>
    <row r="582" spans="1:21" s="23" customFormat="1" x14ac:dyDescent="0.25">
      <c r="A582" s="127">
        <v>45205</v>
      </c>
      <c r="B582" s="128" t="s">
        <v>30</v>
      </c>
      <c r="C582" s="129" t="str">
        <f t="shared" si="19"/>
        <v>06.10.2023_BOYohKi</v>
      </c>
      <c r="D582" s="143">
        <f t="shared" si="20"/>
        <v>0</v>
      </c>
      <c r="E582" s="130">
        <v>2.6983079733205E-6</v>
      </c>
      <c r="F582" s="131">
        <v>9.0442013036970696E-4</v>
      </c>
      <c r="G582" s="131">
        <v>0.224115075761288</v>
      </c>
      <c r="H582" s="131">
        <v>2.9721188587139898E-3</v>
      </c>
      <c r="I582" s="131">
        <v>8.6860509821518408E-6</v>
      </c>
      <c r="J582" s="131">
        <v>7.1722448779880496E-4</v>
      </c>
      <c r="K582" s="132">
        <v>102.955722482997</v>
      </c>
      <c r="L582" s="133">
        <v>8.1584215629668293</v>
      </c>
      <c r="M582" s="133">
        <v>21.254834654508901</v>
      </c>
      <c r="N582" s="133">
        <v>6.0739409301045297</v>
      </c>
      <c r="O582" s="131">
        <v>2.5309185115247499E-4</v>
      </c>
      <c r="P582" s="133">
        <v>181.048</v>
      </c>
      <c r="Q582" s="134"/>
      <c r="R582" s="135"/>
      <c r="T582" s="37"/>
      <c r="U582" s="37"/>
    </row>
    <row r="583" spans="1:21" s="23" customFormat="1" x14ac:dyDescent="0.25">
      <c r="A583" s="127">
        <v>45205</v>
      </c>
      <c r="B583" s="128" t="s">
        <v>32</v>
      </c>
      <c r="C583" s="129" t="str">
        <f t="shared" si="19"/>
        <v>06.10.2023_BOYohSp</v>
      </c>
      <c r="D583" s="143">
        <f t="shared" si="20"/>
        <v>0</v>
      </c>
      <c r="E583" s="130">
        <v>6.8939531230704798E-6</v>
      </c>
      <c r="F583" s="131">
        <v>1.10449159257172E-3</v>
      </c>
      <c r="G583" s="131">
        <v>0.197223829317902</v>
      </c>
      <c r="H583" s="131">
        <v>2.8347291903554699E-3</v>
      </c>
      <c r="I583" s="131">
        <v>1.1640206606147499E-5</v>
      </c>
      <c r="J583" s="131">
        <v>1.2554112373372799E-3</v>
      </c>
      <c r="K583" s="132">
        <v>85.032778678407595</v>
      </c>
      <c r="L583" s="133">
        <v>6.2776525972884096</v>
      </c>
      <c r="M583" s="133">
        <v>17.234015710702302</v>
      </c>
      <c r="N583" s="133">
        <v>5.9150371311550902</v>
      </c>
      <c r="O583" s="131">
        <v>1.7918565714544101E-4</v>
      </c>
      <c r="P583" s="133">
        <v>155.428</v>
      </c>
      <c r="Q583" s="134"/>
      <c r="R583" s="135"/>
      <c r="T583" s="37"/>
      <c r="U583" s="37"/>
    </row>
    <row r="584" spans="1:21" s="23" customFormat="1" x14ac:dyDescent="0.25">
      <c r="A584" s="127">
        <v>45205</v>
      </c>
      <c r="B584" s="128" t="s">
        <v>34</v>
      </c>
      <c r="C584" s="129" t="str">
        <f t="shared" si="19"/>
        <v>06.10.2023_BOYuhHa</v>
      </c>
      <c r="D584" s="143">
        <f t="shared" si="20"/>
        <v>0</v>
      </c>
      <c r="E584" s="130">
        <v>3.5249587984452098E-6</v>
      </c>
      <c r="F584" s="131">
        <v>9.5698063408699901E-4</v>
      </c>
      <c r="G584" s="131">
        <v>0.27813290986470801</v>
      </c>
      <c r="H584" s="131">
        <v>3.5009343604857001E-3</v>
      </c>
      <c r="I584" s="131">
        <v>1.05158639267106E-5</v>
      </c>
      <c r="J584" s="131">
        <v>1.26588406742045E-3</v>
      </c>
      <c r="K584" s="132">
        <v>120.051148918552</v>
      </c>
      <c r="L584" s="133">
        <v>18.649771123726399</v>
      </c>
      <c r="M584" s="133">
        <v>44.410911496648097</v>
      </c>
      <c r="N584" s="133">
        <v>8.6361988601694595</v>
      </c>
      <c r="O584" s="131">
        <v>2.5407249360838999E-4</v>
      </c>
      <c r="P584" s="133">
        <v>208.62</v>
      </c>
      <c r="Q584" s="134"/>
      <c r="R584" s="135"/>
      <c r="T584" s="37"/>
      <c r="U584" s="37"/>
    </row>
    <row r="585" spans="1:21" s="23" customFormat="1" x14ac:dyDescent="0.25">
      <c r="A585" s="127">
        <v>45205</v>
      </c>
      <c r="B585" s="128" t="s">
        <v>36</v>
      </c>
      <c r="C585" s="129" t="str">
        <f t="shared" si="19"/>
        <v>06.10.2023_BOYuhSp</v>
      </c>
      <c r="D585" s="143">
        <f t="shared" si="20"/>
        <v>0</v>
      </c>
      <c r="E585" s="130">
        <v>4.60116403636162E-6</v>
      </c>
      <c r="F585" s="131">
        <v>1.1485940091043199E-3</v>
      </c>
      <c r="G585" s="131">
        <v>0.19640526515324999</v>
      </c>
      <c r="H585" s="131">
        <v>2.7525987653862199E-3</v>
      </c>
      <c r="I585" s="131">
        <v>1.1893735459741E-5</v>
      </c>
      <c r="J585" s="131">
        <v>8.0389538547660203E-4</v>
      </c>
      <c r="K585" s="132">
        <v>85.127695750271101</v>
      </c>
      <c r="L585" s="133">
        <v>6.5732696053238797</v>
      </c>
      <c r="M585" s="133">
        <v>18.4499272916077</v>
      </c>
      <c r="N585" s="133">
        <v>6.04968213739925</v>
      </c>
      <c r="O585" s="131">
        <v>1.90198938519301E-4</v>
      </c>
      <c r="P585" s="133">
        <v>163.23599999999999</v>
      </c>
      <c r="Q585" s="134"/>
      <c r="R585" s="135"/>
      <c r="T585" s="37"/>
      <c r="U585" s="37"/>
    </row>
    <row r="586" spans="1:21" s="23" customFormat="1" x14ac:dyDescent="0.25">
      <c r="A586" s="127">
        <v>45205</v>
      </c>
      <c r="B586" s="128" t="s">
        <v>38</v>
      </c>
      <c r="C586" s="129" t="str">
        <f t="shared" si="19"/>
        <v>06.10.2023_BRAob</v>
      </c>
      <c r="D586" s="143">
        <f t="shared" si="20"/>
        <v>0</v>
      </c>
      <c r="E586" s="130">
        <v>4.4451921382742103E-6</v>
      </c>
      <c r="F586" s="131">
        <v>5.0542785063288599E-4</v>
      </c>
      <c r="G586" s="131">
        <v>0.25278489767201001</v>
      </c>
      <c r="H586" s="131">
        <v>2.5650264729833901E-3</v>
      </c>
      <c r="I586" s="131">
        <v>1.41975432035965E-5</v>
      </c>
      <c r="J586" s="131">
        <v>1.1814430619647E-3</v>
      </c>
      <c r="K586" s="132">
        <v>117.36228791051199</v>
      </c>
      <c r="L586" s="133">
        <v>3.81570611207027</v>
      </c>
      <c r="M586" s="133">
        <v>16.4715400394544</v>
      </c>
      <c r="N586" s="133">
        <v>3.5568028951930302</v>
      </c>
      <c r="O586" s="131">
        <v>3.2174758701786899E-4</v>
      </c>
      <c r="P586" s="133">
        <v>187.636</v>
      </c>
      <c r="Q586" s="134"/>
      <c r="R586" s="135"/>
      <c r="T586" s="37"/>
      <c r="U586" s="37"/>
    </row>
    <row r="587" spans="1:21" s="23" customFormat="1" x14ac:dyDescent="0.25">
      <c r="A587" s="127">
        <v>45205</v>
      </c>
      <c r="B587" s="128" t="s">
        <v>41</v>
      </c>
      <c r="C587" s="129" t="str">
        <f t="shared" si="19"/>
        <v>06.10.2023_BRAohBo</v>
      </c>
      <c r="D587" s="143">
        <f t="shared" si="20"/>
        <v>0</v>
      </c>
      <c r="E587" s="130">
        <v>5.2250516620714002E-6</v>
      </c>
      <c r="F587" s="131">
        <v>9.3798206378273904E-4</v>
      </c>
      <c r="G587" s="131">
        <v>0.23510576163449901</v>
      </c>
      <c r="H587" s="131">
        <v>3.0549103258445099E-3</v>
      </c>
      <c r="I587" s="131">
        <v>1.33487711077295E-5</v>
      </c>
      <c r="J587" s="131">
        <v>6.8180980762653901E-4</v>
      </c>
      <c r="K587" s="132">
        <v>112.847322995461</v>
      </c>
      <c r="L587" s="133">
        <v>5.9960554291979102</v>
      </c>
      <c r="M587" s="133">
        <v>19.954324558150599</v>
      </c>
      <c r="N587" s="133">
        <v>5.4847584888978904</v>
      </c>
      <c r="O587" s="131">
        <v>2.23690996067356E-4</v>
      </c>
      <c r="P587" s="133">
        <v>178.608</v>
      </c>
      <c r="Q587" s="134"/>
      <c r="R587" s="135"/>
      <c r="T587" s="37"/>
      <c r="U587" s="37"/>
    </row>
    <row r="588" spans="1:21" s="23" customFormat="1" x14ac:dyDescent="0.25">
      <c r="A588" s="127">
        <v>45205</v>
      </c>
      <c r="B588" s="128" t="s">
        <v>43</v>
      </c>
      <c r="C588" s="129" t="str">
        <f t="shared" si="19"/>
        <v>06.10.2023_HAAob</v>
      </c>
      <c r="D588" s="143">
        <f t="shared" si="20"/>
        <v>0</v>
      </c>
      <c r="E588" s="130">
        <v>2.8230852176263099E-6</v>
      </c>
      <c r="F588" s="131">
        <v>5.9161031288057801E-4</v>
      </c>
      <c r="G588" s="131">
        <v>0.20160312200126199</v>
      </c>
      <c r="H588" s="131">
        <v>1.9900532334825899E-3</v>
      </c>
      <c r="I588" s="131">
        <v>9.6119792539313005E-6</v>
      </c>
      <c r="J588" s="131">
        <v>1.3875337633033099E-3</v>
      </c>
      <c r="K588" s="132">
        <v>91.754039730929406</v>
      </c>
      <c r="L588" s="133">
        <v>15.1993344809981</v>
      </c>
      <c r="M588" s="133">
        <v>25.7916507021923</v>
      </c>
      <c r="N588" s="133">
        <v>6.2353077921912998</v>
      </c>
      <c r="O588" s="131">
        <v>1.24848791955639E-4</v>
      </c>
      <c r="P588" s="133">
        <v>190.80799999999999</v>
      </c>
      <c r="Q588" s="134"/>
      <c r="R588" s="135"/>
      <c r="T588" s="37"/>
      <c r="U588" s="37"/>
    </row>
    <row r="589" spans="1:21" s="23" customFormat="1" x14ac:dyDescent="0.25">
      <c r="A589" s="127">
        <v>45205</v>
      </c>
      <c r="B589" s="128" t="s">
        <v>45</v>
      </c>
      <c r="C589" s="129" t="str">
        <f t="shared" si="19"/>
        <v>06.10.2023_HAAun</v>
      </c>
      <c r="D589" s="143">
        <f t="shared" si="20"/>
        <v>0</v>
      </c>
      <c r="E589" s="130">
        <v>2.9010715942929799E-6</v>
      </c>
      <c r="F589" s="131">
        <v>7.5226715661805797E-4</v>
      </c>
      <c r="G589" s="131">
        <v>0.27853404889942102</v>
      </c>
      <c r="H589" s="131">
        <v>2.8798806766485601E-3</v>
      </c>
      <c r="I589" s="131">
        <v>1.1871689213683401E-5</v>
      </c>
      <c r="J589" s="131">
        <v>1.46856101453897E-3</v>
      </c>
      <c r="K589" s="132">
        <v>134.135057520147</v>
      </c>
      <c r="L589" s="133">
        <v>27.6745342116307</v>
      </c>
      <c r="M589" s="133">
        <v>40.352487599946102</v>
      </c>
      <c r="N589" s="133">
        <v>9.0162603620766397</v>
      </c>
      <c r="O589" s="131">
        <v>2.0827501369661801E-4</v>
      </c>
      <c r="P589" s="133">
        <v>233.50800000000001</v>
      </c>
      <c r="Q589" s="134"/>
      <c r="R589" s="135"/>
      <c r="T589" s="37"/>
      <c r="U589" s="37"/>
    </row>
    <row r="590" spans="1:21" s="23" customFormat="1" x14ac:dyDescent="0.25">
      <c r="A590" s="127">
        <v>45205</v>
      </c>
      <c r="B590" s="128" t="s">
        <v>47</v>
      </c>
      <c r="C590" s="129" t="str">
        <f t="shared" si="19"/>
        <v>06.10.2023_KIRob</v>
      </c>
      <c r="D590" s="143">
        <f t="shared" si="20"/>
        <v>0</v>
      </c>
      <c r="E590" s="130">
        <v>3.6497356970128302E-6</v>
      </c>
      <c r="F590" s="131">
        <v>8.8365134306351797E-4</v>
      </c>
      <c r="G590" s="131">
        <v>0.24091875564333501</v>
      </c>
      <c r="H590" s="131">
        <v>3.5684068795017901E-3</v>
      </c>
      <c r="I590" s="131">
        <v>8.5096834592745702E-6</v>
      </c>
      <c r="J590" s="131">
        <v>7.5523938844775204E-4</v>
      </c>
      <c r="K590" s="132">
        <v>124.880904621989</v>
      </c>
      <c r="L590" s="133">
        <v>11.4508264142949</v>
      </c>
      <c r="M590" s="133">
        <v>79.784931826629503</v>
      </c>
      <c r="N590" s="133">
        <v>8.2881563733087091</v>
      </c>
      <c r="O590" s="131">
        <v>3.4050145284414499E-4</v>
      </c>
      <c r="P590" s="133">
        <v>183</v>
      </c>
      <c r="Q590" s="134"/>
      <c r="R590" s="135"/>
      <c r="T590" s="37"/>
      <c r="U590" s="37"/>
    </row>
    <row r="591" spans="1:21" s="23" customFormat="1" x14ac:dyDescent="0.25">
      <c r="A591" s="127">
        <v>45205</v>
      </c>
      <c r="B591" s="128" t="s">
        <v>49</v>
      </c>
      <c r="C591" s="129" t="str">
        <f t="shared" si="19"/>
        <v>06.10.2023_KIRun</v>
      </c>
      <c r="D591" s="143">
        <f t="shared" si="20"/>
        <v>0</v>
      </c>
      <c r="E591" s="130">
        <v>4.0396652572309199E-6</v>
      </c>
      <c r="F591" s="131">
        <v>6.6085570725941305E-4</v>
      </c>
      <c r="G591" s="131">
        <v>0.22736327139698401</v>
      </c>
      <c r="H591" s="131">
        <v>2.9288426570790701E-3</v>
      </c>
      <c r="I591" s="131">
        <v>1.0405633065082499E-5</v>
      </c>
      <c r="J591" s="131">
        <v>9.7023396999063299E-4</v>
      </c>
      <c r="K591" s="132">
        <v>121.42665284956099</v>
      </c>
      <c r="L591" s="133">
        <v>11.2392522922044</v>
      </c>
      <c r="M591" s="133">
        <v>62.021349363764898</v>
      </c>
      <c r="N591" s="133">
        <v>7.5360133845504604</v>
      </c>
      <c r="O591" s="131">
        <v>1.9239716901962899E-4</v>
      </c>
      <c r="P591" s="133">
        <v>186.416</v>
      </c>
      <c r="Q591" s="134"/>
      <c r="R591" s="135"/>
      <c r="T591" s="37"/>
      <c r="U591" s="37"/>
    </row>
    <row r="592" spans="1:21" s="23" customFormat="1" x14ac:dyDescent="0.25">
      <c r="A592" s="127">
        <v>45205</v>
      </c>
      <c r="B592" s="128" t="s">
        <v>50</v>
      </c>
      <c r="C592" s="129" t="str">
        <f t="shared" si="19"/>
        <v>06.10.2023_LIEohBo</v>
      </c>
      <c r="D592" s="143">
        <f t="shared" si="20"/>
        <v>0</v>
      </c>
      <c r="E592" s="130">
        <v>3.4937638838437099E-6</v>
      </c>
      <c r="F592" s="131">
        <v>6.5001626331008696E-4</v>
      </c>
      <c r="G592" s="131">
        <v>0.208079773522441</v>
      </c>
      <c r="H592" s="131">
        <v>3.7231712828381799E-3</v>
      </c>
      <c r="I592" s="131">
        <v>1.21693103536316E-5</v>
      </c>
      <c r="J592" s="131">
        <v>6.51099499999225E-4</v>
      </c>
      <c r="K592" s="132">
        <v>85.833379890347203</v>
      </c>
      <c r="L592" s="133">
        <v>9.4116013092664002</v>
      </c>
      <c r="M592" s="133">
        <v>27.823902916616198</v>
      </c>
      <c r="N592" s="133">
        <v>7.6421364896271298</v>
      </c>
      <c r="O592" s="131">
        <v>3.0536612817244098E-4</v>
      </c>
      <c r="P592" s="133">
        <v>201.3</v>
      </c>
      <c r="Q592" s="134"/>
      <c r="R592" s="135"/>
      <c r="T592" s="37"/>
      <c r="U592" s="37"/>
    </row>
    <row r="593" spans="1:21" s="23" customFormat="1" x14ac:dyDescent="0.25">
      <c r="A593" s="127">
        <v>45205</v>
      </c>
      <c r="B593" s="128" t="s">
        <v>53</v>
      </c>
      <c r="C593" s="129" t="str">
        <f t="shared" si="19"/>
        <v>06.10.2023_NATohBo</v>
      </c>
      <c r="D593" s="143">
        <f t="shared" si="20"/>
        <v>0</v>
      </c>
      <c r="E593" s="130">
        <v>3.66533334234656E-6</v>
      </c>
      <c r="F593" s="131">
        <v>1.0229948437881799E-3</v>
      </c>
      <c r="G593" s="131">
        <v>0.33039563652516901</v>
      </c>
      <c r="H593" s="131">
        <v>3.62934032782852E-3</v>
      </c>
      <c r="I593" s="131">
        <v>1.3591278183263399E-5</v>
      </c>
      <c r="J593" s="131">
        <v>1.2878389020288101E-3</v>
      </c>
      <c r="K593" s="132">
        <v>159.50697949532599</v>
      </c>
      <c r="L593" s="133">
        <v>34.165917041271598</v>
      </c>
      <c r="M593" s="133">
        <v>117.369320160195</v>
      </c>
      <c r="N593" s="133">
        <v>12.9989959264521</v>
      </c>
      <c r="O593" s="131">
        <v>2.53076629549288E-4</v>
      </c>
      <c r="P593" s="133">
        <v>339.16</v>
      </c>
      <c r="Q593" s="134"/>
      <c r="R593" s="135"/>
      <c r="T593" s="37"/>
      <c r="U593" s="37"/>
    </row>
    <row r="594" spans="1:21" s="23" customFormat="1" x14ac:dyDescent="0.25">
      <c r="A594" s="127">
        <v>45205</v>
      </c>
      <c r="B594" s="128" t="s">
        <v>55</v>
      </c>
      <c r="C594" s="129" t="str">
        <f t="shared" si="19"/>
        <v>06.10.2023_QUAohBo</v>
      </c>
      <c r="D594" s="143">
        <f t="shared" si="20"/>
        <v>0</v>
      </c>
      <c r="E594" s="130">
        <v>4.5855671007008997E-6</v>
      </c>
      <c r="F594" s="131">
        <v>1.0782302840007601E-3</v>
      </c>
      <c r="G594" s="131">
        <v>0.25592680143602398</v>
      </c>
      <c r="H594" s="131">
        <v>3.0746391517948602E-3</v>
      </c>
      <c r="I594" s="131">
        <v>1.4814832222529499E-5</v>
      </c>
      <c r="J594" s="131">
        <v>7.9697787685853796E-4</v>
      </c>
      <c r="K594" s="132">
        <v>117.48230447479401</v>
      </c>
      <c r="L594" s="133">
        <v>5.6538308881318402</v>
      </c>
      <c r="M594" s="133">
        <v>26.331103138750301</v>
      </c>
      <c r="N594" s="133">
        <v>4.6237504279432002</v>
      </c>
      <c r="O594" s="131">
        <v>3.00155319975451E-4</v>
      </c>
      <c r="P594" s="133">
        <v>236.19200000000001</v>
      </c>
      <c r="Q594" s="134"/>
      <c r="R594" s="135"/>
      <c r="T594" s="37"/>
      <c r="U594" s="37"/>
    </row>
    <row r="595" spans="1:21" s="23" customFormat="1" x14ac:dyDescent="0.25">
      <c r="A595" s="127">
        <v>45205</v>
      </c>
      <c r="B595" s="128" t="s">
        <v>57</v>
      </c>
      <c r="C595" s="129" t="str">
        <f t="shared" si="19"/>
        <v>06.10.2023_SCHohVo</v>
      </c>
      <c r="D595" s="143">
        <f t="shared" si="20"/>
        <v>0</v>
      </c>
      <c r="E595" s="130">
        <v>7.9857592119863193E-6</v>
      </c>
      <c r="F595" s="131">
        <v>9.25539367914569E-4</v>
      </c>
      <c r="G595" s="131">
        <v>0.24057602372893699</v>
      </c>
      <c r="H595" s="131">
        <v>5.8175951588605697E-3</v>
      </c>
      <c r="I595" s="131">
        <v>1.35802546133403E-5</v>
      </c>
      <c r="J595" s="131">
        <v>3.09160816576339E-3</v>
      </c>
      <c r="K595" s="132">
        <v>116.32430188227499</v>
      </c>
      <c r="L595" s="133">
        <v>6.1880760659691196</v>
      </c>
      <c r="M595" s="133">
        <v>22.0501951884346</v>
      </c>
      <c r="N595" s="133">
        <v>4.4874081819271998</v>
      </c>
      <c r="O595" s="131">
        <v>1.06326202141179E-3</v>
      </c>
      <c r="P595" s="133">
        <v>259.37200000000001</v>
      </c>
      <c r="Q595" s="134"/>
      <c r="R595" s="135"/>
      <c r="T595" s="37"/>
      <c r="U595" s="37"/>
    </row>
    <row r="596" spans="1:21" s="23" customFormat="1" x14ac:dyDescent="0.25">
      <c r="A596" s="127">
        <v>45205</v>
      </c>
      <c r="B596" s="128" t="s">
        <v>60</v>
      </c>
      <c r="C596" s="129" t="str">
        <f t="shared" si="19"/>
        <v>06.10.2023_VORohBo</v>
      </c>
      <c r="D596" s="143">
        <f t="shared" si="20"/>
        <v>0</v>
      </c>
      <c r="E596" s="130">
        <v>3.5873469747780098E-6</v>
      </c>
      <c r="F596" s="131">
        <v>4.8951630695912701E-4</v>
      </c>
      <c r="G596" s="131">
        <v>0.27882606730301301</v>
      </c>
      <c r="H596" s="131">
        <v>3.25574776643616E-3</v>
      </c>
      <c r="I596" s="131">
        <v>1.76036590365139E-5</v>
      </c>
      <c r="J596" s="131">
        <v>1.3892846805688499E-3</v>
      </c>
      <c r="K596" s="132">
        <v>130.97726436040901</v>
      </c>
      <c r="L596" s="133">
        <v>12.351398178063601</v>
      </c>
      <c r="M596" s="133">
        <v>24.0938135838731</v>
      </c>
      <c r="N596" s="133">
        <v>6.9896106798132998</v>
      </c>
      <c r="O596" s="131">
        <v>4.65553286574705E-4</v>
      </c>
      <c r="P596" s="133">
        <v>244.976</v>
      </c>
      <c r="Q596" s="134"/>
      <c r="R596" s="135"/>
      <c r="T596" s="37"/>
      <c r="U596" s="37"/>
    </row>
    <row r="597" spans="1:21" s="23" customFormat="1" x14ac:dyDescent="0.25">
      <c r="A597" s="127">
        <v>45205</v>
      </c>
      <c r="B597" s="128" t="s">
        <v>62</v>
      </c>
      <c r="C597" s="129" t="str">
        <f t="shared" si="19"/>
        <v>06.10.2023_VORuhSc</v>
      </c>
      <c r="D597" s="143">
        <f t="shared" si="20"/>
        <v>0</v>
      </c>
      <c r="E597" s="130">
        <v>2.6515166113369499E-6</v>
      </c>
      <c r="F597" s="131">
        <v>4.9594993725638695E-4</v>
      </c>
      <c r="G597" s="131">
        <v>0.33540697181631202</v>
      </c>
      <c r="H597" s="131">
        <v>3.81647516640372E-3</v>
      </c>
      <c r="I597" s="131">
        <v>1.4120382590908201E-5</v>
      </c>
      <c r="J597" s="131">
        <v>9.9932593228279991E-4</v>
      </c>
      <c r="K597" s="132">
        <v>176.482060887692</v>
      </c>
      <c r="L597" s="133">
        <v>15.603600920239501</v>
      </c>
      <c r="M597" s="133">
        <v>29.640680576549801</v>
      </c>
      <c r="N597" s="133">
        <v>7.5333705814413499</v>
      </c>
      <c r="O597" s="131">
        <v>5.7095761701795602E-4</v>
      </c>
      <c r="P597" s="133">
        <v>283.77199999999999</v>
      </c>
      <c r="Q597" s="134"/>
      <c r="R597" s="135"/>
      <c r="T597" s="37"/>
      <c r="U597" s="37"/>
    </row>
    <row r="598" spans="1:21" s="23" customFormat="1" x14ac:dyDescent="0.25">
      <c r="A598" s="127">
        <v>45205</v>
      </c>
      <c r="B598" s="128" t="s">
        <v>64</v>
      </c>
      <c r="C598" s="129" t="str">
        <f t="shared" si="19"/>
        <v>06.10.2023_WITob</v>
      </c>
      <c r="D598" s="143">
        <f t="shared" si="20"/>
        <v>0</v>
      </c>
      <c r="E598" s="130">
        <v>3.9928742045922399E-6</v>
      </c>
      <c r="F598" s="131">
        <v>7.8978398692079797E-4</v>
      </c>
      <c r="G598" s="131">
        <v>0.33633433110628502</v>
      </c>
      <c r="H598" s="131">
        <v>3.44104936690933E-3</v>
      </c>
      <c r="I598" s="131">
        <v>1.21031734608989E-5</v>
      </c>
      <c r="J598" s="131">
        <v>1.33419709990523E-3</v>
      </c>
      <c r="K598" s="132">
        <v>153.46648782825</v>
      </c>
      <c r="L598" s="133">
        <v>16.781842135003799</v>
      </c>
      <c r="M598" s="133">
        <v>56.353505101011102</v>
      </c>
      <c r="N598" s="133">
        <v>7.1607068085946297</v>
      </c>
      <c r="O598" s="131">
        <v>1.9933453086799601E-4</v>
      </c>
      <c r="P598" s="133">
        <v>271.81599999999997</v>
      </c>
      <c r="Q598" s="134"/>
      <c r="R598" s="135"/>
      <c r="T598" s="37"/>
      <c r="U598" s="37"/>
    </row>
    <row r="599" spans="1:21" s="23" customFormat="1" x14ac:dyDescent="0.25">
      <c r="A599" s="127">
        <v>45236</v>
      </c>
      <c r="B599" s="128" t="s">
        <v>22</v>
      </c>
      <c r="C599" s="129" t="str">
        <f t="shared" si="19"/>
        <v>06.11.2023_BOYkl</v>
      </c>
      <c r="D599" s="143">
        <f t="shared" si="20"/>
        <v>0</v>
      </c>
      <c r="E599" s="130">
        <v>7.9759889488823898E-5</v>
      </c>
      <c r="F599" s="131">
        <v>2.1428113541315501E-3</v>
      </c>
      <c r="G599" s="131">
        <v>0.13009793505014999</v>
      </c>
      <c r="H599" s="131">
        <v>5.4272605392683398E-3</v>
      </c>
      <c r="I599" s="131">
        <v>2.10317977269652E-5</v>
      </c>
      <c r="J599" s="131">
        <v>5.8871074992683601E-3</v>
      </c>
      <c r="K599" s="132">
        <v>80.514719745115897</v>
      </c>
      <c r="L599" s="133">
        <v>8.7930406218747503</v>
      </c>
      <c r="M599" s="133">
        <v>16.344500773815099</v>
      </c>
      <c r="N599" s="133">
        <v>9.8849868632964597</v>
      </c>
      <c r="O599" s="131">
        <v>7.7329883983776201E-4</v>
      </c>
      <c r="P599" s="133">
        <v>112.48399999999999</v>
      </c>
      <c r="Q599" s="134"/>
      <c r="R599" s="135"/>
      <c r="T599" s="37"/>
      <c r="U599" s="37"/>
    </row>
    <row r="600" spans="1:21" s="23" customFormat="1" x14ac:dyDescent="0.25">
      <c r="A600" s="127">
        <v>45236</v>
      </c>
      <c r="B600" s="128" t="s">
        <v>25</v>
      </c>
      <c r="C600" s="129" t="str">
        <f t="shared" si="19"/>
        <v>06.11.2023_BOYohB224</v>
      </c>
      <c r="D600" s="143">
        <f t="shared" si="20"/>
        <v>0</v>
      </c>
      <c r="E600" s="130">
        <v>7.2545986075585196E-6</v>
      </c>
      <c r="F600" s="131">
        <v>1.9602350814606601E-3</v>
      </c>
      <c r="G600" s="131">
        <v>0.20922644253408701</v>
      </c>
      <c r="H600" s="131">
        <v>4.49662907657245E-3</v>
      </c>
      <c r="I600" s="131">
        <v>1.64204818024014E-5</v>
      </c>
      <c r="J600" s="131">
        <v>2.39391567455411E-3</v>
      </c>
      <c r="K600" s="132">
        <v>203.42298341772999</v>
      </c>
      <c r="L600" s="133">
        <v>23.855304688482999</v>
      </c>
      <c r="M600" s="133">
        <v>26.535909939110802</v>
      </c>
      <c r="N600" s="133">
        <v>8.7821072686547801</v>
      </c>
      <c r="O600" s="131">
        <v>2.6730764756487699E-4</v>
      </c>
      <c r="P600" s="133">
        <v>181.536</v>
      </c>
      <c r="Q600" s="134"/>
      <c r="R600" s="135"/>
      <c r="T600" s="37"/>
      <c r="U600" s="37"/>
    </row>
    <row r="601" spans="1:21" s="23" customFormat="1" x14ac:dyDescent="0.25">
      <c r="A601" s="127">
        <v>45236</v>
      </c>
      <c r="B601" s="128" t="s">
        <v>28</v>
      </c>
      <c r="C601" s="129" t="str">
        <f t="shared" si="19"/>
        <v>06.11.2023_BOYohBr</v>
      </c>
      <c r="D601" s="143">
        <f t="shared" si="20"/>
        <v>0</v>
      </c>
      <c r="E601" s="130">
        <v>2.5184360287369801E-5</v>
      </c>
      <c r="F601" s="131">
        <v>4.3037916893479298E-3</v>
      </c>
      <c r="G601" s="131">
        <v>0.17039861975430201</v>
      </c>
      <c r="H601" s="131">
        <v>5.0698938845630103E-3</v>
      </c>
      <c r="I601" s="131">
        <v>1.9818288985675598E-5</v>
      </c>
      <c r="J601" s="131">
        <v>5.7229507699959204E-3</v>
      </c>
      <c r="K601" s="132">
        <v>124.06170918737701</v>
      </c>
      <c r="L601" s="133">
        <v>11.405441661168201</v>
      </c>
      <c r="M601" s="133">
        <v>14.4825873026869</v>
      </c>
      <c r="N601" s="133">
        <v>8.3462621270862893</v>
      </c>
      <c r="O601" s="131">
        <v>2.43493285010286E-4</v>
      </c>
      <c r="P601" s="133">
        <v>161.04</v>
      </c>
      <c r="Q601" s="134"/>
      <c r="R601" s="135"/>
      <c r="T601" s="37"/>
      <c r="U601" s="37"/>
    </row>
    <row r="602" spans="1:21" s="23" customFormat="1" x14ac:dyDescent="0.25">
      <c r="A602" s="127">
        <v>45236</v>
      </c>
      <c r="B602" s="128" t="s">
        <v>30</v>
      </c>
      <c r="C602" s="129" t="str">
        <f t="shared" si="19"/>
        <v>06.11.2023_BOYohKi</v>
      </c>
      <c r="D602" s="143">
        <f t="shared" si="20"/>
        <v>0</v>
      </c>
      <c r="E602" s="130">
        <v>1.44112200852507E-5</v>
      </c>
      <c r="F602" s="131">
        <v>2.1684743608119399E-3</v>
      </c>
      <c r="G602" s="131">
        <v>0.18276394947647501</v>
      </c>
      <c r="H602" s="131">
        <v>4.5876462268772799E-3</v>
      </c>
      <c r="I602" s="131">
        <v>2.05168159483565E-5</v>
      </c>
      <c r="J602" s="131">
        <v>2.5878817460778698E-3</v>
      </c>
      <c r="K602" s="132">
        <v>176.044784471837</v>
      </c>
      <c r="L602" s="133">
        <v>15.6047921564658</v>
      </c>
      <c r="M602" s="133">
        <v>23.3333391411729</v>
      </c>
      <c r="N602" s="133">
        <v>8.5942485358503493</v>
      </c>
      <c r="O602" s="131">
        <v>2.90360404340989E-4</v>
      </c>
      <c r="P602" s="133">
        <v>193.98</v>
      </c>
      <c r="Q602" s="134"/>
      <c r="R602" s="135"/>
      <c r="T602" s="37"/>
      <c r="U602" s="37"/>
    </row>
    <row r="603" spans="1:21" s="23" customFormat="1" x14ac:dyDescent="0.25">
      <c r="A603" s="127">
        <v>45236</v>
      </c>
      <c r="B603" s="128" t="s">
        <v>32</v>
      </c>
      <c r="C603" s="129" t="str">
        <f t="shared" si="19"/>
        <v>06.11.2023_BOYohSp</v>
      </c>
      <c r="D603" s="143">
        <f t="shared" si="20"/>
        <v>0</v>
      </c>
      <c r="E603" s="130">
        <v>1.2504956139341E-5</v>
      </c>
      <c r="F603" s="131">
        <v>2.6974948168557999E-3</v>
      </c>
      <c r="G603" s="131">
        <v>0.18851642736921401</v>
      </c>
      <c r="H603" s="131">
        <v>4.4479329563619297E-3</v>
      </c>
      <c r="I603" s="131">
        <v>1.7349844077670399E-5</v>
      </c>
      <c r="J603" s="131">
        <v>2.9327530915073201E-3</v>
      </c>
      <c r="K603" s="132">
        <v>158.568488222734</v>
      </c>
      <c r="L603" s="133">
        <v>13.0116452179611</v>
      </c>
      <c r="M603" s="133">
        <v>21.926444675834698</v>
      </c>
      <c r="N603" s="133">
        <v>8.67922872997881</v>
      </c>
      <c r="O603" s="131">
        <v>3.8735647424300402E-4</v>
      </c>
      <c r="P603" s="133">
        <v>181.536</v>
      </c>
      <c r="Q603" s="134"/>
      <c r="R603" s="135"/>
      <c r="T603" s="37"/>
      <c r="U603" s="37"/>
    </row>
    <row r="604" spans="1:21" s="23" customFormat="1" x14ac:dyDescent="0.25">
      <c r="A604" s="127">
        <v>45236</v>
      </c>
      <c r="B604" s="128" t="s">
        <v>34</v>
      </c>
      <c r="C604" s="129" t="str">
        <f t="shared" si="19"/>
        <v>06.11.2023_BOYuhHa</v>
      </c>
      <c r="D604" s="143">
        <f t="shared" si="20"/>
        <v>0</v>
      </c>
      <c r="E604" s="130">
        <v>7.5378128134543102E-6</v>
      </c>
      <c r="F604" s="131">
        <v>1.87867490031448E-3</v>
      </c>
      <c r="G604" s="131">
        <v>0.198874368396804</v>
      </c>
      <c r="H604" s="131">
        <v>4.17924352295416E-3</v>
      </c>
      <c r="I604" s="131">
        <v>2.13751316293622E-5</v>
      </c>
      <c r="J604" s="131">
        <v>1.9137846956277899E-3</v>
      </c>
      <c r="K604" s="132">
        <v>195.99544631173401</v>
      </c>
      <c r="L604" s="133">
        <v>24.086465811963599</v>
      </c>
      <c r="M604" s="133">
        <v>28.6688911385293</v>
      </c>
      <c r="N604" s="133">
        <v>9.1267852590966907</v>
      </c>
      <c r="O604" s="131">
        <v>2.2378679620598901E-4</v>
      </c>
      <c r="P604" s="133">
        <v>207.15600000000001</v>
      </c>
      <c r="Q604" s="134"/>
      <c r="R604" s="135"/>
      <c r="T604" s="37"/>
      <c r="U604" s="37"/>
    </row>
    <row r="605" spans="1:21" s="23" customFormat="1" x14ac:dyDescent="0.25">
      <c r="A605" s="127">
        <v>45236</v>
      </c>
      <c r="B605" s="128" t="s">
        <v>36</v>
      </c>
      <c r="C605" s="129" t="str">
        <f t="shared" si="19"/>
        <v>06.11.2023_BOYuhSp</v>
      </c>
      <c r="D605" s="143">
        <f t="shared" si="20"/>
        <v>0</v>
      </c>
      <c r="E605" s="130">
        <v>2.53913263402928E-5</v>
      </c>
      <c r="F605" s="131">
        <v>2.67622000277082E-3</v>
      </c>
      <c r="G605" s="131">
        <v>0.190334292659252</v>
      </c>
      <c r="H605" s="131">
        <v>4.7587724134949402E-3</v>
      </c>
      <c r="I605" s="131">
        <v>2.95915516702584E-5</v>
      </c>
      <c r="J605" s="131">
        <v>3.85303603381436E-3</v>
      </c>
      <c r="K605" s="132">
        <v>152.985780704463</v>
      </c>
      <c r="L605" s="133">
        <v>12.748612447920801</v>
      </c>
      <c r="M605" s="133">
        <v>21.617654095328501</v>
      </c>
      <c r="N605" s="133">
        <v>8.5000852469028096</v>
      </c>
      <c r="O605" s="131">
        <v>4.6162172943953899E-4</v>
      </c>
      <c r="P605" s="133">
        <v>183.976</v>
      </c>
      <c r="Q605" s="134"/>
      <c r="R605" s="135"/>
      <c r="T605" s="37"/>
      <c r="U605" s="37"/>
    </row>
    <row r="606" spans="1:21" s="23" customFormat="1" x14ac:dyDescent="0.25">
      <c r="A606" s="127">
        <v>45236</v>
      </c>
      <c r="B606" s="128" t="s">
        <v>38</v>
      </c>
      <c r="C606" s="129" t="str">
        <f t="shared" si="19"/>
        <v>06.11.2023_BRAob</v>
      </c>
      <c r="D606" s="143">
        <f t="shared" si="20"/>
        <v>0</v>
      </c>
      <c r="E606" s="130">
        <v>1.03699535020313E-5</v>
      </c>
      <c r="F606" s="131">
        <v>1.27726819540017E-3</v>
      </c>
      <c r="G606" s="131">
        <v>0.256866662239921</v>
      </c>
      <c r="H606" s="131">
        <v>4.0293669672321099E-3</v>
      </c>
      <c r="I606" s="131">
        <v>1.9693977833168999E-5</v>
      </c>
      <c r="J606" s="131">
        <v>2.2271351860337699E-3</v>
      </c>
      <c r="K606" s="132">
        <v>194.322896275803</v>
      </c>
      <c r="L606" s="133">
        <v>8.6798524616446908</v>
      </c>
      <c r="M606" s="133">
        <v>23.559836418897401</v>
      </c>
      <c r="N606" s="133">
        <v>5.6577343798569002</v>
      </c>
      <c r="O606" s="131">
        <v>4.9929802970332196E-4</v>
      </c>
      <c r="P606" s="133">
        <v>213.5</v>
      </c>
      <c r="Q606" s="134"/>
      <c r="R606" s="135"/>
      <c r="T606" s="37"/>
      <c r="U606" s="37"/>
    </row>
    <row r="607" spans="1:21" s="23" customFormat="1" x14ac:dyDescent="0.25">
      <c r="A607" s="127">
        <v>45236</v>
      </c>
      <c r="B607" s="128" t="s">
        <v>41</v>
      </c>
      <c r="C607" s="129" t="str">
        <f t="shared" si="19"/>
        <v>06.11.2023_BRAohBo</v>
      </c>
      <c r="D607" s="143">
        <f t="shared" si="20"/>
        <v>0</v>
      </c>
      <c r="E607" s="130">
        <v>1.10997750446639E-5</v>
      </c>
      <c r="F607" s="131">
        <v>2.12535786002194E-3</v>
      </c>
      <c r="G607" s="131">
        <v>0.20039993125852201</v>
      </c>
      <c r="H607" s="131">
        <v>4.0834472722292197E-3</v>
      </c>
      <c r="I607" s="131">
        <v>1.2347871103392201E-5</v>
      </c>
      <c r="J607" s="131">
        <v>2.2732240357151898E-3</v>
      </c>
      <c r="K607" s="132">
        <v>166.058832406275</v>
      </c>
      <c r="L607" s="133">
        <v>11.8374012825987</v>
      </c>
      <c r="M607" s="133">
        <v>20.1728633519451</v>
      </c>
      <c r="N607" s="133">
        <v>8.0607904374950294</v>
      </c>
      <c r="O607" s="131">
        <v>6.7230564580394504E-4</v>
      </c>
      <c r="P607" s="133">
        <v>204.96</v>
      </c>
      <c r="Q607" s="134"/>
      <c r="R607" s="135"/>
      <c r="T607" s="37"/>
      <c r="U607" s="37"/>
    </row>
    <row r="608" spans="1:21" s="23" customFormat="1" x14ac:dyDescent="0.25">
      <c r="A608" s="127">
        <v>45236</v>
      </c>
      <c r="B608" s="128" t="s">
        <v>43</v>
      </c>
      <c r="C608" s="129" t="str">
        <f t="shared" si="19"/>
        <v>06.11.2023_HAAob</v>
      </c>
      <c r="D608" s="143">
        <f t="shared" si="20"/>
        <v>0</v>
      </c>
      <c r="E608" s="130">
        <v>2.4399794168202898E-6</v>
      </c>
      <c r="F608" s="131">
        <v>6.3727003786975204E-4</v>
      </c>
      <c r="G608" s="131">
        <v>0.20306678849728599</v>
      </c>
      <c r="H608" s="131">
        <v>3.0163510532852499E-3</v>
      </c>
      <c r="I608" s="131">
        <v>1.39816462378942E-5</v>
      </c>
      <c r="J608" s="131">
        <v>1.7844549776178699E-3</v>
      </c>
      <c r="K608" s="132">
        <v>195.39640965485901</v>
      </c>
      <c r="L608" s="133">
        <v>32.512395690341002</v>
      </c>
      <c r="M608" s="133">
        <v>25.813237492705198</v>
      </c>
      <c r="N608" s="133">
        <v>6.1656429201235703</v>
      </c>
      <c r="O608" s="131">
        <v>2.0665499099878601E-4</v>
      </c>
      <c r="P608" s="133">
        <v>230.58</v>
      </c>
      <c r="Q608" s="134"/>
      <c r="R608" s="135"/>
      <c r="T608" s="37"/>
      <c r="U608" s="37"/>
    </row>
    <row r="609" spans="1:21" s="23" customFormat="1" x14ac:dyDescent="0.25">
      <c r="A609" s="127">
        <v>45236</v>
      </c>
      <c r="B609" s="128" t="s">
        <v>45</v>
      </c>
      <c r="C609" s="129" t="str">
        <f t="shared" si="19"/>
        <v>06.11.2023_HAAun</v>
      </c>
      <c r="D609" s="143">
        <f t="shared" si="20"/>
        <v>0</v>
      </c>
      <c r="E609" s="130">
        <v>9.7272739889079898E-6</v>
      </c>
      <c r="F609" s="131">
        <v>1.71764521021712E-3</v>
      </c>
      <c r="G609" s="131">
        <v>0.24827786141898101</v>
      </c>
      <c r="H609" s="131">
        <v>4.16481365927923E-3</v>
      </c>
      <c r="I609" s="131">
        <v>1.73794418221991E-5</v>
      </c>
      <c r="J609" s="131">
        <v>3.7526868624769799E-3</v>
      </c>
      <c r="K609" s="132">
        <v>263.55522645935099</v>
      </c>
      <c r="L609" s="133">
        <v>43.055645641881902</v>
      </c>
      <c r="M609" s="133">
        <v>34.100108178003701</v>
      </c>
      <c r="N609" s="133">
        <v>11.029756722175</v>
      </c>
      <c r="O609" s="131">
        <v>4.9186491390128197E-4</v>
      </c>
      <c r="P609" s="133">
        <v>267.18</v>
      </c>
      <c r="Q609" s="134"/>
      <c r="R609" s="135"/>
      <c r="T609" s="37"/>
      <c r="U609" s="37"/>
    </row>
    <row r="610" spans="1:21" s="23" customFormat="1" x14ac:dyDescent="0.25">
      <c r="A610" s="127">
        <v>45236</v>
      </c>
      <c r="B610" s="128" t="s">
        <v>47</v>
      </c>
      <c r="C610" s="129" t="str">
        <f t="shared" si="19"/>
        <v>06.11.2023_KIRob</v>
      </c>
      <c r="D610" s="143">
        <f t="shared" si="20"/>
        <v>0</v>
      </c>
      <c r="E610" s="130">
        <v>1.14156728351354E-5</v>
      </c>
      <c r="F610" s="131">
        <v>1.46689389076095E-3</v>
      </c>
      <c r="G610" s="131">
        <v>0.23132581665452701</v>
      </c>
      <c r="H610" s="131">
        <v>4.2551834039809798E-3</v>
      </c>
      <c r="I610" s="131">
        <v>1.48222200298803E-5</v>
      </c>
      <c r="J610" s="131">
        <v>2.4204402211711602E-3</v>
      </c>
      <c r="K610" s="132">
        <v>152.66586672778899</v>
      </c>
      <c r="L610" s="133">
        <v>13.785450451262999</v>
      </c>
      <c r="M610" s="133">
        <v>63.344006787561</v>
      </c>
      <c r="N610" s="133">
        <v>7.7439465277838302</v>
      </c>
      <c r="O610" s="131">
        <v>3.6209926758294598E-4</v>
      </c>
      <c r="P610" s="133">
        <v>223.74799999999999</v>
      </c>
      <c r="Q610" s="134"/>
      <c r="R610" s="135"/>
      <c r="T610" s="37"/>
      <c r="U610" s="37"/>
    </row>
    <row r="611" spans="1:21" s="23" customFormat="1" x14ac:dyDescent="0.25">
      <c r="A611" s="127">
        <v>45236</v>
      </c>
      <c r="B611" s="128" t="s">
        <v>49</v>
      </c>
      <c r="C611" s="129" t="str">
        <f t="shared" si="19"/>
        <v>06.11.2023_KIRun</v>
      </c>
      <c r="D611" s="143">
        <f t="shared" si="20"/>
        <v>0</v>
      </c>
      <c r="E611" s="130">
        <v>1.8866451998865699E-5</v>
      </c>
      <c r="F611" s="131">
        <v>1.57557879296322E-3</v>
      </c>
      <c r="G611" s="131">
        <v>0.268760032906319</v>
      </c>
      <c r="H611" s="131">
        <v>4.3043524875864599E-3</v>
      </c>
      <c r="I611" s="131">
        <v>2.1955285493695602E-5</v>
      </c>
      <c r="J611" s="131">
        <v>2.0595155321010798E-3</v>
      </c>
      <c r="K611" s="132">
        <v>180.06574247927301</v>
      </c>
      <c r="L611" s="133">
        <v>15.841029860914899</v>
      </c>
      <c r="M611" s="133">
        <v>54.6503495512993</v>
      </c>
      <c r="N611" s="133">
        <v>7.6410861697130903</v>
      </c>
      <c r="O611" s="131">
        <v>2.3261688435603401E-4</v>
      </c>
      <c r="P611" s="133">
        <v>226.67599999999999</v>
      </c>
      <c r="Q611" s="134"/>
      <c r="R611" s="135"/>
      <c r="T611" s="37"/>
      <c r="U611" s="37"/>
    </row>
    <row r="612" spans="1:21" s="23" customFormat="1" x14ac:dyDescent="0.25">
      <c r="A612" s="127">
        <v>45236</v>
      </c>
      <c r="B612" s="128" t="s">
        <v>50</v>
      </c>
      <c r="C612" s="129" t="str">
        <f t="shared" si="19"/>
        <v>06.11.2023_LIEohBo</v>
      </c>
      <c r="D612" s="143">
        <f t="shared" si="20"/>
        <v>0</v>
      </c>
      <c r="E612" s="130">
        <v>2.8647977550937802E-6</v>
      </c>
      <c r="F612" s="131">
        <v>8.68668866449249E-4</v>
      </c>
      <c r="G612" s="131">
        <v>0.178831852150409</v>
      </c>
      <c r="H612" s="131">
        <v>3.8469510506858899E-3</v>
      </c>
      <c r="I612" s="131">
        <v>1.03766917022961E-5</v>
      </c>
      <c r="J612" s="131">
        <v>9.5978701814225498E-4</v>
      </c>
      <c r="K612" s="132">
        <v>171.44205535799401</v>
      </c>
      <c r="L612" s="133">
        <v>19.938927533814599</v>
      </c>
      <c r="M612" s="133">
        <v>23.817397223185001</v>
      </c>
      <c r="N612" s="133">
        <v>8.1011379436753703</v>
      </c>
      <c r="O612" s="131">
        <v>2.0899162936697301E-4</v>
      </c>
      <c r="P612" s="133">
        <v>225.45599999999999</v>
      </c>
      <c r="Q612" s="134"/>
      <c r="R612" s="135"/>
      <c r="T612" s="37"/>
      <c r="U612" s="37"/>
    </row>
    <row r="613" spans="1:21" s="23" customFormat="1" x14ac:dyDescent="0.25">
      <c r="A613" s="127">
        <v>45236</v>
      </c>
      <c r="B613" s="128" t="s">
        <v>53</v>
      </c>
      <c r="C613" s="129" t="str">
        <f t="shared" si="19"/>
        <v>06.11.2023_NATohBo</v>
      </c>
      <c r="D613" s="143">
        <f t="shared" si="20"/>
        <v>0</v>
      </c>
      <c r="E613" s="130">
        <v>1.3071386461632201E-5</v>
      </c>
      <c r="F613" s="131">
        <v>2.2831165987119199E-3</v>
      </c>
      <c r="G613" s="131">
        <v>0.231249248966654</v>
      </c>
      <c r="H613" s="131">
        <v>3.7463973445484599E-3</v>
      </c>
      <c r="I613" s="131">
        <v>1.3969806356462201E-5</v>
      </c>
      <c r="J613" s="131">
        <v>3.9727335781582201E-3</v>
      </c>
      <c r="K613" s="132">
        <v>244.95695967843599</v>
      </c>
      <c r="L613" s="133">
        <v>43.891268585339603</v>
      </c>
      <c r="M613" s="133">
        <v>59.040232623808699</v>
      </c>
      <c r="N613" s="133">
        <v>11.308227394058299</v>
      </c>
      <c r="O613" s="131">
        <v>1.9136919283416101E-4</v>
      </c>
      <c r="P613" s="133">
        <v>249.124</v>
      </c>
      <c r="Q613" s="134"/>
      <c r="R613" s="135"/>
      <c r="T613" s="37"/>
      <c r="U613" s="37"/>
    </row>
    <row r="614" spans="1:21" s="23" customFormat="1" x14ac:dyDescent="0.25">
      <c r="A614" s="127">
        <v>45236</v>
      </c>
      <c r="B614" s="128" t="s">
        <v>55</v>
      </c>
      <c r="C614" s="129" t="str">
        <f t="shared" si="19"/>
        <v>06.11.2023_QUAohBo</v>
      </c>
      <c r="D614" s="143">
        <f t="shared" si="20"/>
        <v>0</v>
      </c>
      <c r="E614" s="130">
        <v>7.0585275431568899E-6</v>
      </c>
      <c r="F614" s="131">
        <v>1.2926093961862001E-3</v>
      </c>
      <c r="G614" s="131">
        <v>0.214604191782308</v>
      </c>
      <c r="H614" s="131">
        <v>3.2974808203550098E-3</v>
      </c>
      <c r="I614" s="131">
        <v>8.8139608655580808E-6</v>
      </c>
      <c r="J614" s="131">
        <v>1.36774140350166E-3</v>
      </c>
      <c r="K614" s="132">
        <v>203.86630324228199</v>
      </c>
      <c r="L614" s="133">
        <v>12.181551757953001</v>
      </c>
      <c r="M614" s="133">
        <v>22.974600955139099</v>
      </c>
      <c r="N614" s="133">
        <v>7.4517538196091504</v>
      </c>
      <c r="O614" s="131">
        <v>3.7769770065379499E-4</v>
      </c>
      <c r="P614" s="133">
        <v>232.53200000000001</v>
      </c>
      <c r="Q614" s="134"/>
      <c r="R614" s="135"/>
      <c r="T614" s="37"/>
      <c r="U614" s="37"/>
    </row>
    <row r="615" spans="1:21" s="23" customFormat="1" x14ac:dyDescent="0.25">
      <c r="A615" s="127">
        <v>45236</v>
      </c>
      <c r="B615" s="128" t="s">
        <v>57</v>
      </c>
      <c r="C615" s="129" t="str">
        <f t="shared" si="19"/>
        <v>06.11.2023_SCHohVo</v>
      </c>
      <c r="D615" s="143">
        <f t="shared" si="20"/>
        <v>0</v>
      </c>
      <c r="E615" s="130">
        <v>7.0282485737422604E-5</v>
      </c>
      <c r="F615" s="131">
        <v>1.4747770958779599E-3</v>
      </c>
      <c r="G615" s="131">
        <v>0.19177416738688699</v>
      </c>
      <c r="H615" s="131">
        <v>7.9705208534325903E-3</v>
      </c>
      <c r="I615" s="131">
        <v>2.5726031229809199E-5</v>
      </c>
      <c r="J615" s="131">
        <v>2.1991069381374899E-2</v>
      </c>
      <c r="K615" s="132">
        <v>89.855088605523605</v>
      </c>
      <c r="L615" s="133">
        <v>7.2011602817151399</v>
      </c>
      <c r="M615" s="133">
        <v>16.785413278896101</v>
      </c>
      <c r="N615" s="133">
        <v>3.7338054974213</v>
      </c>
      <c r="O615" s="131">
        <v>7.8283021253804899E-4</v>
      </c>
      <c r="P615" s="133">
        <v>133.22399999999999</v>
      </c>
      <c r="Q615" s="134"/>
      <c r="R615" s="135"/>
      <c r="T615" s="37"/>
      <c r="U615" s="37"/>
    </row>
    <row r="616" spans="1:21" s="23" customFormat="1" x14ac:dyDescent="0.25">
      <c r="A616" s="127">
        <v>45236</v>
      </c>
      <c r="B616" s="128" t="s">
        <v>60</v>
      </c>
      <c r="C616" s="129" t="str">
        <f t="shared" si="19"/>
        <v>06.11.2023_VORohBo</v>
      </c>
      <c r="D616" s="143">
        <f t="shared" si="20"/>
        <v>0</v>
      </c>
      <c r="E616" s="130">
        <v>5.6751397508601599E-6</v>
      </c>
      <c r="F616" s="131">
        <v>1.3194280871444001E-3</v>
      </c>
      <c r="G616" s="131">
        <v>0.35552911535100401</v>
      </c>
      <c r="H616" s="131">
        <v>6.6486696904795896E-3</v>
      </c>
      <c r="I616" s="131">
        <v>1.8119388308469801E-5</v>
      </c>
      <c r="J616" s="131">
        <v>1.8771905454063099E-3</v>
      </c>
      <c r="K616" s="132">
        <v>195.01616940397301</v>
      </c>
      <c r="L616" s="133">
        <v>18.713420771302602</v>
      </c>
      <c r="M616" s="133">
        <v>25.899307487123998</v>
      </c>
      <c r="N616" s="133">
        <v>7.9686148998263704</v>
      </c>
      <c r="O616" s="131">
        <v>6.5147517052491298E-4</v>
      </c>
      <c r="P616" s="133">
        <v>260.83600000000001</v>
      </c>
      <c r="Q616" s="134"/>
      <c r="R616" s="135"/>
      <c r="T616" s="37"/>
      <c r="U616" s="37"/>
    </row>
    <row r="617" spans="1:21" s="23" customFormat="1" x14ac:dyDescent="0.25">
      <c r="A617" s="127">
        <v>45236</v>
      </c>
      <c r="B617" s="128" t="s">
        <v>62</v>
      </c>
      <c r="C617" s="129" t="str">
        <f t="shared" si="19"/>
        <v>06.11.2023_VORuhSc</v>
      </c>
      <c r="D617" s="143">
        <f t="shared" si="20"/>
        <v>0</v>
      </c>
      <c r="E617" s="130">
        <v>8.1042399904162293E-6</v>
      </c>
      <c r="F617" s="131">
        <v>1.4242973556608601E-3</v>
      </c>
      <c r="G617" s="131">
        <v>0.27246287302259198</v>
      </c>
      <c r="H617" s="131">
        <v>5.0610857659502701E-3</v>
      </c>
      <c r="I617" s="131">
        <v>1.04240473651738E-5</v>
      </c>
      <c r="J617" s="131">
        <v>2.6265532862506601E-3</v>
      </c>
      <c r="K617" s="132">
        <v>183.76894305218499</v>
      </c>
      <c r="L617" s="133">
        <v>14.848781035079501</v>
      </c>
      <c r="M617" s="133">
        <v>22.155150698538701</v>
      </c>
      <c r="N617" s="133">
        <v>6.3170468681568899</v>
      </c>
      <c r="O617" s="131">
        <v>5.5449028973156896E-4</v>
      </c>
      <c r="P617" s="133">
        <v>280.11200000000002</v>
      </c>
      <c r="Q617" s="134"/>
      <c r="R617" s="135"/>
      <c r="T617" s="37"/>
      <c r="U617" s="37"/>
    </row>
    <row r="618" spans="1:21" s="23" customFormat="1" x14ac:dyDescent="0.25">
      <c r="A618" s="127">
        <v>45236</v>
      </c>
      <c r="B618" s="128" t="s">
        <v>64</v>
      </c>
      <c r="C618" s="129" t="str">
        <f t="shared" si="19"/>
        <v>06.11.2023_WITob</v>
      </c>
      <c r="D618" s="143">
        <f t="shared" si="20"/>
        <v>0</v>
      </c>
      <c r="E618" s="130">
        <v>2.6360496361186201E-6</v>
      </c>
      <c r="F618" s="131">
        <v>8.7497319479816103E-4</v>
      </c>
      <c r="G618" s="131">
        <v>0.28516254343118302</v>
      </c>
      <c r="H618" s="131">
        <v>4.1286592015855996E-3</v>
      </c>
      <c r="I618" s="131">
        <v>1.1471789167035499E-5</v>
      </c>
      <c r="J618" s="131">
        <v>1.3314192871490601E-3</v>
      </c>
      <c r="K618" s="132">
        <v>315.95620708071101</v>
      </c>
      <c r="L618" s="133">
        <v>38.909238593521899</v>
      </c>
      <c r="M618" s="133">
        <v>52.702213990040804</v>
      </c>
      <c r="N618" s="133">
        <v>7.3351113069714398</v>
      </c>
      <c r="O618" s="131">
        <v>2.0858009466110099E-4</v>
      </c>
      <c r="P618" s="133">
        <v>306.952</v>
      </c>
      <c r="Q618" s="134"/>
      <c r="R618" s="135"/>
      <c r="T618" s="37"/>
      <c r="U618" s="37"/>
    </row>
    <row r="619" spans="1:21" s="23" customFormat="1" x14ac:dyDescent="0.25">
      <c r="A619" s="127">
        <v>45271</v>
      </c>
      <c r="B619" s="128" t="s">
        <v>22</v>
      </c>
      <c r="C619" s="129" t="str">
        <f t="shared" si="19"/>
        <v>11.12.2023_BOYkl</v>
      </c>
      <c r="D619" s="143">
        <f t="shared" si="20"/>
        <v>0</v>
      </c>
      <c r="E619" s="130">
        <v>6.4105889483502895E-5</v>
      </c>
      <c r="F619" s="131">
        <v>2.6932215079100499E-3</v>
      </c>
      <c r="G619" s="131">
        <v>0.14410946682298001</v>
      </c>
      <c r="H619" s="131">
        <v>5.4383206335235504E-3</v>
      </c>
      <c r="I619" s="131">
        <v>1.8912598744063099E-5</v>
      </c>
      <c r="J619" s="131">
        <v>6.6561401042133303E-3</v>
      </c>
      <c r="K619" s="132">
        <v>74.124382426981896</v>
      </c>
      <c r="L619" s="133">
        <v>8.9309658328349304</v>
      </c>
      <c r="M619" s="133">
        <v>29.853719368468099</v>
      </c>
      <c r="N619" s="133">
        <v>12.0132726363872</v>
      </c>
      <c r="O619" s="131">
        <v>9.1594719879711296E-4</v>
      </c>
      <c r="P619" s="133">
        <v>109.068</v>
      </c>
      <c r="Q619" s="134"/>
      <c r="R619" s="135"/>
      <c r="T619" s="37"/>
      <c r="U619" s="37"/>
    </row>
    <row r="620" spans="1:21" s="23" customFormat="1" x14ac:dyDescent="0.25">
      <c r="A620" s="127">
        <v>45271</v>
      </c>
      <c r="B620" s="128" t="s">
        <v>25</v>
      </c>
      <c r="C620" s="129" t="str">
        <f t="shared" si="19"/>
        <v>11.12.2023_BOYohB224</v>
      </c>
      <c r="D620" s="143">
        <f t="shared" si="20"/>
        <v>0</v>
      </c>
      <c r="E620" s="130">
        <v>1.89426722055621E-5</v>
      </c>
      <c r="F620" s="131">
        <v>2.27332561183099E-3</v>
      </c>
      <c r="G620" s="131">
        <v>0.222173554863654</v>
      </c>
      <c r="H620" s="131">
        <v>4.7794668852827798E-3</v>
      </c>
      <c r="I620" s="131">
        <v>2.8975904853432199E-5</v>
      </c>
      <c r="J620" s="131">
        <v>3.3590406103210999E-3</v>
      </c>
      <c r="K620" s="132">
        <v>83.290577272692104</v>
      </c>
      <c r="L620" s="133">
        <v>8.0680499718659995</v>
      </c>
      <c r="M620" s="133">
        <v>17.501173269138</v>
      </c>
      <c r="N620" s="133">
        <v>6.2534731548245404</v>
      </c>
      <c r="O620" s="131">
        <v>3.4935632990145798E-4</v>
      </c>
      <c r="P620" s="133">
        <v>171.53200000000001</v>
      </c>
      <c r="Q620" s="134"/>
      <c r="R620" s="135"/>
      <c r="T620" s="37"/>
      <c r="U620" s="37"/>
    </row>
    <row r="621" spans="1:21" s="23" customFormat="1" x14ac:dyDescent="0.25">
      <c r="A621" s="127">
        <v>45271</v>
      </c>
      <c r="B621" s="128" t="s">
        <v>28</v>
      </c>
      <c r="C621" s="129" t="str">
        <f t="shared" si="19"/>
        <v>11.12.2023_BOYohBr</v>
      </c>
      <c r="D621" s="143">
        <f t="shared" si="20"/>
        <v>0</v>
      </c>
      <c r="E621" s="130">
        <v>4.8615527633750501E-5</v>
      </c>
      <c r="F621" s="131">
        <v>4.9533457337552498E-3</v>
      </c>
      <c r="G621" s="131">
        <v>0.20792131428827701</v>
      </c>
      <c r="H621" s="131">
        <v>6.4209309121931899E-3</v>
      </c>
      <c r="I621" s="131">
        <v>3.0970830679177499E-5</v>
      </c>
      <c r="J621" s="131">
        <v>8.1250982840726706E-3</v>
      </c>
      <c r="K621" s="132">
        <v>124.04576263834301</v>
      </c>
      <c r="L621" s="133">
        <v>12.7258501395089</v>
      </c>
      <c r="M621" s="133">
        <v>28.905185744342202</v>
      </c>
      <c r="N621" s="133">
        <v>10.841370174216699</v>
      </c>
      <c r="O621" s="131">
        <v>3.4861093720678799E-4</v>
      </c>
      <c r="P621" s="133">
        <v>138.34800000000001</v>
      </c>
      <c r="Q621" s="134"/>
      <c r="R621" s="135"/>
      <c r="T621" s="37"/>
      <c r="U621" s="37"/>
    </row>
    <row r="622" spans="1:21" s="23" customFormat="1" x14ac:dyDescent="0.25">
      <c r="A622" s="127">
        <v>45271</v>
      </c>
      <c r="B622" s="128" t="s">
        <v>30</v>
      </c>
      <c r="C622" s="129" t="str">
        <f t="shared" si="19"/>
        <v>11.12.2023_BOYohKi</v>
      </c>
      <c r="D622" s="143">
        <f t="shared" si="20"/>
        <v>0</v>
      </c>
      <c r="E622" s="130">
        <v>4.1066515910170402E-5</v>
      </c>
      <c r="F622" s="131">
        <v>2.6571216872582899E-3</v>
      </c>
      <c r="G622" s="131">
        <v>0.22514239297869201</v>
      </c>
      <c r="H622" s="131">
        <v>5.3532113049746801E-3</v>
      </c>
      <c r="I622" s="131">
        <v>3.4025393466639499E-5</v>
      </c>
      <c r="J622" s="131">
        <v>6.3403490789187096E-3</v>
      </c>
      <c r="K622" s="132">
        <v>162.282169429714</v>
      </c>
      <c r="L622" s="133">
        <v>15.453120222750499</v>
      </c>
      <c r="M622" s="133">
        <v>48.128734587543498</v>
      </c>
      <c r="N622" s="133">
        <v>9.8719448095457007</v>
      </c>
      <c r="O622" s="131">
        <v>5.5175229850755101E-4</v>
      </c>
      <c r="P622" s="133">
        <v>166.40799999999999</v>
      </c>
      <c r="Q622" s="134"/>
      <c r="R622" s="135"/>
      <c r="T622" s="37"/>
      <c r="U622" s="37"/>
    </row>
    <row r="623" spans="1:21" s="23" customFormat="1" x14ac:dyDescent="0.25">
      <c r="A623" s="127">
        <v>45271</v>
      </c>
      <c r="B623" s="128" t="s">
        <v>32</v>
      </c>
      <c r="C623" s="129" t="str">
        <f t="shared" si="19"/>
        <v>11.12.2023_BOYohSp</v>
      </c>
      <c r="D623" s="143">
        <f t="shared" si="20"/>
        <v>0</v>
      </c>
      <c r="E623" s="130">
        <v>2.8234412326360498E-5</v>
      </c>
      <c r="F623" s="131">
        <v>4.4200500130185498E-3</v>
      </c>
      <c r="G623" s="131">
        <v>0.210615324152053</v>
      </c>
      <c r="H623" s="131">
        <v>5.2141096414979804E-3</v>
      </c>
      <c r="I623" s="131">
        <v>5.4573060677586302E-5</v>
      </c>
      <c r="J623" s="131">
        <v>5.64416255298916E-3</v>
      </c>
      <c r="K623" s="132">
        <v>142.76700320089</v>
      </c>
      <c r="L623" s="133">
        <v>12.4734065661687</v>
      </c>
      <c r="M623" s="133">
        <v>42.059360313639303</v>
      </c>
      <c r="N623" s="133">
        <v>10.3392632322861</v>
      </c>
      <c r="O623" s="131">
        <v>4.4052726033475898E-4</v>
      </c>
      <c r="P623" s="133">
        <v>153.72</v>
      </c>
      <c r="Q623" s="134"/>
      <c r="R623" s="135"/>
      <c r="T623" s="37"/>
      <c r="U623" s="37"/>
    </row>
    <row r="624" spans="1:21" s="23" customFormat="1" x14ac:dyDescent="0.25">
      <c r="A624" s="127">
        <v>45271</v>
      </c>
      <c r="B624" s="128" t="s">
        <v>34</v>
      </c>
      <c r="C624" s="129" t="str">
        <f t="shared" si="19"/>
        <v>11.12.2023_BOYuhHa</v>
      </c>
      <c r="D624" s="143">
        <f t="shared" si="20"/>
        <v>0</v>
      </c>
      <c r="E624" s="130">
        <v>2.0674654288966701E-5</v>
      </c>
      <c r="F624" s="131">
        <v>2.2698588028057798E-3</v>
      </c>
      <c r="G624" s="131">
        <v>0.24128026684203299</v>
      </c>
      <c r="H624" s="131">
        <v>5.11531247401066E-3</v>
      </c>
      <c r="I624" s="131">
        <v>1.8498231557994799E-5</v>
      </c>
      <c r="J624" s="131">
        <v>3.5586742262232601E-3</v>
      </c>
      <c r="K624" s="132">
        <v>85.513407275452707</v>
      </c>
      <c r="L624" s="133">
        <v>8.7297052074564192</v>
      </c>
      <c r="M624" s="133">
        <v>19.6338588877849</v>
      </c>
      <c r="N624" s="133">
        <v>6.4429609021201104</v>
      </c>
      <c r="O624" s="131">
        <v>3.30018727131466E-4</v>
      </c>
      <c r="P624" s="133">
        <v>184.464</v>
      </c>
      <c r="Q624" s="134"/>
      <c r="R624" s="135"/>
      <c r="T624" s="37"/>
      <c r="U624" s="37"/>
    </row>
    <row r="625" spans="1:21" s="23" customFormat="1" x14ac:dyDescent="0.25">
      <c r="A625" s="127">
        <v>45271</v>
      </c>
      <c r="B625" s="128" t="s">
        <v>36</v>
      </c>
      <c r="C625" s="129" t="str">
        <f t="shared" si="19"/>
        <v>11.12.2023_BOYuhSp</v>
      </c>
      <c r="D625" s="143">
        <f t="shared" si="20"/>
        <v>0</v>
      </c>
      <c r="E625" s="130">
        <v>6.3996950884969304E-5</v>
      </c>
      <c r="F625" s="131">
        <v>2.7436180303590501E-3</v>
      </c>
      <c r="G625" s="131">
        <v>0.224733989924953</v>
      </c>
      <c r="H625" s="131">
        <v>5.4569313514452903E-3</v>
      </c>
      <c r="I625" s="131">
        <v>5.6710157436421502E-5</v>
      </c>
      <c r="J625" s="131">
        <v>8.8900776148669296E-3</v>
      </c>
      <c r="K625" s="132">
        <v>146.27677611445401</v>
      </c>
      <c r="L625" s="133">
        <v>13.4605806159837</v>
      </c>
      <c r="M625" s="133">
        <v>49.324223563738499</v>
      </c>
      <c r="N625" s="133">
        <v>10.073703460609901</v>
      </c>
      <c r="O625" s="131">
        <v>7.2919212611200304E-4</v>
      </c>
      <c r="P625" s="133">
        <v>163.47999999999999</v>
      </c>
      <c r="Q625" s="134"/>
      <c r="R625" s="135"/>
      <c r="T625" s="37"/>
      <c r="U625" s="37"/>
    </row>
    <row r="626" spans="1:21" s="23" customFormat="1" x14ac:dyDescent="0.25">
      <c r="A626" s="127">
        <v>45271</v>
      </c>
      <c r="B626" s="128" t="s">
        <v>38</v>
      </c>
      <c r="C626" s="129" t="str">
        <f t="shared" si="19"/>
        <v>11.12.2023_BRAob</v>
      </c>
      <c r="D626" s="143">
        <f t="shared" si="20"/>
        <v>0</v>
      </c>
      <c r="E626" s="130">
        <v>2.4312916316318199E-5</v>
      </c>
      <c r="F626" s="131">
        <v>1.2216032370417601E-3</v>
      </c>
      <c r="G626" s="131">
        <v>0.26244243953019503</v>
      </c>
      <c r="H626" s="131">
        <v>4.0797838070361801E-3</v>
      </c>
      <c r="I626" s="131">
        <v>1.2691200008012999E-5</v>
      </c>
      <c r="J626" s="131">
        <v>5.09440654473954E-3</v>
      </c>
      <c r="K626" s="132">
        <v>179.26377658299299</v>
      </c>
      <c r="L626" s="133">
        <v>9.1710954280217098</v>
      </c>
      <c r="M626" s="133">
        <v>42.675778361678098</v>
      </c>
      <c r="N626" s="133">
        <v>8.5417700829886805</v>
      </c>
      <c r="O626" s="131">
        <v>4.61473159403545E-4</v>
      </c>
      <c r="P626" s="133">
        <v>188.61199999999999</v>
      </c>
      <c r="Q626" s="134"/>
      <c r="R626" s="135"/>
      <c r="T626" s="37"/>
      <c r="U626" s="37"/>
    </row>
    <row r="627" spans="1:21" s="23" customFormat="1" x14ac:dyDescent="0.25">
      <c r="A627" s="127">
        <v>45271</v>
      </c>
      <c r="B627" s="128" t="s">
        <v>41</v>
      </c>
      <c r="C627" s="129" t="str">
        <f t="shared" si="19"/>
        <v>11.12.2023_BRAohBo</v>
      </c>
      <c r="D627" s="143">
        <f t="shared" si="20"/>
        <v>0</v>
      </c>
      <c r="E627" s="130">
        <v>1.8964458533167999E-5</v>
      </c>
      <c r="F627" s="131">
        <v>1.8358636042563601E-3</v>
      </c>
      <c r="G627" s="131">
        <v>0.20966494392690899</v>
      </c>
      <c r="H627" s="131">
        <v>3.8848545703165501E-3</v>
      </c>
      <c r="I627" s="131">
        <v>1.33660188175071E-5</v>
      </c>
      <c r="J627" s="131">
        <v>3.6485649870429799E-3</v>
      </c>
      <c r="K627" s="132">
        <v>133.790735702728</v>
      </c>
      <c r="L627" s="133">
        <v>10.810358402458601</v>
      </c>
      <c r="M627" s="133">
        <v>36.276246208136598</v>
      </c>
      <c r="N627" s="133">
        <v>9.7341380265201103</v>
      </c>
      <c r="O627" s="131">
        <v>5.1514134275248795E-4</v>
      </c>
      <c r="P627" s="133">
        <v>159.08799999999999</v>
      </c>
      <c r="Q627" s="134"/>
      <c r="R627" s="135"/>
      <c r="T627" s="37"/>
      <c r="U627" s="37"/>
    </row>
    <row r="628" spans="1:21" s="23" customFormat="1" x14ac:dyDescent="0.25">
      <c r="A628" s="127">
        <v>45271</v>
      </c>
      <c r="B628" s="128" t="s">
        <v>43</v>
      </c>
      <c r="C628" s="129" t="str">
        <f t="shared" si="19"/>
        <v>11.12.2023_HAAob</v>
      </c>
      <c r="D628" s="143">
        <f t="shared" si="20"/>
        <v>0</v>
      </c>
      <c r="E628" s="130">
        <v>3.7144353593440398E-6</v>
      </c>
      <c r="F628" s="131">
        <v>1.3505144090783399E-3</v>
      </c>
      <c r="G628" s="131">
        <v>0.22755789876271099</v>
      </c>
      <c r="H628" s="131">
        <v>2.9199497443424499E-3</v>
      </c>
      <c r="I628" s="131">
        <v>1.1850634836077201E-5</v>
      </c>
      <c r="J628" s="131">
        <v>2.1144947666012701E-3</v>
      </c>
      <c r="K628" s="132">
        <v>174.18323913796701</v>
      </c>
      <c r="L628" s="133">
        <v>23.177803446897499</v>
      </c>
      <c r="M628" s="133">
        <v>43.5742264936925</v>
      </c>
      <c r="N628" s="133">
        <v>8.2606941007384904</v>
      </c>
      <c r="O628" s="131">
        <v>1.88451192169501E-4</v>
      </c>
      <c r="P628" s="133">
        <v>215.696</v>
      </c>
      <c r="Q628" s="134"/>
      <c r="R628" s="135"/>
      <c r="T628" s="37"/>
      <c r="U628" s="37"/>
    </row>
    <row r="629" spans="1:21" s="23" customFormat="1" x14ac:dyDescent="0.25">
      <c r="A629" s="127">
        <v>45271</v>
      </c>
      <c r="B629" s="128" t="s">
        <v>45</v>
      </c>
      <c r="C629" s="129" t="str">
        <f t="shared" si="19"/>
        <v>11.12.2023_HAAun</v>
      </c>
      <c r="D629" s="143">
        <f t="shared" si="20"/>
        <v>0</v>
      </c>
      <c r="E629" s="130">
        <v>4.5096091726428504E-6</v>
      </c>
      <c r="F629" s="131">
        <v>9.3461293587610397E-4</v>
      </c>
      <c r="G629" s="131">
        <v>0.25681912075958901</v>
      </c>
      <c r="H629" s="131">
        <v>3.7600196299956202E-3</v>
      </c>
      <c r="I629" s="131">
        <v>1.3052289763788499E-5</v>
      </c>
      <c r="J629" s="131">
        <v>1.92821550239621E-3</v>
      </c>
      <c r="K629" s="132">
        <v>212.20810735808101</v>
      </c>
      <c r="L629" s="133">
        <v>35.635842146046002</v>
      </c>
      <c r="M629" s="133">
        <v>53.349566763558499</v>
      </c>
      <c r="N629" s="133">
        <v>11.981521326322</v>
      </c>
      <c r="O629" s="131">
        <v>3.7511510245023501E-4</v>
      </c>
      <c r="P629" s="133">
        <v>221.30799999999999</v>
      </c>
      <c r="Q629" s="134"/>
      <c r="R629" s="135"/>
      <c r="T629" s="37"/>
      <c r="U629" s="37"/>
    </row>
    <row r="630" spans="1:21" s="23" customFormat="1" x14ac:dyDescent="0.25">
      <c r="A630" s="127">
        <v>45271</v>
      </c>
      <c r="B630" s="128" t="s">
        <v>47</v>
      </c>
      <c r="C630" s="129" t="str">
        <f t="shared" si="19"/>
        <v>11.12.2023_KIRob</v>
      </c>
      <c r="D630" s="143">
        <f t="shared" si="20"/>
        <v>0</v>
      </c>
      <c r="E630" s="130">
        <v>6.9060281299887597E-6</v>
      </c>
      <c r="F630" s="131">
        <v>1.00458678366495E-3</v>
      </c>
      <c r="G630" s="131">
        <v>0.244859283541185</v>
      </c>
      <c r="H630" s="131">
        <v>4.7392726979658996E-3</v>
      </c>
      <c r="I630" s="131">
        <v>7.6004774399881701E-6</v>
      </c>
      <c r="J630" s="131">
        <v>2.5713842985899699E-3</v>
      </c>
      <c r="K630" s="132">
        <v>144.27328243095101</v>
      </c>
      <c r="L630" s="133">
        <v>14.867046553897101</v>
      </c>
      <c r="M630" s="133">
        <v>108.510386932307</v>
      </c>
      <c r="N630" s="133">
        <v>9.5264009250810098</v>
      </c>
      <c r="O630" s="131">
        <v>5.1497972569225199E-4</v>
      </c>
      <c r="P630" s="133">
        <v>192.02799999999999</v>
      </c>
      <c r="Q630" s="134"/>
      <c r="R630" s="135"/>
      <c r="T630" s="37"/>
      <c r="U630" s="37"/>
    </row>
    <row r="631" spans="1:21" s="23" customFormat="1" x14ac:dyDescent="0.25">
      <c r="A631" s="127">
        <v>45271</v>
      </c>
      <c r="B631" s="128" t="s">
        <v>49</v>
      </c>
      <c r="C631" s="129" t="str">
        <f t="shared" si="19"/>
        <v>11.12.2023_KIRun</v>
      </c>
      <c r="D631" s="143">
        <f t="shared" si="20"/>
        <v>0</v>
      </c>
      <c r="E631" s="130">
        <v>6.05638908546473E-6</v>
      </c>
      <c r="F631" s="131">
        <v>7.2137928644290799E-4</v>
      </c>
      <c r="G631" s="131">
        <v>0.24895933796487099</v>
      </c>
      <c r="H631" s="131">
        <v>4.2565575165986703E-3</v>
      </c>
      <c r="I631" s="131">
        <v>6.3810793441714397E-6</v>
      </c>
      <c r="J631" s="131">
        <v>1.3203709941362E-3</v>
      </c>
      <c r="K631" s="132">
        <v>158.10159792969401</v>
      </c>
      <c r="L631" s="133">
        <v>13.7678401554357</v>
      </c>
      <c r="M631" s="133">
        <v>80.1445641331796</v>
      </c>
      <c r="N631" s="133">
        <v>8.05386195458901</v>
      </c>
      <c r="O631" s="131">
        <v>2.62704855152107E-4</v>
      </c>
      <c r="P631" s="133">
        <v>200.81200000000001</v>
      </c>
      <c r="Q631" s="134"/>
      <c r="R631" s="135"/>
      <c r="T631" s="37"/>
      <c r="U631" s="37"/>
    </row>
    <row r="632" spans="1:21" s="23" customFormat="1" x14ac:dyDescent="0.25">
      <c r="A632" s="127">
        <v>45271</v>
      </c>
      <c r="B632" s="128" t="s">
        <v>50</v>
      </c>
      <c r="C632" s="129" t="str">
        <f t="shared" si="19"/>
        <v>11.12.2023_LIEohBo</v>
      </c>
      <c r="D632" s="143">
        <f t="shared" si="20"/>
        <v>0</v>
      </c>
      <c r="E632" s="130">
        <v>3.8451486715504502E-6</v>
      </c>
      <c r="F632" s="131">
        <v>9.5747613692338199E-4</v>
      </c>
      <c r="G632" s="131">
        <v>0.19997588792622201</v>
      </c>
      <c r="H632" s="131">
        <v>4.2119051292509001E-3</v>
      </c>
      <c r="I632" s="131">
        <v>7.4465735245807403E-6</v>
      </c>
      <c r="J632" s="131">
        <v>9.5748014653830897E-4</v>
      </c>
      <c r="K632" s="132">
        <v>77.625321867373103</v>
      </c>
      <c r="L632" s="133">
        <v>9.5996466091991408</v>
      </c>
      <c r="M632" s="133">
        <v>15.6518205328893</v>
      </c>
      <c r="N632" s="133">
        <v>6.2858635164925003</v>
      </c>
      <c r="O632" s="131">
        <v>2.8385899548465798E-4</v>
      </c>
      <c r="P632" s="133">
        <v>186.66</v>
      </c>
      <c r="Q632" s="134"/>
      <c r="R632" s="135"/>
      <c r="T632" s="37"/>
      <c r="U632" s="37"/>
    </row>
    <row r="633" spans="1:21" s="23" customFormat="1" x14ac:dyDescent="0.25">
      <c r="A633" s="127">
        <v>45271</v>
      </c>
      <c r="B633" s="128" t="s">
        <v>53</v>
      </c>
      <c r="C633" s="129" t="str">
        <f t="shared" si="19"/>
        <v>11.12.2023_NATohBo</v>
      </c>
      <c r="D633" s="143">
        <f t="shared" si="20"/>
        <v>0</v>
      </c>
      <c r="E633" s="130">
        <v>2.9999084270377801E-5</v>
      </c>
      <c r="F633" s="131">
        <v>1.88817491106523E-3</v>
      </c>
      <c r="G633" s="131">
        <v>0.27290743532754402</v>
      </c>
      <c r="H633" s="131">
        <v>5.9787145812304097E-3</v>
      </c>
      <c r="I633" s="131">
        <v>1.18387969424643E-5</v>
      </c>
      <c r="J633" s="131">
        <v>4.4158593499010702E-3</v>
      </c>
      <c r="K633" s="132">
        <v>115.667663377332</v>
      </c>
      <c r="L633" s="133">
        <v>17.3014373193007</v>
      </c>
      <c r="M633" s="133">
        <v>38.95098121497</v>
      </c>
      <c r="N633" s="133">
        <v>8.3546034079380593</v>
      </c>
      <c r="O633" s="131">
        <v>2.8207704516283299E-4</v>
      </c>
      <c r="P633" s="133">
        <v>229.84800000000001</v>
      </c>
      <c r="Q633" s="134"/>
      <c r="R633" s="135"/>
      <c r="T633" s="37"/>
      <c r="U633" s="37"/>
    </row>
    <row r="634" spans="1:21" s="23" customFormat="1" x14ac:dyDescent="0.25">
      <c r="A634" s="127">
        <v>45271</v>
      </c>
      <c r="B634" s="128" t="s">
        <v>55</v>
      </c>
      <c r="C634" s="129" t="str">
        <f t="shared" si="19"/>
        <v>11.12.2023_QUAohBo</v>
      </c>
      <c r="D634" s="143">
        <f t="shared" si="20"/>
        <v>0</v>
      </c>
      <c r="E634" s="130">
        <v>1.2221742020288499E-5</v>
      </c>
      <c r="F634" s="131">
        <v>1.5526622486034499E-3</v>
      </c>
      <c r="G634" s="131">
        <v>0.227412443883275</v>
      </c>
      <c r="H634" s="131">
        <v>3.5087370345577599E-3</v>
      </c>
      <c r="I634" s="131">
        <v>8.36408371302356E-6</v>
      </c>
      <c r="J634" s="131">
        <v>2.7658549720159802E-3</v>
      </c>
      <c r="K634" s="132">
        <v>178.099909620831</v>
      </c>
      <c r="L634" s="133">
        <v>12.6577617005224</v>
      </c>
      <c r="M634" s="133">
        <v>66.9569397824596</v>
      </c>
      <c r="N634" s="133">
        <v>9.1678141163289801</v>
      </c>
      <c r="O634" s="131">
        <v>3.9339783674989098E-4</v>
      </c>
      <c r="P634" s="133">
        <v>194.95599999999999</v>
      </c>
      <c r="Q634" s="134"/>
      <c r="R634" s="135"/>
      <c r="T634" s="37"/>
      <c r="U634" s="37"/>
    </row>
    <row r="635" spans="1:21" s="23" customFormat="1" x14ac:dyDescent="0.25">
      <c r="A635" s="127">
        <v>45271</v>
      </c>
      <c r="B635" s="128" t="s">
        <v>57</v>
      </c>
      <c r="C635" s="129" t="str">
        <f t="shared" si="19"/>
        <v>11.12.2023_SCHohVo</v>
      </c>
      <c r="D635" s="143">
        <f t="shared" si="20"/>
        <v>0</v>
      </c>
      <c r="E635" s="130">
        <v>1.47771299707147E-4</v>
      </c>
      <c r="F635" s="131">
        <v>2.2551549058503302E-3</v>
      </c>
      <c r="G635" s="131">
        <v>0.35254153038981101</v>
      </c>
      <c r="H635" s="131">
        <v>1.01890774067888E-2</v>
      </c>
      <c r="I635" s="131">
        <v>7.0290887555915597E-5</v>
      </c>
      <c r="J635" s="131">
        <v>2.5722222484218401E-2</v>
      </c>
      <c r="K635" s="132">
        <v>90.920654344103298</v>
      </c>
      <c r="L635" s="133">
        <v>7.20639143818177</v>
      </c>
      <c r="M635" s="133">
        <v>24.013192284852899</v>
      </c>
      <c r="N635" s="133">
        <v>4.3340471314393296</v>
      </c>
      <c r="O635" s="131">
        <v>2.2397120441844799E-3</v>
      </c>
      <c r="P635" s="133">
        <v>115.41200000000001</v>
      </c>
      <c r="Q635" s="134"/>
      <c r="R635" s="135"/>
      <c r="T635" s="37"/>
      <c r="U635" s="37"/>
    </row>
    <row r="636" spans="1:21" s="23" customFormat="1" x14ac:dyDescent="0.25">
      <c r="A636" s="127">
        <v>45271</v>
      </c>
      <c r="B636" s="128" t="s">
        <v>60</v>
      </c>
      <c r="C636" s="129" t="str">
        <f t="shared" si="19"/>
        <v>11.12.2023_VORohBo</v>
      </c>
      <c r="D636" s="143">
        <f t="shared" si="20"/>
        <v>0</v>
      </c>
      <c r="E636" s="130">
        <v>1.9639822232428299E-5</v>
      </c>
      <c r="F636" s="131">
        <v>1.1659484908138501E-3</v>
      </c>
      <c r="G636" s="131">
        <v>0.26478031636923899</v>
      </c>
      <c r="H636" s="131">
        <v>5.7725208764414504E-3</v>
      </c>
      <c r="I636" s="131">
        <v>7.42289499333081E-6</v>
      </c>
      <c r="J636" s="131">
        <v>4.2898884757653901E-3</v>
      </c>
      <c r="K636" s="132">
        <v>165.57805912334101</v>
      </c>
      <c r="L636" s="133">
        <v>16.075332681244401</v>
      </c>
      <c r="M636" s="133">
        <v>38.527453722365401</v>
      </c>
      <c r="N636" s="133">
        <v>7.5411239584650502</v>
      </c>
      <c r="O636" s="131">
        <v>7.9556921961386896E-4</v>
      </c>
      <c r="P636" s="133">
        <v>211.06</v>
      </c>
      <c r="Q636" s="134"/>
      <c r="R636" s="135"/>
      <c r="T636" s="37"/>
      <c r="U636" s="37"/>
    </row>
    <row r="637" spans="1:21" s="23" customFormat="1" x14ac:dyDescent="0.25">
      <c r="A637" s="127">
        <v>45271</v>
      </c>
      <c r="B637" s="128" t="s">
        <v>62</v>
      </c>
      <c r="C637" s="129" t="str">
        <f t="shared" si="19"/>
        <v>11.12.2023_VORuhSc</v>
      </c>
      <c r="D637" s="143">
        <f t="shared" si="20"/>
        <v>0</v>
      </c>
      <c r="E637" s="130">
        <v>4.3887855396100301E-5</v>
      </c>
      <c r="F637" s="131">
        <v>1.2251305715832699E-3</v>
      </c>
      <c r="G637" s="131">
        <v>0.31308682828886603</v>
      </c>
      <c r="H637" s="131">
        <v>7.4911628211211997E-3</v>
      </c>
      <c r="I637" s="131">
        <v>1.51300275682515E-5</v>
      </c>
      <c r="J637" s="131">
        <v>1.13237902550654E-2</v>
      </c>
      <c r="K637" s="132">
        <v>165.971080819126</v>
      </c>
      <c r="L637" s="133">
        <v>13.4835709687062</v>
      </c>
      <c r="M637" s="133">
        <v>34.042345103614601</v>
      </c>
      <c r="N637" s="133">
        <v>6.4707658230000797</v>
      </c>
      <c r="O637" s="131">
        <v>1.08320105453604E-3</v>
      </c>
      <c r="P637" s="133">
        <v>206.42400000000001</v>
      </c>
      <c r="Q637" s="134"/>
      <c r="R637" s="135"/>
      <c r="T637" s="37"/>
      <c r="U637" s="37"/>
    </row>
    <row r="638" spans="1:21" s="23" customFormat="1" x14ac:dyDescent="0.25">
      <c r="A638" s="127">
        <v>45271</v>
      </c>
      <c r="B638" s="128" t="s">
        <v>64</v>
      </c>
      <c r="C638" s="129" t="str">
        <f t="shared" si="19"/>
        <v>11.12.2023_WITob</v>
      </c>
      <c r="D638" s="143">
        <f t="shared" si="20"/>
        <v>0</v>
      </c>
      <c r="E638" s="130">
        <v>4.4878239887960803E-6</v>
      </c>
      <c r="F638" s="131">
        <v>1.0822914644660099E-3</v>
      </c>
      <c r="G638" s="131">
        <v>0.43867924252062801</v>
      </c>
      <c r="H638" s="131">
        <v>7.1983400993688501E-3</v>
      </c>
      <c r="I638" s="131">
        <v>1.31825190648457E-5</v>
      </c>
      <c r="J638" s="131">
        <v>1.6798902108495E-3</v>
      </c>
      <c r="K638" s="132">
        <v>154.993196813932</v>
      </c>
      <c r="L638" s="133">
        <v>15.8460230518646</v>
      </c>
      <c r="M638" s="133">
        <v>38.306205329745801</v>
      </c>
      <c r="N638" s="133">
        <v>5.5618705678521998</v>
      </c>
      <c r="O638" s="131">
        <v>3.5590303426835901E-4</v>
      </c>
      <c r="P638" s="133">
        <v>284.74799999999999</v>
      </c>
      <c r="Q638" s="134"/>
      <c r="R638" s="135"/>
      <c r="T638" s="37"/>
      <c r="U638" s="37"/>
    </row>
    <row r="639" spans="1:21" x14ac:dyDescent="0.25">
      <c r="A639" s="127">
        <v>45306</v>
      </c>
      <c r="B639" s="128" t="s">
        <v>22</v>
      </c>
      <c r="C639" s="129" t="str">
        <f t="shared" si="19"/>
        <v>15.01.2024_BOYkl</v>
      </c>
      <c r="D639" s="143">
        <f t="shared" si="20"/>
        <v>0</v>
      </c>
      <c r="E639" s="130">
        <v>7.9269641445104568E-5</v>
      </c>
      <c r="F639" s="131">
        <v>2.6188992266514347E-3</v>
      </c>
      <c r="G639" s="131">
        <v>0.1245694947756326</v>
      </c>
      <c r="H639" s="131">
        <v>4.2862048898154531E-3</v>
      </c>
      <c r="I639" s="131">
        <v>2.8066914278411052E-5</v>
      </c>
      <c r="J639" s="131">
        <v>5.6293466672044292E-3</v>
      </c>
      <c r="K639" s="132">
        <v>69.085017385030596</v>
      </c>
      <c r="L639" s="133">
        <v>8.1093290230495008</v>
      </c>
      <c r="M639" s="133">
        <v>28.028934183082701</v>
      </c>
      <c r="N639" s="133">
        <v>10.303662523690299</v>
      </c>
      <c r="O639" s="131">
        <v>8.4115076284776785E-4</v>
      </c>
      <c r="P639" s="133">
        <v>97.112000000000009</v>
      </c>
      <c r="Q639" s="136"/>
      <c r="R639" s="135"/>
    </row>
    <row r="640" spans="1:21" x14ac:dyDescent="0.25">
      <c r="A640" s="127">
        <v>45306</v>
      </c>
      <c r="B640" s="128" t="s">
        <v>25</v>
      </c>
      <c r="C640" s="129" t="str">
        <f t="shared" si="19"/>
        <v>15.01.2024_BOYohB224</v>
      </c>
      <c r="D640" s="143">
        <f t="shared" si="20"/>
        <v>0</v>
      </c>
      <c r="E640" s="130">
        <v>1.3756626982857566E-5</v>
      </c>
      <c r="F640" s="131">
        <v>1.1422718087314326E-3</v>
      </c>
      <c r="G640" s="131">
        <v>0.1969831365879148</v>
      </c>
      <c r="H640" s="131">
        <v>4.1424649963517045E-3</v>
      </c>
      <c r="I640" s="131">
        <v>9.3685894102644402E-6</v>
      </c>
      <c r="J640" s="131">
        <v>3.0880380318606781E-3</v>
      </c>
      <c r="K640" s="132">
        <v>176.005158177487</v>
      </c>
      <c r="L640" s="133">
        <v>28.392748273306498</v>
      </c>
      <c r="M640" s="133">
        <v>73.055255572988997</v>
      </c>
      <c r="N640" s="133">
        <v>10.2270449277765</v>
      </c>
      <c r="O640" s="131">
        <v>6.8489765817569739E-4</v>
      </c>
      <c r="P640" s="133">
        <v>186.416</v>
      </c>
      <c r="Q640" s="136"/>
      <c r="R640" s="135"/>
    </row>
    <row r="641" spans="1:18" x14ac:dyDescent="0.25">
      <c r="A641" s="127">
        <v>45306</v>
      </c>
      <c r="B641" s="128" t="s">
        <v>28</v>
      </c>
      <c r="C641" s="129" t="str">
        <f t="shared" si="19"/>
        <v>15.01.2024_BOYohBr</v>
      </c>
      <c r="D641" s="143">
        <f t="shared" si="20"/>
        <v>0</v>
      </c>
      <c r="E641" s="130">
        <v>1.5850893966950968E-5</v>
      </c>
      <c r="F641" s="131">
        <v>2.3500325651411615E-3</v>
      </c>
      <c r="G641" s="131">
        <v>0.14724912962540576</v>
      </c>
      <c r="H641" s="131">
        <v>3.8945193317101324E-3</v>
      </c>
      <c r="I641" s="131">
        <v>1.3268279135690953E-5</v>
      </c>
      <c r="J641" s="131">
        <v>2.8775912137713137E-3</v>
      </c>
      <c r="K641" s="132">
        <v>90.621128800393507</v>
      </c>
      <c r="L641" s="133">
        <v>8.6818751278690094</v>
      </c>
      <c r="M641" s="133">
        <v>26.713059295865499</v>
      </c>
      <c r="N641" s="133">
        <v>6.7035479451997402</v>
      </c>
      <c r="O641" s="131">
        <v>2.7119346945106882E-4</v>
      </c>
      <c r="P641" s="133">
        <v>107.604</v>
      </c>
      <c r="Q641" s="136"/>
      <c r="R641" s="135"/>
    </row>
    <row r="642" spans="1:18" x14ac:dyDescent="0.25">
      <c r="A642" s="127">
        <v>45306</v>
      </c>
      <c r="B642" s="128" t="s">
        <v>30</v>
      </c>
      <c r="C642" s="129" t="str">
        <f t="shared" si="19"/>
        <v>15.01.2024_BOYohKi</v>
      </c>
      <c r="D642" s="143">
        <f t="shared" si="20"/>
        <v>0</v>
      </c>
      <c r="E642" s="130">
        <v>1.659697698548829E-5</v>
      </c>
      <c r="F642" s="131">
        <v>1.2566962315061333E-3</v>
      </c>
      <c r="G642" s="131">
        <v>0.17901390139140608</v>
      </c>
      <c r="H642" s="131">
        <v>4.279412817223811E-3</v>
      </c>
      <c r="I642" s="131">
        <v>1.5418219309511005E-5</v>
      </c>
      <c r="J642" s="131">
        <v>1.9702287712671687E-3</v>
      </c>
      <c r="K642" s="132">
        <v>130.79350019155899</v>
      </c>
      <c r="L642" s="133">
        <v>13.328409452155601</v>
      </c>
      <c r="M642" s="133">
        <v>51.2546680469084</v>
      </c>
      <c r="N642" s="133">
        <v>7.8896615556467999</v>
      </c>
      <c r="O642" s="131">
        <v>6.8220029512929285E-4</v>
      </c>
      <c r="P642" s="133">
        <v>147.13200000000001</v>
      </c>
      <c r="Q642" s="136"/>
      <c r="R642" s="135"/>
    </row>
    <row r="643" spans="1:18" x14ac:dyDescent="0.25">
      <c r="A643" s="127">
        <v>45306</v>
      </c>
      <c r="B643" s="128" t="s">
        <v>32</v>
      </c>
      <c r="C643" s="129" t="str">
        <f t="shared" ref="C643:C706" si="21">CONCATENATE(TEXT(A643,"TT.MM.JJJJ"),"_",B643)</f>
        <v>15.01.2024_BOYohSp</v>
      </c>
      <c r="D643" s="143">
        <f t="shared" si="20"/>
        <v>0</v>
      </c>
      <c r="E643" s="130">
        <v>2.7461064813181216E-5</v>
      </c>
      <c r="F643" s="131">
        <v>1.8824483281871041E-3</v>
      </c>
      <c r="G643" s="131">
        <v>0.17515909864802756</v>
      </c>
      <c r="H643" s="131">
        <v>3.7593649171221242E-3</v>
      </c>
      <c r="I643" s="131">
        <v>2.3154922426888242E-5</v>
      </c>
      <c r="J643" s="131">
        <v>3.5604639132733457E-3</v>
      </c>
      <c r="K643" s="132">
        <v>125.15680924810501</v>
      </c>
      <c r="L643" s="133">
        <v>11.0345591731648</v>
      </c>
      <c r="M643" s="133">
        <v>63.002422315222503</v>
      </c>
      <c r="N643" s="133">
        <v>9.2807398927757703</v>
      </c>
      <c r="O643" s="131">
        <v>4.1384850812120063E-4</v>
      </c>
      <c r="P643" s="133">
        <v>155.428</v>
      </c>
      <c r="Q643" s="136"/>
      <c r="R643" s="135"/>
    </row>
    <row r="644" spans="1:18" x14ac:dyDescent="0.25">
      <c r="A644" s="127">
        <v>45306</v>
      </c>
      <c r="B644" s="128" t="s">
        <v>34</v>
      </c>
      <c r="C644" s="129" t="str">
        <f t="shared" si="21"/>
        <v>15.01.2024_BOYuhHa</v>
      </c>
      <c r="D644" s="143">
        <f t="shared" si="20"/>
        <v>0</v>
      </c>
      <c r="E644" s="130">
        <v>1.3075991234832755E-5</v>
      </c>
      <c r="F644" s="131">
        <v>1.4750570720246036E-3</v>
      </c>
      <c r="G644" s="131">
        <v>0.20312339972870122</v>
      </c>
      <c r="H644" s="131">
        <v>4.0916540721564242E-3</v>
      </c>
      <c r="I644" s="131">
        <v>1.3707683302552782E-5</v>
      </c>
      <c r="J644" s="131">
        <v>2.0966121167896703E-3</v>
      </c>
      <c r="K644" s="132">
        <v>179.53925756467501</v>
      </c>
      <c r="L644" s="133">
        <v>32.903412488484598</v>
      </c>
      <c r="M644" s="133">
        <v>82.633401612266695</v>
      </c>
      <c r="N644" s="133">
        <v>10.2575478705346</v>
      </c>
      <c r="O644" s="131">
        <v>5.5243790581530441E-4</v>
      </c>
      <c r="P644" s="133">
        <v>174.45999999999998</v>
      </c>
      <c r="Q644" s="136"/>
      <c r="R644" s="135"/>
    </row>
    <row r="645" spans="1:18" x14ac:dyDescent="0.25">
      <c r="A645" s="127">
        <v>45306</v>
      </c>
      <c r="B645" s="128" t="s">
        <v>36</v>
      </c>
      <c r="C645" s="129" t="str">
        <f t="shared" si="21"/>
        <v>15.01.2024_BOYuhSp</v>
      </c>
      <c r="D645" s="143">
        <f t="shared" ref="D645:D708" si="22">COUNTBLANK(E645:P645)</f>
        <v>0</v>
      </c>
      <c r="E645" s="130">
        <v>2.0693899914956779E-5</v>
      </c>
      <c r="F645" s="131">
        <v>1.5525785704842789E-3</v>
      </c>
      <c r="G645" s="131">
        <v>0.16822633453359856</v>
      </c>
      <c r="H645" s="131">
        <v>3.867197644057044E-3</v>
      </c>
      <c r="I645" s="131">
        <v>2.022814177398493E-5</v>
      </c>
      <c r="J645" s="131">
        <v>2.4201137906210289E-3</v>
      </c>
      <c r="K645" s="132">
        <v>112.981556840626</v>
      </c>
      <c r="L645" s="133">
        <v>11.350978564917501</v>
      </c>
      <c r="M645" s="133">
        <v>61.663743160007101</v>
      </c>
      <c r="N645" s="133">
        <v>8.1670170496771295</v>
      </c>
      <c r="O645" s="131">
        <v>7.0306800264255365E-4</v>
      </c>
      <c r="P645" s="133">
        <v>130.54000000000002</v>
      </c>
      <c r="Q645" s="137"/>
      <c r="R645" s="135"/>
    </row>
    <row r="646" spans="1:18" x14ac:dyDescent="0.25">
      <c r="A646" s="127">
        <v>45306</v>
      </c>
      <c r="B646" s="128" t="s">
        <v>38</v>
      </c>
      <c r="C646" s="129" t="str">
        <f t="shared" si="21"/>
        <v>15.01.2024_BRAob</v>
      </c>
      <c r="D646" s="143">
        <f t="shared" si="22"/>
        <v>0</v>
      </c>
      <c r="E646" s="130">
        <v>1.3193793147472456E-5</v>
      </c>
      <c r="F646" s="131">
        <v>8.0054782130570333E-4</v>
      </c>
      <c r="G646" s="131">
        <v>0.2054886275097732</v>
      </c>
      <c r="H646" s="131">
        <v>3.1531963059508753E-3</v>
      </c>
      <c r="I646" s="131">
        <v>1.3338898642645477E-5</v>
      </c>
      <c r="J646" s="131">
        <v>1.7440621440287397E-3</v>
      </c>
      <c r="K646" s="132">
        <v>145.32050504522499</v>
      </c>
      <c r="L646" s="133">
        <v>8.1836482061426299</v>
      </c>
      <c r="M646" s="133">
        <v>31.390655743211401</v>
      </c>
      <c r="N646" s="133">
        <v>7.2121086575785203</v>
      </c>
      <c r="O646" s="131">
        <v>3.7164256103038848E-4</v>
      </c>
      <c r="P646" s="133">
        <v>151.28</v>
      </c>
      <c r="Q646" s="137"/>
      <c r="R646" s="135"/>
    </row>
    <row r="647" spans="1:18" x14ac:dyDescent="0.25">
      <c r="A647" s="127">
        <v>45306</v>
      </c>
      <c r="B647" s="128" t="s">
        <v>41</v>
      </c>
      <c r="C647" s="129" t="str">
        <f t="shared" si="21"/>
        <v>15.01.2024_BRAohBo</v>
      </c>
      <c r="D647" s="143">
        <f t="shared" si="22"/>
        <v>0</v>
      </c>
      <c r="E647" s="130">
        <v>1.6151945281624692E-5</v>
      </c>
      <c r="F647" s="131">
        <v>1.3728342568138647E-3</v>
      </c>
      <c r="G647" s="131">
        <v>0.17949200100873733</v>
      </c>
      <c r="H647" s="131">
        <v>3.2717362172330678E-3</v>
      </c>
      <c r="I647" s="131">
        <v>1.2303164038676491E-5</v>
      </c>
      <c r="J647" s="131">
        <v>1.8227376939422824E-3</v>
      </c>
      <c r="K647" s="132">
        <v>122.549616940343</v>
      </c>
      <c r="L647" s="133">
        <v>8.1864343193393001</v>
      </c>
      <c r="M647" s="133">
        <v>25.698628108913098</v>
      </c>
      <c r="N647" s="133">
        <v>7.1602307078847804</v>
      </c>
      <c r="O647" s="131">
        <v>4.4553573623874201E-4</v>
      </c>
      <c r="P647" s="133">
        <v>151.28</v>
      </c>
      <c r="Q647" s="137"/>
      <c r="R647" s="135"/>
    </row>
    <row r="648" spans="1:18" x14ac:dyDescent="0.25">
      <c r="A648" s="127">
        <v>45306</v>
      </c>
      <c r="B648" s="128" t="s">
        <v>43</v>
      </c>
      <c r="C648" s="129" t="str">
        <f t="shared" si="21"/>
        <v>15.01.2024_HAAob</v>
      </c>
      <c r="D648" s="143">
        <f t="shared" si="22"/>
        <v>0</v>
      </c>
      <c r="E648" s="130">
        <v>5.3141494488767607E-6</v>
      </c>
      <c r="F648" s="131">
        <v>7.3154875996865338E-4</v>
      </c>
      <c r="G648" s="131">
        <v>0.16503518570697714</v>
      </c>
      <c r="H648" s="131">
        <v>2.245265203709173E-3</v>
      </c>
      <c r="I648" s="131">
        <v>1.1212505366519747E-5</v>
      </c>
      <c r="J648" s="131">
        <v>1.1113750006855256E-3</v>
      </c>
      <c r="K648" s="132">
        <v>133.209397579485</v>
      </c>
      <c r="L648" s="133">
        <v>18.9589845214986</v>
      </c>
      <c r="M648" s="133">
        <v>37.499670875719097</v>
      </c>
      <c r="N648" s="133">
        <v>8.2723313281927702</v>
      </c>
      <c r="O648" s="131">
        <v>1.3514140547227725E-4</v>
      </c>
      <c r="P648" s="133">
        <v>169.82399999999998</v>
      </c>
      <c r="Q648" s="137"/>
      <c r="R648" s="135"/>
    </row>
    <row r="649" spans="1:18" x14ac:dyDescent="0.25">
      <c r="A649" s="127">
        <v>45306</v>
      </c>
      <c r="B649" s="128" t="s">
        <v>45</v>
      </c>
      <c r="C649" s="129" t="str">
        <f t="shared" si="21"/>
        <v>15.01.2024_HAAun</v>
      </c>
      <c r="D649" s="143">
        <f t="shared" si="22"/>
        <v>0</v>
      </c>
      <c r="E649" s="130">
        <v>5.510485526247527E-6</v>
      </c>
      <c r="F649" s="131">
        <v>1.0135446612147974E-3</v>
      </c>
      <c r="G649" s="131">
        <v>0.22218737788721776</v>
      </c>
      <c r="H649" s="131">
        <v>3.2234320232900058E-3</v>
      </c>
      <c r="I649" s="131">
        <v>1.0114000778379097E-5</v>
      </c>
      <c r="J649" s="131">
        <v>1.681198851123584E-3</v>
      </c>
      <c r="K649" s="132">
        <v>184.54460817166401</v>
      </c>
      <c r="L649" s="133">
        <v>36.042949055562097</v>
      </c>
      <c r="M649" s="133">
        <v>47.270835998945302</v>
      </c>
      <c r="N649" s="133">
        <v>10.577585739396</v>
      </c>
      <c r="O649" s="131">
        <v>2.5187340018624255E-4</v>
      </c>
      <c r="P649" s="133">
        <v>208.62</v>
      </c>
      <c r="Q649" s="137"/>
      <c r="R649" s="135"/>
    </row>
    <row r="650" spans="1:18" x14ac:dyDescent="0.25">
      <c r="A650" s="127">
        <v>45306</v>
      </c>
      <c r="B650" s="128" t="s">
        <v>47</v>
      </c>
      <c r="C650" s="129" t="str">
        <f t="shared" si="21"/>
        <v>15.01.2024_KIRob</v>
      </c>
      <c r="D650" s="143">
        <f t="shared" si="22"/>
        <v>0</v>
      </c>
      <c r="E650" s="130">
        <v>4.0628984044643769E-5</v>
      </c>
      <c r="F650" s="131">
        <v>1.168777633202828E-3</v>
      </c>
      <c r="G650" s="131">
        <v>0.29229270838452492</v>
      </c>
      <c r="H650" s="131">
        <v>4.6619213827572325E-3</v>
      </c>
      <c r="I650" s="131">
        <v>4.8743106878897731E-5</v>
      </c>
      <c r="J650" s="131">
        <v>2.8649417647626952E-3</v>
      </c>
      <c r="K650" s="132">
        <v>155.56187948815199</v>
      </c>
      <c r="L650" s="133">
        <v>16.461909083189699</v>
      </c>
      <c r="M650" s="133">
        <v>84.119693686495594</v>
      </c>
      <c r="N650" s="133">
        <v>8.2533567369020808</v>
      </c>
      <c r="O650" s="131">
        <v>5.109779679192631E-4</v>
      </c>
      <c r="P650" s="133">
        <v>184.22</v>
      </c>
      <c r="Q650" s="137"/>
      <c r="R650" s="135"/>
    </row>
    <row r="651" spans="1:18" x14ac:dyDescent="0.25">
      <c r="A651" s="127">
        <v>45306</v>
      </c>
      <c r="B651" s="128" t="s">
        <v>49</v>
      </c>
      <c r="C651" s="129" t="str">
        <f t="shared" si="21"/>
        <v>15.01.2024_KIRun</v>
      </c>
      <c r="D651" s="143">
        <f t="shared" si="22"/>
        <v>0</v>
      </c>
      <c r="E651" s="130">
        <v>1.3949887458576416E-4</v>
      </c>
      <c r="F651" s="131">
        <v>1.9721915473864282E-3</v>
      </c>
      <c r="G651" s="131">
        <v>0.19822532069250179</v>
      </c>
      <c r="H651" s="131">
        <v>3.5365227275716226E-3</v>
      </c>
      <c r="I651" s="131">
        <v>1.3162803614051553E-4</v>
      </c>
      <c r="J651" s="131">
        <v>2.3393498787830929E-3</v>
      </c>
      <c r="K651" s="132">
        <v>137.08596292160399</v>
      </c>
      <c r="L651" s="133">
        <v>14.8726311431385</v>
      </c>
      <c r="M651" s="133">
        <v>61.2743207212485</v>
      </c>
      <c r="N651" s="133">
        <v>7.0576737192371199</v>
      </c>
      <c r="O651" s="131">
        <v>3.6268818589644793E-4</v>
      </c>
      <c r="P651" s="133">
        <v>153.72</v>
      </c>
      <c r="Q651" s="137"/>
      <c r="R651" s="135"/>
    </row>
    <row r="652" spans="1:18" x14ac:dyDescent="0.25">
      <c r="A652" s="127">
        <v>45306</v>
      </c>
      <c r="B652" s="128" t="s">
        <v>50</v>
      </c>
      <c r="C652" s="129" t="str">
        <f t="shared" si="21"/>
        <v>15.01.2024_LIEohBo</v>
      </c>
      <c r="D652" s="143">
        <f t="shared" si="22"/>
        <v>0</v>
      </c>
      <c r="E652" s="130">
        <v>4.986922706705235E-6</v>
      </c>
      <c r="F652" s="131">
        <v>1.3189665898524318E-3</v>
      </c>
      <c r="G652" s="131">
        <v>0.16637505735529021</v>
      </c>
      <c r="H652" s="131">
        <v>3.5324923010203266E-3</v>
      </c>
      <c r="I652" s="131">
        <v>7.8777669959548577E-6</v>
      </c>
      <c r="J652" s="131">
        <v>7.3244339706531405E-4</v>
      </c>
      <c r="K652" s="132">
        <v>139.30899777282701</v>
      </c>
      <c r="L652" s="133">
        <v>24.462248517781301</v>
      </c>
      <c r="M652" s="133">
        <v>53.940525628202799</v>
      </c>
      <c r="N652" s="133">
        <v>10.6013102084033</v>
      </c>
      <c r="O652" s="131">
        <v>2.1911523172643663E-4</v>
      </c>
      <c r="P652" s="133">
        <v>164.70000000000002</v>
      </c>
      <c r="Q652" s="137"/>
      <c r="R652" s="135"/>
    </row>
    <row r="653" spans="1:18" x14ac:dyDescent="0.25">
      <c r="A653" s="127">
        <v>45306</v>
      </c>
      <c r="B653" s="128" t="s">
        <v>53</v>
      </c>
      <c r="C653" s="129" t="str">
        <f t="shared" si="21"/>
        <v>15.01.2024_NATohBo</v>
      </c>
      <c r="D653" s="143">
        <f t="shared" si="22"/>
        <v>0</v>
      </c>
      <c r="E653" s="130">
        <v>2.3233214235187163E-5</v>
      </c>
      <c r="F653" s="131">
        <v>1.7799324018937146E-3</v>
      </c>
      <c r="G653" s="131">
        <v>0.24634685824422164</v>
      </c>
      <c r="H653" s="131">
        <v>5.3577719755452842E-3</v>
      </c>
      <c r="I653" s="131">
        <v>1.2946574397817283E-5</v>
      </c>
      <c r="J653" s="131">
        <v>4.9572309514990366E-3</v>
      </c>
      <c r="K653" s="132">
        <v>241.03930693670199</v>
      </c>
      <c r="L653" s="133">
        <v>71.6343195248282</v>
      </c>
      <c r="M653" s="133">
        <v>211.12911027113799</v>
      </c>
      <c r="N653" s="133">
        <v>16.9830578824965</v>
      </c>
      <c r="O653" s="131">
        <v>4.0705676856962427E-4</v>
      </c>
      <c r="P653" s="133">
        <v>207.4</v>
      </c>
      <c r="Q653" s="137"/>
      <c r="R653" s="135"/>
    </row>
    <row r="654" spans="1:18" x14ac:dyDescent="0.25">
      <c r="A654" s="127">
        <v>45306</v>
      </c>
      <c r="B654" s="128" t="s">
        <v>55</v>
      </c>
      <c r="C654" s="129" t="str">
        <f t="shared" si="21"/>
        <v>15.01.2024_QUAohBo</v>
      </c>
      <c r="D654" s="143">
        <f t="shared" si="22"/>
        <v>0</v>
      </c>
      <c r="E654" s="130">
        <v>7.748717997860898E-6</v>
      </c>
      <c r="F654" s="131">
        <v>1.1937230761853443E-3</v>
      </c>
      <c r="G654" s="131">
        <v>0.18249026414365566</v>
      </c>
      <c r="H654" s="131">
        <v>2.800259812301662E-3</v>
      </c>
      <c r="I654" s="131">
        <v>7.8699214186676113E-6</v>
      </c>
      <c r="J654" s="131">
        <v>2.3078745193453251E-3</v>
      </c>
      <c r="K654" s="132">
        <v>135.78694493275199</v>
      </c>
      <c r="L654" s="133">
        <v>9.8882346936186902</v>
      </c>
      <c r="M654" s="133">
        <v>91.068151007563202</v>
      </c>
      <c r="N654" s="133">
        <v>7.0622398433604801</v>
      </c>
      <c r="O654" s="131">
        <v>3.0866448734986212E-4</v>
      </c>
      <c r="P654" s="133">
        <v>152.744</v>
      </c>
      <c r="Q654" s="137"/>
      <c r="R654" s="135"/>
    </row>
    <row r="655" spans="1:18" x14ac:dyDescent="0.25">
      <c r="A655" s="127">
        <v>45306</v>
      </c>
      <c r="B655" s="128" t="s">
        <v>57</v>
      </c>
      <c r="C655" s="129" t="str">
        <f t="shared" si="21"/>
        <v>15.01.2024_SCHohVo</v>
      </c>
      <c r="D655" s="143">
        <f t="shared" si="22"/>
        <v>0</v>
      </c>
      <c r="E655" s="130">
        <v>1.0942906476874068E-4</v>
      </c>
      <c r="F655" s="131">
        <v>2.5194487264942815E-3</v>
      </c>
      <c r="G655" s="131">
        <v>0.193110730696963</v>
      </c>
      <c r="H655" s="131">
        <v>5.711533195678839E-3</v>
      </c>
      <c r="I655" s="131">
        <v>1.0705551814689098E-4</v>
      </c>
      <c r="J655" s="131">
        <v>9.3058798519294762E-3</v>
      </c>
      <c r="K655" s="132">
        <v>82.074750087463599</v>
      </c>
      <c r="L655" s="133">
        <v>6.8865872978488696</v>
      </c>
      <c r="M655" s="133">
        <v>17.721530381669499</v>
      </c>
      <c r="N655" s="133">
        <v>3.5300496911660599</v>
      </c>
      <c r="O655" s="131">
        <v>1.1410488746884809E-3</v>
      </c>
      <c r="P655" s="133">
        <v>98.820000000000007</v>
      </c>
      <c r="Q655" s="137"/>
      <c r="R655" s="135"/>
    </row>
    <row r="656" spans="1:18" x14ac:dyDescent="0.25">
      <c r="A656" s="127">
        <v>45306</v>
      </c>
      <c r="B656" s="128" t="s">
        <v>60</v>
      </c>
      <c r="C656" s="129" t="str">
        <f t="shared" si="21"/>
        <v>15.01.2024_VORohBo</v>
      </c>
      <c r="D656" s="143">
        <f t="shared" si="22"/>
        <v>0</v>
      </c>
      <c r="E656" s="130">
        <v>6.9858256157781748E-5</v>
      </c>
      <c r="F656" s="131">
        <v>1.4929218423017903E-3</v>
      </c>
      <c r="G656" s="131">
        <v>0.2440364142953626</v>
      </c>
      <c r="H656" s="131">
        <v>5.2816818686024555E-3</v>
      </c>
      <c r="I656" s="131">
        <v>5.8740361304019523E-5</v>
      </c>
      <c r="J656" s="131">
        <v>3.2594375477151393E-3</v>
      </c>
      <c r="K656" s="132">
        <v>175.92901706595001</v>
      </c>
      <c r="L656" s="133">
        <v>17.711970072101</v>
      </c>
      <c r="M656" s="133">
        <v>32.752663472492301</v>
      </c>
      <c r="N656" s="133">
        <v>7.3398651396920602</v>
      </c>
      <c r="O656" s="131">
        <v>7.9905555023929349E-4</v>
      </c>
      <c r="P656" s="133">
        <v>199.83599999999998</v>
      </c>
      <c r="Q656" s="137"/>
      <c r="R656" s="135"/>
    </row>
    <row r="657" spans="1:21" x14ac:dyDescent="0.25">
      <c r="A657" s="127">
        <v>45306</v>
      </c>
      <c r="B657" s="128" t="s">
        <v>62</v>
      </c>
      <c r="C657" s="129" t="str">
        <f t="shared" si="21"/>
        <v>15.01.2024_VORuhSc</v>
      </c>
      <c r="D657" s="143">
        <f t="shared" si="22"/>
        <v>0</v>
      </c>
      <c r="E657" s="130">
        <v>4.7317702399110095E-5</v>
      </c>
      <c r="F657" s="131">
        <v>1.5540717615285863E-3</v>
      </c>
      <c r="G657" s="131">
        <v>0.22469749209391918</v>
      </c>
      <c r="H657" s="131">
        <v>5.376052350268965E-3</v>
      </c>
      <c r="I657" s="131">
        <v>3.7098440893044075E-5</v>
      </c>
      <c r="J657" s="131">
        <v>4.1805959895982233E-3</v>
      </c>
      <c r="K657" s="132">
        <v>145.51018185392201</v>
      </c>
      <c r="L657" s="133">
        <v>13.285491955799399</v>
      </c>
      <c r="M657" s="133">
        <v>25.129233891168401</v>
      </c>
      <c r="N657" s="133">
        <v>5.3064566868331102</v>
      </c>
      <c r="O657" s="131">
        <v>8.7657696355179023E-4</v>
      </c>
      <c r="P657" s="133">
        <v>171.04399999999998</v>
      </c>
      <c r="Q657" s="137"/>
      <c r="R657" s="135"/>
    </row>
    <row r="658" spans="1:21" x14ac:dyDescent="0.25">
      <c r="A658" s="127">
        <v>45306</v>
      </c>
      <c r="B658" s="128" t="s">
        <v>64</v>
      </c>
      <c r="C658" s="129" t="str">
        <f t="shared" si="21"/>
        <v>15.01.2024_WITob</v>
      </c>
      <c r="D658" s="143">
        <f t="shared" si="22"/>
        <v>0</v>
      </c>
      <c r="E658" s="130">
        <v>1.2840390109940048E-5</v>
      </c>
      <c r="F658" s="131">
        <v>8.0298990877718409E-4</v>
      </c>
      <c r="G658" s="131">
        <v>0.27828303146323147</v>
      </c>
      <c r="H658" s="131">
        <v>4.9135295126144247E-3</v>
      </c>
      <c r="I658" s="131">
        <v>1.2585648042750441E-5</v>
      </c>
      <c r="J658" s="131">
        <v>1.494876254481993E-3</v>
      </c>
      <c r="K658" s="132">
        <v>263.29696622639801</v>
      </c>
      <c r="L658" s="133">
        <v>38.5470356543779</v>
      </c>
      <c r="M658" s="133">
        <v>105.552756546202</v>
      </c>
      <c r="N658" s="133">
        <v>8.2380174904699999</v>
      </c>
      <c r="O658" s="131">
        <v>3.1014113025513106E-4</v>
      </c>
      <c r="P658" s="133">
        <v>230.33599999999998</v>
      </c>
      <c r="Q658" s="137"/>
      <c r="R658" s="135"/>
    </row>
    <row r="659" spans="1:21" x14ac:dyDescent="0.25">
      <c r="A659" s="127">
        <v>45338</v>
      </c>
      <c r="B659" s="128" t="s">
        <v>22</v>
      </c>
      <c r="C659" s="129" t="str">
        <f t="shared" si="21"/>
        <v>16.02.2024_BOYkl</v>
      </c>
      <c r="D659" s="143">
        <f t="shared" si="22"/>
        <v>0</v>
      </c>
      <c r="E659" s="130">
        <v>1.0678666312092978E-4</v>
      </c>
      <c r="F659" s="131">
        <v>3.0052618355369911E-3</v>
      </c>
      <c r="G659" s="131">
        <v>0.41708931650580283</v>
      </c>
      <c r="H659" s="131">
        <v>7.1441064964678233E-3</v>
      </c>
      <c r="I659" s="131">
        <v>5.9016107925873972E-5</v>
      </c>
      <c r="J659" s="131">
        <v>9.5455476788442566E-3</v>
      </c>
      <c r="K659" s="132">
        <v>80.672934433602904</v>
      </c>
      <c r="L659" s="133">
        <v>8.9600304529329104</v>
      </c>
      <c r="M659" s="133">
        <v>29.905536089311799</v>
      </c>
      <c r="N659" s="133">
        <v>10.9456429277691</v>
      </c>
      <c r="O659" s="131">
        <v>1.3522333651826235E-3</v>
      </c>
      <c r="P659" s="133">
        <v>109.312</v>
      </c>
      <c r="Q659" s="137"/>
      <c r="R659" s="135"/>
    </row>
    <row r="660" spans="1:21" x14ac:dyDescent="0.25">
      <c r="A660" s="127">
        <v>45338</v>
      </c>
      <c r="B660" s="128" t="s">
        <v>25</v>
      </c>
      <c r="C660" s="129" t="str">
        <f t="shared" si="21"/>
        <v>16.02.2024_BOYohB224</v>
      </c>
      <c r="D660" s="143">
        <f t="shared" si="22"/>
        <v>0</v>
      </c>
      <c r="E660" s="130">
        <v>3.7838281410320474E-5</v>
      </c>
      <c r="F660" s="131">
        <v>3.4805491354767564E-3</v>
      </c>
      <c r="G660" s="131">
        <v>0.64557286606786224</v>
      </c>
      <c r="H660" s="131">
        <v>7.4253373499717883E-3</v>
      </c>
      <c r="I660" s="131">
        <v>4.1204253402024611E-5</v>
      </c>
      <c r="J660" s="131">
        <v>3.6606821331142151E-3</v>
      </c>
      <c r="K660" s="132">
        <v>153.88582824378</v>
      </c>
      <c r="L660" s="133">
        <v>19.141309654785001</v>
      </c>
      <c r="M660" s="133">
        <v>50.009331169437701</v>
      </c>
      <c r="N660" s="133">
        <v>8.6810952578239906</v>
      </c>
      <c r="O660" s="131">
        <v>9.027644908861346E-4</v>
      </c>
      <c r="P660" s="133">
        <v>190.32</v>
      </c>
      <c r="Q660" s="137"/>
      <c r="R660" s="135"/>
    </row>
    <row r="661" spans="1:21" x14ac:dyDescent="0.25">
      <c r="A661" s="127">
        <v>45338</v>
      </c>
      <c r="B661" s="128" t="s">
        <v>28</v>
      </c>
      <c r="C661" s="129" t="str">
        <f t="shared" si="21"/>
        <v>16.02.2024_BOYohBr</v>
      </c>
      <c r="D661" s="143">
        <f t="shared" si="22"/>
        <v>0</v>
      </c>
      <c r="E661" s="130">
        <v>8.2660968914130689E-5</v>
      </c>
      <c r="F661" s="131">
        <v>5.3456559640509592E-3</v>
      </c>
      <c r="G661" s="131">
        <v>0.51192902883402547</v>
      </c>
      <c r="H661" s="131">
        <v>8.2615892162307258E-3</v>
      </c>
      <c r="I661" s="131">
        <v>6.695278424858585E-5</v>
      </c>
      <c r="J661" s="131">
        <v>1.2008539387585471E-2</v>
      </c>
      <c r="K661" s="132">
        <v>111.35351670815901</v>
      </c>
      <c r="L661" s="133">
        <v>10.607946775483001</v>
      </c>
      <c r="M661" s="133">
        <v>24.497360856791602</v>
      </c>
      <c r="N661" s="133">
        <v>8.5238777297488806</v>
      </c>
      <c r="O661" s="131">
        <v>6.7568351467439409E-4</v>
      </c>
      <c r="P661" s="133">
        <v>139.56799999999998</v>
      </c>
      <c r="Q661" s="137"/>
      <c r="R661" s="135"/>
    </row>
    <row r="662" spans="1:21" x14ac:dyDescent="0.25">
      <c r="A662" s="127">
        <v>45338</v>
      </c>
      <c r="B662" s="128" t="s">
        <v>30</v>
      </c>
      <c r="C662" s="129" t="str">
        <f t="shared" si="21"/>
        <v>16.02.2024_BOYohKi</v>
      </c>
      <c r="D662" s="143">
        <f t="shared" si="22"/>
        <v>0</v>
      </c>
      <c r="E662" s="130">
        <v>5.6948095574187932E-5</v>
      </c>
      <c r="F662" s="131">
        <v>4.0300660797495834E-3</v>
      </c>
      <c r="G662" s="131">
        <v>0.61114496968952048</v>
      </c>
      <c r="H662" s="131">
        <v>8.1670466135018386E-3</v>
      </c>
      <c r="I662" s="131">
        <v>6.9634110981179329E-5</v>
      </c>
      <c r="J662" s="131">
        <v>5.5965492360114917E-3</v>
      </c>
      <c r="K662" s="132">
        <v>142.820317217108</v>
      </c>
      <c r="L662" s="133">
        <v>12.903972766241999</v>
      </c>
      <c r="M662" s="133">
        <v>50.318813265895301</v>
      </c>
      <c r="N662" s="133">
        <v>8.3600125342314193</v>
      </c>
      <c r="O662" s="131">
        <v>1.14442643009588E-3</v>
      </c>
      <c r="P662" s="133">
        <v>179.34</v>
      </c>
      <c r="Q662" s="137"/>
      <c r="R662" s="135"/>
    </row>
    <row r="663" spans="1:21" x14ac:dyDescent="0.25">
      <c r="A663" s="127">
        <v>45338</v>
      </c>
      <c r="B663" s="128" t="s">
        <v>32</v>
      </c>
      <c r="C663" s="129" t="str">
        <f t="shared" si="21"/>
        <v>16.02.2024_BOYohSp</v>
      </c>
      <c r="D663" s="143">
        <f t="shared" si="22"/>
        <v>0</v>
      </c>
      <c r="E663" s="130">
        <v>4.4314062882404371E-5</v>
      </c>
      <c r="F663" s="131">
        <v>3.5073974821222516E-3</v>
      </c>
      <c r="G663" s="131">
        <v>0.52497790436296388</v>
      </c>
      <c r="H663" s="131">
        <v>6.4723047491325753E-3</v>
      </c>
      <c r="I663" s="131">
        <v>3.3399364841436051E-5</v>
      </c>
      <c r="J663" s="131">
        <v>5.0050923534817639E-3</v>
      </c>
      <c r="K663" s="132">
        <v>128.858404282263</v>
      </c>
      <c r="L663" s="133">
        <v>10.716281907034301</v>
      </c>
      <c r="M663" s="133">
        <v>37.472549060593899</v>
      </c>
      <c r="N663" s="133">
        <v>8.7365150816787196</v>
      </c>
      <c r="O663" s="131">
        <v>6.8617214216393717E-4</v>
      </c>
      <c r="P663" s="133">
        <v>166.89600000000002</v>
      </c>
      <c r="Q663" s="137"/>
      <c r="R663" s="135"/>
      <c r="T663" s="63"/>
      <c r="U663" s="63"/>
    </row>
    <row r="664" spans="1:21" x14ac:dyDescent="0.25">
      <c r="A664" s="127">
        <v>45338</v>
      </c>
      <c r="B664" s="128" t="s">
        <v>34</v>
      </c>
      <c r="C664" s="129" t="str">
        <f t="shared" si="21"/>
        <v>16.02.2024_BOYuhHa</v>
      </c>
      <c r="D664" s="143">
        <f t="shared" si="22"/>
        <v>0</v>
      </c>
      <c r="E664" s="130">
        <v>2.5775712089571062E-5</v>
      </c>
      <c r="F664" s="131">
        <v>2.6971730620302852E-3</v>
      </c>
      <c r="G664" s="131">
        <v>0.66059854073479018</v>
      </c>
      <c r="H664" s="131">
        <v>7.7357027388654147E-3</v>
      </c>
      <c r="I664" s="131">
        <v>3.4227802233718172E-5</v>
      </c>
      <c r="J664" s="131">
        <v>4.7179266843846964E-3</v>
      </c>
      <c r="K664" s="132">
        <v>152.636369978625</v>
      </c>
      <c r="L664" s="133">
        <v>20.434960783387101</v>
      </c>
      <c r="M664" s="133">
        <v>56.193919587147903</v>
      </c>
      <c r="N664" s="133">
        <v>8.8650080969015796</v>
      </c>
      <c r="O664" s="131">
        <v>8.2470226160434297E-4</v>
      </c>
      <c r="P664" s="133">
        <v>188.36799999999999</v>
      </c>
      <c r="Q664" s="137"/>
      <c r="R664" s="135"/>
    </row>
    <row r="665" spans="1:21" x14ac:dyDescent="0.25">
      <c r="A665" s="127">
        <v>45338</v>
      </c>
      <c r="B665" s="128" t="s">
        <v>36</v>
      </c>
      <c r="C665" s="129" t="str">
        <f t="shared" si="21"/>
        <v>16.02.2024_BOYuhSp</v>
      </c>
      <c r="D665" s="143">
        <f t="shared" si="22"/>
        <v>0</v>
      </c>
      <c r="E665" s="130">
        <v>7.1931430007806977E-5</v>
      </c>
      <c r="F665" s="131">
        <v>4.2305843741902091E-3</v>
      </c>
      <c r="G665" s="131">
        <v>0.57888308197592175</v>
      </c>
      <c r="H665" s="131">
        <v>8.0317068468239248E-3</v>
      </c>
      <c r="I665" s="131">
        <v>8.1582213539032003E-5</v>
      </c>
      <c r="J665" s="131">
        <v>8.1980809094136728E-3</v>
      </c>
      <c r="K665" s="132">
        <v>131.84951661686699</v>
      </c>
      <c r="L665" s="133">
        <v>11.8968412240056</v>
      </c>
      <c r="M665" s="133">
        <v>55.018978114084</v>
      </c>
      <c r="N665" s="133">
        <v>8.6687229751201809</v>
      </c>
      <c r="O665" s="131">
        <v>1.1806802338172851E-3</v>
      </c>
      <c r="P665" s="133">
        <v>175.43600000000001</v>
      </c>
      <c r="Q665" s="137"/>
      <c r="R665" s="135"/>
    </row>
    <row r="666" spans="1:21" x14ac:dyDescent="0.25">
      <c r="A666" s="127">
        <v>45338</v>
      </c>
      <c r="B666" s="128" t="s">
        <v>38</v>
      </c>
      <c r="C666" s="129" t="str">
        <f t="shared" si="21"/>
        <v>16.02.2024_BRAob</v>
      </c>
      <c r="D666" s="143">
        <f t="shared" si="22"/>
        <v>0</v>
      </c>
      <c r="E666" s="130">
        <v>5.1170607385655117E-5</v>
      </c>
      <c r="F666" s="131">
        <v>2.4883671853329573E-3</v>
      </c>
      <c r="G666" s="131">
        <v>0.71467822481937582</v>
      </c>
      <c r="H666" s="131">
        <v>6.4385584113371072E-3</v>
      </c>
      <c r="I666" s="131">
        <v>5.9364734009211691E-5</v>
      </c>
      <c r="J666" s="131">
        <v>4.9726300143062259E-3</v>
      </c>
      <c r="K666" s="132">
        <v>183.667407051987</v>
      </c>
      <c r="L666" s="133">
        <v>9.0405609550660699</v>
      </c>
      <c r="M666" s="133">
        <v>39.051607910540703</v>
      </c>
      <c r="N666" s="133">
        <v>8.0815005743611099</v>
      </c>
      <c r="O666" s="131">
        <v>7.825165114432606E-4</v>
      </c>
      <c r="P666" s="133">
        <v>200.81199999999998</v>
      </c>
      <c r="Q666" s="137"/>
      <c r="R666" s="135"/>
    </row>
    <row r="667" spans="1:21" x14ac:dyDescent="0.25">
      <c r="A667" s="127">
        <v>45338</v>
      </c>
      <c r="B667" s="128" t="s">
        <v>41</v>
      </c>
      <c r="C667" s="129" t="str">
        <f t="shared" si="21"/>
        <v>16.02.2024_BRAohBo</v>
      </c>
      <c r="D667" s="143">
        <f t="shared" si="22"/>
        <v>0</v>
      </c>
      <c r="E667" s="130">
        <v>4.2599851388334477E-5</v>
      </c>
      <c r="F667" s="131">
        <v>3.240071046493273E-3</v>
      </c>
      <c r="G667" s="131">
        <v>0.5860219604211564</v>
      </c>
      <c r="H667" s="131">
        <v>6.2215104203125491E-3</v>
      </c>
      <c r="I667" s="131">
        <v>5.0404479829523046E-5</v>
      </c>
      <c r="J667" s="131">
        <v>5.9950970981781839E-3</v>
      </c>
      <c r="K667" s="132">
        <v>144.67307602189899</v>
      </c>
      <c r="L667" s="133">
        <v>10.714167694079</v>
      </c>
      <c r="M667" s="133">
        <v>36.386650921361202</v>
      </c>
      <c r="N667" s="133">
        <v>8.7127830291322699</v>
      </c>
      <c r="O667" s="131">
        <v>8.9669188052123277E-4</v>
      </c>
      <c r="P667" s="133">
        <v>188.36799999999999</v>
      </c>
      <c r="Q667" s="137"/>
      <c r="R667" s="135"/>
    </row>
    <row r="668" spans="1:21" x14ac:dyDescent="0.25">
      <c r="A668" s="127">
        <v>45338</v>
      </c>
      <c r="B668" s="128" t="s">
        <v>43</v>
      </c>
      <c r="C668" s="129" t="str">
        <f t="shared" si="21"/>
        <v>16.02.2024_HAAob</v>
      </c>
      <c r="D668" s="143">
        <f t="shared" si="22"/>
        <v>0</v>
      </c>
      <c r="E668" s="130">
        <v>1.803026780819431E-5</v>
      </c>
      <c r="F668" s="131">
        <v>2.634637965329751E-3</v>
      </c>
      <c r="G668" s="131">
        <v>0.64628456836485704</v>
      </c>
      <c r="H668" s="131">
        <v>5.2957195608089912E-3</v>
      </c>
      <c r="I668" s="131">
        <v>3.6342459918593598E-5</v>
      </c>
      <c r="J668" s="131">
        <v>2.8205294136797957E-3</v>
      </c>
      <c r="K668" s="132">
        <v>158.31860005104599</v>
      </c>
      <c r="L668" s="133">
        <v>18.817264055870702</v>
      </c>
      <c r="M668" s="133">
        <v>37.776861997601799</v>
      </c>
      <c r="N668" s="133">
        <v>7.7288610264926101</v>
      </c>
      <c r="O668" s="131">
        <v>3.5669072435299973E-4</v>
      </c>
      <c r="P668" s="133">
        <v>209.596</v>
      </c>
      <c r="Q668" s="137"/>
      <c r="R668" s="135"/>
    </row>
    <row r="669" spans="1:21" x14ac:dyDescent="0.25">
      <c r="A669" s="127">
        <v>45338</v>
      </c>
      <c r="B669" s="128" t="s">
        <v>45</v>
      </c>
      <c r="C669" s="129" t="str">
        <f t="shared" si="21"/>
        <v>16.02.2024_HAAun</v>
      </c>
      <c r="D669" s="143">
        <f t="shared" si="22"/>
        <v>0</v>
      </c>
      <c r="E669" s="130">
        <v>2.5521777416648352E-5</v>
      </c>
      <c r="F669" s="131">
        <v>2.631569064301818E-3</v>
      </c>
      <c r="G669" s="131">
        <v>0.75805543446718282</v>
      </c>
      <c r="H669" s="131">
        <v>6.3941899367822323E-3</v>
      </c>
      <c r="I669" s="131">
        <v>4.1640502802475139E-5</v>
      </c>
      <c r="J669" s="131">
        <v>2.993465207573097E-3</v>
      </c>
      <c r="K669" s="132">
        <v>199.318600126018</v>
      </c>
      <c r="L669" s="133">
        <v>31.2739330229583</v>
      </c>
      <c r="M669" s="133">
        <v>47.113507014579604</v>
      </c>
      <c r="N669" s="133">
        <v>10.196506301042801</v>
      </c>
      <c r="O669" s="131">
        <v>5.4515022761678707E-4</v>
      </c>
      <c r="P669" s="133">
        <v>240.828</v>
      </c>
      <c r="Q669" s="137"/>
      <c r="R669" s="135"/>
    </row>
    <row r="670" spans="1:21" x14ac:dyDescent="0.25">
      <c r="A670" s="127">
        <v>45338</v>
      </c>
      <c r="B670" s="128" t="s">
        <v>47</v>
      </c>
      <c r="C670" s="129" t="str">
        <f t="shared" si="21"/>
        <v>16.02.2024_KIRob</v>
      </c>
      <c r="D670" s="143">
        <f t="shared" si="22"/>
        <v>0</v>
      </c>
      <c r="E670" s="130">
        <v>6.3741241385600187E-5</v>
      </c>
      <c r="F670" s="131">
        <v>1.9728198433070329E-3</v>
      </c>
      <c r="G670" s="131">
        <v>0.66332134674741816</v>
      </c>
      <c r="H670" s="131">
        <v>6.4445794790084039E-3</v>
      </c>
      <c r="I670" s="131">
        <v>8.6137959482931128E-5</v>
      </c>
      <c r="J670" s="131">
        <v>3.5155424346234583E-3</v>
      </c>
      <c r="K670" s="132">
        <v>198.127960990443</v>
      </c>
      <c r="L670" s="133">
        <v>22.023403604231799</v>
      </c>
      <c r="M670" s="133">
        <v>123.91754521757299</v>
      </c>
      <c r="N670" s="133">
        <v>9.3854802237712001</v>
      </c>
      <c r="O670" s="131">
        <v>7.592737118880499E-4</v>
      </c>
      <c r="P670" s="133">
        <v>194.46800000000002</v>
      </c>
      <c r="Q670" s="137"/>
      <c r="R670" s="135"/>
    </row>
    <row r="671" spans="1:21" x14ac:dyDescent="0.25">
      <c r="A671" s="127">
        <v>45338</v>
      </c>
      <c r="B671" s="128" t="s">
        <v>49</v>
      </c>
      <c r="C671" s="129" t="str">
        <f t="shared" si="21"/>
        <v>16.02.2024_KIRun</v>
      </c>
      <c r="D671" s="143">
        <f t="shared" si="22"/>
        <v>0</v>
      </c>
      <c r="E671" s="130">
        <v>1.337691534365628E-4</v>
      </c>
      <c r="F671" s="131">
        <v>2.3247394433069469E-3</v>
      </c>
      <c r="G671" s="131">
        <v>0.66571711280072643</v>
      </c>
      <c r="H671" s="131">
        <v>6.1355786956598666E-3</v>
      </c>
      <c r="I671" s="131">
        <v>1.512858538960052E-4</v>
      </c>
      <c r="J671" s="131">
        <v>5.6342911738732227E-3</v>
      </c>
      <c r="K671" s="132">
        <v>205.36378696884199</v>
      </c>
      <c r="L671" s="133">
        <v>22.470426897170299</v>
      </c>
      <c r="M671" s="133">
        <v>109.04147663949</v>
      </c>
      <c r="N671" s="133">
        <v>9.6343736613023196</v>
      </c>
      <c r="O671" s="131">
        <v>5.7579605320298385E-4</v>
      </c>
      <c r="P671" s="133">
        <v>195.44400000000002</v>
      </c>
      <c r="Q671" s="137"/>
      <c r="R671" s="135"/>
    </row>
    <row r="672" spans="1:21" x14ac:dyDescent="0.25">
      <c r="A672" s="127">
        <v>45338</v>
      </c>
      <c r="B672" s="128" t="s">
        <v>50</v>
      </c>
      <c r="C672" s="129" t="str">
        <f t="shared" si="21"/>
        <v>16.02.2024_LIEohBo</v>
      </c>
      <c r="D672" s="143">
        <f t="shared" si="22"/>
        <v>0</v>
      </c>
      <c r="E672" s="130">
        <v>2.1268103782644134E-5</v>
      </c>
      <c r="F672" s="131">
        <v>2.10262889263255E-3</v>
      </c>
      <c r="G672" s="131">
        <v>0.65140832531564008</v>
      </c>
      <c r="H672" s="131">
        <v>7.1005398798097965E-3</v>
      </c>
      <c r="I672" s="131">
        <v>3.2854185298083512E-5</v>
      </c>
      <c r="J672" s="131">
        <v>3.5594818526088734E-3</v>
      </c>
      <c r="K672" s="132">
        <v>142.17882890346499</v>
      </c>
      <c r="L672" s="133">
        <v>18.763445146014401</v>
      </c>
      <c r="M672" s="133">
        <v>43.271854701113902</v>
      </c>
      <c r="N672" s="133">
        <v>9.2437190849410502</v>
      </c>
      <c r="O672" s="131">
        <v>4.8130957042030384E-4</v>
      </c>
      <c r="P672" s="133">
        <v>218.624</v>
      </c>
      <c r="Q672" s="137"/>
      <c r="R672" s="135"/>
    </row>
    <row r="673" spans="1:18" x14ac:dyDescent="0.25">
      <c r="A673" s="127">
        <v>45338</v>
      </c>
      <c r="B673" s="128" t="s">
        <v>53</v>
      </c>
      <c r="C673" s="129" t="str">
        <f t="shared" si="21"/>
        <v>16.02.2024_NATohBo</v>
      </c>
      <c r="D673" s="143">
        <f t="shared" si="22"/>
        <v>0</v>
      </c>
      <c r="E673" s="130">
        <v>3.8663655998333297E-5</v>
      </c>
      <c r="F673" s="131">
        <v>2.6945068667289687E-3</v>
      </c>
      <c r="G673" s="131">
        <v>0.86975397102201524</v>
      </c>
      <c r="H673" s="131">
        <v>8.7528585942348042E-3</v>
      </c>
      <c r="I673" s="131">
        <v>3.0695905380796745E-5</v>
      </c>
      <c r="J673" s="131">
        <v>8.6347105358618743E-3</v>
      </c>
      <c r="K673" s="132">
        <v>235.03466728288299</v>
      </c>
      <c r="L673" s="133">
        <v>44.177617185934601</v>
      </c>
      <c r="M673" s="133">
        <v>122.12296587978</v>
      </c>
      <c r="N673" s="133">
        <v>12.8781577604991</v>
      </c>
      <c r="O673" s="131">
        <v>6.371812575482334E-4</v>
      </c>
      <c r="P673" s="133">
        <v>281.33199999999999</v>
      </c>
      <c r="Q673" s="137"/>
      <c r="R673" s="135"/>
    </row>
    <row r="674" spans="1:18" x14ac:dyDescent="0.25">
      <c r="A674" s="127">
        <v>45338</v>
      </c>
      <c r="B674" s="128" t="s">
        <v>55</v>
      </c>
      <c r="C674" s="129" t="str">
        <f t="shared" si="21"/>
        <v>16.02.2024_QUAohBo</v>
      </c>
      <c r="D674" s="143">
        <f t="shared" si="22"/>
        <v>0</v>
      </c>
      <c r="E674" s="130">
        <v>3.2314887118866982E-5</v>
      </c>
      <c r="F674" s="131">
        <v>2.1989482146846733E-3</v>
      </c>
      <c r="G674" s="131">
        <v>0.64747415915736606</v>
      </c>
      <c r="H674" s="131">
        <v>5.7036471466973618E-3</v>
      </c>
      <c r="I674" s="131">
        <v>4.9074808925039059E-5</v>
      </c>
      <c r="J674" s="131">
        <v>4.4293845790592968E-3</v>
      </c>
      <c r="K674" s="132">
        <v>169.77130931291401</v>
      </c>
      <c r="L674" s="133">
        <v>10.5756152539869</v>
      </c>
      <c r="M674" s="133">
        <v>54.112750538753701</v>
      </c>
      <c r="N674" s="133">
        <v>7.6428065791436399</v>
      </c>
      <c r="O674" s="131">
        <v>6.6112572073137306E-4</v>
      </c>
      <c r="P674" s="133">
        <v>206.91200000000001</v>
      </c>
      <c r="Q674" s="137"/>
      <c r="R674" s="135"/>
    </row>
    <row r="675" spans="1:18" x14ac:dyDescent="0.25">
      <c r="A675" s="127">
        <v>45338</v>
      </c>
      <c r="B675" s="128" t="s">
        <v>57</v>
      </c>
      <c r="C675" s="129" t="str">
        <f t="shared" si="21"/>
        <v>16.02.2024_SCHohVo</v>
      </c>
      <c r="D675" s="143">
        <f t="shared" si="22"/>
        <v>0</v>
      </c>
      <c r="E675" s="130">
        <v>1.5662577197576754E-4</v>
      </c>
      <c r="F675" s="131">
        <v>3.7507336872005534E-3</v>
      </c>
      <c r="G675" s="131">
        <v>0.61869369043092903</v>
      </c>
      <c r="H675" s="131">
        <v>9.133475952827777E-3</v>
      </c>
      <c r="I675" s="131">
        <v>1.802423503657677E-4</v>
      </c>
      <c r="J675" s="131">
        <v>2.102414079262847E-2</v>
      </c>
      <c r="K675" s="132">
        <v>104.15891810874</v>
      </c>
      <c r="L675" s="133">
        <v>8.0268610286753592</v>
      </c>
      <c r="M675" s="133">
        <v>22.338165946217199</v>
      </c>
      <c r="N675" s="133">
        <v>3.5220654347265699</v>
      </c>
      <c r="O675" s="131">
        <v>2.1590370110475348E-3</v>
      </c>
      <c r="P675" s="133">
        <v>118.34</v>
      </c>
      <c r="Q675" s="137"/>
      <c r="R675" s="135"/>
    </row>
    <row r="676" spans="1:18" x14ac:dyDescent="0.25">
      <c r="A676" s="127">
        <v>45338</v>
      </c>
      <c r="B676" s="128" t="s">
        <v>60</v>
      </c>
      <c r="C676" s="129" t="str">
        <f t="shared" si="21"/>
        <v>16.02.2024_VORohBo</v>
      </c>
      <c r="D676" s="143">
        <f t="shared" si="22"/>
        <v>0</v>
      </c>
      <c r="E676" s="130">
        <v>6.6788791165826237E-5</v>
      </c>
      <c r="F676" s="131">
        <v>2.8440609924804145E-3</v>
      </c>
      <c r="G676" s="131">
        <v>0.79010112326017978</v>
      </c>
      <c r="H676" s="131">
        <v>9.7402019165274516E-3</v>
      </c>
      <c r="I676" s="131">
        <v>7.4801319584078891E-5</v>
      </c>
      <c r="J676" s="131">
        <v>1.4591601665094737E-2</v>
      </c>
      <c r="K676" s="132">
        <v>215.68573686127701</v>
      </c>
      <c r="L676" s="133">
        <v>20.883374325914499</v>
      </c>
      <c r="M676" s="133">
        <v>41.786082136903701</v>
      </c>
      <c r="N676" s="133">
        <v>8.1210017859391694</v>
      </c>
      <c r="O676" s="131">
        <v>1.5071895334780637E-3</v>
      </c>
      <c r="P676" s="133">
        <v>228.38400000000001</v>
      </c>
      <c r="Q676" s="137"/>
      <c r="R676" s="135"/>
    </row>
    <row r="677" spans="1:18" x14ac:dyDescent="0.25">
      <c r="A677" s="127">
        <v>45338</v>
      </c>
      <c r="B677" s="128" t="s">
        <v>62</v>
      </c>
      <c r="C677" s="129" t="str">
        <f t="shared" si="21"/>
        <v>16.02.2024_VORuhSc</v>
      </c>
      <c r="D677" s="143">
        <f t="shared" si="22"/>
        <v>0</v>
      </c>
      <c r="E677" s="130">
        <v>8.5581241748172092E-5</v>
      </c>
      <c r="F677" s="131">
        <v>2.3754230395956009E-3</v>
      </c>
      <c r="G677" s="131">
        <v>0.70182804564394619</v>
      </c>
      <c r="H677" s="131">
        <v>8.9879120697322467E-3</v>
      </c>
      <c r="I677" s="131">
        <v>8.0033361684845754E-5</v>
      </c>
      <c r="J677" s="131">
        <v>1.4053305089369788E-2</v>
      </c>
      <c r="K677" s="132">
        <v>201.07243622758401</v>
      </c>
      <c r="L677" s="133">
        <v>17.170794537611201</v>
      </c>
      <c r="M677" s="133">
        <v>37.216148158197299</v>
      </c>
      <c r="N677" s="133">
        <v>6.5803292241801996</v>
      </c>
      <c r="O677" s="131">
        <v>1.6358178782477982E-3</v>
      </c>
      <c r="P677" s="133">
        <v>215.696</v>
      </c>
      <c r="Q677" s="137"/>
      <c r="R677" s="135"/>
    </row>
    <row r="678" spans="1:18" x14ac:dyDescent="0.25">
      <c r="A678" s="127">
        <v>45338</v>
      </c>
      <c r="B678" s="128" t="s">
        <v>64</v>
      </c>
      <c r="C678" s="129" t="str">
        <f t="shared" si="21"/>
        <v>16.02.2024_WITob</v>
      </c>
      <c r="D678" s="143">
        <f t="shared" si="22"/>
        <v>0</v>
      </c>
      <c r="E678" s="130">
        <v>1.7141462776457228E-5</v>
      </c>
      <c r="F678" s="131">
        <v>1.4820730847880995E-3</v>
      </c>
      <c r="G678" s="131">
        <v>1.0324586947103014</v>
      </c>
      <c r="H678" s="131">
        <v>9.3774784510493557E-3</v>
      </c>
      <c r="I678" s="131">
        <v>2.258582472251974E-5</v>
      </c>
      <c r="J678" s="131">
        <v>2.9220513747876126E-3</v>
      </c>
      <c r="K678" s="132">
        <v>244.70042008235001</v>
      </c>
      <c r="L678" s="133">
        <v>32.7630530521349</v>
      </c>
      <c r="M678" s="133">
        <v>85.430840810342403</v>
      </c>
      <c r="N678" s="133">
        <v>7.1269628482446601</v>
      </c>
      <c r="O678" s="131">
        <v>6.469115481320942E-4</v>
      </c>
      <c r="P678" s="133">
        <v>305</v>
      </c>
      <c r="Q678" s="137"/>
      <c r="R678" s="135"/>
    </row>
    <row r="679" spans="1:18" x14ac:dyDescent="0.25">
      <c r="A679" s="127">
        <v>45363</v>
      </c>
      <c r="B679" s="128" t="s">
        <v>22</v>
      </c>
      <c r="C679" s="129" t="str">
        <f t="shared" si="21"/>
        <v>12.03.2024_BOYkl</v>
      </c>
      <c r="D679" s="143">
        <f t="shared" si="22"/>
        <v>0</v>
      </c>
      <c r="E679" s="130">
        <v>4.7833251372628687E-5</v>
      </c>
      <c r="F679" s="131">
        <v>2.1743590017568454E-3</v>
      </c>
      <c r="G679" s="131">
        <v>1.5072582994633545E-2</v>
      </c>
      <c r="H679" s="131">
        <v>3.7244925041371182E-3</v>
      </c>
      <c r="I679" s="131">
        <v>2.1342817898346791E-5</v>
      </c>
      <c r="J679" s="131">
        <v>9.5622695827192947E-3</v>
      </c>
      <c r="K679" s="132">
        <v>84.868380107704098</v>
      </c>
      <c r="L679" s="133">
        <v>9.1596059318421403</v>
      </c>
      <c r="M679" s="133">
        <v>18.731723480245599</v>
      </c>
      <c r="N679" s="133">
        <v>9.8927651400178593</v>
      </c>
      <c r="O679" s="131">
        <v>1.0170445865826762E-3</v>
      </c>
      <c r="P679" s="133">
        <v>125.416</v>
      </c>
      <c r="Q679" s="137"/>
      <c r="R679" s="135"/>
    </row>
    <row r="680" spans="1:18" x14ac:dyDescent="0.25">
      <c r="A680" s="127">
        <v>45363</v>
      </c>
      <c r="B680" s="128" t="s">
        <v>25</v>
      </c>
      <c r="C680" s="129" t="str">
        <f t="shared" si="21"/>
        <v>12.03.2024_BOYohB224</v>
      </c>
      <c r="D680" s="143">
        <f t="shared" si="22"/>
        <v>0</v>
      </c>
      <c r="E680" s="130">
        <v>1.9974299125239801E-5</v>
      </c>
      <c r="F680" s="131">
        <v>2.0856267658761465E-3</v>
      </c>
      <c r="G680" s="131">
        <v>2.0361828322936142E-2</v>
      </c>
      <c r="H680" s="131">
        <v>3.1992104363818105E-3</v>
      </c>
      <c r="I680" s="131">
        <v>1.5705345318453214E-5</v>
      </c>
      <c r="J680" s="131">
        <v>4.8389359971855702E-3</v>
      </c>
      <c r="K680" s="132">
        <v>187.71879335845901</v>
      </c>
      <c r="L680" s="133">
        <v>29.615054812443301</v>
      </c>
      <c r="M680" s="133">
        <v>46.1166775987652</v>
      </c>
      <c r="N680" s="133">
        <v>7.9766211788970498</v>
      </c>
      <c r="O680" s="131">
        <v>8.4048458499937908E-4</v>
      </c>
      <c r="P680" s="133">
        <v>194.46800000000002</v>
      </c>
      <c r="Q680" s="137"/>
      <c r="R680" s="135"/>
    </row>
    <row r="681" spans="1:18" x14ac:dyDescent="0.25">
      <c r="A681" s="127">
        <v>45363</v>
      </c>
      <c r="B681" s="128" t="s">
        <v>28</v>
      </c>
      <c r="C681" s="129" t="str">
        <f t="shared" si="21"/>
        <v>12.03.2024_BOYohBr</v>
      </c>
      <c r="D681" s="143">
        <f t="shared" si="22"/>
        <v>0</v>
      </c>
      <c r="E681" s="130">
        <v>4.5205043526253136E-5</v>
      </c>
      <c r="F681" s="131">
        <v>3.3191344228244144E-3</v>
      </c>
      <c r="G681" s="131">
        <v>1.8679999962321215E-2</v>
      </c>
      <c r="H681" s="131">
        <v>4.0145001907345556E-3</v>
      </c>
      <c r="I681" s="131">
        <v>2.0900644734012143E-5</v>
      </c>
      <c r="J681" s="131">
        <v>6.3353710928814432E-3</v>
      </c>
      <c r="K681" s="132">
        <v>114.499756044386</v>
      </c>
      <c r="L681" s="133">
        <v>12.2089900763301</v>
      </c>
      <c r="M681" s="133">
        <v>17.7055541426129</v>
      </c>
      <c r="N681" s="133">
        <v>6.8788812954561296</v>
      </c>
      <c r="O681" s="131">
        <v>5.0361097964937284E-4</v>
      </c>
      <c r="P681" s="133">
        <v>136.88400000000001</v>
      </c>
      <c r="Q681" s="137"/>
      <c r="R681" s="135"/>
    </row>
    <row r="682" spans="1:18" x14ac:dyDescent="0.25">
      <c r="A682" s="127">
        <v>45363</v>
      </c>
      <c r="B682" s="128" t="s">
        <v>30</v>
      </c>
      <c r="C682" s="129" t="str">
        <f t="shared" si="21"/>
        <v>12.03.2024_BOYohKi</v>
      </c>
      <c r="D682" s="143">
        <f t="shared" si="22"/>
        <v>0</v>
      </c>
      <c r="E682" s="130">
        <v>5.203838186631423E-5</v>
      </c>
      <c r="F682" s="131">
        <v>2.342335300384509E-3</v>
      </c>
      <c r="G682" s="131">
        <v>2.7289430459331878E-2</v>
      </c>
      <c r="H682" s="131">
        <v>3.5007332102702871E-3</v>
      </c>
      <c r="I682" s="131">
        <v>3.2166536931623481E-5</v>
      </c>
      <c r="J682" s="131">
        <v>8.2124989982915557E-3</v>
      </c>
      <c r="K682" s="132">
        <v>173.12743132015601</v>
      </c>
      <c r="L682" s="133">
        <v>16.6934328701218</v>
      </c>
      <c r="M682" s="133">
        <v>41.3741728538606</v>
      </c>
      <c r="N682" s="133">
        <v>6.5942646804522296</v>
      </c>
      <c r="O682" s="131">
        <v>1.0349285621898776E-3</v>
      </c>
      <c r="P682" s="133">
        <v>200.56799999999998</v>
      </c>
      <c r="Q682" s="137"/>
      <c r="R682" s="135"/>
    </row>
    <row r="683" spans="1:18" x14ac:dyDescent="0.25">
      <c r="A683" s="127">
        <v>45363</v>
      </c>
      <c r="B683" s="128" t="s">
        <v>32</v>
      </c>
      <c r="C683" s="129" t="str">
        <f t="shared" si="21"/>
        <v>12.03.2024_BOYohSp</v>
      </c>
      <c r="D683" s="143">
        <f t="shared" si="22"/>
        <v>0</v>
      </c>
      <c r="E683" s="130">
        <v>3.0487101369162862E-5</v>
      </c>
      <c r="F683" s="131">
        <v>2.27045521814675E-3</v>
      </c>
      <c r="G683" s="131">
        <v>1.8892571574011714E-2</v>
      </c>
      <c r="H683" s="131">
        <v>2.9985692123746703E-3</v>
      </c>
      <c r="I683" s="131">
        <v>1.3439323363321664E-5</v>
      </c>
      <c r="J683" s="131">
        <v>9.3693860412076609E-3</v>
      </c>
      <c r="K683" s="132">
        <v>152.04685842436501</v>
      </c>
      <c r="L683" s="133">
        <v>12.668225197105301</v>
      </c>
      <c r="M683" s="133">
        <v>27.186185660128</v>
      </c>
      <c r="N683" s="133">
        <v>6.8363847753352198</v>
      </c>
      <c r="O683" s="131">
        <v>5.1015762646163801E-4</v>
      </c>
      <c r="P683" s="133">
        <v>180.804</v>
      </c>
      <c r="Q683" s="137"/>
      <c r="R683" s="135"/>
    </row>
    <row r="684" spans="1:18" x14ac:dyDescent="0.25">
      <c r="A684" s="127">
        <v>45363</v>
      </c>
      <c r="B684" s="128" t="s">
        <v>34</v>
      </c>
      <c r="C684" s="129" t="str">
        <f t="shared" si="21"/>
        <v>12.03.2024_BOYuhHa</v>
      </c>
      <c r="D684" s="143">
        <f t="shared" si="22"/>
        <v>0</v>
      </c>
      <c r="E684" s="130">
        <v>2.1551221110237075E-5</v>
      </c>
      <c r="F684" s="131">
        <v>1.7144449625772886E-3</v>
      </c>
      <c r="G684" s="131">
        <v>2.3500464105039962E-2</v>
      </c>
      <c r="H684" s="131">
        <v>3.3312344053700086E-3</v>
      </c>
      <c r="I684" s="131">
        <v>1.600011158597662E-5</v>
      </c>
      <c r="J684" s="131">
        <v>4.1885411405698184E-3</v>
      </c>
      <c r="K684" s="132">
        <v>186.79208921962299</v>
      </c>
      <c r="L684" s="133">
        <v>31.747955206777601</v>
      </c>
      <c r="M684" s="133">
        <v>54.345492094762001</v>
      </c>
      <c r="N684" s="133">
        <v>8.5271427403245994</v>
      </c>
      <c r="O684" s="131">
        <v>7.908708153892708E-4</v>
      </c>
      <c r="P684" s="133">
        <v>206.42400000000001</v>
      </c>
      <c r="Q684" s="137"/>
      <c r="R684" s="135"/>
    </row>
    <row r="685" spans="1:18" x14ac:dyDescent="0.25">
      <c r="A685" s="127">
        <v>45363</v>
      </c>
      <c r="B685" s="128" t="s">
        <v>36</v>
      </c>
      <c r="C685" s="129" t="str">
        <f t="shared" si="21"/>
        <v>12.03.2024_BOYuhSp</v>
      </c>
      <c r="D685" s="143">
        <f t="shared" si="22"/>
        <v>0</v>
      </c>
      <c r="E685" s="130">
        <v>6.3602503381431839E-5</v>
      </c>
      <c r="F685" s="131">
        <v>2.2322878931305985E-3</v>
      </c>
      <c r="G685" s="131">
        <v>2.8014724168056934E-2</v>
      </c>
      <c r="H685" s="131">
        <v>3.5865754292209845E-3</v>
      </c>
      <c r="I685" s="131">
        <v>4.7403068854218585E-5</v>
      </c>
      <c r="J685" s="131">
        <v>1.0990032344703015E-2</v>
      </c>
      <c r="K685" s="132">
        <v>149.83006790487701</v>
      </c>
      <c r="L685" s="133">
        <v>14.483883803435701</v>
      </c>
      <c r="M685" s="133">
        <v>44.504482131463902</v>
      </c>
      <c r="N685" s="133">
        <v>6.4348755528000501</v>
      </c>
      <c r="O685" s="131">
        <v>1.1309015849351324E-3</v>
      </c>
      <c r="P685" s="133">
        <v>180.072</v>
      </c>
      <c r="Q685" s="137"/>
      <c r="R685" s="135"/>
    </row>
    <row r="686" spans="1:18" x14ac:dyDescent="0.25">
      <c r="A686" s="127">
        <v>45363</v>
      </c>
      <c r="B686" s="128" t="s">
        <v>38</v>
      </c>
      <c r="C686" s="129" t="str">
        <f t="shared" si="21"/>
        <v>12.03.2024_BRAob</v>
      </c>
      <c r="D686" s="143">
        <f t="shared" si="22"/>
        <v>0</v>
      </c>
      <c r="E686" s="130">
        <v>2.5756340271090288E-5</v>
      </c>
      <c r="F686" s="131">
        <v>1.1199644832775005E-3</v>
      </c>
      <c r="G686" s="131">
        <v>2.6145226078902094E-2</v>
      </c>
      <c r="H686" s="131">
        <v>1.7639767636386597E-3</v>
      </c>
      <c r="I686" s="131">
        <v>1.7077865077728536E-5</v>
      </c>
      <c r="J686" s="131">
        <v>5.0097237128813926E-3</v>
      </c>
      <c r="K686" s="132">
        <v>194.83271932414601</v>
      </c>
      <c r="L686" s="133">
        <v>9.2204227960177807</v>
      </c>
      <c r="M686" s="133">
        <v>24.236234176042</v>
      </c>
      <c r="N686" s="133">
        <v>5.03844737022456</v>
      </c>
      <c r="O686" s="131">
        <v>5.1487859917850659E-4</v>
      </c>
      <c r="P686" s="133">
        <v>219.11199999999999</v>
      </c>
      <c r="Q686" s="137"/>
      <c r="R686" s="135"/>
    </row>
    <row r="687" spans="1:18" x14ac:dyDescent="0.25">
      <c r="A687" s="127">
        <v>45363</v>
      </c>
      <c r="B687" s="128" t="s">
        <v>41</v>
      </c>
      <c r="C687" s="129" t="str">
        <f t="shared" si="21"/>
        <v>12.03.2024_BRAohBo</v>
      </c>
      <c r="D687" s="143">
        <f t="shared" si="22"/>
        <v>0</v>
      </c>
      <c r="E687" s="130">
        <v>2.8384544070017898E-5</v>
      </c>
      <c r="F687" s="131">
        <v>1.6944919418971003E-3</v>
      </c>
      <c r="G687" s="131">
        <v>1.8348638567443083E-2</v>
      </c>
      <c r="H687" s="131">
        <v>2.2080700747275053E-3</v>
      </c>
      <c r="I687" s="131">
        <v>1.7897689289811553E-5</v>
      </c>
      <c r="J687" s="131">
        <v>7.0309749790900206E-3</v>
      </c>
      <c r="K687" s="132">
        <v>156.74802221597599</v>
      </c>
      <c r="L687" s="133">
        <v>11.008214776260401</v>
      </c>
      <c r="M687" s="133">
        <v>23.109181527687898</v>
      </c>
      <c r="N687" s="133">
        <v>5.7381254008065596</v>
      </c>
      <c r="O687" s="131">
        <v>6.5343420140124165E-4</v>
      </c>
      <c r="P687" s="133">
        <v>201.54399999999998</v>
      </c>
      <c r="Q687" s="137"/>
      <c r="R687" s="135"/>
    </row>
    <row r="688" spans="1:18" x14ac:dyDescent="0.25">
      <c r="A688" s="127">
        <v>45363</v>
      </c>
      <c r="B688" s="128" t="s">
        <v>43</v>
      </c>
      <c r="C688" s="129" t="str">
        <f t="shared" si="21"/>
        <v>12.03.2024_HAAob</v>
      </c>
      <c r="D688" s="143">
        <f t="shared" si="22"/>
        <v>0</v>
      </c>
      <c r="E688" s="130">
        <v>3.1538342561647508E-6</v>
      </c>
      <c r="F688" s="131">
        <v>6.834076569212828E-4</v>
      </c>
      <c r="G688" s="131">
        <v>1.3209515641558825E-2</v>
      </c>
      <c r="H688" s="131">
        <v>9.3013644546176223E-4</v>
      </c>
      <c r="I688" s="131">
        <v>8.0045985277791761E-6</v>
      </c>
      <c r="J688" s="131">
        <v>4.4814367515701526E-3</v>
      </c>
      <c r="K688" s="132">
        <v>198.07821534776701</v>
      </c>
      <c r="L688" s="133">
        <v>24.4920176567685</v>
      </c>
      <c r="M688" s="133">
        <v>28.563759887648398</v>
      </c>
      <c r="N688" s="133">
        <v>6.2338736633248004</v>
      </c>
      <c r="O688" s="131">
        <v>1.3233546411296841E-4</v>
      </c>
      <c r="P688" s="133">
        <v>242.292</v>
      </c>
      <c r="Q688" s="137"/>
      <c r="R688" s="135"/>
    </row>
    <row r="689" spans="1:18" x14ac:dyDescent="0.25">
      <c r="A689" s="127">
        <v>45363</v>
      </c>
      <c r="B689" s="128" t="s">
        <v>45</v>
      </c>
      <c r="C689" s="129" t="str">
        <f t="shared" si="21"/>
        <v>12.03.2024_HAAun</v>
      </c>
      <c r="D689" s="143">
        <f t="shared" si="22"/>
        <v>0</v>
      </c>
      <c r="E689" s="130">
        <v>1.6820459202677963E-5</v>
      </c>
      <c r="F689" s="131">
        <v>1.4573879972358125E-3</v>
      </c>
      <c r="G689" s="131">
        <v>1.8292369794923217E-2</v>
      </c>
      <c r="H689" s="131">
        <v>1.7104012393698838E-3</v>
      </c>
      <c r="I689" s="131">
        <v>1.0703528074321795E-5</v>
      </c>
      <c r="J689" s="131">
        <v>4.2628711013455054E-3</v>
      </c>
      <c r="K689" s="132">
        <v>242.333894276221</v>
      </c>
      <c r="L689" s="133">
        <v>39.1317463727651</v>
      </c>
      <c r="M689" s="133">
        <v>34.624422932482297</v>
      </c>
      <c r="N689" s="133">
        <v>9.2212037571861796</v>
      </c>
      <c r="O689" s="131">
        <v>4.8913310780576398E-4</v>
      </c>
      <c r="P689" s="133">
        <v>278.64799999999997</v>
      </c>
      <c r="Q689" s="137"/>
      <c r="R689" s="135"/>
    </row>
    <row r="690" spans="1:18" x14ac:dyDescent="0.25">
      <c r="A690" s="127">
        <v>45363</v>
      </c>
      <c r="B690" s="128" t="s">
        <v>47</v>
      </c>
      <c r="C690" s="129" t="str">
        <f t="shared" si="21"/>
        <v>12.03.2024_KIRob</v>
      </c>
      <c r="D690" s="143">
        <f t="shared" si="22"/>
        <v>0</v>
      </c>
      <c r="E690" s="130">
        <v>1.6820460232932786E-5</v>
      </c>
      <c r="F690" s="131">
        <v>1.0901361302740656E-3</v>
      </c>
      <c r="G690" s="131">
        <v>1.2252986495258572E-2</v>
      </c>
      <c r="H690" s="131">
        <v>2.1477375522299439E-3</v>
      </c>
      <c r="I690" s="131">
        <v>7.6637768136373981E-6</v>
      </c>
      <c r="J690" s="131">
        <v>6.0725359055278918E-3</v>
      </c>
      <c r="K690" s="132">
        <v>153.30855728159901</v>
      </c>
      <c r="L690" s="133">
        <v>13.934281001639</v>
      </c>
      <c r="M690" s="133">
        <v>56.352457652871699</v>
      </c>
      <c r="N690" s="133">
        <v>4.7757160810402404</v>
      </c>
      <c r="O690" s="131">
        <v>4.6149980648240081E-4</v>
      </c>
      <c r="P690" s="133">
        <v>244.488</v>
      </c>
      <c r="Q690" s="137"/>
      <c r="R690" s="135"/>
    </row>
    <row r="691" spans="1:18" x14ac:dyDescent="0.25">
      <c r="A691" s="127">
        <v>45363</v>
      </c>
      <c r="B691" s="128" t="s">
        <v>49</v>
      </c>
      <c r="C691" s="129" t="str">
        <f t="shared" si="21"/>
        <v>12.03.2024_KIRun</v>
      </c>
      <c r="D691" s="143">
        <f t="shared" si="22"/>
        <v>0</v>
      </c>
      <c r="E691" s="130">
        <v>8.4102268417314229E-6</v>
      </c>
      <c r="F691" s="131">
        <v>5.8250643356101846E-4</v>
      </c>
      <c r="G691" s="131">
        <v>1.1646561754964521E-2</v>
      </c>
      <c r="H691" s="131">
        <v>1.7959919511465812E-3</v>
      </c>
      <c r="I691" s="131">
        <v>7.4979739891384725E-6</v>
      </c>
      <c r="J691" s="131">
        <v>2.9125926719103536E-3</v>
      </c>
      <c r="K691" s="132">
        <v>163.56101853202301</v>
      </c>
      <c r="L691" s="133">
        <v>17.539673772776698</v>
      </c>
      <c r="M691" s="133">
        <v>57.969544286012898</v>
      </c>
      <c r="N691" s="133">
        <v>5.6848915973571303</v>
      </c>
      <c r="O691" s="131">
        <v>3.1975416458307211E-4</v>
      </c>
      <c r="P691" s="133">
        <v>198.85999999999999</v>
      </c>
      <c r="Q691" s="137"/>
      <c r="R691" s="135"/>
    </row>
    <row r="692" spans="1:18" x14ac:dyDescent="0.25">
      <c r="A692" s="127">
        <v>45363</v>
      </c>
      <c r="B692" s="128" t="s">
        <v>50</v>
      </c>
      <c r="C692" s="129" t="str">
        <f t="shared" si="21"/>
        <v>12.03.2024_LIEohBo</v>
      </c>
      <c r="D692" s="143">
        <f t="shared" si="22"/>
        <v>0</v>
      </c>
      <c r="E692" s="130">
        <v>1.2089702593573961E-5</v>
      </c>
      <c r="F692" s="131">
        <v>1.1829145107388869E-3</v>
      </c>
      <c r="G692" s="131">
        <v>1.3747176818322836E-2</v>
      </c>
      <c r="H692" s="131">
        <v>2.6674539379378127E-3</v>
      </c>
      <c r="I692" s="131">
        <v>9.294188164547233E-6</v>
      </c>
      <c r="J692" s="131">
        <v>1.9366646249162828E-3</v>
      </c>
      <c r="K692" s="132">
        <v>172.38221494012899</v>
      </c>
      <c r="L692" s="133">
        <v>27.692349334286401</v>
      </c>
      <c r="M692" s="133">
        <v>36.485741312732998</v>
      </c>
      <c r="N692" s="133">
        <v>9.29571054963656</v>
      </c>
      <c r="O692" s="131">
        <v>2.756348481296754E-4</v>
      </c>
      <c r="P692" s="133">
        <v>208.62</v>
      </c>
      <c r="Q692" s="137"/>
      <c r="R692" s="135"/>
    </row>
    <row r="693" spans="1:18" x14ac:dyDescent="0.25">
      <c r="A693" s="127">
        <v>45363</v>
      </c>
      <c r="B693" s="128" t="s">
        <v>53</v>
      </c>
      <c r="C693" s="129" t="str">
        <f t="shared" si="21"/>
        <v>12.03.2024_NATohBo</v>
      </c>
      <c r="D693" s="143">
        <f t="shared" si="22"/>
        <v>0</v>
      </c>
      <c r="E693" s="130">
        <v>1.5769180405924731E-5</v>
      </c>
      <c r="F693" s="131">
        <v>1.3101735809644701E-3</v>
      </c>
      <c r="G693" s="131">
        <v>2.757704740684459E-2</v>
      </c>
      <c r="H693" s="131">
        <v>2.7447845899086546E-3</v>
      </c>
      <c r="I693" s="131">
        <v>2.8288395830878092E-5</v>
      </c>
      <c r="J693" s="131">
        <v>4.170842742821498E-3</v>
      </c>
      <c r="K693" s="132">
        <v>271.34440383065203</v>
      </c>
      <c r="L693" s="133">
        <v>73.076034758026694</v>
      </c>
      <c r="M693" s="133">
        <v>116.805521517695</v>
      </c>
      <c r="N693" s="133">
        <v>13.242092759099</v>
      </c>
      <c r="O693" s="131">
        <v>3.963528943901849E-4</v>
      </c>
      <c r="P693" s="133">
        <v>256.93199999999996</v>
      </c>
      <c r="Q693" s="137"/>
      <c r="R693" s="135"/>
    </row>
    <row r="694" spans="1:18" x14ac:dyDescent="0.25">
      <c r="A694" s="127">
        <v>45363</v>
      </c>
      <c r="B694" s="128" t="s">
        <v>55</v>
      </c>
      <c r="C694" s="129" t="str">
        <f t="shared" si="21"/>
        <v>12.03.2024_QUAohBo</v>
      </c>
      <c r="D694" s="143">
        <f t="shared" si="22"/>
        <v>0</v>
      </c>
      <c r="E694" s="130">
        <v>1.1564063084812889E-5</v>
      </c>
      <c r="F694" s="131">
        <v>1.0773526173872322E-3</v>
      </c>
      <c r="G694" s="131">
        <v>1.475998465253954E-2</v>
      </c>
      <c r="H694" s="131">
        <v>1.4011544999803745E-3</v>
      </c>
      <c r="I694" s="131">
        <v>8.2348829003305088E-6</v>
      </c>
      <c r="J694" s="131">
        <v>5.3672932501601994E-3</v>
      </c>
      <c r="K694" s="132">
        <v>189.84163147198601</v>
      </c>
      <c r="L694" s="133">
        <v>12.6339385627446</v>
      </c>
      <c r="M694" s="133">
        <v>39.7242291735012</v>
      </c>
      <c r="N694" s="133">
        <v>5.1774702639800898</v>
      </c>
      <c r="O694" s="131">
        <v>3.8030263704822537E-4</v>
      </c>
      <c r="P694" s="133">
        <v>217.16</v>
      </c>
      <c r="Q694" s="137"/>
      <c r="R694" s="135"/>
    </row>
    <row r="695" spans="1:18" x14ac:dyDescent="0.25">
      <c r="A695" s="127">
        <v>45363</v>
      </c>
      <c r="B695" s="128" t="s">
        <v>57</v>
      </c>
      <c r="C695" s="129" t="str">
        <f t="shared" si="21"/>
        <v>12.03.2024_SCHohVo</v>
      </c>
      <c r="D695" s="143">
        <f t="shared" si="22"/>
        <v>0</v>
      </c>
      <c r="E695" s="130">
        <v>1.1458988035307413E-4</v>
      </c>
      <c r="F695" s="131">
        <v>2.0858206030659869E-3</v>
      </c>
      <c r="G695" s="131">
        <v>0.31646729404122176</v>
      </c>
      <c r="H695" s="131">
        <v>6.0435359720584277E-3</v>
      </c>
      <c r="I695" s="131">
        <v>2.2062014549893464E-4</v>
      </c>
      <c r="J695" s="131">
        <v>3.7362339011315651E-2</v>
      </c>
      <c r="K695" s="132">
        <v>94.8219221444363</v>
      </c>
      <c r="L695" s="133">
        <v>7.2980480500937599</v>
      </c>
      <c r="M695" s="133">
        <v>13.559388601781899</v>
      </c>
      <c r="N695" s="133">
        <v>2.6767937469230798</v>
      </c>
      <c r="O695" s="131">
        <v>2.2617437605179486E-3</v>
      </c>
      <c r="P695" s="133">
        <v>0</v>
      </c>
      <c r="Q695" s="137"/>
      <c r="R695" s="135"/>
    </row>
    <row r="696" spans="1:18" x14ac:dyDescent="0.25">
      <c r="A696" s="127">
        <v>45363</v>
      </c>
      <c r="B696" s="128" t="s">
        <v>60</v>
      </c>
      <c r="C696" s="129" t="str">
        <f t="shared" si="21"/>
        <v>12.03.2024_VORohBo</v>
      </c>
      <c r="D696" s="143">
        <f t="shared" si="22"/>
        <v>0</v>
      </c>
      <c r="E696" s="130">
        <v>2.5756341595705585E-5</v>
      </c>
      <c r="F696" s="131">
        <v>1.0880055238291705E-3</v>
      </c>
      <c r="G696" s="131">
        <v>3.9932610584535962E-2</v>
      </c>
      <c r="H696" s="131">
        <v>3.8687313985944645E-3</v>
      </c>
      <c r="I696" s="131">
        <v>2.0873005850707124E-5</v>
      </c>
      <c r="J696" s="131">
        <v>8.0195557629616672E-3</v>
      </c>
      <c r="K696" s="132">
        <v>205.37372135374699</v>
      </c>
      <c r="L696" s="133">
        <v>19.6042820738</v>
      </c>
      <c r="M696" s="133">
        <v>25.0199444690288</v>
      </c>
      <c r="N696" s="133">
        <v>5.2480654990633697</v>
      </c>
      <c r="O696" s="131">
        <v>1.1741672985080289E-3</v>
      </c>
      <c r="P696" s="133">
        <v>244.24399999999997</v>
      </c>
      <c r="Q696" s="137"/>
      <c r="R696" s="135"/>
    </row>
    <row r="697" spans="1:18" x14ac:dyDescent="0.25">
      <c r="A697" s="127">
        <v>45363</v>
      </c>
      <c r="B697" s="128" t="s">
        <v>62</v>
      </c>
      <c r="C697" s="129" t="str">
        <f t="shared" si="21"/>
        <v>12.03.2024_VORuhSc</v>
      </c>
      <c r="D697" s="143">
        <f t="shared" si="22"/>
        <v>0</v>
      </c>
      <c r="E697" s="130">
        <v>3.8371710263900336E-5</v>
      </c>
      <c r="F697" s="131">
        <v>1.3839738893027167E-3</v>
      </c>
      <c r="G697" s="131">
        <v>8.0815369705899129E-2</v>
      </c>
      <c r="H697" s="131">
        <v>4.5422700553887198E-3</v>
      </c>
      <c r="I697" s="131">
        <v>3.1466469842496127E-5</v>
      </c>
      <c r="J697" s="131">
        <v>1.3713092743600464E-2</v>
      </c>
      <c r="K697" s="132">
        <v>185.63061131181101</v>
      </c>
      <c r="L697" s="133">
        <v>15.056287894120301</v>
      </c>
      <c r="M697" s="133">
        <v>21.024571621386801</v>
      </c>
      <c r="N697" s="133">
        <v>3.7554596344725399</v>
      </c>
      <c r="O697" s="131">
        <v>1.4422946657720167E-3</v>
      </c>
      <c r="P697" s="133">
        <v>223.99200000000002</v>
      </c>
      <c r="Q697" s="137"/>
      <c r="R697" s="135"/>
    </row>
    <row r="698" spans="1:18" x14ac:dyDescent="0.25">
      <c r="A698" s="127">
        <v>45363</v>
      </c>
      <c r="B698" s="128" t="s">
        <v>64</v>
      </c>
      <c r="C698" s="129" t="str">
        <f t="shared" si="21"/>
        <v>12.03.2024_WITob</v>
      </c>
      <c r="D698" s="143">
        <f t="shared" si="22"/>
        <v>0</v>
      </c>
      <c r="E698" s="130">
        <v>7.8845876273284556E-6</v>
      </c>
      <c r="F698" s="131">
        <v>6.2201452981191304E-4</v>
      </c>
      <c r="G698" s="131">
        <v>1.986165383606556E-2</v>
      </c>
      <c r="H698" s="131">
        <v>2.2633942598557196E-3</v>
      </c>
      <c r="I698" s="131">
        <v>1.2158932445127641E-5</v>
      </c>
      <c r="J698" s="131">
        <v>3.6310774364880249E-3</v>
      </c>
      <c r="K698" s="132">
        <v>353.70766036646199</v>
      </c>
      <c r="L698" s="133">
        <v>55.393329561412401</v>
      </c>
      <c r="M698" s="133">
        <v>76.196941051031502</v>
      </c>
      <c r="N698" s="133">
        <v>7.2658511268455799</v>
      </c>
      <c r="O698" s="131">
        <v>2.7972567368440539E-4</v>
      </c>
      <c r="P698" s="133">
        <v>324.76400000000001</v>
      </c>
      <c r="Q698" s="137"/>
      <c r="R698" s="135"/>
    </row>
    <row r="699" spans="1:18" x14ac:dyDescent="0.25">
      <c r="A699" s="127">
        <v>45390</v>
      </c>
      <c r="B699" s="128" t="s">
        <v>22</v>
      </c>
      <c r="C699" s="129" t="str">
        <f t="shared" si="21"/>
        <v>08.04.2024_BOYkl</v>
      </c>
      <c r="D699" s="143">
        <f t="shared" si="22"/>
        <v>0</v>
      </c>
      <c r="E699" s="130">
        <v>6.3519950701427142E-5</v>
      </c>
      <c r="F699" s="131">
        <v>1.6312203900611067E-3</v>
      </c>
      <c r="G699" s="131">
        <v>5.860354733894989E-3</v>
      </c>
      <c r="H699" s="131">
        <v>4.2287476481882727E-3</v>
      </c>
      <c r="I699" s="131">
        <v>2.5255764075174426E-5</v>
      </c>
      <c r="J699" s="131">
        <v>2.2766550080347008E-3</v>
      </c>
      <c r="K699" s="132">
        <v>58.214093378098603</v>
      </c>
      <c r="L699" s="133">
        <v>5.5884413362563903</v>
      </c>
      <c r="M699" s="133">
        <v>13.708602816055</v>
      </c>
      <c r="N699" s="133">
        <v>6.86420745140245</v>
      </c>
      <c r="O699" s="131">
        <v>8.4026916676064581E-4</v>
      </c>
      <c r="P699" s="133">
        <v>100.77199999999999</v>
      </c>
      <c r="Q699" s="137"/>
      <c r="R699" s="135"/>
    </row>
    <row r="700" spans="1:18" x14ac:dyDescent="0.25">
      <c r="A700" s="127">
        <v>45390</v>
      </c>
      <c r="B700" s="128" t="s">
        <v>25</v>
      </c>
      <c r="C700" s="129" t="str">
        <f t="shared" si="21"/>
        <v>08.04.2024_BOYohB224</v>
      </c>
      <c r="D700" s="143">
        <f t="shared" si="22"/>
        <v>0</v>
      </c>
      <c r="E700" s="130">
        <v>1.9055954014487566E-5</v>
      </c>
      <c r="F700" s="131">
        <v>1.470741296558964E-3</v>
      </c>
      <c r="G700" s="131">
        <v>1.1156174209097054E-2</v>
      </c>
      <c r="H700" s="131">
        <v>3.331818901267197E-3</v>
      </c>
      <c r="I700" s="131">
        <v>2.2181632101207124E-5</v>
      </c>
      <c r="J700" s="131">
        <v>1.9359178372203838E-3</v>
      </c>
      <c r="K700" s="132">
        <v>155.255435653738</v>
      </c>
      <c r="L700" s="133">
        <v>25.3821659753091</v>
      </c>
      <c r="M700" s="133">
        <v>39.540468743991198</v>
      </c>
      <c r="N700" s="133">
        <v>7.7675330926575397</v>
      </c>
      <c r="O700" s="131">
        <v>5.4823353233591783E-4</v>
      </c>
      <c r="P700" s="133">
        <v>165.43200000000002</v>
      </c>
      <c r="Q700" s="137"/>
      <c r="R700" s="135"/>
    </row>
    <row r="701" spans="1:18" x14ac:dyDescent="0.25">
      <c r="A701" s="127">
        <v>45390</v>
      </c>
      <c r="B701" s="128" t="s">
        <v>28</v>
      </c>
      <c r="C701" s="129" t="str">
        <f t="shared" si="21"/>
        <v>08.04.2024_BOYohBr</v>
      </c>
      <c r="D701" s="143">
        <f t="shared" si="22"/>
        <v>0</v>
      </c>
      <c r="E701" s="130">
        <v>3.5571136032689103E-5</v>
      </c>
      <c r="F701" s="131">
        <v>3.2816470055158885E-3</v>
      </c>
      <c r="G701" s="131">
        <v>8.4519640981679696E-3</v>
      </c>
      <c r="H701" s="131">
        <v>4.0349569332856659E-3</v>
      </c>
      <c r="I701" s="131">
        <v>1.5581340914963748E-5</v>
      </c>
      <c r="J701" s="131">
        <v>1.9152672582895831E-3</v>
      </c>
      <c r="K701" s="132">
        <v>93.337419643177896</v>
      </c>
      <c r="L701" s="133">
        <v>9.4654968140236608</v>
      </c>
      <c r="M701" s="133">
        <v>14.7710780560137</v>
      </c>
      <c r="N701" s="133">
        <v>6.5237929085040696</v>
      </c>
      <c r="O701" s="131">
        <v>3.6091832085427886E-4</v>
      </c>
      <c r="P701" s="133">
        <v>138.34799999999998</v>
      </c>
      <c r="Q701" s="137"/>
      <c r="R701" s="135"/>
    </row>
    <row r="702" spans="1:18" x14ac:dyDescent="0.25">
      <c r="A702" s="127">
        <v>45390</v>
      </c>
      <c r="B702" s="128" t="s">
        <v>30</v>
      </c>
      <c r="C702" s="129" t="str">
        <f t="shared" si="21"/>
        <v>08.04.2024_BOYohKi</v>
      </c>
      <c r="D702" s="143">
        <f t="shared" si="22"/>
        <v>0</v>
      </c>
      <c r="E702" s="130">
        <v>3.2606872624941428E-5</v>
      </c>
      <c r="F702" s="131">
        <v>1.768981311194844E-3</v>
      </c>
      <c r="G702" s="131">
        <v>9.3425444326226299E-3</v>
      </c>
      <c r="H702" s="131">
        <v>3.6413598062947179E-3</v>
      </c>
      <c r="I702" s="131">
        <v>2.0644564742979375E-5</v>
      </c>
      <c r="J702" s="131">
        <v>3.0175161437979458E-3</v>
      </c>
      <c r="K702" s="132">
        <v>135.49539162323001</v>
      </c>
      <c r="L702" s="133">
        <v>12.546983182310299</v>
      </c>
      <c r="M702" s="133">
        <v>31.7096492114296</v>
      </c>
      <c r="N702" s="133">
        <v>6.2407087379334296</v>
      </c>
      <c r="O702" s="131">
        <v>7.1270738471997043E-4</v>
      </c>
      <c r="P702" s="133">
        <v>187.636</v>
      </c>
      <c r="Q702" s="137"/>
      <c r="R702" s="135"/>
    </row>
    <row r="703" spans="1:18" x14ac:dyDescent="0.25">
      <c r="A703" s="127">
        <v>45390</v>
      </c>
      <c r="B703" s="128" t="s">
        <v>32</v>
      </c>
      <c r="C703" s="129" t="str">
        <f t="shared" si="21"/>
        <v>08.04.2024_BOYohSp</v>
      </c>
      <c r="D703" s="143">
        <f t="shared" si="22"/>
        <v>0</v>
      </c>
      <c r="E703" s="130">
        <v>3.5147669244374776E-5</v>
      </c>
      <c r="F703" s="131">
        <v>1.9697982629245932E-3</v>
      </c>
      <c r="G703" s="131">
        <v>8.7563258909534158E-3</v>
      </c>
      <c r="H703" s="131">
        <v>2.9095493197272802E-3</v>
      </c>
      <c r="I703" s="131">
        <v>1.8173225838431716E-5</v>
      </c>
      <c r="J703" s="131">
        <v>2.9336203005385633E-3</v>
      </c>
      <c r="K703" s="132">
        <v>114.26238449142799</v>
      </c>
      <c r="L703" s="133">
        <v>9.3444079275484793</v>
      </c>
      <c r="M703" s="133">
        <v>22.171506009432299</v>
      </c>
      <c r="N703" s="133">
        <v>6.4380337059711703</v>
      </c>
      <c r="O703" s="131">
        <v>3.4652928747615057E-4</v>
      </c>
      <c r="P703" s="133">
        <v>175.92400000000001</v>
      </c>
      <c r="Q703" s="137"/>
      <c r="R703" s="135"/>
    </row>
    <row r="704" spans="1:18" x14ac:dyDescent="0.25">
      <c r="A704" s="127">
        <v>45390</v>
      </c>
      <c r="B704" s="128" t="s">
        <v>34</v>
      </c>
      <c r="C704" s="129" t="str">
        <f t="shared" si="21"/>
        <v>08.04.2024_BOYuhHa</v>
      </c>
      <c r="D704" s="143">
        <f t="shared" si="22"/>
        <v>0</v>
      </c>
      <c r="E704" s="130">
        <v>2.0326352126586944E-5</v>
      </c>
      <c r="F704" s="131">
        <v>1.3295684427694408E-3</v>
      </c>
      <c r="G704" s="131">
        <v>8.1762208535654367E-3</v>
      </c>
      <c r="H704" s="131">
        <v>2.8351135820329017E-3</v>
      </c>
      <c r="I704" s="131">
        <v>1.3773044098268723E-5</v>
      </c>
      <c r="J704" s="131">
        <v>1.6790775580667171E-3</v>
      </c>
      <c r="K704" s="132">
        <v>164.531355086834</v>
      </c>
      <c r="L704" s="133">
        <v>26.200772045782099</v>
      </c>
      <c r="M704" s="133">
        <v>41.225777168237897</v>
      </c>
      <c r="N704" s="133">
        <v>7.0793801061812802</v>
      </c>
      <c r="O704" s="131">
        <v>4.2176436380227832E-4</v>
      </c>
      <c r="P704" s="133">
        <v>113.21600000000001</v>
      </c>
      <c r="Q704" s="137"/>
      <c r="R704" s="135"/>
    </row>
    <row r="705" spans="1:18" x14ac:dyDescent="0.25">
      <c r="A705" s="127">
        <v>45390</v>
      </c>
      <c r="B705" s="128" t="s">
        <v>36</v>
      </c>
      <c r="C705" s="129" t="str">
        <f t="shared" si="21"/>
        <v>08.04.2024_BOYuhSp</v>
      </c>
      <c r="D705" s="143">
        <f t="shared" si="22"/>
        <v>0</v>
      </c>
      <c r="E705" s="130">
        <v>3.3030338978496281E-5</v>
      </c>
      <c r="F705" s="131">
        <v>1.9850247611799404E-3</v>
      </c>
      <c r="G705" s="131">
        <v>1.076468849505423E-2</v>
      </c>
      <c r="H705" s="131">
        <v>3.6503929402389133E-3</v>
      </c>
      <c r="I705" s="131">
        <v>2.7365443129718246E-5</v>
      </c>
      <c r="J705" s="131">
        <v>1.8920354816999E-3</v>
      </c>
      <c r="K705" s="132">
        <v>114.83035215258199</v>
      </c>
      <c r="L705" s="133">
        <v>10.721186415093401</v>
      </c>
      <c r="M705" s="133">
        <v>36.414654236275197</v>
      </c>
      <c r="N705" s="133">
        <v>6.3759128767643896</v>
      </c>
      <c r="O705" s="131">
        <v>8.3837729173951564E-4</v>
      </c>
      <c r="P705" s="133">
        <v>172.26399999999998</v>
      </c>
      <c r="Q705" s="137"/>
      <c r="R705" s="135"/>
    </row>
    <row r="706" spans="1:18" x14ac:dyDescent="0.25">
      <c r="A706" s="127">
        <v>45390</v>
      </c>
      <c r="B706" s="128" t="s">
        <v>38</v>
      </c>
      <c r="C706" s="129" t="str">
        <f t="shared" si="21"/>
        <v>08.04.2024_BRAob</v>
      </c>
      <c r="D706" s="143">
        <f t="shared" si="22"/>
        <v>0</v>
      </c>
      <c r="E706" s="130">
        <v>2.9642607122444242E-5</v>
      </c>
      <c r="F706" s="131">
        <v>8.4770488124151023E-4</v>
      </c>
      <c r="G706" s="131">
        <v>1.1873425327472259E-2</v>
      </c>
      <c r="H706" s="131">
        <v>1.9592204542772883E-3</v>
      </c>
      <c r="I706" s="131">
        <v>1.7299213275543068E-5</v>
      </c>
      <c r="J706" s="131">
        <v>2.221155976364666E-3</v>
      </c>
      <c r="K706" s="132">
        <v>147.09420099791299</v>
      </c>
      <c r="L706" s="133">
        <v>6.0971934046019802</v>
      </c>
      <c r="M706" s="133">
        <v>19.443540005221699</v>
      </c>
      <c r="N706" s="133">
        <v>5.0392982564877098</v>
      </c>
      <c r="O706" s="131">
        <v>5.321158015712317E-4</v>
      </c>
      <c r="P706" s="133">
        <v>199.10399999999998</v>
      </c>
      <c r="Q706" s="137"/>
      <c r="R706" s="135"/>
    </row>
    <row r="707" spans="1:18" x14ac:dyDescent="0.25">
      <c r="A707" s="127">
        <v>45390</v>
      </c>
      <c r="B707" s="128" t="s">
        <v>41</v>
      </c>
      <c r="C707" s="129" t="str">
        <f t="shared" ref="C707:C770" si="23">CONCATENATE(TEXT(A707,"TT.MM.JJJJ"),"_",B707)</f>
        <v>08.04.2024_BRAohBo</v>
      </c>
      <c r="D707" s="143">
        <f t="shared" si="22"/>
        <v>0</v>
      </c>
      <c r="E707" s="130">
        <v>3.2606873454935786E-5</v>
      </c>
      <c r="F707" s="131">
        <v>1.2843370993697275E-3</v>
      </c>
      <c r="G707" s="131">
        <v>1.0045071037700892E-2</v>
      </c>
      <c r="H707" s="131">
        <v>2.3310690974109971E-3</v>
      </c>
      <c r="I707" s="131">
        <v>1.6907417228467615E-5</v>
      </c>
      <c r="J707" s="131">
        <v>2.205667781504429E-3</v>
      </c>
      <c r="K707" s="132">
        <v>114.47439691837999</v>
      </c>
      <c r="L707" s="133">
        <v>7.9564265988116203</v>
      </c>
      <c r="M707" s="133">
        <v>22.417651289117099</v>
      </c>
      <c r="N707" s="133">
        <v>6.2892264062719603</v>
      </c>
      <c r="O707" s="131">
        <v>5.6418699361658793E-4</v>
      </c>
      <c r="P707" s="133">
        <v>178.12</v>
      </c>
      <c r="Q707" s="137"/>
      <c r="R707" s="135"/>
    </row>
    <row r="708" spans="1:18" x14ac:dyDescent="0.25">
      <c r="A708" s="127">
        <v>45390</v>
      </c>
      <c r="B708" s="128" t="s">
        <v>43</v>
      </c>
      <c r="C708" s="129" t="str">
        <f t="shared" si="23"/>
        <v>08.04.2024_HAAob</v>
      </c>
      <c r="D708" s="143">
        <f t="shared" si="22"/>
        <v>0</v>
      </c>
      <c r="E708" s="130">
        <v>1.6938627147630627E-5</v>
      </c>
      <c r="F708" s="131">
        <v>5.2784612826125676E-4</v>
      </c>
      <c r="G708" s="131">
        <v>4.0828343775378417E-3</v>
      </c>
      <c r="H708" s="131">
        <v>8.4958080416914724E-4</v>
      </c>
      <c r="I708" s="131">
        <v>1.256751821295262E-5</v>
      </c>
      <c r="J708" s="131">
        <v>1.6390674105250071E-3</v>
      </c>
      <c r="K708" s="132">
        <v>130.732966678157</v>
      </c>
      <c r="L708" s="133">
        <v>19.7598636630429</v>
      </c>
      <c r="M708" s="133">
        <v>23.3091148359035</v>
      </c>
      <c r="N708" s="133">
        <v>5.7166194101506198</v>
      </c>
      <c r="O708" s="131">
        <v>1.1435039766225023E-4</v>
      </c>
      <c r="P708" s="133">
        <v>176.65600000000001</v>
      </c>
      <c r="Q708" s="137"/>
      <c r="R708" s="135"/>
    </row>
    <row r="709" spans="1:18" x14ac:dyDescent="0.25">
      <c r="A709" s="127">
        <v>45390</v>
      </c>
      <c r="B709" s="128" t="s">
        <v>45</v>
      </c>
      <c r="C709" s="129" t="str">
        <f t="shared" si="23"/>
        <v>08.04.2024_HAAun</v>
      </c>
      <c r="D709" s="143">
        <f t="shared" ref="D709:D772" si="24">COUNTBLANK(E709:P709)</f>
        <v>0</v>
      </c>
      <c r="E709" s="130">
        <v>2.1596749882974605E-5</v>
      </c>
      <c r="F709" s="131">
        <v>5.1113111307433642E-4</v>
      </c>
      <c r="G709" s="131">
        <v>5.7258602093349618E-3</v>
      </c>
      <c r="H709" s="131">
        <v>1.2643005065358572E-3</v>
      </c>
      <c r="I709" s="131">
        <v>1.3079873260556021E-5</v>
      </c>
      <c r="J709" s="131">
        <v>1.0337614790355289E-3</v>
      </c>
      <c r="K709" s="132">
        <v>180.81738022187099</v>
      </c>
      <c r="L709" s="133">
        <v>31.595091059708398</v>
      </c>
      <c r="M709" s="133">
        <v>27.855958469107499</v>
      </c>
      <c r="N709" s="133">
        <v>7.3527456309535904</v>
      </c>
      <c r="O709" s="131">
        <v>2.5304518095402718E-4</v>
      </c>
      <c r="P709" s="133">
        <v>236.43600000000001</v>
      </c>
      <c r="Q709" s="137"/>
      <c r="R709" s="135"/>
    </row>
    <row r="710" spans="1:18" x14ac:dyDescent="0.25">
      <c r="A710" s="127">
        <v>45390</v>
      </c>
      <c r="B710" s="128" t="s">
        <v>47</v>
      </c>
      <c r="C710" s="129" t="str">
        <f t="shared" si="23"/>
        <v>08.04.2024_KIRob</v>
      </c>
      <c r="D710" s="143">
        <f t="shared" si="24"/>
        <v>0</v>
      </c>
      <c r="E710" s="130">
        <v>2.1596752768191403E-5</v>
      </c>
      <c r="F710" s="131">
        <v>9.2336365375369426E-4</v>
      </c>
      <c r="G710" s="131">
        <v>5.6151005869897151E-3</v>
      </c>
      <c r="H710" s="131">
        <v>2.5584573060674384E-3</v>
      </c>
      <c r="I710" s="131">
        <v>1.7841702417604103E-5</v>
      </c>
      <c r="J710" s="131">
        <v>1.7423192721879516E-3</v>
      </c>
      <c r="K710" s="132">
        <v>128.364816966251</v>
      </c>
      <c r="L710" s="133">
        <v>12.2595921616716</v>
      </c>
      <c r="M710" s="133">
        <v>57.0313337394699</v>
      </c>
      <c r="N710" s="133">
        <v>6.2010704615741696</v>
      </c>
      <c r="O710" s="131">
        <v>4.8656003234947637E-4</v>
      </c>
      <c r="P710" s="133">
        <v>178.852</v>
      </c>
      <c r="Q710" s="137"/>
      <c r="R710" s="135"/>
    </row>
    <row r="711" spans="1:18" x14ac:dyDescent="0.25">
      <c r="A711" s="127">
        <v>45390</v>
      </c>
      <c r="B711" s="128" t="s">
        <v>49</v>
      </c>
      <c r="C711" s="129" t="str">
        <f t="shared" si="23"/>
        <v>08.04.2024_KIRun</v>
      </c>
      <c r="D711" s="143">
        <f t="shared" si="24"/>
        <v>0</v>
      </c>
      <c r="E711" s="130">
        <v>3.4724202851296383E-5</v>
      </c>
      <c r="F711" s="131">
        <v>8.140556731377098E-4</v>
      </c>
      <c r="G711" s="131">
        <v>3.2370703431046713E-3</v>
      </c>
      <c r="H711" s="131">
        <v>1.7753584373273266E-3</v>
      </c>
      <c r="I711" s="131">
        <v>2.7033927578165021E-5</v>
      </c>
      <c r="J711" s="131">
        <v>1.0737704948345856E-3</v>
      </c>
      <c r="K711" s="132">
        <v>120.545468783525</v>
      </c>
      <c r="L711" s="133">
        <v>10.9876269838669</v>
      </c>
      <c r="M711" s="133">
        <v>43.844747316563897</v>
      </c>
      <c r="N711" s="133">
        <v>5.7345496244302501</v>
      </c>
      <c r="O711" s="131">
        <v>3.1479180084283647E-4</v>
      </c>
      <c r="P711" s="133">
        <v>200.32399999999998</v>
      </c>
      <c r="Q711" s="137"/>
      <c r="R711" s="135"/>
    </row>
    <row r="712" spans="1:18" x14ac:dyDescent="0.25">
      <c r="A712" s="127">
        <v>45390</v>
      </c>
      <c r="B712" s="128" t="s">
        <v>50</v>
      </c>
      <c r="C712" s="129" t="str">
        <f t="shared" si="23"/>
        <v>08.04.2024_LIEohBo</v>
      </c>
      <c r="D712" s="143">
        <f t="shared" si="24"/>
        <v>0</v>
      </c>
      <c r="E712" s="130">
        <v>2.3290614269581648E-5</v>
      </c>
      <c r="F712" s="131">
        <v>1.0571129660486408E-3</v>
      </c>
      <c r="G712" s="131">
        <v>2.6919194483563391E-3</v>
      </c>
      <c r="H712" s="131">
        <v>3.0121709365980172E-3</v>
      </c>
      <c r="I712" s="131">
        <v>1.6334791629158699E-5</v>
      </c>
      <c r="J712" s="131">
        <v>1.3977175726859123E-3</v>
      </c>
      <c r="K712" s="132">
        <v>133.49986314189201</v>
      </c>
      <c r="L712" s="133">
        <v>21.223639295046699</v>
      </c>
      <c r="M712" s="133">
        <v>29.697894380991301</v>
      </c>
      <c r="N712" s="133">
        <v>7.7966239316540804</v>
      </c>
      <c r="O712" s="131">
        <v>3.4842030252321292E-4</v>
      </c>
      <c r="P712" s="133">
        <v>208.864</v>
      </c>
      <c r="Q712" s="137"/>
      <c r="R712" s="135"/>
    </row>
    <row r="713" spans="1:18" x14ac:dyDescent="0.25">
      <c r="A713" s="127">
        <v>45390</v>
      </c>
      <c r="B713" s="128" t="s">
        <v>53</v>
      </c>
      <c r="C713" s="129" t="str">
        <f t="shared" si="23"/>
        <v>08.04.2024_NATohBo</v>
      </c>
      <c r="D713" s="143">
        <f t="shared" si="24"/>
        <v>0</v>
      </c>
      <c r="E713" s="130">
        <v>2.8372210591287629E-5</v>
      </c>
      <c r="F713" s="131">
        <v>1.252930321086288E-3</v>
      </c>
      <c r="G713" s="131">
        <v>5.731338056819307E-3</v>
      </c>
      <c r="H713" s="131">
        <v>3.1052178096534744E-3</v>
      </c>
      <c r="I713" s="131">
        <v>1.2718214134942682E-5</v>
      </c>
      <c r="J713" s="131">
        <v>2.1488780025293109E-3</v>
      </c>
      <c r="K713" s="132">
        <v>245.917364501793</v>
      </c>
      <c r="L713" s="133">
        <v>59.681936733462898</v>
      </c>
      <c r="M713" s="133">
        <v>100.55621345765201</v>
      </c>
      <c r="N713" s="133">
        <v>13.0064831199323</v>
      </c>
      <c r="O713" s="131">
        <v>4.1313068091695509E-4</v>
      </c>
      <c r="P713" s="133">
        <v>280.11199999999997</v>
      </c>
      <c r="Q713" s="137"/>
      <c r="R713" s="135"/>
    </row>
    <row r="714" spans="1:18" x14ac:dyDescent="0.25">
      <c r="A714" s="127">
        <v>45390</v>
      </c>
      <c r="B714" s="128" t="s">
        <v>55</v>
      </c>
      <c r="C714" s="129" t="str">
        <f t="shared" si="23"/>
        <v>08.04.2024_QUAohBo</v>
      </c>
      <c r="D714" s="143">
        <f t="shared" si="24"/>
        <v>0</v>
      </c>
      <c r="E714" s="130">
        <v>2.2020216473670538E-5</v>
      </c>
      <c r="F714" s="131">
        <v>8.832832637894959E-4</v>
      </c>
      <c r="G714" s="131">
        <v>5.8640064618106441E-3</v>
      </c>
      <c r="H714" s="131">
        <v>1.585210634418955E-3</v>
      </c>
      <c r="I714" s="131">
        <v>1.6214240821207954E-5</v>
      </c>
      <c r="J714" s="131">
        <v>1.6377768198258893E-3</v>
      </c>
      <c r="K714" s="132">
        <v>142.782804594585</v>
      </c>
      <c r="L714" s="133">
        <v>8.2277122690942495</v>
      </c>
      <c r="M714" s="133">
        <v>29.705327520024099</v>
      </c>
      <c r="N714" s="133">
        <v>5.0494671356355001</v>
      </c>
      <c r="O714" s="131">
        <v>3.3460699877302646E-4</v>
      </c>
      <c r="P714" s="133">
        <v>218.624</v>
      </c>
      <c r="Q714" s="137"/>
      <c r="R714" s="135"/>
    </row>
    <row r="715" spans="1:18" x14ac:dyDescent="0.25">
      <c r="A715" s="127">
        <v>45390</v>
      </c>
      <c r="B715" s="128" t="s">
        <v>57</v>
      </c>
      <c r="C715" s="129" t="str">
        <f t="shared" si="23"/>
        <v>08.04.2024_SCHohVo</v>
      </c>
      <c r="D715" s="143">
        <f t="shared" si="24"/>
        <v>0</v>
      </c>
      <c r="E715" s="130">
        <v>3.5571135874594733E-5</v>
      </c>
      <c r="F715" s="131">
        <v>1.6772107247064816E-3</v>
      </c>
      <c r="G715" s="131">
        <v>8.2546908562663515E-2</v>
      </c>
      <c r="H715" s="131">
        <v>5.7005050975205956E-3</v>
      </c>
      <c r="I715" s="131">
        <v>6.2417263365695215E-5</v>
      </c>
      <c r="J715" s="131">
        <v>3.6473948797303857E-3</v>
      </c>
      <c r="K715" s="132">
        <v>82.958046611080206</v>
      </c>
      <c r="L715" s="133">
        <v>5.83258953720697</v>
      </c>
      <c r="M715" s="133">
        <v>12.9595447894336</v>
      </c>
      <c r="N715" s="133">
        <v>2.5378904947938201</v>
      </c>
      <c r="O715" s="131">
        <v>1.7162047508515075E-3</v>
      </c>
      <c r="P715" s="133">
        <v>140.29999999999998</v>
      </c>
      <c r="Q715" s="137"/>
      <c r="R715" s="135"/>
    </row>
    <row r="716" spans="1:18" x14ac:dyDescent="0.25">
      <c r="A716" s="127">
        <v>45390</v>
      </c>
      <c r="B716" s="128" t="s">
        <v>60</v>
      </c>
      <c r="C716" s="129" t="str">
        <f t="shared" si="23"/>
        <v>08.04.2024_VORohBo</v>
      </c>
      <c r="D716" s="143">
        <f t="shared" si="24"/>
        <v>0</v>
      </c>
      <c r="E716" s="130">
        <v>2.3290615692429181E-5</v>
      </c>
      <c r="F716" s="131">
        <v>7.3079248328917741E-4</v>
      </c>
      <c r="G716" s="131">
        <v>1.0846273780980175E-2</v>
      </c>
      <c r="H716" s="131">
        <v>2.800361469311939E-3</v>
      </c>
      <c r="I716" s="131">
        <v>1.7962264357696546E-5</v>
      </c>
      <c r="J716" s="131">
        <v>1.1189423932213998E-3</v>
      </c>
      <c r="K716" s="132">
        <v>162.664969245425</v>
      </c>
      <c r="L716" s="133">
        <v>16.524466075418498</v>
      </c>
      <c r="M716" s="133">
        <v>23.0951687726219</v>
      </c>
      <c r="N716" s="133">
        <v>6.0997747383615897</v>
      </c>
      <c r="O716" s="131">
        <v>8.3541641015820076E-4</v>
      </c>
      <c r="P716" s="133">
        <v>213.256</v>
      </c>
      <c r="Q716" s="137"/>
      <c r="R716" s="135"/>
    </row>
    <row r="717" spans="1:18" x14ac:dyDescent="0.25">
      <c r="A717" s="127">
        <v>45390</v>
      </c>
      <c r="B717" s="128" t="s">
        <v>62</v>
      </c>
      <c r="C717" s="129" t="str">
        <f t="shared" si="23"/>
        <v>08.04.2024_VORuhSc</v>
      </c>
      <c r="D717" s="143">
        <f t="shared" si="24"/>
        <v>0</v>
      </c>
      <c r="E717" s="130">
        <v>3.8958868244453617E-5</v>
      </c>
      <c r="F717" s="131">
        <v>1.0528260655994224E-3</v>
      </c>
      <c r="G717" s="131">
        <v>2.2682531900418964E-2</v>
      </c>
      <c r="H717" s="131">
        <v>4.3333108579214031E-3</v>
      </c>
      <c r="I717" s="131">
        <v>2.2000795101650331E-5</v>
      </c>
      <c r="J717" s="131">
        <v>4.8710566661379542E-3</v>
      </c>
      <c r="K717" s="132">
        <v>155.25349278159001</v>
      </c>
      <c r="L717" s="133">
        <v>11.8683797649861</v>
      </c>
      <c r="M717" s="133">
        <v>18.685833386189099</v>
      </c>
      <c r="N717" s="133">
        <v>4.5250448018551301</v>
      </c>
      <c r="O717" s="131">
        <v>1.1856659933796021E-3</v>
      </c>
      <c r="P717" s="133">
        <v>240.828</v>
      </c>
      <c r="Q717" s="137"/>
      <c r="R717" s="135"/>
    </row>
    <row r="718" spans="1:18" x14ac:dyDescent="0.25">
      <c r="A718" s="127">
        <v>45390</v>
      </c>
      <c r="B718" s="128" t="s">
        <v>64</v>
      </c>
      <c r="C718" s="129" t="str">
        <f t="shared" si="23"/>
        <v>08.04.2024_WITob</v>
      </c>
      <c r="D718" s="143">
        <f t="shared" si="24"/>
        <v>0</v>
      </c>
      <c r="E718" s="130">
        <v>1.9055954409722735E-5</v>
      </c>
      <c r="F718" s="131">
        <v>5.2613168714787202E-4</v>
      </c>
      <c r="G718" s="131">
        <v>2.4144863543502978E-3</v>
      </c>
      <c r="H718" s="131">
        <v>2.1357007260106729E-3</v>
      </c>
      <c r="I718" s="131">
        <v>1.359222479207662E-5</v>
      </c>
      <c r="J718" s="131">
        <v>1.1602420077502405E-3</v>
      </c>
      <c r="K718" s="132">
        <v>251.911463764921</v>
      </c>
      <c r="L718" s="133">
        <v>40.4503013208749</v>
      </c>
      <c r="M718" s="133">
        <v>59.5168103412433</v>
      </c>
      <c r="N718" s="133">
        <v>6.0560321752438</v>
      </c>
      <c r="O718" s="131">
        <v>2.6332236836668272E-4</v>
      </c>
      <c r="P718" s="133">
        <v>281.57599999999996</v>
      </c>
      <c r="Q718" s="137"/>
      <c r="R718" s="135"/>
    </row>
    <row r="719" spans="1:18" x14ac:dyDescent="0.25">
      <c r="A719" s="127">
        <v>45418</v>
      </c>
      <c r="B719" s="128" t="s">
        <v>22</v>
      </c>
      <c r="C719" s="129" t="str">
        <f t="shared" si="23"/>
        <v>06.05.2024_BOYkl</v>
      </c>
      <c r="D719" s="143">
        <f t="shared" si="24"/>
        <v>0</v>
      </c>
      <c r="E719" s="130">
        <v>6.9027759155988969E-5</v>
      </c>
      <c r="F719" s="131">
        <v>1.9531865767900007E-3</v>
      </c>
      <c r="G719" s="131">
        <v>5.2626665480111313E-3</v>
      </c>
      <c r="H719" s="131">
        <v>6.2079892894493366E-2</v>
      </c>
      <c r="I719" s="131">
        <v>1.4825883215032573E-5</v>
      </c>
      <c r="J719" s="131">
        <v>3.4932509985618511E-3</v>
      </c>
      <c r="K719" s="132">
        <v>65.466529187102495</v>
      </c>
      <c r="L719" s="133">
        <v>7.19353692291019</v>
      </c>
      <c r="M719" s="133">
        <v>16.666868974776801</v>
      </c>
      <c r="N719" s="133">
        <v>8.6165682605988803</v>
      </c>
      <c r="O719" s="131">
        <v>1.9142268212758446E-3</v>
      </c>
      <c r="P719" s="133">
        <v>107.848</v>
      </c>
      <c r="Q719" s="137"/>
      <c r="R719" s="135"/>
    </row>
    <row r="720" spans="1:18" x14ac:dyDescent="0.25">
      <c r="A720" s="127">
        <v>45418</v>
      </c>
      <c r="B720" s="128" t="s">
        <v>25</v>
      </c>
      <c r="C720" s="129" t="str">
        <f t="shared" si="23"/>
        <v>06.05.2024_BOYohB224</v>
      </c>
      <c r="D720" s="143">
        <f t="shared" si="24"/>
        <v>0</v>
      </c>
      <c r="E720" s="130">
        <v>1.6717635612435476E-5</v>
      </c>
      <c r="F720" s="131">
        <v>2.2071134939989374E-3</v>
      </c>
      <c r="G720" s="131">
        <v>9.9119306957356403E-3</v>
      </c>
      <c r="H720" s="131">
        <v>0.12641541763694403</v>
      </c>
      <c r="I720" s="131">
        <v>8.9871135745955703E-6</v>
      </c>
      <c r="J720" s="131">
        <v>9.7193932407050731E-4</v>
      </c>
      <c r="K720" s="132">
        <v>125.578954374814</v>
      </c>
      <c r="L720" s="133">
        <v>18.407757362802801</v>
      </c>
      <c r="M720" s="133">
        <v>35.028514726227797</v>
      </c>
      <c r="N720" s="133">
        <v>7.1253007466626803</v>
      </c>
      <c r="O720" s="131">
        <v>2.8529124572472617E-3</v>
      </c>
      <c r="P720" s="133">
        <v>182.512</v>
      </c>
      <c r="Q720" s="137"/>
      <c r="R720" s="135"/>
    </row>
    <row r="721" spans="1:18" x14ac:dyDescent="0.25">
      <c r="A721" s="127">
        <v>45418</v>
      </c>
      <c r="B721" s="128" t="s">
        <v>28</v>
      </c>
      <c r="C721" s="129" t="str">
        <f t="shared" si="23"/>
        <v>06.05.2024_BOYohBr</v>
      </c>
      <c r="D721" s="143">
        <f t="shared" si="24"/>
        <v>0</v>
      </c>
      <c r="E721" s="130">
        <v>3.8288801908486354E-5</v>
      </c>
      <c r="F721" s="131">
        <v>3.4780489327630869E-3</v>
      </c>
      <c r="G721" s="131">
        <v>1.1235687050819509E-2</v>
      </c>
      <c r="H721" s="131">
        <v>9.0318835730282862E-2</v>
      </c>
      <c r="I721" s="131">
        <v>1.3307946618608069E-5</v>
      </c>
      <c r="J721" s="131">
        <v>4.4908171652895809E-3</v>
      </c>
      <c r="K721" s="132">
        <v>92.942040976720406</v>
      </c>
      <c r="L721" s="133">
        <v>8.4126569756840404</v>
      </c>
      <c r="M721" s="133">
        <v>14.249293802935799</v>
      </c>
      <c r="N721" s="133">
        <v>6.40399567600487</v>
      </c>
      <c r="O721" s="131">
        <v>2.1465689504194464E-3</v>
      </c>
      <c r="P721" s="133">
        <v>153.476</v>
      </c>
      <c r="Q721" s="137"/>
      <c r="R721" s="135"/>
    </row>
    <row r="722" spans="1:18" x14ac:dyDescent="0.25">
      <c r="A722" s="127">
        <v>45418</v>
      </c>
      <c r="B722" s="128" t="s">
        <v>30</v>
      </c>
      <c r="C722" s="129" t="str">
        <f t="shared" si="23"/>
        <v>06.05.2024_BOYohKi</v>
      </c>
      <c r="D722" s="143">
        <f t="shared" si="24"/>
        <v>0</v>
      </c>
      <c r="E722" s="130">
        <v>3.8828083951216145E-5</v>
      </c>
      <c r="F722" s="131">
        <v>2.6373664023816136E-3</v>
      </c>
      <c r="G722" s="131">
        <v>1.2559443687157688E-2</v>
      </c>
      <c r="H722" s="131">
        <v>0.12471696784682423</v>
      </c>
      <c r="I722" s="131">
        <v>1.7193019684114428E-5</v>
      </c>
      <c r="J722" s="131">
        <v>2.1083702130911303E-3</v>
      </c>
      <c r="K722" s="132">
        <v>121.12964811458799</v>
      </c>
      <c r="L722" s="133">
        <v>10.311660521571101</v>
      </c>
      <c r="M722" s="133">
        <v>29.748347226465398</v>
      </c>
      <c r="N722" s="133">
        <v>6.0610426705050902</v>
      </c>
      <c r="O722" s="131">
        <v>3.0404065088140819E-3</v>
      </c>
      <c r="P722" s="133">
        <v>188.124</v>
      </c>
      <c r="Q722" s="137"/>
      <c r="R722" s="135"/>
    </row>
    <row r="723" spans="1:18" x14ac:dyDescent="0.25">
      <c r="A723" s="127">
        <v>45418</v>
      </c>
      <c r="B723" s="128" t="s">
        <v>32</v>
      </c>
      <c r="C723" s="129" t="str">
        <f t="shared" si="23"/>
        <v>06.05.2024_BOYohSp</v>
      </c>
      <c r="D723" s="143">
        <f t="shared" si="24"/>
        <v>0</v>
      </c>
      <c r="E723" s="130">
        <v>2.3188982325253955E-5</v>
      </c>
      <c r="F723" s="131">
        <v>2.4790025156787286E-3</v>
      </c>
      <c r="G723" s="131">
        <v>8.2007394757854773E-3</v>
      </c>
      <c r="H723" s="131">
        <v>0.10217100739832934</v>
      </c>
      <c r="I723" s="131">
        <v>1.7358354191788131E-5</v>
      </c>
      <c r="J723" s="131">
        <v>2.5992798483605926E-3</v>
      </c>
      <c r="K723" s="132">
        <v>104.73897986946299</v>
      </c>
      <c r="L723" s="133">
        <v>7.9061745523542397</v>
      </c>
      <c r="M723" s="133">
        <v>21.173781325984599</v>
      </c>
      <c r="N723" s="133">
        <v>6.5061172791252604</v>
      </c>
      <c r="O723" s="131">
        <v>2.4418725216307918E-3</v>
      </c>
      <c r="P723" s="133">
        <v>179.584</v>
      </c>
      <c r="Q723" s="137"/>
      <c r="R723" s="135"/>
    </row>
    <row r="724" spans="1:18" x14ac:dyDescent="0.25">
      <c r="A724" s="127">
        <v>45418</v>
      </c>
      <c r="B724" s="128" t="s">
        <v>34</v>
      </c>
      <c r="C724" s="129" t="str">
        <f t="shared" si="23"/>
        <v>06.05.2024_BOYuhHa</v>
      </c>
      <c r="D724" s="143">
        <f t="shared" si="24"/>
        <v>0</v>
      </c>
      <c r="E724" s="130">
        <v>2.049258746311224E-5</v>
      </c>
      <c r="F724" s="131">
        <v>2.4552757855019016E-3</v>
      </c>
      <c r="G724" s="131">
        <v>1.0686811027783969E-2</v>
      </c>
      <c r="H724" s="131">
        <v>0.14670579295786954</v>
      </c>
      <c r="I724" s="131">
        <v>1.1684808865474227E-5</v>
      </c>
      <c r="J724" s="131">
        <v>2.0874587813409801E-3</v>
      </c>
      <c r="K724" s="132">
        <v>143.76271243636401</v>
      </c>
      <c r="L724" s="133">
        <v>19.948046369991999</v>
      </c>
      <c r="M724" s="133">
        <v>39.880388391538503</v>
      </c>
      <c r="N724" s="133">
        <v>7.3708472641643601</v>
      </c>
      <c r="O724" s="131">
        <v>3.2065958373271152E-3</v>
      </c>
      <c r="P724" s="133">
        <v>227.16400000000002</v>
      </c>
      <c r="Q724" s="137"/>
      <c r="R724" s="135"/>
    </row>
    <row r="725" spans="1:18" x14ac:dyDescent="0.25">
      <c r="A725" s="127">
        <v>45418</v>
      </c>
      <c r="B725" s="128" t="s">
        <v>36</v>
      </c>
      <c r="C725" s="129" t="str">
        <f t="shared" si="23"/>
        <v>06.05.2024_BOYuhSp</v>
      </c>
      <c r="D725" s="143">
        <f t="shared" si="24"/>
        <v>0</v>
      </c>
      <c r="E725" s="130">
        <v>2.5346101335597392E-5</v>
      </c>
      <c r="F725" s="131">
        <v>2.7351721372526369E-3</v>
      </c>
      <c r="G725" s="131">
        <v>1.8693969650451094E-2</v>
      </c>
      <c r="H725" s="131">
        <v>0.11306616221621513</v>
      </c>
      <c r="I725" s="131">
        <v>2.6691767100925935E-5</v>
      </c>
      <c r="J725" s="131">
        <v>3.527046709359459E-3</v>
      </c>
      <c r="K725" s="132">
        <v>114.261128555459</v>
      </c>
      <c r="L725" s="133">
        <v>9.4660894044459507</v>
      </c>
      <c r="M725" s="133">
        <v>34.407304841771897</v>
      </c>
      <c r="N725" s="133">
        <v>6.4868405661025603</v>
      </c>
      <c r="O725" s="131">
        <v>3.0444719037186294E-3</v>
      </c>
      <c r="P725" s="133">
        <v>182.512</v>
      </c>
      <c r="Q725" s="137"/>
      <c r="R725" s="135"/>
    </row>
    <row r="726" spans="1:18" x14ac:dyDescent="0.25">
      <c r="A726" s="127">
        <v>45418</v>
      </c>
      <c r="B726" s="128" t="s">
        <v>38</v>
      </c>
      <c r="C726" s="129" t="str">
        <f t="shared" si="23"/>
        <v>06.05.2024_BRAob</v>
      </c>
      <c r="D726" s="143">
        <f t="shared" si="24"/>
        <v>0</v>
      </c>
      <c r="E726" s="130">
        <v>1.6717635159441145E-5</v>
      </c>
      <c r="F726" s="131">
        <v>2.1466050487461332E-3</v>
      </c>
      <c r="G726" s="131">
        <v>1.1397120836081151E-2</v>
      </c>
      <c r="H726" s="131">
        <v>0.15677334926306535</v>
      </c>
      <c r="I726" s="131">
        <v>7.3038805747097794E-6</v>
      </c>
      <c r="J726" s="131">
        <v>1.9539925760819737E-3</v>
      </c>
      <c r="K726" s="132">
        <v>152.648784437844</v>
      </c>
      <c r="L726" s="133">
        <v>6.4852489730392104</v>
      </c>
      <c r="M726" s="133">
        <v>21.107780860665098</v>
      </c>
      <c r="N726" s="133">
        <v>5.0216249689870001</v>
      </c>
      <c r="O726" s="131">
        <v>3.5728827833475503E-3</v>
      </c>
      <c r="P726" s="133">
        <v>207.4</v>
      </c>
      <c r="Q726" s="137"/>
      <c r="R726" s="135"/>
    </row>
    <row r="727" spans="1:18" x14ac:dyDescent="0.25">
      <c r="A727" s="127">
        <v>45418</v>
      </c>
      <c r="B727" s="128" t="s">
        <v>41</v>
      </c>
      <c r="C727" s="129" t="str">
        <f t="shared" si="23"/>
        <v>06.05.2024_BRAohBo</v>
      </c>
      <c r="D727" s="143">
        <f t="shared" si="24"/>
        <v>0</v>
      </c>
      <c r="E727" s="130">
        <v>2.264970415814953E-5</v>
      </c>
      <c r="F727" s="131">
        <v>2.0332551581170675E-3</v>
      </c>
      <c r="G727" s="131">
        <v>1.0945104804953665E-2</v>
      </c>
      <c r="H727" s="131">
        <v>0.11993619266406984</v>
      </c>
      <c r="I727" s="131">
        <v>1.1774976333685125E-5</v>
      </c>
      <c r="J727" s="131">
        <v>1.3846242544806391E-3</v>
      </c>
      <c r="K727" s="132">
        <v>120.542063837635</v>
      </c>
      <c r="L727" s="133">
        <v>8.0858493583887903</v>
      </c>
      <c r="M727" s="133">
        <v>23.539095649158298</v>
      </c>
      <c r="N727" s="133">
        <v>6.6457392244334201</v>
      </c>
      <c r="O727" s="131">
        <v>2.9820685432942738E-3</v>
      </c>
      <c r="P727" s="133">
        <v>190.56399999999999</v>
      </c>
      <c r="Q727" s="137"/>
      <c r="R727" s="135"/>
    </row>
    <row r="728" spans="1:18" x14ac:dyDescent="0.25">
      <c r="A728" s="127">
        <v>45418</v>
      </c>
      <c r="B728" s="128" t="s">
        <v>43</v>
      </c>
      <c r="C728" s="129" t="str">
        <f t="shared" si="23"/>
        <v>06.05.2024_HAAob</v>
      </c>
      <c r="D728" s="143">
        <f t="shared" si="24"/>
        <v>0</v>
      </c>
      <c r="E728" s="130">
        <v>1.4021241605950126E-5</v>
      </c>
      <c r="F728" s="131">
        <v>1.5206293677209725E-3</v>
      </c>
      <c r="G728" s="131">
        <v>6.0698282671734155E-3</v>
      </c>
      <c r="H728" s="131">
        <v>0.11740431504769985</v>
      </c>
      <c r="I728" s="131">
        <v>9.4680349234708313E-6</v>
      </c>
      <c r="J728" s="131">
        <v>1.5947919013708908E-3</v>
      </c>
      <c r="K728" s="132">
        <v>116.991654525733</v>
      </c>
      <c r="L728" s="133">
        <v>14.8273006081199</v>
      </c>
      <c r="M728" s="133">
        <v>21.660247599027102</v>
      </c>
      <c r="N728" s="133">
        <v>5.2483419968992298</v>
      </c>
      <c r="O728" s="131">
        <v>2.388216943988177E-3</v>
      </c>
      <c r="P728" s="133">
        <v>177.38800000000001</v>
      </c>
      <c r="Q728" s="137"/>
      <c r="R728" s="135"/>
    </row>
    <row r="729" spans="1:18" x14ac:dyDescent="0.25">
      <c r="A729" s="127">
        <v>45418</v>
      </c>
      <c r="B729" s="128" t="s">
        <v>45</v>
      </c>
      <c r="C729" s="129" t="str">
        <f t="shared" si="23"/>
        <v>06.05.2024_HAAun</v>
      </c>
      <c r="D729" s="143">
        <f t="shared" si="24"/>
        <v>0</v>
      </c>
      <c r="E729" s="130">
        <v>1.6178357747327035E-5</v>
      </c>
      <c r="F729" s="131">
        <v>2.3510763514796237E-3</v>
      </c>
      <c r="G729" s="131">
        <v>6.3926932310689509E-3</v>
      </c>
      <c r="H729" s="131">
        <v>0.17104163166436262</v>
      </c>
      <c r="I729" s="131">
        <v>7.9426021706560643E-6</v>
      </c>
      <c r="J729" s="131">
        <v>2.5392788510794576E-3</v>
      </c>
      <c r="K729" s="132">
        <v>162.60746440067601</v>
      </c>
      <c r="L729" s="133">
        <v>25.895792547001001</v>
      </c>
      <c r="M729" s="133">
        <v>28.747421818085702</v>
      </c>
      <c r="N729" s="133">
        <v>7.6198477196101004</v>
      </c>
      <c r="O729" s="131">
        <v>3.8699392663643487E-3</v>
      </c>
      <c r="P729" s="133">
        <v>241.804</v>
      </c>
      <c r="Q729" s="137"/>
      <c r="R729" s="135"/>
    </row>
    <row r="730" spans="1:18" x14ac:dyDescent="0.25">
      <c r="A730" s="127">
        <v>45418</v>
      </c>
      <c r="B730" s="128" t="s">
        <v>47</v>
      </c>
      <c r="C730" s="129" t="str">
        <f t="shared" si="23"/>
        <v>06.05.2024_KIRob</v>
      </c>
      <c r="D730" s="143">
        <f t="shared" si="24"/>
        <v>0</v>
      </c>
      <c r="E730" s="130">
        <v>5.7702879142217173E-5</v>
      </c>
      <c r="F730" s="131">
        <v>2.4132921894343402E-3</v>
      </c>
      <c r="G730" s="131">
        <v>4.0357842424940818E-3</v>
      </c>
      <c r="H730" s="131">
        <v>0.16025416026962908</v>
      </c>
      <c r="I730" s="131">
        <v>1.8605774779109232E-5</v>
      </c>
      <c r="J730" s="131">
        <v>2.254478808916095E-3</v>
      </c>
      <c r="K730" s="132">
        <v>149.69540248714799</v>
      </c>
      <c r="L730" s="133">
        <v>16.3549431114524</v>
      </c>
      <c r="M730" s="133">
        <v>73.651322932517004</v>
      </c>
      <c r="N730" s="133">
        <v>7.0556755289187896</v>
      </c>
      <c r="O730" s="131">
        <v>3.5967997930308037E-3</v>
      </c>
      <c r="P730" s="133">
        <v>201.54399999999998</v>
      </c>
      <c r="Q730" s="137"/>
      <c r="R730" s="135"/>
    </row>
    <row r="731" spans="1:18" x14ac:dyDescent="0.25">
      <c r="A731" s="127">
        <v>45418</v>
      </c>
      <c r="B731" s="128" t="s">
        <v>49</v>
      </c>
      <c r="C731" s="129" t="str">
        <f t="shared" si="23"/>
        <v>06.05.2024_KIRun</v>
      </c>
      <c r="D731" s="143">
        <f t="shared" si="24"/>
        <v>0</v>
      </c>
      <c r="E731" s="130">
        <v>1.4237006824605262E-4</v>
      </c>
      <c r="F731" s="131">
        <v>2.5196583913771049E-3</v>
      </c>
      <c r="G731" s="131">
        <v>4.0357835243001695E-3</v>
      </c>
      <c r="H731" s="131">
        <v>0.15539189323970318</v>
      </c>
      <c r="I731" s="131">
        <v>5.8271675670922016E-5</v>
      </c>
      <c r="J731" s="131">
        <v>1.9858405801243357E-3</v>
      </c>
      <c r="K731" s="132">
        <v>160.24639924050399</v>
      </c>
      <c r="L731" s="133">
        <v>16.458134971409301</v>
      </c>
      <c r="M731" s="133">
        <v>57.483575280680597</v>
      </c>
      <c r="N731" s="133">
        <v>6.4440388030282296</v>
      </c>
      <c r="O731" s="131">
        <v>3.3987159059252316E-3</v>
      </c>
      <c r="P731" s="133">
        <v>219.84399999999999</v>
      </c>
      <c r="Q731" s="137"/>
      <c r="R731" s="135"/>
    </row>
    <row r="732" spans="1:18" x14ac:dyDescent="0.25">
      <c r="A732" s="127">
        <v>45418</v>
      </c>
      <c r="B732" s="128" t="s">
        <v>50</v>
      </c>
      <c r="C732" s="129" t="str">
        <f t="shared" si="23"/>
        <v>06.05.2024_LIEohBo</v>
      </c>
      <c r="D732" s="143">
        <f t="shared" si="24"/>
        <v>0</v>
      </c>
      <c r="E732" s="130">
        <v>1.0785569281361561E-5</v>
      </c>
      <c r="F732" s="131">
        <v>1.7146102546967375E-3</v>
      </c>
      <c r="G732" s="131">
        <v>3.3577697986317684E-3</v>
      </c>
      <c r="H732" s="131">
        <v>0.11679367294841948</v>
      </c>
      <c r="I732" s="131">
        <v>1.0707915690384758E-5</v>
      </c>
      <c r="J732" s="131">
        <v>1.1867856876078412E-3</v>
      </c>
      <c r="K732" s="132">
        <v>116.13472523441</v>
      </c>
      <c r="L732" s="133">
        <v>15.5089543767247</v>
      </c>
      <c r="M732" s="133">
        <v>26.5751267302957</v>
      </c>
      <c r="N732" s="133">
        <v>7.1055816441337196</v>
      </c>
      <c r="O732" s="131">
        <v>2.498957629933349E-3</v>
      </c>
      <c r="P732" s="133">
        <v>222.52800000000002</v>
      </c>
      <c r="Q732" s="137"/>
      <c r="R732" s="135"/>
    </row>
    <row r="733" spans="1:18" x14ac:dyDescent="0.25">
      <c r="A733" s="127">
        <v>45418</v>
      </c>
      <c r="B733" s="128" t="s">
        <v>53</v>
      </c>
      <c r="C733" s="129" t="str">
        <f t="shared" si="23"/>
        <v>06.05.2024_NATohBo</v>
      </c>
      <c r="D733" s="143">
        <f t="shared" si="24"/>
        <v>0</v>
      </c>
      <c r="E733" s="130">
        <v>1.5639077969575207E-5</v>
      </c>
      <c r="F733" s="131">
        <v>2.9341343162764349E-3</v>
      </c>
      <c r="G733" s="131">
        <v>5.9729686167872146E-3</v>
      </c>
      <c r="H733" s="131">
        <v>0.20069574185393951</v>
      </c>
      <c r="I733" s="131">
        <v>1.074549828488619E-5</v>
      </c>
      <c r="J733" s="131">
        <v>2.8518602130042144E-3</v>
      </c>
      <c r="K733" s="132">
        <v>198.49927403599301</v>
      </c>
      <c r="L733" s="133">
        <v>41.401232341159599</v>
      </c>
      <c r="M733" s="133">
        <v>82.156155254728603</v>
      </c>
      <c r="N733" s="133">
        <v>11.5148728222998</v>
      </c>
      <c r="O733" s="131">
        <v>4.2752605442453132E-3</v>
      </c>
      <c r="P733" s="133">
        <v>282.55199999999996</v>
      </c>
      <c r="Q733" s="137"/>
      <c r="R733" s="135"/>
    </row>
    <row r="734" spans="1:18" x14ac:dyDescent="0.25">
      <c r="A734" s="127">
        <v>45418</v>
      </c>
      <c r="B734" s="128" t="s">
        <v>55</v>
      </c>
      <c r="C734" s="129" t="str">
        <f t="shared" si="23"/>
        <v>06.05.2024_QUAohBo</v>
      </c>
      <c r="D734" s="143">
        <f t="shared" si="24"/>
        <v>0</v>
      </c>
      <c r="E734" s="130">
        <v>2.211042714869733E-5</v>
      </c>
      <c r="F734" s="131">
        <v>2.0557086614611639E-3</v>
      </c>
      <c r="G734" s="131">
        <v>7.39357528561375E-3</v>
      </c>
      <c r="H734" s="131">
        <v>0.13843677391315917</v>
      </c>
      <c r="I734" s="131">
        <v>1.4277324789845481E-5</v>
      </c>
      <c r="J734" s="131">
        <v>1.5172058202970295E-3</v>
      </c>
      <c r="K734" s="132">
        <v>134.26811603353201</v>
      </c>
      <c r="L734" s="133">
        <v>7.3833668605984304</v>
      </c>
      <c r="M734" s="133">
        <v>30.205459386891501</v>
      </c>
      <c r="N734" s="133">
        <v>5.0824010777620003</v>
      </c>
      <c r="O734" s="131">
        <v>3.0370212316364296E-3</v>
      </c>
      <c r="P734" s="133">
        <v>223.99200000000002</v>
      </c>
      <c r="Q734" s="137"/>
      <c r="R734" s="135"/>
    </row>
    <row r="735" spans="1:18" x14ac:dyDescent="0.25">
      <c r="A735" s="127">
        <v>45418</v>
      </c>
      <c r="B735" s="128" t="s">
        <v>57</v>
      </c>
      <c r="C735" s="129" t="str">
        <f t="shared" si="23"/>
        <v>06.05.2024_SCHohVo</v>
      </c>
      <c r="D735" s="143">
        <f t="shared" si="24"/>
        <v>0</v>
      </c>
      <c r="E735" s="130">
        <v>7.3342006538605544E-5</v>
      </c>
      <c r="F735" s="131">
        <v>2.4737882240260774E-3</v>
      </c>
      <c r="G735" s="131">
        <v>0.17333625217755</v>
      </c>
      <c r="H735" s="131">
        <v>8.8601081044845972E-2</v>
      </c>
      <c r="I735" s="131">
        <v>9.5335544905140982E-5</v>
      </c>
      <c r="J735" s="131">
        <v>1.1909914512061031E-2</v>
      </c>
      <c r="K735" s="132">
        <v>85.669598432327902</v>
      </c>
      <c r="L735" s="133">
        <v>6.8847263584166702</v>
      </c>
      <c r="M735" s="133">
        <v>13.914968507594599</v>
      </c>
      <c r="N735" s="133">
        <v>2.6549111194680202</v>
      </c>
      <c r="O735" s="131">
        <v>3.8336031795913003E-3</v>
      </c>
      <c r="P735" s="133">
        <v>126.39200000000001</v>
      </c>
      <c r="Q735" s="137"/>
      <c r="R735" s="135"/>
    </row>
    <row r="736" spans="1:18" x14ac:dyDescent="0.25">
      <c r="A736" s="127">
        <v>45418</v>
      </c>
      <c r="B736" s="128" t="s">
        <v>60</v>
      </c>
      <c r="C736" s="129" t="str">
        <f t="shared" si="23"/>
        <v>06.05.2024_VORohBo</v>
      </c>
      <c r="D736" s="143">
        <f t="shared" si="24"/>
        <v>0</v>
      </c>
      <c r="E736" s="130">
        <v>5.8781435728083509E-5</v>
      </c>
      <c r="F736" s="131">
        <v>3.0557988811028146E-3</v>
      </c>
      <c r="G736" s="131">
        <v>1.7434772483377724E-2</v>
      </c>
      <c r="H736" s="131">
        <v>0.19171657880578954</v>
      </c>
      <c r="I736" s="131">
        <v>3.1366145438092577E-5</v>
      </c>
      <c r="J736" s="131">
        <v>4.2639968474849918E-3</v>
      </c>
      <c r="K736" s="132">
        <v>181.00597354896399</v>
      </c>
      <c r="L736" s="133">
        <v>16.551443471271501</v>
      </c>
      <c r="M736" s="133">
        <v>24.0524292626089</v>
      </c>
      <c r="N736" s="133">
        <v>6.10086075407638</v>
      </c>
      <c r="O736" s="131">
        <v>4.770981854722584E-3</v>
      </c>
      <c r="P736" s="133">
        <v>259.37200000000001</v>
      </c>
      <c r="Q736" s="137"/>
      <c r="R736" s="135"/>
    </row>
    <row r="737" spans="1:18" x14ac:dyDescent="0.25">
      <c r="A737" s="127">
        <v>45418</v>
      </c>
      <c r="B737" s="128" t="s">
        <v>62</v>
      </c>
      <c r="C737" s="129" t="str">
        <f t="shared" si="23"/>
        <v>06.05.2024_VORuhSc</v>
      </c>
      <c r="D737" s="143">
        <f t="shared" si="24"/>
        <v>0</v>
      </c>
      <c r="E737" s="130">
        <v>5.8242154138346335E-5</v>
      </c>
      <c r="F737" s="131">
        <v>2.8212313867326949E-3</v>
      </c>
      <c r="G737" s="131">
        <v>3.8034261675237359E-2</v>
      </c>
      <c r="H737" s="131">
        <v>0.17781454521051063</v>
      </c>
      <c r="I737" s="131">
        <v>2.2092628925168016E-5</v>
      </c>
      <c r="J737" s="131">
        <v>7.4902327915187372E-3</v>
      </c>
      <c r="K737" s="132">
        <v>166.60745425789599</v>
      </c>
      <c r="L737" s="133">
        <v>13.864851635625399</v>
      </c>
      <c r="M737" s="133">
        <v>20.4637408523377</v>
      </c>
      <c r="N737" s="133">
        <v>4.7285535422181297</v>
      </c>
      <c r="O737" s="131">
        <v>4.7146829456702483E-3</v>
      </c>
      <c r="P737" s="133">
        <v>238.63200000000001</v>
      </c>
      <c r="Q737" s="137"/>
      <c r="R737" s="135"/>
    </row>
    <row r="738" spans="1:18" x14ac:dyDescent="0.25">
      <c r="A738" s="127">
        <v>45418</v>
      </c>
      <c r="B738" s="128" t="s">
        <v>64</v>
      </c>
      <c r="C738" s="129" t="str">
        <f t="shared" si="23"/>
        <v>06.05.2024_WITob</v>
      </c>
      <c r="D738" s="143">
        <f t="shared" si="24"/>
        <v>0</v>
      </c>
      <c r="E738" s="130">
        <v>1.3481962683854542E-5</v>
      </c>
      <c r="F738" s="131">
        <v>2.6841128774069702E-3</v>
      </c>
      <c r="G738" s="131">
        <v>3.6806336425410069E-3</v>
      </c>
      <c r="H738" s="131">
        <v>0.22636744570310882</v>
      </c>
      <c r="I738" s="131">
        <v>9.843763565553871E-6</v>
      </c>
      <c r="J738" s="131">
        <v>1.1582093511017123E-3</v>
      </c>
      <c r="K738" s="132">
        <v>220.78850227423999</v>
      </c>
      <c r="L738" s="133">
        <v>31.184222637562101</v>
      </c>
      <c r="M738" s="133">
        <v>55.525260527465299</v>
      </c>
      <c r="N738" s="133">
        <v>5.6558384091170302</v>
      </c>
      <c r="O738" s="131">
        <v>4.7899901184129089E-3</v>
      </c>
      <c r="P738" s="133">
        <v>329.88800000000003</v>
      </c>
      <c r="Q738" s="137"/>
      <c r="R738" s="135"/>
    </row>
    <row r="739" spans="1:18" x14ac:dyDescent="0.25">
      <c r="A739" s="127">
        <v>45451</v>
      </c>
      <c r="B739" s="128" t="s">
        <v>22</v>
      </c>
      <c r="C739" s="129" t="str">
        <f t="shared" si="23"/>
        <v>08.06.2024_BOYkl</v>
      </c>
      <c r="D739" s="143">
        <f t="shared" si="24"/>
        <v>0</v>
      </c>
      <c r="E739" s="130">
        <v>3.050862747703817E-5</v>
      </c>
      <c r="F739" s="131">
        <v>1.8645766532735255E-3</v>
      </c>
      <c r="G739" s="131">
        <v>4.5576659754342011E-3</v>
      </c>
      <c r="H739" s="131">
        <v>6.0920476440815004E-2</v>
      </c>
      <c r="I739" s="131">
        <v>1.3947169529884639E-5</v>
      </c>
      <c r="J739" s="131">
        <v>2.4935781533742488E-3</v>
      </c>
      <c r="K739" s="132">
        <v>37.803398047117398</v>
      </c>
      <c r="L739" s="133">
        <v>3.2449401097532502</v>
      </c>
      <c r="M739" s="133">
        <v>8.8106628889339405</v>
      </c>
      <c r="N739" s="133">
        <v>4.4856753760729502</v>
      </c>
      <c r="O739" s="131">
        <v>2.3423078562299538E-3</v>
      </c>
      <c r="P739" s="133">
        <v>70.759999999999991</v>
      </c>
      <c r="Q739" s="137"/>
      <c r="R739" s="135"/>
    </row>
    <row r="740" spans="1:18" x14ac:dyDescent="0.25">
      <c r="A740" s="127">
        <v>45451</v>
      </c>
      <c r="B740" s="128" t="s">
        <v>25</v>
      </c>
      <c r="C740" s="129" t="str">
        <f t="shared" si="23"/>
        <v>08.06.2024_BOYohB224</v>
      </c>
      <c r="D740" s="143">
        <f t="shared" si="24"/>
        <v>0</v>
      </c>
      <c r="E740" s="130">
        <v>8.5023983571419754E-6</v>
      </c>
      <c r="F740" s="131">
        <v>3.6836012558237015E-3</v>
      </c>
      <c r="G740" s="131">
        <v>1.0506362422769077E-2</v>
      </c>
      <c r="H740" s="131">
        <v>0.17278369816131686</v>
      </c>
      <c r="I740" s="131">
        <v>8.2361620558428394E-6</v>
      </c>
      <c r="J740" s="131">
        <v>1.8988870219287005E-3</v>
      </c>
      <c r="K740" s="132">
        <v>100.980378824997</v>
      </c>
      <c r="L740" s="133">
        <v>14.5732082694983</v>
      </c>
      <c r="M740" s="133">
        <v>25.2569454783937</v>
      </c>
      <c r="N740" s="133">
        <v>6.0108532311675296</v>
      </c>
      <c r="O740" s="131">
        <v>5.9888281689598772E-3</v>
      </c>
      <c r="P740" s="133">
        <v>179.828</v>
      </c>
      <c r="Q740" s="137"/>
      <c r="R740" s="135"/>
    </row>
    <row r="741" spans="1:18" x14ac:dyDescent="0.25">
      <c r="A741" s="127">
        <v>45451</v>
      </c>
      <c r="B741" s="128" t="s">
        <v>28</v>
      </c>
      <c r="C741" s="129" t="str">
        <f t="shared" si="23"/>
        <v>08.06.2024_BOYohBr</v>
      </c>
      <c r="D741" s="143">
        <f t="shared" si="24"/>
        <v>0</v>
      </c>
      <c r="E741" s="130">
        <v>1.5004235459351765E-5</v>
      </c>
      <c r="F741" s="131">
        <v>3.3801952295516627E-3</v>
      </c>
      <c r="G741" s="131">
        <v>7.1324671137543271E-3</v>
      </c>
      <c r="H741" s="131">
        <v>0.10743892871040538</v>
      </c>
      <c r="I741" s="131">
        <v>9.039060131025438E-6</v>
      </c>
      <c r="J741" s="131">
        <v>1.9670026184095564E-3</v>
      </c>
      <c r="K741" s="132">
        <v>66.903052872245496</v>
      </c>
      <c r="L741" s="133">
        <v>6.2491559502340204</v>
      </c>
      <c r="M741" s="133">
        <v>11.0103810824852</v>
      </c>
      <c r="N741" s="133">
        <v>5.1080530199469596</v>
      </c>
      <c r="O741" s="131">
        <v>3.4673560493644301E-3</v>
      </c>
      <c r="P741" s="133">
        <v>110.044</v>
      </c>
      <c r="Q741" s="137"/>
      <c r="R741" s="135"/>
    </row>
    <row r="742" spans="1:18" x14ac:dyDescent="0.25">
      <c r="A742" s="127">
        <v>45451</v>
      </c>
      <c r="B742" s="128" t="s">
        <v>30</v>
      </c>
      <c r="C742" s="129" t="str">
        <f t="shared" si="23"/>
        <v>08.06.2024_BOYohKi</v>
      </c>
      <c r="D742" s="143">
        <f t="shared" si="24"/>
        <v>0</v>
      </c>
      <c r="E742" s="130">
        <v>9.0025404913895625E-6</v>
      </c>
      <c r="F742" s="131">
        <v>3.5980475954487498E-3</v>
      </c>
      <c r="G742" s="131">
        <v>1.3554723354048327E-2</v>
      </c>
      <c r="H742" s="131">
        <v>0.14932682488333288</v>
      </c>
      <c r="I742" s="131">
        <v>1.0191622952562583E-5</v>
      </c>
      <c r="J742" s="131">
        <v>1.6549894463321775E-3</v>
      </c>
      <c r="K742" s="132">
        <v>90.594376717597598</v>
      </c>
      <c r="L742" s="133">
        <v>8.6815593448772592</v>
      </c>
      <c r="M742" s="133">
        <v>22.056918972659499</v>
      </c>
      <c r="N742" s="133">
        <v>5.6963298961090096</v>
      </c>
      <c r="O742" s="131">
        <v>5.2712867103194318E-3</v>
      </c>
      <c r="P742" s="133">
        <v>150.304</v>
      </c>
      <c r="Q742" s="137"/>
      <c r="R742" s="135"/>
    </row>
    <row r="743" spans="1:18" x14ac:dyDescent="0.25">
      <c r="A743" s="127">
        <v>45451</v>
      </c>
      <c r="B743" s="128" t="s">
        <v>32</v>
      </c>
      <c r="C743" s="129" t="str">
        <f t="shared" si="23"/>
        <v>08.06.2024_BOYohSp</v>
      </c>
      <c r="D743" s="143">
        <f t="shared" si="24"/>
        <v>0</v>
      </c>
      <c r="E743" s="130">
        <v>1.1003104640472688E-5</v>
      </c>
      <c r="F743" s="131">
        <v>3.5881770428233322E-3</v>
      </c>
      <c r="G743" s="131">
        <v>8.9081991719392808E-3</v>
      </c>
      <c r="H743" s="131">
        <v>0.13783052996228326</v>
      </c>
      <c r="I743" s="131">
        <v>1.0359967270981405E-5</v>
      </c>
      <c r="J743" s="131">
        <v>1.9919310268130003E-3</v>
      </c>
      <c r="K743" s="132">
        <v>87.192879998064598</v>
      </c>
      <c r="L743" s="133">
        <v>7.5059371717436596</v>
      </c>
      <c r="M743" s="133">
        <v>18.604769565482702</v>
      </c>
      <c r="N743" s="133">
        <v>6.3176217430145698</v>
      </c>
      <c r="O743" s="131">
        <v>4.5355529965680963E-3</v>
      </c>
      <c r="P743" s="133">
        <v>148.352</v>
      </c>
      <c r="Q743" s="137"/>
      <c r="R743" s="135"/>
    </row>
    <row r="744" spans="1:18" x14ac:dyDescent="0.25">
      <c r="A744" s="127">
        <v>45451</v>
      </c>
      <c r="B744" s="128" t="s">
        <v>34</v>
      </c>
      <c r="C744" s="129" t="str">
        <f t="shared" si="23"/>
        <v>08.06.2024_BOYuhHa</v>
      </c>
      <c r="D744" s="143">
        <f t="shared" si="24"/>
        <v>0</v>
      </c>
      <c r="E744" s="130">
        <v>1.0002822472571364E-5</v>
      </c>
      <c r="F744" s="131">
        <v>3.4724172713859669E-3</v>
      </c>
      <c r="G744" s="131">
        <v>7.6947815054286585E-3</v>
      </c>
      <c r="H744" s="131">
        <v>0.172693989923762</v>
      </c>
      <c r="I744" s="131">
        <v>8.54695504040379E-6</v>
      </c>
      <c r="J744" s="131">
        <v>4.3109086110446875E-3</v>
      </c>
      <c r="K744" s="132">
        <v>99.780238968584797</v>
      </c>
      <c r="L744" s="133">
        <v>10.489337491718</v>
      </c>
      <c r="M744" s="133">
        <v>18.4861137697409</v>
      </c>
      <c r="N744" s="133">
        <v>4.06696044965814</v>
      </c>
      <c r="O744" s="131">
        <v>5.6222635003285205E-3</v>
      </c>
      <c r="P744" s="133">
        <v>171.28799999999998</v>
      </c>
      <c r="Q744" s="137"/>
      <c r="R744" s="135"/>
    </row>
    <row r="745" spans="1:18" x14ac:dyDescent="0.25">
      <c r="A745" s="127">
        <v>45451</v>
      </c>
      <c r="B745" s="128" t="s">
        <v>36</v>
      </c>
      <c r="C745" s="129" t="str">
        <f t="shared" si="23"/>
        <v>08.06.2024_BOYuhSp</v>
      </c>
      <c r="D745" s="143">
        <f t="shared" si="24"/>
        <v>0</v>
      </c>
      <c r="E745" s="130">
        <v>1.1003105013911674E-5</v>
      </c>
      <c r="F745" s="131">
        <v>3.6112104620107102E-3</v>
      </c>
      <c r="G745" s="131">
        <v>1.1098275512011951E-2</v>
      </c>
      <c r="H745" s="131">
        <v>0.13714015719504755</v>
      </c>
      <c r="I745" s="131">
        <v>1.564364290959625E-5</v>
      </c>
      <c r="J745" s="131">
        <v>2.3731232975078929E-3</v>
      </c>
      <c r="K745" s="132">
        <v>86.887954956558104</v>
      </c>
      <c r="L745" s="133">
        <v>8.3715215201887592</v>
      </c>
      <c r="M745" s="133">
        <v>26.2936008587338</v>
      </c>
      <c r="N745" s="133">
        <v>6.1353036372570697</v>
      </c>
      <c r="O745" s="131">
        <v>5.1433283665970808E-3</v>
      </c>
      <c r="P745" s="133">
        <v>140.54399999999998</v>
      </c>
      <c r="Q745" s="137"/>
      <c r="R745" s="135"/>
    </row>
    <row r="746" spans="1:18" x14ac:dyDescent="0.25">
      <c r="A746" s="127">
        <v>45451</v>
      </c>
      <c r="B746" s="128" t="s">
        <v>38</v>
      </c>
      <c r="C746" s="129" t="str">
        <f t="shared" si="23"/>
        <v>08.06.2024_BRAob</v>
      </c>
      <c r="D746" s="143">
        <f t="shared" si="24"/>
        <v>0</v>
      </c>
      <c r="E746" s="130">
        <v>1.2003387181812878E-5</v>
      </c>
      <c r="F746" s="131">
        <v>3.2263649032671458E-3</v>
      </c>
      <c r="G746" s="131">
        <v>1.1009488451945477E-2</v>
      </c>
      <c r="H746" s="131">
        <v>0.18885125244455478</v>
      </c>
      <c r="I746" s="131">
        <v>7.0836099281710217E-6</v>
      </c>
      <c r="J746" s="131">
        <v>1.2733158263456979E-3</v>
      </c>
      <c r="K746" s="132">
        <v>120.04543050596899</v>
      </c>
      <c r="L746" s="133">
        <v>5.54956017389447</v>
      </c>
      <c r="M746" s="133">
        <v>18.835616367555001</v>
      </c>
      <c r="N746" s="133">
        <v>4.58149617427389</v>
      </c>
      <c r="O746" s="131">
        <v>6.4039966826054976E-3</v>
      </c>
      <c r="P746" s="133">
        <v>176.9</v>
      </c>
      <c r="Q746" s="137"/>
      <c r="R746" s="135"/>
    </row>
    <row r="747" spans="1:18" x14ac:dyDescent="0.25">
      <c r="A747" s="127">
        <v>45451</v>
      </c>
      <c r="B747" s="128" t="s">
        <v>41</v>
      </c>
      <c r="C747" s="129" t="str">
        <f t="shared" si="23"/>
        <v>08.06.2024_BRAohBo</v>
      </c>
      <c r="D747" s="143">
        <f t="shared" si="24"/>
        <v>0</v>
      </c>
      <c r="E747" s="130">
        <v>9.0025396978318618E-6</v>
      </c>
      <c r="F747" s="131">
        <v>3.0647739100597266E-3</v>
      </c>
      <c r="G747" s="131">
        <v>1.1098275613295946E-2</v>
      </c>
      <c r="H747" s="131">
        <v>0.14985387184099347</v>
      </c>
      <c r="I747" s="131">
        <v>7.4980042778885759E-6</v>
      </c>
      <c r="J747" s="131">
        <v>1.4522648587159341E-3</v>
      </c>
      <c r="K747" s="132">
        <v>98.814607825523495</v>
      </c>
      <c r="L747" s="133">
        <v>6.7863164731617003</v>
      </c>
      <c r="M747" s="133">
        <v>19.905838217077001</v>
      </c>
      <c r="N747" s="133">
        <v>5.7843579291161804</v>
      </c>
      <c r="O747" s="131">
        <v>5.1779690409266112E-3</v>
      </c>
      <c r="P747" s="133">
        <v>157.136</v>
      </c>
      <c r="Q747" s="137"/>
      <c r="R747" s="135"/>
    </row>
    <row r="748" spans="1:18" x14ac:dyDescent="0.25">
      <c r="A748" s="127">
        <v>45451</v>
      </c>
      <c r="B748" s="128" t="s">
        <v>43</v>
      </c>
      <c r="C748" s="129" t="str">
        <f t="shared" si="23"/>
        <v>08.06.2024_HAAob</v>
      </c>
      <c r="D748" s="143">
        <f t="shared" si="24"/>
        <v>0</v>
      </c>
      <c r="E748" s="130">
        <v>7.0019751753097484E-6</v>
      </c>
      <c r="F748" s="131">
        <v>2.4131661420658938E-3</v>
      </c>
      <c r="G748" s="131">
        <v>7.2508491331097751E-3</v>
      </c>
      <c r="H748" s="131">
        <v>0.12935569905975136</v>
      </c>
      <c r="I748" s="131">
        <v>1.3519814103764593E-5</v>
      </c>
      <c r="J748" s="131">
        <v>2.3942867271997174E-3</v>
      </c>
      <c r="K748" s="132">
        <v>76.776988835937701</v>
      </c>
      <c r="L748" s="133">
        <v>11.607886453938599</v>
      </c>
      <c r="M748" s="133">
        <v>17.6654919050318</v>
      </c>
      <c r="N748" s="133">
        <v>4.0094072537538796</v>
      </c>
      <c r="O748" s="131">
        <v>4.1055130431907607E-3</v>
      </c>
      <c r="P748" s="133">
        <v>111.99600000000001</v>
      </c>
      <c r="Q748" s="137"/>
      <c r="R748" s="135"/>
    </row>
    <row r="749" spans="1:18" x14ac:dyDescent="0.25">
      <c r="A749" s="127">
        <v>45451</v>
      </c>
      <c r="B749" s="128" t="s">
        <v>45</v>
      </c>
      <c r="C749" s="129" t="str">
        <f t="shared" si="23"/>
        <v>08.06.2024_HAAun</v>
      </c>
      <c r="D749" s="143">
        <f t="shared" si="24"/>
        <v>0</v>
      </c>
      <c r="E749" s="130">
        <v>8.502398403821829E-6</v>
      </c>
      <c r="F749" s="131">
        <v>3.7016505698191566E-3</v>
      </c>
      <c r="G749" s="131">
        <v>8.78981687175312E-3</v>
      </c>
      <c r="H749" s="131">
        <v>0.19442784725892623</v>
      </c>
      <c r="I749" s="131">
        <v>1.4918441086330201E-5</v>
      </c>
      <c r="J749" s="131">
        <v>1.9739597354478137E-3</v>
      </c>
      <c r="K749" s="132">
        <v>114.731035905788</v>
      </c>
      <c r="L749" s="133">
        <v>24.797762152377398</v>
      </c>
      <c r="M749" s="133">
        <v>27.104197138316799</v>
      </c>
      <c r="N749" s="133">
        <v>7.20660312211725</v>
      </c>
      <c r="O749" s="131">
        <v>6.2563816645164836E-3</v>
      </c>
      <c r="P749" s="133">
        <v>163.48000000000002</v>
      </c>
      <c r="Q749" s="137"/>
      <c r="R749" s="135"/>
    </row>
    <row r="750" spans="1:18" x14ac:dyDescent="0.25">
      <c r="A750" s="127">
        <v>45451</v>
      </c>
      <c r="B750" s="128" t="s">
        <v>47</v>
      </c>
      <c r="C750" s="129" t="str">
        <f t="shared" si="23"/>
        <v>08.06.2024_KIRob</v>
      </c>
      <c r="D750" s="143">
        <f t="shared" si="24"/>
        <v>0</v>
      </c>
      <c r="E750" s="130">
        <v>1.0002822659290922E-5</v>
      </c>
      <c r="F750" s="131">
        <v>3.4340317800928659E-3</v>
      </c>
      <c r="G750" s="131">
        <v>6.8069168712814286E-3</v>
      </c>
      <c r="H750" s="131">
        <v>0.19047067143689514</v>
      </c>
      <c r="I750" s="131">
        <v>9.2980608862713916E-6</v>
      </c>
      <c r="J750" s="131">
        <v>1.9864238219275301E-3</v>
      </c>
      <c r="K750" s="132">
        <v>124.778320529753</v>
      </c>
      <c r="L750" s="133">
        <v>11.4944308257112</v>
      </c>
      <c r="M750" s="133">
        <v>53.318741076060697</v>
      </c>
      <c r="N750" s="133">
        <v>5.6767175875684597</v>
      </c>
      <c r="O750" s="131">
        <v>6.3069040562472286E-3</v>
      </c>
      <c r="P750" s="133">
        <v>182.756</v>
      </c>
      <c r="Q750" s="137"/>
      <c r="R750" s="135"/>
    </row>
    <row r="751" spans="1:18" x14ac:dyDescent="0.25">
      <c r="A751" s="127">
        <v>45451</v>
      </c>
      <c r="B751" s="128" t="s">
        <v>49</v>
      </c>
      <c r="C751" s="129" t="str">
        <f t="shared" si="23"/>
        <v>08.06.2024_KIRun</v>
      </c>
      <c r="D751" s="143">
        <f t="shared" si="24"/>
        <v>0</v>
      </c>
      <c r="E751" s="130">
        <v>6.151745609179572E-5</v>
      </c>
      <c r="F751" s="131">
        <v>3.3114030003746509E-3</v>
      </c>
      <c r="G751" s="131">
        <v>5.3567411279428221E-3</v>
      </c>
      <c r="H751" s="131">
        <v>0.17301452874124806</v>
      </c>
      <c r="I751" s="131">
        <v>3.4616208103024567E-5</v>
      </c>
      <c r="J751" s="131">
        <v>1.4158934540314889E-3</v>
      </c>
      <c r="K751" s="132">
        <v>121.779008857458</v>
      </c>
      <c r="L751" s="133">
        <v>12.5970200622798</v>
      </c>
      <c r="M751" s="133">
        <v>50.193150547905603</v>
      </c>
      <c r="N751" s="133">
        <v>6.4233630293868904</v>
      </c>
      <c r="O751" s="131">
        <v>5.4959927493420215E-3</v>
      </c>
      <c r="P751" s="133">
        <v>168.84799999999998</v>
      </c>
      <c r="Q751" s="137"/>
      <c r="R751" s="135"/>
    </row>
    <row r="752" spans="1:18" x14ac:dyDescent="0.25">
      <c r="A752" s="127">
        <v>45451</v>
      </c>
      <c r="B752" s="128" t="s">
        <v>50</v>
      </c>
      <c r="C752" s="129" t="str">
        <f t="shared" si="23"/>
        <v>08.06.2024_LIEohBo</v>
      </c>
      <c r="D752" s="143">
        <f t="shared" si="24"/>
        <v>0</v>
      </c>
      <c r="E752" s="130">
        <v>8.0022571564916616E-6</v>
      </c>
      <c r="F752" s="131">
        <v>2.6757532978022584E-3</v>
      </c>
      <c r="G752" s="131">
        <v>3.9657609704027612E-3</v>
      </c>
      <c r="H752" s="131">
        <v>0.1333716298456705</v>
      </c>
      <c r="I752" s="131">
        <v>1.4607634609722928E-5</v>
      </c>
      <c r="J752" s="131">
        <v>1.8057015152712567E-3</v>
      </c>
      <c r="K752" s="132">
        <v>77.978395786543501</v>
      </c>
      <c r="L752" s="133">
        <v>9.6375631577175902</v>
      </c>
      <c r="M752" s="133">
        <v>17.422650742322698</v>
      </c>
      <c r="N752" s="133">
        <v>4.8134999085069001</v>
      </c>
      <c r="O752" s="131">
        <v>4.3875408340040686E-3</v>
      </c>
      <c r="P752" s="133">
        <v>186.66</v>
      </c>
      <c r="Q752" s="137"/>
      <c r="R752" s="135"/>
    </row>
    <row r="753" spans="1:18" x14ac:dyDescent="0.25">
      <c r="A753" s="127">
        <v>45451</v>
      </c>
      <c r="B753" s="128" t="s">
        <v>53</v>
      </c>
      <c r="C753" s="129" t="str">
        <f t="shared" si="23"/>
        <v>08.06.2024_NATohBo</v>
      </c>
      <c r="D753" s="143">
        <f t="shared" si="24"/>
        <v>0</v>
      </c>
      <c r="E753" s="130">
        <v>1.750494286299956E-5</v>
      </c>
      <c r="F753" s="131">
        <v>6.3928522313049579E-3</v>
      </c>
      <c r="G753" s="131">
        <v>7.6355910850344471E-3</v>
      </c>
      <c r="H753" s="131">
        <v>0</v>
      </c>
      <c r="I753" s="131">
        <v>7.4721054466957745E-6</v>
      </c>
      <c r="J753" s="131">
        <v>3.2040971659914996E-3</v>
      </c>
      <c r="K753" s="132">
        <v>181.06682390397299</v>
      </c>
      <c r="L753" s="133">
        <v>51.564317472538399</v>
      </c>
      <c r="M753" s="133">
        <v>105.912755760362</v>
      </c>
      <c r="N753" s="133">
        <v>14.3423228022767</v>
      </c>
      <c r="O753" s="131">
        <v>1.0290803262248084E-2</v>
      </c>
      <c r="P753" s="133">
        <v>275.71999999999997</v>
      </c>
      <c r="Q753" s="137"/>
      <c r="R753" s="135"/>
    </row>
    <row r="754" spans="1:18" x14ac:dyDescent="0.25">
      <c r="A754" s="127">
        <v>45451</v>
      </c>
      <c r="B754" s="128" t="s">
        <v>55</v>
      </c>
      <c r="C754" s="129" t="str">
        <f t="shared" si="23"/>
        <v>08.06.2024_QUAohBo</v>
      </c>
      <c r="D754" s="143">
        <f t="shared" si="24"/>
        <v>0</v>
      </c>
      <c r="E754" s="130">
        <v>1.3503812604278941E-5</v>
      </c>
      <c r="F754" s="131">
        <v>2.946354800990337E-3</v>
      </c>
      <c r="G754" s="131">
        <v>7.5468042597629775E-3</v>
      </c>
      <c r="H754" s="131">
        <v>0.15720332423992028</v>
      </c>
      <c r="I754" s="131">
        <v>6.5785546332919732E-6</v>
      </c>
      <c r="J754" s="131">
        <v>1.3360548828217987E-3</v>
      </c>
      <c r="K754" s="132">
        <v>95.867860788714097</v>
      </c>
      <c r="L754" s="133">
        <v>4.7279597436895999</v>
      </c>
      <c r="M754" s="133">
        <v>18.9704102948048</v>
      </c>
      <c r="N754" s="133">
        <v>3.2954297974646001</v>
      </c>
      <c r="O754" s="131">
        <v>5.0909492597000696E-3</v>
      </c>
      <c r="P754" s="133">
        <v>200.32399999999998</v>
      </c>
      <c r="Q754" s="137"/>
      <c r="R754" s="135"/>
    </row>
    <row r="755" spans="1:18" x14ac:dyDescent="0.25">
      <c r="A755" s="127">
        <v>45451</v>
      </c>
      <c r="B755" s="128" t="s">
        <v>57</v>
      </c>
      <c r="C755" s="129" t="str">
        <f t="shared" si="23"/>
        <v>08.06.2024_SCHohVo</v>
      </c>
      <c r="D755" s="143">
        <f t="shared" si="24"/>
        <v>0</v>
      </c>
      <c r="E755" s="130">
        <v>2.900820210125093E-5</v>
      </c>
      <c r="F755" s="131">
        <v>2.7365487029898917E-3</v>
      </c>
      <c r="G755" s="131">
        <v>0.19604210668702354</v>
      </c>
      <c r="H755" s="131">
        <v>8.2679310518110782E-2</v>
      </c>
      <c r="I755" s="131">
        <v>7.439020919147798E-5</v>
      </c>
      <c r="J755" s="131">
        <v>7.0978449197427271E-3</v>
      </c>
      <c r="K755" s="132">
        <v>58.376465175794898</v>
      </c>
      <c r="L755" s="133">
        <v>4.1221414103343603</v>
      </c>
      <c r="M755" s="133">
        <v>8.6905548587084702</v>
      </c>
      <c r="N755" s="133">
        <v>1.98565401221403</v>
      </c>
      <c r="O755" s="131">
        <v>4.3942860483935503E-3</v>
      </c>
      <c r="P755" s="133">
        <v>100.28399999999999</v>
      </c>
      <c r="Q755" s="137"/>
      <c r="R755" s="135"/>
    </row>
    <row r="756" spans="1:18" x14ac:dyDescent="0.25">
      <c r="A756" s="127">
        <v>45451</v>
      </c>
      <c r="B756" s="128" t="s">
        <v>60</v>
      </c>
      <c r="C756" s="129" t="str">
        <f t="shared" si="23"/>
        <v>08.06.2024_VORohBo</v>
      </c>
      <c r="D756" s="143">
        <f t="shared" si="24"/>
        <v>0</v>
      </c>
      <c r="E756" s="130">
        <v>1.1003105574069963E-5</v>
      </c>
      <c r="F756" s="131">
        <v>4.0588620411172111E-3</v>
      </c>
      <c r="G756" s="131">
        <v>2.4594070090747277E-2</v>
      </c>
      <c r="H756" s="131">
        <v>0</v>
      </c>
      <c r="I756" s="131">
        <v>1.0489469071824766E-5</v>
      </c>
      <c r="J756" s="131">
        <v>2.1925208546265786E-3</v>
      </c>
      <c r="K756" s="132">
        <v>139.25212338120599</v>
      </c>
      <c r="L756" s="133">
        <v>13.577148773299299</v>
      </c>
      <c r="M756" s="133">
        <v>20.1927760418825</v>
      </c>
      <c r="N756" s="133">
        <v>5.6369649350156203</v>
      </c>
      <c r="O756" s="131">
        <v>8.1493461788919135E-3</v>
      </c>
      <c r="P756" s="133">
        <v>217.892</v>
      </c>
      <c r="Q756" s="137"/>
      <c r="R756" s="135"/>
    </row>
    <row r="757" spans="1:18" x14ac:dyDescent="0.25">
      <c r="A757" s="127">
        <v>45451</v>
      </c>
      <c r="B757" s="128" t="s">
        <v>62</v>
      </c>
      <c r="C757" s="129" t="str">
        <f t="shared" si="23"/>
        <v>08.06.2024_VORuhSc</v>
      </c>
      <c r="D757" s="143">
        <f t="shared" si="24"/>
        <v>0</v>
      </c>
      <c r="E757" s="130">
        <v>2.2006217403243356E-5</v>
      </c>
      <c r="F757" s="131">
        <v>3.9082702378170084E-3</v>
      </c>
      <c r="G757" s="131">
        <v>4.8922819353625316E-2</v>
      </c>
      <c r="H757" s="131">
        <v>0</v>
      </c>
      <c r="I757" s="131">
        <v>1.9308597504857924E-5</v>
      </c>
      <c r="J757" s="131">
        <v>4.8525759798956772E-3</v>
      </c>
      <c r="K757" s="132">
        <v>127.837889839078</v>
      </c>
      <c r="L757" s="133">
        <v>11.3968538050683</v>
      </c>
      <c r="M757" s="133">
        <v>17.907423117209699</v>
      </c>
      <c r="N757" s="133">
        <v>4.60462741876416</v>
      </c>
      <c r="O757" s="131">
        <v>7.8683411499081892E-3</v>
      </c>
      <c r="P757" s="133">
        <v>208.62</v>
      </c>
      <c r="Q757" s="137"/>
      <c r="R757" s="135"/>
    </row>
    <row r="758" spans="1:18" x14ac:dyDescent="0.25">
      <c r="A758" s="127">
        <v>45451</v>
      </c>
      <c r="B758" s="128" t="s">
        <v>64</v>
      </c>
      <c r="C758" s="129" t="str">
        <f t="shared" si="23"/>
        <v>08.06.2024_WITob</v>
      </c>
      <c r="D758" s="143">
        <f t="shared" si="24"/>
        <v>0</v>
      </c>
      <c r="E758" s="130">
        <v>4.0011280647675938E-6</v>
      </c>
      <c r="F758" s="131">
        <v>5.0797113112094061E-3</v>
      </c>
      <c r="G758" s="131">
        <v>5.7710763449753521E-3</v>
      </c>
      <c r="H758" s="131">
        <v>0</v>
      </c>
      <c r="I758" s="131">
        <v>5.710902400286769E-6</v>
      </c>
      <c r="J758" s="131">
        <v>1.3254782692597774E-3</v>
      </c>
      <c r="K758" s="132">
        <v>173.238089875372</v>
      </c>
      <c r="L758" s="133">
        <v>26.105620023649699</v>
      </c>
      <c r="M758" s="133">
        <v>49.425786416615402</v>
      </c>
      <c r="N758" s="133">
        <v>5.7453729190079503</v>
      </c>
      <c r="O758" s="131">
        <v>9.6492348477678035E-3</v>
      </c>
      <c r="P758" s="133">
        <v>282.55199999999996</v>
      </c>
      <c r="Q758" s="137"/>
      <c r="R758" s="135"/>
    </row>
    <row r="759" spans="1:18" x14ac:dyDescent="0.25">
      <c r="A759" s="127">
        <v>45474</v>
      </c>
      <c r="B759" s="128" t="s">
        <v>22</v>
      </c>
      <c r="C759" s="129" t="str">
        <f t="shared" si="23"/>
        <v>01.07.2024_BOYkl</v>
      </c>
      <c r="D759" s="143">
        <f t="shared" si="24"/>
        <v>0</v>
      </c>
      <c r="E759" s="130">
        <v>5.407143721802996E-5</v>
      </c>
      <c r="F759" s="131">
        <v>1.8819487072971844E-3</v>
      </c>
      <c r="G759" s="131">
        <v>5.4642868081938717E-3</v>
      </c>
      <c r="H759" s="131">
        <v>7.6195123374138807E-2</v>
      </c>
      <c r="I759" s="131">
        <v>2.1129057836503928E-5</v>
      </c>
      <c r="J759" s="131">
        <v>3.9554513119333034E-3</v>
      </c>
      <c r="K759" s="132">
        <v>56.402643901944501</v>
      </c>
      <c r="L759" s="133">
        <v>4.6528307383932104</v>
      </c>
      <c r="M759" s="133">
        <v>10.524517335552799</v>
      </c>
      <c r="N759" s="133">
        <v>6.1025832135299396</v>
      </c>
      <c r="O759" s="131">
        <v>1.7520844281332386E-3</v>
      </c>
      <c r="P759" s="133">
        <v>139.32399999999998</v>
      </c>
      <c r="Q759" s="137"/>
      <c r="R759" s="135"/>
    </row>
    <row r="760" spans="1:18" x14ac:dyDescent="0.25">
      <c r="A760" s="127">
        <v>45474</v>
      </c>
      <c r="B760" s="128" t="s">
        <v>25</v>
      </c>
      <c r="C760" s="129" t="str">
        <f t="shared" si="23"/>
        <v>01.07.2024_BOYohB224</v>
      </c>
      <c r="D760" s="143">
        <f t="shared" si="24"/>
        <v>0</v>
      </c>
      <c r="E760" s="130">
        <v>9.0776705554133194E-6</v>
      </c>
      <c r="F760" s="131">
        <v>1.1369981456155075E-3</v>
      </c>
      <c r="G760" s="131">
        <v>5.9176582644660906E-3</v>
      </c>
      <c r="H760" s="131">
        <v>0.12764206201214923</v>
      </c>
      <c r="I760" s="131">
        <v>9.2324087706993173E-6</v>
      </c>
      <c r="J760" s="131">
        <v>1.155494930859828E-3</v>
      </c>
      <c r="K760" s="132">
        <v>93.817055746605007</v>
      </c>
      <c r="L760" s="133">
        <v>11.407045988404001</v>
      </c>
      <c r="M760" s="133">
        <v>21.522987047959699</v>
      </c>
      <c r="N760" s="133">
        <v>5.5209897823855201</v>
      </c>
      <c r="O760" s="131">
        <v>2.5415898239643689E-3</v>
      </c>
      <c r="P760" s="133">
        <v>199.34799999999998</v>
      </c>
      <c r="Q760" s="137"/>
      <c r="R760" s="135"/>
    </row>
    <row r="761" spans="1:18" x14ac:dyDescent="0.25">
      <c r="A761" s="127">
        <v>45474</v>
      </c>
      <c r="B761" s="128" t="s">
        <v>28</v>
      </c>
      <c r="C761" s="129" t="str">
        <f t="shared" si="23"/>
        <v>01.07.2024_BOYohBr</v>
      </c>
      <c r="D761" s="143">
        <f t="shared" si="24"/>
        <v>0</v>
      </c>
      <c r="E761" s="130">
        <v>2.2891528734901502E-5</v>
      </c>
      <c r="F761" s="131">
        <v>2.4346855532061018E-3</v>
      </c>
      <c r="G761" s="131">
        <v>8.4231421663412392E-3</v>
      </c>
      <c r="H761" s="131">
        <v>8.0979615888722531E-2</v>
      </c>
      <c r="I761" s="131">
        <v>1.6261583073295354E-5</v>
      </c>
      <c r="J761" s="131">
        <v>3.6932841534313503E-3</v>
      </c>
      <c r="K761" s="132">
        <v>63.0869596435885</v>
      </c>
      <c r="L761" s="133">
        <v>5.1158161514471203</v>
      </c>
      <c r="M761" s="133">
        <v>9.3890143514555398</v>
      </c>
      <c r="N761" s="133">
        <v>4.2850880713762196</v>
      </c>
      <c r="O761" s="131">
        <v>1.6780842679652462E-3</v>
      </c>
      <c r="P761" s="133">
        <v>137.85999999999999</v>
      </c>
      <c r="Q761" s="137"/>
      <c r="R761" s="135"/>
    </row>
    <row r="762" spans="1:18" x14ac:dyDescent="0.25">
      <c r="A762" s="127">
        <v>45474</v>
      </c>
      <c r="B762" s="128" t="s">
        <v>30</v>
      </c>
      <c r="C762" s="129" t="str">
        <f t="shared" si="23"/>
        <v>01.07.2024_BOYohKi</v>
      </c>
      <c r="D762" s="143">
        <f t="shared" si="24"/>
        <v>0</v>
      </c>
      <c r="E762" s="130">
        <v>1.065639671824962E-5</v>
      </c>
      <c r="F762" s="131">
        <v>1.658131772819315E-3</v>
      </c>
      <c r="G762" s="131">
        <v>7.6595640564014857E-3</v>
      </c>
      <c r="H762" s="131">
        <v>0.11115016872960556</v>
      </c>
      <c r="I762" s="131">
        <v>1.9873856515479436E-5</v>
      </c>
      <c r="J762" s="131">
        <v>8.6832455824085693E-4</v>
      </c>
      <c r="K762" s="132">
        <v>81.586194210144697</v>
      </c>
      <c r="L762" s="133">
        <v>5.9860632237077303</v>
      </c>
      <c r="M762" s="133">
        <v>17.150190405153602</v>
      </c>
      <c r="N762" s="133">
        <v>4.2054522700409196</v>
      </c>
      <c r="O762" s="131">
        <v>2.2382166130795666E-3</v>
      </c>
      <c r="P762" s="133">
        <v>173.48399999999998</v>
      </c>
      <c r="Q762" s="137"/>
      <c r="R762" s="135"/>
    </row>
    <row r="763" spans="1:18" x14ac:dyDescent="0.25">
      <c r="A763" s="127">
        <v>45474</v>
      </c>
      <c r="B763" s="128" t="s">
        <v>32</v>
      </c>
      <c r="C763" s="129" t="str">
        <f t="shared" si="23"/>
        <v>01.07.2024_BOYohSp</v>
      </c>
      <c r="D763" s="143">
        <f t="shared" si="24"/>
        <v>0</v>
      </c>
      <c r="E763" s="130">
        <v>1.0261715159122105E-5</v>
      </c>
      <c r="F763" s="131">
        <v>1.8489762667869291E-3</v>
      </c>
      <c r="G763" s="131">
        <v>9.1389970657088995E-3</v>
      </c>
      <c r="H763" s="131">
        <v>9.3362667144270398E-2</v>
      </c>
      <c r="I763" s="131">
        <v>9.3439923877946027E-6</v>
      </c>
      <c r="J763" s="131">
        <v>1.3892340256667082E-3</v>
      </c>
      <c r="K763" s="132">
        <v>70.423682743340095</v>
      </c>
      <c r="L763" s="133">
        <v>4.5211145168212798</v>
      </c>
      <c r="M763" s="133">
        <v>11.6188163226187</v>
      </c>
      <c r="N763" s="133">
        <v>4.4509299663187596</v>
      </c>
      <c r="O763" s="131">
        <v>1.9113037913927326E-3</v>
      </c>
      <c r="P763" s="133">
        <v>153.72</v>
      </c>
      <c r="Q763" s="137"/>
      <c r="R763" s="135"/>
    </row>
    <row r="764" spans="1:18" x14ac:dyDescent="0.25">
      <c r="A764" s="127">
        <v>45474</v>
      </c>
      <c r="B764" s="128" t="s">
        <v>34</v>
      </c>
      <c r="C764" s="129" t="str">
        <f t="shared" si="23"/>
        <v>01.07.2024_BOYuhHa</v>
      </c>
      <c r="D764" s="143">
        <f t="shared" si="24"/>
        <v>0</v>
      </c>
      <c r="E764" s="130">
        <v>7.1042630913082776E-6</v>
      </c>
      <c r="F764" s="131">
        <v>1.5935430712317831E-3</v>
      </c>
      <c r="G764" s="131">
        <v>4.6291295559557034E-3</v>
      </c>
      <c r="H764" s="131">
        <v>0.13518291059695414</v>
      </c>
      <c r="I764" s="131">
        <v>1.052944633468586E-5</v>
      </c>
      <c r="J764" s="131">
        <v>1.768764202454689E-3</v>
      </c>
      <c r="K764" s="132">
        <v>96.465130953140999</v>
      </c>
      <c r="L764" s="133">
        <v>12.659146364882901</v>
      </c>
      <c r="M764" s="133">
        <v>27.078622308038799</v>
      </c>
      <c r="N764" s="133">
        <v>6.0651742914805</v>
      </c>
      <c r="O764" s="131">
        <v>2.6791343211121023E-3</v>
      </c>
      <c r="P764" s="133">
        <v>206.18</v>
      </c>
      <c r="Q764" s="137"/>
      <c r="R764" s="135"/>
    </row>
    <row r="765" spans="1:18" x14ac:dyDescent="0.25">
      <c r="A765" s="127">
        <v>45474</v>
      </c>
      <c r="B765" s="128" t="s">
        <v>36</v>
      </c>
      <c r="C765" s="129" t="str">
        <f t="shared" si="23"/>
        <v>01.07.2024_BOYuhSp</v>
      </c>
      <c r="D765" s="143">
        <f t="shared" si="24"/>
        <v>0</v>
      </c>
      <c r="E765" s="130">
        <v>1.4997894605392409E-5</v>
      </c>
      <c r="F765" s="131">
        <v>1.844371555822052E-3</v>
      </c>
      <c r="G765" s="131">
        <v>9.6878190224602839E-3</v>
      </c>
      <c r="H765" s="131">
        <v>0.10301862162308376</v>
      </c>
      <c r="I765" s="131">
        <v>1.5257384635769139E-5</v>
      </c>
      <c r="J765" s="131">
        <v>9.6242990205963716E-4</v>
      </c>
      <c r="K765" s="132">
        <v>75.385340876467794</v>
      </c>
      <c r="L765" s="133">
        <v>5.1673134353176904</v>
      </c>
      <c r="M765" s="133">
        <v>19.791889533335599</v>
      </c>
      <c r="N765" s="133">
        <v>4.6965740710541697</v>
      </c>
      <c r="O765" s="131">
        <v>2.210906669830304E-3</v>
      </c>
      <c r="P765" s="133">
        <v>166.89600000000002</v>
      </c>
      <c r="Q765" s="137"/>
      <c r="R765" s="135"/>
    </row>
    <row r="766" spans="1:18" x14ac:dyDescent="0.25">
      <c r="A766" s="127">
        <v>45474</v>
      </c>
      <c r="B766" s="128" t="s">
        <v>38</v>
      </c>
      <c r="C766" s="129" t="str">
        <f t="shared" si="23"/>
        <v>01.07.2024_BRAob</v>
      </c>
      <c r="D766" s="143">
        <f t="shared" si="24"/>
        <v>0</v>
      </c>
      <c r="E766" s="130">
        <v>9.0776702975546605E-6</v>
      </c>
      <c r="F766" s="131">
        <v>7.0716939970768449E-4</v>
      </c>
      <c r="G766" s="131">
        <v>1.1286568125982655E-2</v>
      </c>
      <c r="H766" s="131">
        <v>0.16253737006732796</v>
      </c>
      <c r="I766" s="131">
        <v>1.1003636790466939E-5</v>
      </c>
      <c r="J766" s="131">
        <v>9.1573969162946946E-4</v>
      </c>
      <c r="K766" s="132">
        <v>115.89745859301701</v>
      </c>
      <c r="L766" s="133">
        <v>4.1415239480518196</v>
      </c>
      <c r="M766" s="133">
        <v>15.322448178986599</v>
      </c>
      <c r="N766" s="133">
        <v>3.80093584012184</v>
      </c>
      <c r="O766" s="131">
        <v>3.4380166421348834E-3</v>
      </c>
      <c r="P766" s="133">
        <v>210.816</v>
      </c>
      <c r="Q766" s="137"/>
      <c r="R766" s="135"/>
    </row>
    <row r="767" spans="1:18" x14ac:dyDescent="0.25">
      <c r="A767" s="127">
        <v>45474</v>
      </c>
      <c r="B767" s="128" t="s">
        <v>41</v>
      </c>
      <c r="C767" s="129" t="str">
        <f t="shared" si="23"/>
        <v>01.07.2024_BRAohBo</v>
      </c>
      <c r="D767" s="143">
        <f t="shared" si="24"/>
        <v>0</v>
      </c>
      <c r="E767" s="130">
        <v>1.1445759173439451E-5</v>
      </c>
      <c r="F767" s="131">
        <v>1.4974650571856372E-3</v>
      </c>
      <c r="G767" s="131">
        <v>1.073774443206918E-2</v>
      </c>
      <c r="H767" s="131">
        <v>0.1266687428794401</v>
      </c>
      <c r="I767" s="131">
        <v>1.5613039815014341E-5</v>
      </c>
      <c r="J767" s="131">
        <v>3.545497735064245E-3</v>
      </c>
      <c r="K767" s="132">
        <v>92.854516360509606</v>
      </c>
      <c r="L767" s="133">
        <v>4.97641424207636</v>
      </c>
      <c r="M767" s="133">
        <v>14.805923573846201</v>
      </c>
      <c r="N767" s="133">
        <v>6.3538353054767702</v>
      </c>
      <c r="O767" s="131">
        <v>2.6237752024095679E-3</v>
      </c>
      <c r="P767" s="133">
        <v>199.59199999999998</v>
      </c>
      <c r="Q767" s="137"/>
      <c r="R767" s="135"/>
    </row>
    <row r="768" spans="1:18" x14ac:dyDescent="0.25">
      <c r="A768" s="127">
        <v>45474</v>
      </c>
      <c r="B768" s="128" t="s">
        <v>43</v>
      </c>
      <c r="C768" s="129" t="str">
        <f t="shared" si="23"/>
        <v>01.07.2024_HAAob</v>
      </c>
      <c r="D768" s="143">
        <f t="shared" si="24"/>
        <v>0</v>
      </c>
      <c r="E768" s="130">
        <v>7.8936259885416038E-6</v>
      </c>
      <c r="F768" s="131">
        <v>3.8568334289676269E-4</v>
      </c>
      <c r="G768" s="131">
        <v>1.8659975866612003E-2</v>
      </c>
      <c r="H768" s="131">
        <v>9.0914170900961336E-2</v>
      </c>
      <c r="I768" s="131">
        <v>3.345882973652694E-5</v>
      </c>
      <c r="J768" s="131">
        <v>1.2657145819199816E-3</v>
      </c>
      <c r="K768" s="132">
        <v>71.351570524235498</v>
      </c>
      <c r="L768" s="133">
        <v>6.1235287326918302</v>
      </c>
      <c r="M768" s="133">
        <v>15.1017036858499</v>
      </c>
      <c r="N768" s="133">
        <v>3.4491242448652302</v>
      </c>
      <c r="O768" s="131">
        <v>1.8131300309479821E-3</v>
      </c>
      <c r="P768" s="133">
        <v>133.71200000000002</v>
      </c>
      <c r="Q768" s="137"/>
      <c r="R768" s="135"/>
    </row>
    <row r="769" spans="1:18" x14ac:dyDescent="0.25">
      <c r="A769" s="127">
        <v>45474</v>
      </c>
      <c r="B769" s="128" t="s">
        <v>45</v>
      </c>
      <c r="C769" s="129" t="str">
        <f t="shared" si="23"/>
        <v>01.07.2024_HAAun</v>
      </c>
      <c r="D769" s="143">
        <f t="shared" si="24"/>
        <v>0</v>
      </c>
      <c r="E769" s="130">
        <v>6.3149006729551298E-6</v>
      </c>
      <c r="F769" s="131">
        <v>3.9150953742284381E-4</v>
      </c>
      <c r="G769" s="131">
        <v>1.107181210271593E-2</v>
      </c>
      <c r="H769" s="131">
        <v>0.1146746160421894</v>
      </c>
      <c r="I769" s="131">
        <v>1.3897585752633822E-5</v>
      </c>
      <c r="J769" s="131">
        <v>1.2846565960438234E-3</v>
      </c>
      <c r="K769" s="132">
        <v>84.360334500266802</v>
      </c>
      <c r="L769" s="133">
        <v>11.2543018258592</v>
      </c>
      <c r="M769" s="133">
        <v>19.735363244982999</v>
      </c>
      <c r="N769" s="133">
        <v>4.7327858256049398</v>
      </c>
      <c r="O769" s="131">
        <v>2.2521877838266764E-3</v>
      </c>
      <c r="P769" s="133">
        <v>145.66800000000001</v>
      </c>
      <c r="Q769" s="137"/>
      <c r="R769" s="135"/>
    </row>
    <row r="770" spans="1:18" x14ac:dyDescent="0.25">
      <c r="A770" s="127">
        <v>45474</v>
      </c>
      <c r="B770" s="128" t="s">
        <v>47</v>
      </c>
      <c r="C770" s="129" t="str">
        <f t="shared" si="23"/>
        <v>01.07.2024_KIRob</v>
      </c>
      <c r="D770" s="143">
        <f t="shared" si="24"/>
        <v>1</v>
      </c>
      <c r="E770" s="130">
        <v>2.0523438680234018E-5</v>
      </c>
      <c r="F770" s="131">
        <v>8.6817437594026523E-4</v>
      </c>
      <c r="G770" s="131">
        <v>3.4121888016586332E-3</v>
      </c>
      <c r="H770" s="131">
        <v>0.14560957912467615</v>
      </c>
      <c r="I770" s="131">
        <v>6.3664245685019694E-6</v>
      </c>
      <c r="J770" s="131">
        <v>2.8476596502070494E-3</v>
      </c>
      <c r="K770" s="132">
        <v>98.806363290396902</v>
      </c>
      <c r="L770" s="133">
        <v>8.6609588288064305</v>
      </c>
      <c r="M770" s="133"/>
      <c r="N770" s="133">
        <v>5.6398637604201696</v>
      </c>
      <c r="O770" s="131">
        <v>3.0153001927472126E-3</v>
      </c>
      <c r="P770" s="133">
        <v>196.66400000000002</v>
      </c>
      <c r="Q770" s="137"/>
      <c r="R770" s="135" t="s">
        <v>346</v>
      </c>
    </row>
    <row r="771" spans="1:18" x14ac:dyDescent="0.25">
      <c r="A771" s="127">
        <v>45474</v>
      </c>
      <c r="B771" s="128" t="s">
        <v>49</v>
      </c>
      <c r="C771" s="129" t="str">
        <f t="shared" ref="C771:C834" si="25">CONCATENATE(TEXT(A771,"TT.MM.JJJJ"),"_",B771)</f>
        <v>01.07.2024_KIRun</v>
      </c>
      <c r="D771" s="143">
        <f t="shared" si="24"/>
        <v>0</v>
      </c>
      <c r="E771" s="130">
        <v>5.2098026622785399E-5</v>
      </c>
      <c r="F771" s="131">
        <v>7.8677797654610321E-4</v>
      </c>
      <c r="G771" s="131">
        <v>3.1735738994381757E-3</v>
      </c>
      <c r="H771" s="131">
        <v>0.13599511037641723</v>
      </c>
      <c r="I771" s="131">
        <v>1.4671643992836343E-5</v>
      </c>
      <c r="J771" s="131">
        <v>8.2200044131578679E-4</v>
      </c>
      <c r="K771" s="132">
        <v>93.452175454266396</v>
      </c>
      <c r="L771" s="133">
        <v>8.9027235400320599</v>
      </c>
      <c r="M771" s="133">
        <v>42.975789317936901</v>
      </c>
      <c r="N771" s="133">
        <v>5.6845544453776</v>
      </c>
      <c r="O771" s="131">
        <v>2.7409546804938898E-3</v>
      </c>
      <c r="P771" s="133">
        <v>191.54000000000002</v>
      </c>
      <c r="Q771" s="137"/>
      <c r="R771" s="135"/>
    </row>
    <row r="772" spans="1:18" x14ac:dyDescent="0.25">
      <c r="A772" s="127">
        <v>45474</v>
      </c>
      <c r="B772" s="128" t="s">
        <v>50</v>
      </c>
      <c r="C772" s="129" t="str">
        <f t="shared" si="25"/>
        <v>01.07.2024_LIEohBo</v>
      </c>
      <c r="D772" s="143">
        <f t="shared" si="24"/>
        <v>0</v>
      </c>
      <c r="E772" s="130">
        <v>1.065639623936914E-5</v>
      </c>
      <c r="F772" s="131">
        <v>8.3191856635948119E-4</v>
      </c>
      <c r="G772" s="131">
        <v>3.6508045464596624E-3</v>
      </c>
      <c r="H772" s="131">
        <v>0.11306286990235416</v>
      </c>
      <c r="I772" s="131">
        <v>8.1097218670140094E-6</v>
      </c>
      <c r="J772" s="131">
        <v>7.1758618896522832E-4</v>
      </c>
      <c r="K772" s="132">
        <v>82.368232047503</v>
      </c>
      <c r="L772" s="133">
        <v>9.5767129970396496</v>
      </c>
      <c r="M772" s="133">
        <v>19.873732254876099</v>
      </c>
      <c r="N772" s="133">
        <v>5.3351525221445097</v>
      </c>
      <c r="O772" s="131">
        <v>2.2027047063796715E-3</v>
      </c>
      <c r="P772" s="133">
        <v>215.94</v>
      </c>
      <c r="Q772" s="137"/>
      <c r="R772" s="135"/>
    </row>
    <row r="773" spans="1:18" x14ac:dyDescent="0.25">
      <c r="A773" s="127">
        <v>45474</v>
      </c>
      <c r="B773" s="128" t="s">
        <v>53</v>
      </c>
      <c r="C773" s="129" t="str">
        <f t="shared" si="25"/>
        <v>01.07.2024_NATohBo</v>
      </c>
      <c r="D773" s="143">
        <f t="shared" ref="D773:D836" si="26">COUNTBLANK(E773:P773)</f>
        <v>1</v>
      </c>
      <c r="E773" s="130">
        <v>1.2235122328531499E-5</v>
      </c>
      <c r="F773" s="131">
        <v>1.1664646823397152E-3</v>
      </c>
      <c r="G773" s="131">
        <v>5.3449793218240827E-3</v>
      </c>
      <c r="H773" s="131">
        <v>0.20247858300869634</v>
      </c>
      <c r="I773" s="131">
        <v>1.0661942492826729E-5</v>
      </c>
      <c r="J773" s="131">
        <v>1.6943099632403314E-3</v>
      </c>
      <c r="K773" s="132">
        <v>137.962194928185</v>
      </c>
      <c r="L773" s="133">
        <v>31.457702223533602</v>
      </c>
      <c r="M773" s="133"/>
      <c r="N773" s="133">
        <v>12.248268791065399</v>
      </c>
      <c r="O773" s="131">
        <v>3.9299671979501393E-3</v>
      </c>
      <c r="P773" s="133">
        <v>273.036</v>
      </c>
      <c r="Q773" s="137"/>
      <c r="R773" s="135" t="s">
        <v>346</v>
      </c>
    </row>
    <row r="774" spans="1:18" x14ac:dyDescent="0.25">
      <c r="A774" s="127">
        <v>45474</v>
      </c>
      <c r="B774" s="128" t="s">
        <v>55</v>
      </c>
      <c r="C774" s="129" t="str">
        <f t="shared" si="25"/>
        <v>01.07.2024_QUAohBo</v>
      </c>
      <c r="D774" s="143">
        <f t="shared" si="26"/>
        <v>0</v>
      </c>
      <c r="E774" s="130">
        <v>1.065639623936914E-5</v>
      </c>
      <c r="F774" s="131">
        <v>1.0225995947771252E-3</v>
      </c>
      <c r="G774" s="131">
        <v>8.9481022486960181E-3</v>
      </c>
      <c r="H774" s="131">
        <v>0.1324766655164116</v>
      </c>
      <c r="I774" s="131">
        <v>1.0696828051826665E-5</v>
      </c>
      <c r="J774" s="131">
        <v>9.78928189863864E-4</v>
      </c>
      <c r="K774" s="132">
        <v>97.4784585696232</v>
      </c>
      <c r="L774" s="133">
        <v>5.1406729801052498</v>
      </c>
      <c r="M774" s="133">
        <v>23.146406435551999</v>
      </c>
      <c r="N774" s="133">
        <v>4.5887435754243997</v>
      </c>
      <c r="O774" s="131">
        <v>2.6881603943070139E-3</v>
      </c>
      <c r="P774" s="133">
        <v>243.756</v>
      </c>
      <c r="Q774" s="137"/>
      <c r="R774" s="135"/>
    </row>
    <row r="775" spans="1:18" x14ac:dyDescent="0.25">
      <c r="A775" s="127">
        <v>45474</v>
      </c>
      <c r="B775" s="128" t="s">
        <v>57</v>
      </c>
      <c r="C775" s="129" t="str">
        <f t="shared" si="25"/>
        <v>01.07.2024_SCHohVo</v>
      </c>
      <c r="D775" s="143">
        <f t="shared" si="26"/>
        <v>0</v>
      </c>
      <c r="E775" s="130">
        <v>2.6838348636105245E-5</v>
      </c>
      <c r="F775" s="131">
        <v>1.2604529475080208E-3</v>
      </c>
      <c r="G775" s="131">
        <v>0.11450110989305766</v>
      </c>
      <c r="H775" s="131">
        <v>0.1029846805054804</v>
      </c>
      <c r="I775" s="131">
        <v>6.9810074335464783E-5</v>
      </c>
      <c r="J775" s="131">
        <v>2.7832595168510625E-3</v>
      </c>
      <c r="K775" s="132">
        <v>69.307485546263806</v>
      </c>
      <c r="L775" s="133">
        <v>4.4860853866506103</v>
      </c>
      <c r="M775" s="133">
        <v>10.8240064420753</v>
      </c>
      <c r="N775" s="133">
        <v>1.5794081468691701</v>
      </c>
      <c r="O775" s="131">
        <v>3.2111948558451379E-3</v>
      </c>
      <c r="P775" s="133">
        <v>162.01600000000002</v>
      </c>
      <c r="Q775" s="137"/>
      <c r="R775" s="135"/>
    </row>
    <row r="776" spans="1:18" x14ac:dyDescent="0.25">
      <c r="A776" s="127">
        <v>45474</v>
      </c>
      <c r="B776" s="128" t="s">
        <v>60</v>
      </c>
      <c r="C776" s="129" t="str">
        <f t="shared" si="25"/>
        <v>01.07.2024_VORohBo</v>
      </c>
      <c r="D776" s="143">
        <f t="shared" si="26"/>
        <v>0</v>
      </c>
      <c r="E776" s="130">
        <v>8.6829889962857957E-6</v>
      </c>
      <c r="F776" s="131">
        <v>5.9157083572913154E-4</v>
      </c>
      <c r="G776" s="131">
        <v>6.9198501704693261E-3</v>
      </c>
      <c r="H776" s="131">
        <v>0.20161690625196205</v>
      </c>
      <c r="I776" s="131">
        <v>1.3402467797373261E-5</v>
      </c>
      <c r="J776" s="131">
        <v>1.074496995200999E-3</v>
      </c>
      <c r="K776" s="132">
        <v>135.23801643619601</v>
      </c>
      <c r="L776" s="133">
        <v>12.222061618018699</v>
      </c>
      <c r="M776" s="133">
        <v>22.451385344631699</v>
      </c>
      <c r="N776" s="133">
        <v>6.2042178534672701</v>
      </c>
      <c r="O776" s="131">
        <v>4.3808554634921122E-3</v>
      </c>
      <c r="P776" s="133">
        <v>281.57599999999996</v>
      </c>
      <c r="Q776" s="137"/>
      <c r="R776" s="135"/>
    </row>
    <row r="777" spans="1:18" x14ac:dyDescent="0.25">
      <c r="A777" s="127">
        <v>45474</v>
      </c>
      <c r="B777" s="128" t="s">
        <v>62</v>
      </c>
      <c r="C777" s="129" t="str">
        <f t="shared" si="25"/>
        <v>01.07.2024_VORuhSc</v>
      </c>
      <c r="D777" s="143">
        <f t="shared" si="26"/>
        <v>0</v>
      </c>
      <c r="E777" s="130">
        <v>9.867033305298827E-6</v>
      </c>
      <c r="F777" s="131">
        <v>5.0854829600366824E-4</v>
      </c>
      <c r="G777" s="131">
        <v>9.4014765482473284E-3</v>
      </c>
      <c r="H777" s="131">
        <v>0.18613338541904267</v>
      </c>
      <c r="I777" s="131">
        <v>7.8307870172181816E-6</v>
      </c>
      <c r="J777" s="131">
        <v>1.016490869177773E-3</v>
      </c>
      <c r="K777" s="132">
        <v>125.308737315787</v>
      </c>
      <c r="L777" s="133">
        <v>9.5915029383300006</v>
      </c>
      <c r="M777" s="133">
        <v>18.171320833346101</v>
      </c>
      <c r="N777" s="133">
        <v>4.32566471636357</v>
      </c>
      <c r="O777" s="131">
        <v>4.1706025524931422E-3</v>
      </c>
      <c r="P777" s="133">
        <v>267.66800000000001</v>
      </c>
      <c r="Q777" s="137"/>
      <c r="R777" s="135"/>
    </row>
    <row r="778" spans="1:18" x14ac:dyDescent="0.25">
      <c r="A778" s="127">
        <v>45474</v>
      </c>
      <c r="B778" s="128" t="s">
        <v>64</v>
      </c>
      <c r="C778" s="129" t="str">
        <f t="shared" si="25"/>
        <v>01.07.2024_WITob</v>
      </c>
      <c r="D778" s="143">
        <f t="shared" si="26"/>
        <v>0</v>
      </c>
      <c r="E778" s="130">
        <v>7.8936259885416038E-6</v>
      </c>
      <c r="F778" s="131">
        <v>6.2469742972114258E-4</v>
      </c>
      <c r="G778" s="131">
        <v>3.5314968670732069E-3</v>
      </c>
      <c r="H778" s="131">
        <v>0.22107123648733012</v>
      </c>
      <c r="I778" s="131">
        <v>6.7708692555231477E-6</v>
      </c>
      <c r="J778" s="131">
        <v>1.6054827871589785E-3</v>
      </c>
      <c r="K778" s="132">
        <v>155.306847324389</v>
      </c>
      <c r="L778" s="133">
        <v>17.629437544965899</v>
      </c>
      <c r="M778" s="133">
        <v>41.952216817954202</v>
      </c>
      <c r="N778" s="133">
        <v>6.0599815029032502</v>
      </c>
      <c r="O778" s="131">
        <v>4.3947955878996308E-3</v>
      </c>
      <c r="P778" s="133">
        <v>352.82400000000001</v>
      </c>
      <c r="Q778" s="137"/>
      <c r="R778" s="135"/>
    </row>
    <row r="779" spans="1:18" x14ac:dyDescent="0.25">
      <c r="A779" s="127">
        <v>45518</v>
      </c>
      <c r="B779" s="128" t="s">
        <v>22</v>
      </c>
      <c r="C779" s="129" t="str">
        <f t="shared" si="25"/>
        <v>14.08.2024_BOYkl</v>
      </c>
      <c r="D779" s="143">
        <f t="shared" si="26"/>
        <v>0</v>
      </c>
      <c r="E779" s="130">
        <v>3.2719111530257058E-5</v>
      </c>
      <c r="F779" s="131">
        <v>2.3549045578919294E-3</v>
      </c>
      <c r="G779" s="131">
        <v>1.4109693870888179E-2</v>
      </c>
      <c r="H779" s="131">
        <v>6.4748027237205005E-2</v>
      </c>
      <c r="I779" s="131">
        <v>2.3178257959573872E-5</v>
      </c>
      <c r="J779" s="131">
        <v>1.8640043100538808E-3</v>
      </c>
      <c r="K779" s="132">
        <v>5.0040794186815303</v>
      </c>
      <c r="L779" s="133">
        <v>10.7077157301072</v>
      </c>
      <c r="M779" s="133">
        <v>6.7867026509274098</v>
      </c>
      <c r="N779" s="133">
        <v>1.6259496630651937E-3</v>
      </c>
      <c r="O779" s="131">
        <v>1.6259496630651937E-3</v>
      </c>
      <c r="P779" s="133">
        <v>109.068</v>
      </c>
      <c r="Q779" s="137"/>
      <c r="R779" s="135"/>
    </row>
    <row r="780" spans="1:18" x14ac:dyDescent="0.25">
      <c r="A780" s="127">
        <v>45518</v>
      </c>
      <c r="B780" s="128" t="s">
        <v>25</v>
      </c>
      <c r="C780" s="129" t="str">
        <f t="shared" si="25"/>
        <v>14.08.2024_BOYohB224</v>
      </c>
      <c r="D780" s="143">
        <f t="shared" si="26"/>
        <v>0</v>
      </c>
      <c r="E780" s="130">
        <v>1.1295876000359287E-5</v>
      </c>
      <c r="F780" s="131">
        <v>3.6731566398718776E-3</v>
      </c>
      <c r="G780" s="131">
        <v>1.6178763637453762E-2</v>
      </c>
      <c r="H780" s="131">
        <v>7.7241565719334576E-2</v>
      </c>
      <c r="I780" s="131">
        <v>4.9464938650001922E-5</v>
      </c>
      <c r="J780" s="131">
        <v>1.8079216976619025E-3</v>
      </c>
      <c r="K780" s="132">
        <v>7.1604699381899701</v>
      </c>
      <c r="L780" s="133">
        <v>11.5071049280444</v>
      </c>
      <c r="M780" s="133">
        <v>6.4344223681322896</v>
      </c>
      <c r="N780" s="133">
        <v>1.6195300283204967E-3</v>
      </c>
      <c r="O780" s="131">
        <v>1.6195300283204967E-3</v>
      </c>
      <c r="P780" s="133">
        <v>104.188</v>
      </c>
      <c r="Q780" s="137"/>
      <c r="R780" s="135"/>
    </row>
    <row r="781" spans="1:18" x14ac:dyDescent="0.25">
      <c r="A781" s="127">
        <v>45518</v>
      </c>
      <c r="B781" s="128" t="s">
        <v>28</v>
      </c>
      <c r="C781" s="129" t="str">
        <f t="shared" si="25"/>
        <v>14.08.2024_BOYohBr</v>
      </c>
      <c r="D781" s="143">
        <f t="shared" si="26"/>
        <v>0</v>
      </c>
      <c r="E781" s="130">
        <v>1.674905851062893E-5</v>
      </c>
      <c r="F781" s="131">
        <v>4.5317878612544191E-3</v>
      </c>
      <c r="G781" s="131">
        <v>2.5231029682236152E-2</v>
      </c>
      <c r="H781" s="131">
        <v>5.9599883804203731E-2</v>
      </c>
      <c r="I781" s="131">
        <v>4.6254118188493844E-5</v>
      </c>
      <c r="J781" s="131">
        <v>2.2074759474798498E-3</v>
      </c>
      <c r="K781" s="132">
        <v>3.47974246154183</v>
      </c>
      <c r="L781" s="133">
        <v>5.2070092711083698</v>
      </c>
      <c r="M781" s="133">
        <v>5.2388344652623999</v>
      </c>
      <c r="N781" s="133">
        <v>1.3405959819051442E-3</v>
      </c>
      <c r="O781" s="131">
        <v>1.3405959819051442E-3</v>
      </c>
      <c r="P781" s="133">
        <v>96.38000000000001</v>
      </c>
      <c r="Q781" s="137"/>
      <c r="R781" s="135"/>
    </row>
    <row r="782" spans="1:18" x14ac:dyDescent="0.25">
      <c r="A782" s="127">
        <v>45518</v>
      </c>
      <c r="B782" s="128" t="s">
        <v>30</v>
      </c>
      <c r="C782" s="129" t="str">
        <f t="shared" si="25"/>
        <v>14.08.2024_BOYohKi</v>
      </c>
      <c r="D782" s="143">
        <f t="shared" si="26"/>
        <v>0</v>
      </c>
      <c r="E782" s="130">
        <v>2.1423219097619673E-5</v>
      </c>
      <c r="F782" s="131">
        <v>3.4624293787518558E-3</v>
      </c>
      <c r="G782" s="131">
        <v>2.6121895114407667E-2</v>
      </c>
      <c r="H782" s="131">
        <v>6.1003861813656177E-2</v>
      </c>
      <c r="I782" s="131">
        <v>3.6950703956417237E-5</v>
      </c>
      <c r="J782" s="131">
        <v>1.8105273453968558E-3</v>
      </c>
      <c r="K782" s="132">
        <v>3.9002899381753098</v>
      </c>
      <c r="L782" s="133">
        <v>7.7524692660776999</v>
      </c>
      <c r="M782" s="133">
        <v>6.8161782634864103</v>
      </c>
      <c r="N782" s="133">
        <v>1.2589492694349135E-3</v>
      </c>
      <c r="O782" s="131">
        <v>1.2589492694349135E-3</v>
      </c>
      <c r="P782" s="133">
        <v>101.99199999999999</v>
      </c>
      <c r="Q782" s="137"/>
      <c r="R782" s="135"/>
    </row>
    <row r="783" spans="1:18" x14ac:dyDescent="0.25">
      <c r="A783" s="127">
        <v>45518</v>
      </c>
      <c r="B783" s="128" t="s">
        <v>32</v>
      </c>
      <c r="C783" s="129" t="str">
        <f t="shared" si="25"/>
        <v>14.08.2024_BOYohSp</v>
      </c>
      <c r="D783" s="143">
        <f t="shared" si="26"/>
        <v>0</v>
      </c>
      <c r="E783" s="130">
        <v>7.0112307920913599E-6</v>
      </c>
      <c r="F783" s="131">
        <v>3.8380101228943616E-3</v>
      </c>
      <c r="G783" s="131">
        <v>1.7586932305939836E-2</v>
      </c>
      <c r="H783" s="131">
        <v>6.4405770403103232E-2</v>
      </c>
      <c r="I783" s="131">
        <v>3.8748450452414392E-5</v>
      </c>
      <c r="J783" s="131">
        <v>2.1283157805620598E-3</v>
      </c>
      <c r="K783" s="132">
        <v>4.1876281501980204</v>
      </c>
      <c r="L783" s="133">
        <v>7.7078796357091299</v>
      </c>
      <c r="M783" s="133">
        <v>6.3892551723031401</v>
      </c>
      <c r="N783" s="133">
        <v>1.4423115466453429E-3</v>
      </c>
      <c r="O783" s="131">
        <v>1.4423115466453429E-3</v>
      </c>
      <c r="P783" s="133">
        <v>98.820000000000007</v>
      </c>
      <c r="Q783" s="137"/>
      <c r="R783" s="135"/>
    </row>
    <row r="784" spans="1:18" x14ac:dyDescent="0.25">
      <c r="A784" s="127">
        <v>45518</v>
      </c>
      <c r="B784" s="128" t="s">
        <v>34</v>
      </c>
      <c r="C784" s="129" t="str">
        <f t="shared" si="25"/>
        <v>14.08.2024_BOYuhHa</v>
      </c>
      <c r="D784" s="143">
        <f t="shared" si="26"/>
        <v>0</v>
      </c>
      <c r="E784" s="130">
        <v>2.1423217643435532E-5</v>
      </c>
      <c r="F784" s="131">
        <v>3.6800503553139508E-3</v>
      </c>
      <c r="G784" s="131">
        <v>2.1207785893778048E-2</v>
      </c>
      <c r="H784" s="131">
        <v>6.260845639759248E-2</v>
      </c>
      <c r="I784" s="131">
        <v>2.6060026450793708E-5</v>
      </c>
      <c r="J784" s="131">
        <v>1.677031211070097E-3</v>
      </c>
      <c r="K784" s="132">
        <v>5.5176052052539299</v>
      </c>
      <c r="L784" s="133">
        <v>11.2258807357588</v>
      </c>
      <c r="M784" s="133">
        <v>6.4991814273879802</v>
      </c>
      <c r="N784" s="133">
        <v>1.3275371030671409E-3</v>
      </c>
      <c r="O784" s="131">
        <v>1.3275371030671409E-3</v>
      </c>
      <c r="P784" s="133">
        <v>89.792000000000002</v>
      </c>
      <c r="Q784" s="137"/>
      <c r="R784" s="135"/>
    </row>
    <row r="785" spans="1:18" x14ac:dyDescent="0.25">
      <c r="A785" s="127">
        <v>45518</v>
      </c>
      <c r="B785" s="128" t="s">
        <v>36</v>
      </c>
      <c r="C785" s="129" t="str">
        <f t="shared" si="25"/>
        <v>14.08.2024_BOYuhSp</v>
      </c>
      <c r="D785" s="143">
        <f t="shared" si="26"/>
        <v>0</v>
      </c>
      <c r="E785" s="130">
        <v>2.142321771614478E-5</v>
      </c>
      <c r="F785" s="131">
        <v>4.1231977917077283E-3</v>
      </c>
      <c r="G785" s="131">
        <v>2.1006621088759E-2</v>
      </c>
      <c r="H785" s="131">
        <v>6.3310735707201235E-2</v>
      </c>
      <c r="I785" s="131">
        <v>3.1138102944090873E-5</v>
      </c>
      <c r="J785" s="131">
        <v>1.5436150561735044E-3</v>
      </c>
      <c r="K785" s="132">
        <v>4.2294272673690196</v>
      </c>
      <c r="L785" s="133">
        <v>8.96505872339654</v>
      </c>
      <c r="M785" s="133">
        <v>6.8672784603867196</v>
      </c>
      <c r="N785" s="133">
        <v>1.4164338430858736E-3</v>
      </c>
      <c r="O785" s="131">
        <v>1.4164338430858736E-3</v>
      </c>
      <c r="P785" s="133">
        <v>113.70400000000001</v>
      </c>
      <c r="Q785" s="137"/>
      <c r="R785" s="135"/>
    </row>
    <row r="786" spans="1:18" x14ac:dyDescent="0.25">
      <c r="A786" s="127">
        <v>45518</v>
      </c>
      <c r="B786" s="128" t="s">
        <v>38</v>
      </c>
      <c r="C786" s="129" t="str">
        <f t="shared" si="25"/>
        <v>14.08.2024_BRAob</v>
      </c>
      <c r="D786" s="143">
        <f t="shared" si="26"/>
        <v>0</v>
      </c>
      <c r="E786" s="130">
        <v>1.0127335099254421E-5</v>
      </c>
      <c r="F786" s="131">
        <v>1.2768302557046199E-3</v>
      </c>
      <c r="G786" s="131">
        <v>1.7098351973085499E-2</v>
      </c>
      <c r="H786" s="131">
        <v>0.12122176285673561</v>
      </c>
      <c r="I786" s="131">
        <v>1.2197352275083834E-5</v>
      </c>
      <c r="J786" s="131">
        <v>8.8368985269406918E-3</v>
      </c>
      <c r="K786" s="132">
        <v>4.21108071236592</v>
      </c>
      <c r="L786" s="133">
        <v>13.2956486210474</v>
      </c>
      <c r="M786" s="133">
        <v>4.7541886762461401</v>
      </c>
      <c r="N786" s="133">
        <v>2.744218872923213E-3</v>
      </c>
      <c r="O786" s="131">
        <v>2.744218872923213E-3</v>
      </c>
      <c r="P786" s="133">
        <v>152.988</v>
      </c>
      <c r="Q786" s="137"/>
      <c r="R786" s="135"/>
    </row>
    <row r="787" spans="1:18" x14ac:dyDescent="0.25">
      <c r="A787" s="127">
        <v>45518</v>
      </c>
      <c r="B787" s="128" t="s">
        <v>41</v>
      </c>
      <c r="C787" s="129" t="str">
        <f t="shared" si="25"/>
        <v>14.08.2024_BRAohBo</v>
      </c>
      <c r="D787" s="143">
        <f t="shared" si="26"/>
        <v>0</v>
      </c>
      <c r="E787" s="130">
        <v>7.0112307920913599E-6</v>
      </c>
      <c r="F787" s="131">
        <v>2.1442569544154228E-3</v>
      </c>
      <c r="G787" s="131">
        <v>2.0575560671705014E-2</v>
      </c>
      <c r="H787" s="131">
        <v>7.7617093666265097E-2</v>
      </c>
      <c r="I787" s="131">
        <v>2.0030844405675546E-5</v>
      </c>
      <c r="J787" s="131">
        <v>1.4394188410976332E-3</v>
      </c>
      <c r="K787" s="132">
        <v>4.0978541535940103</v>
      </c>
      <c r="L787" s="133">
        <v>8.67608912713583</v>
      </c>
      <c r="M787" s="133">
        <v>4.7988221064263703</v>
      </c>
      <c r="N787" s="133">
        <v>1.7297126469311857E-3</v>
      </c>
      <c r="O787" s="131">
        <v>1.7297126469311857E-3</v>
      </c>
      <c r="P787" s="133">
        <v>103.944</v>
      </c>
      <c r="Q787" s="137"/>
      <c r="R787" s="135"/>
    </row>
    <row r="788" spans="1:18" x14ac:dyDescent="0.25">
      <c r="A788" s="127">
        <v>45518</v>
      </c>
      <c r="B788" s="128" t="s">
        <v>43</v>
      </c>
      <c r="C788" s="129" t="str">
        <f t="shared" si="25"/>
        <v>14.08.2024_HAAob</v>
      </c>
      <c r="D788" s="143">
        <f t="shared" si="26"/>
        <v>0</v>
      </c>
      <c r="E788" s="130">
        <v>7.4007436987014653E-6</v>
      </c>
      <c r="F788" s="131">
        <v>5.0990030030209144E-4</v>
      </c>
      <c r="G788" s="131">
        <v>7.7013771239753002E-3</v>
      </c>
      <c r="H788" s="131">
        <v>8.9784400078644952E-2</v>
      </c>
      <c r="I788" s="131">
        <v>9.5466088060629728E-6</v>
      </c>
      <c r="J788" s="131">
        <v>8.843033050611825E-4</v>
      </c>
      <c r="K788" s="132">
        <v>11.664899131444599</v>
      </c>
      <c r="L788" s="133">
        <v>17.735683603134401</v>
      </c>
      <c r="M788" s="133">
        <v>3.4998543975299898</v>
      </c>
      <c r="N788" s="133">
        <v>1.7571815650877362E-3</v>
      </c>
      <c r="O788" s="131">
        <v>1.7571815650877362E-3</v>
      </c>
      <c r="P788" s="133">
        <v>108.092</v>
      </c>
      <c r="Q788" s="137"/>
      <c r="R788" s="135"/>
    </row>
    <row r="789" spans="1:18" x14ac:dyDescent="0.25">
      <c r="A789" s="127">
        <v>45518</v>
      </c>
      <c r="B789" s="128" t="s">
        <v>45</v>
      </c>
      <c r="C789" s="129" t="str">
        <f t="shared" si="25"/>
        <v>14.08.2024_HAAun</v>
      </c>
      <c r="D789" s="143">
        <f t="shared" si="26"/>
        <v>0</v>
      </c>
      <c r="E789" s="130">
        <v>6.6217179945448873E-6</v>
      </c>
      <c r="F789" s="131">
        <v>5.0490733890642091E-4</v>
      </c>
      <c r="G789" s="131">
        <v>8.6784248969406959E-3</v>
      </c>
      <c r="H789" s="131">
        <v>0.15014545806523646</v>
      </c>
      <c r="I789" s="131">
        <v>9.4486967676167413E-6</v>
      </c>
      <c r="J789" s="131">
        <v>1.1749373728325769E-3</v>
      </c>
      <c r="K789" s="132">
        <v>24.398158895289701</v>
      </c>
      <c r="L789" s="133">
        <v>29.7005947753375</v>
      </c>
      <c r="M789" s="133">
        <v>6.3707406438255401</v>
      </c>
      <c r="N789" s="133">
        <v>3.1065301394791107E-3</v>
      </c>
      <c r="O789" s="131">
        <v>3.1065301394791107E-3</v>
      </c>
      <c r="P789" s="133">
        <v>179.828</v>
      </c>
      <c r="Q789" s="137"/>
      <c r="R789" s="135"/>
    </row>
    <row r="790" spans="1:18" x14ac:dyDescent="0.25">
      <c r="A790" s="127">
        <v>45518</v>
      </c>
      <c r="B790" s="128" t="s">
        <v>47</v>
      </c>
      <c r="C790" s="129" t="str">
        <f t="shared" si="25"/>
        <v>14.08.2024_KIRob</v>
      </c>
      <c r="D790" s="143">
        <f t="shared" si="26"/>
        <v>0</v>
      </c>
      <c r="E790" s="130">
        <v>1.1295873819084703E-5</v>
      </c>
      <c r="F790" s="131">
        <v>7.3446680867751647E-4</v>
      </c>
      <c r="G790" s="131">
        <v>5.6036031748660483E-3</v>
      </c>
      <c r="H790" s="131">
        <v>0.12477393710269939</v>
      </c>
      <c r="I790" s="131">
        <v>7.2246162546472011E-6</v>
      </c>
      <c r="J790" s="131">
        <v>9.2675996546338511E-4</v>
      </c>
      <c r="K790" s="132">
        <v>10.1662180640974</v>
      </c>
      <c r="L790" s="133">
        <v>0</v>
      </c>
      <c r="M790" s="133">
        <v>6.7141809108232096</v>
      </c>
      <c r="N790" s="133">
        <v>2.7209909349878137E-3</v>
      </c>
      <c r="O790" s="131">
        <v>2.7209909349878137E-3</v>
      </c>
      <c r="P790" s="133">
        <v>143.22799999999998</v>
      </c>
      <c r="Q790" s="137"/>
      <c r="R790" s="135"/>
    </row>
    <row r="791" spans="1:18" x14ac:dyDescent="0.25">
      <c r="A791" s="127">
        <v>45518</v>
      </c>
      <c r="B791" s="128" t="s">
        <v>49</v>
      </c>
      <c r="C791" s="129" t="str">
        <f t="shared" si="25"/>
        <v>14.08.2024_KIRun</v>
      </c>
      <c r="D791" s="143">
        <f t="shared" si="26"/>
        <v>0</v>
      </c>
      <c r="E791" s="130">
        <v>1.7528084505621764E-5</v>
      </c>
      <c r="F791" s="131">
        <v>7.3818899999917589E-4</v>
      </c>
      <c r="G791" s="131">
        <v>3.7644657297502527E-3</v>
      </c>
      <c r="H791" s="131">
        <v>0.1193890743387392</v>
      </c>
      <c r="I791" s="131">
        <v>1.5512578404649792E-5</v>
      </c>
      <c r="J791" s="131">
        <v>6.5724938238371047E-4</v>
      </c>
      <c r="K791" s="132">
        <v>9.2284378548633192</v>
      </c>
      <c r="L791" s="133">
        <v>45.827111537003198</v>
      </c>
      <c r="M791" s="133">
        <v>5.63221739007101</v>
      </c>
      <c r="N791" s="133">
        <v>2.5141310009916006E-3</v>
      </c>
      <c r="O791" s="131">
        <v>2.5141310009916006E-3</v>
      </c>
      <c r="P791" s="133">
        <v>157.38</v>
      </c>
      <c r="Q791" s="137"/>
      <c r="R791" s="135"/>
    </row>
    <row r="792" spans="1:18" x14ac:dyDescent="0.25">
      <c r="A792" s="127">
        <v>45518</v>
      </c>
      <c r="B792" s="128" t="s">
        <v>50</v>
      </c>
      <c r="C792" s="129" t="str">
        <f t="shared" si="25"/>
        <v>14.08.2024_LIEohBo</v>
      </c>
      <c r="D792" s="143">
        <f t="shared" si="26"/>
        <v>0</v>
      </c>
      <c r="E792" s="130">
        <v>8.5692824912408898E-6</v>
      </c>
      <c r="F792" s="131">
        <v>9.1279056475814413E-4</v>
      </c>
      <c r="G792" s="131">
        <v>5.4886581403420552E-3</v>
      </c>
      <c r="H792" s="131">
        <v>9.5789422573630836E-2</v>
      </c>
      <c r="I792" s="131">
        <v>9.9662525144204003E-6</v>
      </c>
      <c r="J792" s="131">
        <v>6.8884987862399046E-4</v>
      </c>
      <c r="K792" s="132">
        <v>8.9058978234107595</v>
      </c>
      <c r="L792" s="133">
        <v>21.770637790716599</v>
      </c>
      <c r="M792" s="133">
        <v>8.5052688949837894</v>
      </c>
      <c r="N792" s="133">
        <v>1.962719382472044E-3</v>
      </c>
      <c r="O792" s="131">
        <v>1.962719382472044E-3</v>
      </c>
      <c r="P792" s="133">
        <v>191.78400000000002</v>
      </c>
      <c r="Q792" s="137"/>
      <c r="R792" s="135"/>
    </row>
    <row r="793" spans="1:18" x14ac:dyDescent="0.25">
      <c r="A793" s="127">
        <v>45518</v>
      </c>
      <c r="B793" s="128" t="s">
        <v>53</v>
      </c>
      <c r="C793" s="129" t="str">
        <f t="shared" si="25"/>
        <v>14.08.2024_NATohBo</v>
      </c>
      <c r="D793" s="143">
        <f t="shared" si="26"/>
        <v>0</v>
      </c>
      <c r="E793" s="130">
        <v>8.1797695482762302E-6</v>
      </c>
      <c r="F793" s="131">
        <v>1.8307385152522137E-3</v>
      </c>
      <c r="G793" s="131">
        <v>7.3852737529973246E-3</v>
      </c>
      <c r="H793" s="131">
        <v>0.22725499960714202</v>
      </c>
      <c r="I793" s="131">
        <v>9.0570343585239163E-6</v>
      </c>
      <c r="J793" s="131">
        <v>8.7148216089710242E-4</v>
      </c>
      <c r="K793" s="132">
        <v>57.007942025407203</v>
      </c>
      <c r="L793" s="133">
        <v>0</v>
      </c>
      <c r="M793" s="133">
        <v>20.112907882675302</v>
      </c>
      <c r="N793" s="133">
        <v>4.6660638264625796E-3</v>
      </c>
      <c r="O793" s="131">
        <v>4.6660638264625796E-3</v>
      </c>
      <c r="P793" s="133">
        <v>254.73600000000002</v>
      </c>
      <c r="Q793" s="137"/>
      <c r="R793" s="135"/>
    </row>
    <row r="794" spans="1:18" x14ac:dyDescent="0.25">
      <c r="A794" s="127">
        <v>45518</v>
      </c>
      <c r="B794" s="128" t="s">
        <v>55</v>
      </c>
      <c r="C794" s="129" t="str">
        <f t="shared" si="25"/>
        <v>14.08.2024_QUAohBo</v>
      </c>
      <c r="D794" s="143">
        <f t="shared" si="26"/>
        <v>0</v>
      </c>
      <c r="E794" s="130">
        <v>9.7378217927441435E-6</v>
      </c>
      <c r="F794" s="131">
        <v>1.15669902376814E-3</v>
      </c>
      <c r="G794" s="131">
        <v>1.0345158084575038E-2</v>
      </c>
      <c r="H794" s="131">
        <v>0.10445947068769723</v>
      </c>
      <c r="I794" s="131">
        <v>8.9031601964802463E-6</v>
      </c>
      <c r="J794" s="131">
        <v>7.7445119818509323E-4</v>
      </c>
      <c r="K794" s="132">
        <v>5.1310641983000203</v>
      </c>
      <c r="L794" s="133">
        <v>19.387969055741902</v>
      </c>
      <c r="M794" s="133">
        <v>3.8721549186625102</v>
      </c>
      <c r="N794" s="133">
        <v>2.1795158433673217E-3</v>
      </c>
      <c r="O794" s="131">
        <v>2.1795158433673217E-3</v>
      </c>
      <c r="P794" s="133">
        <v>208.62</v>
      </c>
      <c r="Q794" s="137"/>
      <c r="R794" s="135"/>
    </row>
    <row r="795" spans="1:18" x14ac:dyDescent="0.25">
      <c r="A795" s="127">
        <v>45518</v>
      </c>
      <c r="B795" s="128" t="s">
        <v>57</v>
      </c>
      <c r="C795" s="129" t="str">
        <f t="shared" si="25"/>
        <v>14.08.2024_SCHohVo</v>
      </c>
      <c r="D795" s="143">
        <f t="shared" si="26"/>
        <v>0</v>
      </c>
      <c r="E795" s="130">
        <v>1.0127334553935949E-5</v>
      </c>
      <c r="F795" s="131">
        <v>1.0475277718850755E-3</v>
      </c>
      <c r="G795" s="131">
        <v>5.0578167868447273E-2</v>
      </c>
      <c r="H795" s="131">
        <v>8.2537143127937473E-2</v>
      </c>
      <c r="I795" s="131">
        <v>2.5164724162138307E-5</v>
      </c>
      <c r="J795" s="131">
        <v>1.4347202451517357E-3</v>
      </c>
      <c r="K795" s="132">
        <v>4.7277625863698196</v>
      </c>
      <c r="L795" s="133">
        <v>11.4593222019829</v>
      </c>
      <c r="M795" s="133">
        <v>2.4299051761354198</v>
      </c>
      <c r="N795" s="133">
        <v>2.0714755063199089E-3</v>
      </c>
      <c r="O795" s="131">
        <v>2.0714755063199089E-3</v>
      </c>
      <c r="P795" s="133">
        <v>132.24800000000002</v>
      </c>
      <c r="Q795" s="137"/>
      <c r="R795" s="135"/>
    </row>
    <row r="796" spans="1:18" x14ac:dyDescent="0.25">
      <c r="A796" s="127">
        <v>45518</v>
      </c>
      <c r="B796" s="128" t="s">
        <v>60</v>
      </c>
      <c r="C796" s="129" t="str">
        <f t="shared" si="25"/>
        <v>14.08.2024_VORohBo</v>
      </c>
      <c r="D796" s="143">
        <f t="shared" si="26"/>
        <v>0</v>
      </c>
      <c r="E796" s="130">
        <v>1.0906361348729354E-5</v>
      </c>
      <c r="F796" s="131">
        <v>7.6365888335289307E-4</v>
      </c>
      <c r="G796" s="131">
        <v>6.0346521480757354E-3</v>
      </c>
      <c r="H796" s="131">
        <v>0.14862911225804912</v>
      </c>
      <c r="I796" s="131">
        <v>6.2035014041032368E-6</v>
      </c>
      <c r="J796" s="131">
        <v>6.8643787106388869E-4</v>
      </c>
      <c r="K796" s="132">
        <v>11.7200066962109</v>
      </c>
      <c r="L796" s="133">
        <v>20.623912237120098</v>
      </c>
      <c r="M796" s="133">
        <v>6.3675513748790502</v>
      </c>
      <c r="N796" s="133">
        <v>3.4742088713520967E-3</v>
      </c>
      <c r="O796" s="131">
        <v>3.4742088713520967E-3</v>
      </c>
      <c r="P796" s="133">
        <v>168.11599999999999</v>
      </c>
      <c r="Q796" s="137"/>
      <c r="R796" s="135"/>
    </row>
    <row r="797" spans="1:18" x14ac:dyDescent="0.25">
      <c r="A797" s="127">
        <v>45518</v>
      </c>
      <c r="B797" s="128" t="s">
        <v>62</v>
      </c>
      <c r="C797" s="129" t="str">
        <f t="shared" si="25"/>
        <v>14.08.2024_VORuhSc</v>
      </c>
      <c r="D797" s="143">
        <f t="shared" si="26"/>
        <v>0</v>
      </c>
      <c r="E797" s="130">
        <v>7.0112311556368819E-6</v>
      </c>
      <c r="F797" s="131">
        <v>6.4747171374411312E-4</v>
      </c>
      <c r="G797" s="131">
        <v>7.9312713279253884E-3</v>
      </c>
      <c r="H797" s="131">
        <v>0.14318430982892336</v>
      </c>
      <c r="I797" s="131">
        <v>6.1545426847955989E-6</v>
      </c>
      <c r="J797" s="131">
        <v>8.5257031614850405E-4</v>
      </c>
      <c r="K797" s="132">
        <v>8.9175371449912806</v>
      </c>
      <c r="L797" s="133">
        <v>15.3799948500998</v>
      </c>
      <c r="M797" s="133">
        <v>4.2090544418928504</v>
      </c>
      <c r="N797" s="133">
        <v>3.4075216109455148E-3</v>
      </c>
      <c r="O797" s="131">
        <v>3.4075216109455148E-3</v>
      </c>
      <c r="P797" s="133">
        <v>182.024</v>
      </c>
      <c r="Q797" s="137"/>
      <c r="R797" s="135"/>
    </row>
    <row r="798" spans="1:18" x14ac:dyDescent="0.25">
      <c r="A798" s="127">
        <v>45518</v>
      </c>
      <c r="B798" s="128" t="s">
        <v>64</v>
      </c>
      <c r="C798" s="129" t="str">
        <f t="shared" si="25"/>
        <v>14.08.2024_WITob</v>
      </c>
      <c r="D798" s="143">
        <f t="shared" si="26"/>
        <v>0</v>
      </c>
      <c r="E798" s="130">
        <v>8.5692828547864804E-6</v>
      </c>
      <c r="F798" s="131">
        <v>6.1300061994267363E-4</v>
      </c>
      <c r="G798" s="131">
        <v>3.1610000898379272E-3</v>
      </c>
      <c r="H798" s="131">
        <v>0.20449955715482807</v>
      </c>
      <c r="I798" s="131">
        <v>8.994089032765268E-6</v>
      </c>
      <c r="J798" s="131">
        <v>6.5521901607472875E-4</v>
      </c>
      <c r="K798" s="132">
        <v>19.348035521171902</v>
      </c>
      <c r="L798" s="133">
        <v>0</v>
      </c>
      <c r="M798" s="133">
        <v>6.75180839922609</v>
      </c>
      <c r="N798" s="133">
        <v>4.1339027431130607E-3</v>
      </c>
      <c r="O798" s="131">
        <v>4.1339027431130607E-3</v>
      </c>
      <c r="P798" s="133">
        <v>267.18</v>
      </c>
      <c r="Q798" s="137"/>
      <c r="R798" s="135"/>
    </row>
    <row r="799" spans="1:18" x14ac:dyDescent="0.25">
      <c r="A799" s="127">
        <v>45544</v>
      </c>
      <c r="B799" s="128" t="s">
        <v>22</v>
      </c>
      <c r="C799" s="129" t="str">
        <f t="shared" si="25"/>
        <v>09.09.2024_BOYkl</v>
      </c>
      <c r="D799" s="143">
        <f t="shared" si="26"/>
        <v>0</v>
      </c>
      <c r="E799" s="130">
        <v>3.4403665187187859E-5</v>
      </c>
      <c r="F799" s="131">
        <v>1.7786105624880075E-3</v>
      </c>
      <c r="G799" s="131">
        <v>6.8604725166511501E-3</v>
      </c>
      <c r="H799" s="131">
        <v>3.7569377812244724E-3</v>
      </c>
      <c r="I799" s="131">
        <v>2.163090062791599E-5</v>
      </c>
      <c r="J799" s="131">
        <v>2.8287798324398822E-3</v>
      </c>
      <c r="K799" s="132">
        <v>5.1272710894841298</v>
      </c>
      <c r="L799" s="133">
        <v>13.4095849533931</v>
      </c>
      <c r="M799" s="133">
        <v>8.3661616002536299</v>
      </c>
      <c r="N799" s="133">
        <v>1.5567403983519839E-4</v>
      </c>
      <c r="O799" s="131">
        <v>1.5567403983519839E-4</v>
      </c>
      <c r="P799" s="133">
        <v>97.844000000000008</v>
      </c>
      <c r="Q799" s="137"/>
      <c r="R799" s="135"/>
    </row>
    <row r="800" spans="1:18" x14ac:dyDescent="0.25">
      <c r="A800" s="127">
        <v>45544</v>
      </c>
      <c r="B800" s="128" t="s">
        <v>25</v>
      </c>
      <c r="C800" s="129" t="str">
        <f t="shared" si="25"/>
        <v>09.09.2024_BOYohB224</v>
      </c>
      <c r="D800" s="143">
        <f t="shared" si="26"/>
        <v>0</v>
      </c>
      <c r="E800" s="130">
        <v>3.571286433009653E-6</v>
      </c>
      <c r="F800" s="131">
        <v>1.0445899523867646E-3</v>
      </c>
      <c r="G800" s="131">
        <v>1.3617356800988099E-2</v>
      </c>
      <c r="H800" s="131">
        <v>3.3536259047321939E-3</v>
      </c>
      <c r="I800" s="131">
        <v>2.2800166214170904E-5</v>
      </c>
      <c r="J800" s="131">
        <v>2.0203514373499619E-3</v>
      </c>
      <c r="K800" s="132">
        <v>15.2612068200833</v>
      </c>
      <c r="L800" s="133">
        <v>25.749358553410499</v>
      </c>
      <c r="M800" s="133">
        <v>7.6786992338642399</v>
      </c>
      <c r="N800" s="133">
        <v>3.8353310026493636E-4</v>
      </c>
      <c r="O800" s="131">
        <v>3.8353310026493636E-4</v>
      </c>
      <c r="P800" s="133">
        <v>193.73600000000002</v>
      </c>
      <c r="Q800" s="137"/>
      <c r="R800" s="135"/>
    </row>
    <row r="801" spans="1:18" x14ac:dyDescent="0.25">
      <c r="A801" s="127">
        <v>45544</v>
      </c>
      <c r="B801" s="128" t="s">
        <v>28</v>
      </c>
      <c r="C801" s="129" t="str">
        <f t="shared" si="25"/>
        <v>09.09.2024_BOYohBr</v>
      </c>
      <c r="D801" s="143">
        <f t="shared" si="26"/>
        <v>0</v>
      </c>
      <c r="E801" s="130">
        <v>9.1663140911179707E-6</v>
      </c>
      <c r="F801" s="131">
        <v>1.3131828344313085E-3</v>
      </c>
      <c r="G801" s="131">
        <v>7.3824727032706892E-3</v>
      </c>
      <c r="H801" s="131">
        <v>2.7069238892184137E-3</v>
      </c>
      <c r="I801" s="131">
        <v>1.1926111393413057E-5</v>
      </c>
      <c r="J801" s="131">
        <v>1.9429628266408707E-3</v>
      </c>
      <c r="K801" s="132">
        <v>7.4423090987376401</v>
      </c>
      <c r="L801" s="133">
        <v>19.947341941746799</v>
      </c>
      <c r="M801" s="133">
        <v>5.1490738981168001</v>
      </c>
      <c r="N801" s="133">
        <v>1.4585774793341233E-4</v>
      </c>
      <c r="O801" s="131">
        <v>1.4585774793341233E-4</v>
      </c>
      <c r="P801" s="133">
        <v>142.98399999999998</v>
      </c>
      <c r="Q801" s="137"/>
      <c r="R801" s="135"/>
    </row>
    <row r="802" spans="1:18" x14ac:dyDescent="0.25">
      <c r="A802" s="127">
        <v>45544</v>
      </c>
      <c r="B802" s="128" t="s">
        <v>30</v>
      </c>
      <c r="C802" s="129" t="str">
        <f t="shared" si="25"/>
        <v>09.09.2024_BOYohKi</v>
      </c>
      <c r="D802" s="143">
        <f t="shared" si="26"/>
        <v>0</v>
      </c>
      <c r="E802" s="130">
        <v>5.1783668753040607E-6</v>
      </c>
      <c r="F802" s="131">
        <v>9.9300278514036786E-4</v>
      </c>
      <c r="G802" s="131">
        <v>3.2448465117172203E-3</v>
      </c>
      <c r="H802" s="131">
        <v>3.8458355928952417E-3</v>
      </c>
      <c r="I802" s="131">
        <v>9.5096866349567358E-6</v>
      </c>
      <c r="J802" s="131">
        <v>2.4120604545356875E-3</v>
      </c>
      <c r="K802" s="132">
        <v>9.7555634297600307</v>
      </c>
      <c r="L802" s="133">
        <v>20.709243332828802</v>
      </c>
      <c r="M802" s="133">
        <v>5.4904739204332103</v>
      </c>
      <c r="N802" s="133">
        <v>2.2425092549477099E-4</v>
      </c>
      <c r="O802" s="131">
        <v>2.2425092549477099E-4</v>
      </c>
      <c r="P802" s="133">
        <v>203.98399999999998</v>
      </c>
      <c r="Q802" s="137"/>
      <c r="R802" s="135"/>
    </row>
    <row r="803" spans="1:18" x14ac:dyDescent="0.25">
      <c r="A803" s="127">
        <v>45544</v>
      </c>
      <c r="B803" s="128" t="s">
        <v>32</v>
      </c>
      <c r="C803" s="129" t="str">
        <f t="shared" si="25"/>
        <v>09.09.2024_BOYohSp</v>
      </c>
      <c r="D803" s="143">
        <f t="shared" si="26"/>
        <v>0</v>
      </c>
      <c r="E803" s="130">
        <v>7.3806652331549002E-6</v>
      </c>
      <c r="F803" s="131">
        <v>1.1029058671564265E-3</v>
      </c>
      <c r="G803" s="131">
        <v>6.7591784020800899E-3</v>
      </c>
      <c r="H803" s="131">
        <v>3.2253573468575421E-3</v>
      </c>
      <c r="I803" s="131">
        <v>9.6655860399728547E-6</v>
      </c>
      <c r="J803" s="131">
        <v>1.4524443123547178E-3</v>
      </c>
      <c r="K803" s="132">
        <v>7.4974410091946702</v>
      </c>
      <c r="L803" s="133">
        <v>23.715667688113399</v>
      </c>
      <c r="M803" s="133">
        <v>5.0847164519695296</v>
      </c>
      <c r="N803" s="133">
        <v>2.073830672396707E-4</v>
      </c>
      <c r="O803" s="131">
        <v>2.073830672396707E-4</v>
      </c>
      <c r="P803" s="133">
        <v>178.852</v>
      </c>
      <c r="Q803" s="137"/>
      <c r="R803" s="135"/>
    </row>
    <row r="804" spans="1:18" x14ac:dyDescent="0.25">
      <c r="A804" s="127">
        <v>45544</v>
      </c>
      <c r="B804" s="128" t="s">
        <v>34</v>
      </c>
      <c r="C804" s="129" t="str">
        <f t="shared" si="25"/>
        <v>09.09.2024_BOYuhHa</v>
      </c>
      <c r="D804" s="143">
        <f t="shared" si="26"/>
        <v>0</v>
      </c>
      <c r="E804" s="130">
        <v>3.9284149590925334E-6</v>
      </c>
      <c r="F804" s="131">
        <v>9.9132059559915915E-4</v>
      </c>
      <c r="G804" s="131">
        <v>4.4910892420166708E-3</v>
      </c>
      <c r="H804" s="131">
        <v>3.6232947787939269E-3</v>
      </c>
      <c r="I804" s="131">
        <v>9.5096861984384741E-6</v>
      </c>
      <c r="J804" s="131">
        <v>1.5524522881459099E-3</v>
      </c>
      <c r="K804" s="132">
        <v>18.122346286389298</v>
      </c>
      <c r="L804" s="133">
        <v>32.471393022557997</v>
      </c>
      <c r="M804" s="133">
        <v>6.3922123638935</v>
      </c>
      <c r="N804" s="133">
        <v>2.3365279907771436E-4</v>
      </c>
      <c r="O804" s="131">
        <v>2.3365279907771436E-4</v>
      </c>
      <c r="P804" s="133">
        <v>301.584</v>
      </c>
      <c r="Q804" s="137"/>
      <c r="R804" s="135"/>
    </row>
    <row r="805" spans="1:18" x14ac:dyDescent="0.25">
      <c r="A805" s="127">
        <v>45544</v>
      </c>
      <c r="B805" s="128" t="s">
        <v>36</v>
      </c>
      <c r="C805" s="129" t="str">
        <f t="shared" si="25"/>
        <v>09.09.2024_BOYuhSp</v>
      </c>
      <c r="D805" s="143">
        <f t="shared" si="26"/>
        <v>0</v>
      </c>
      <c r="E805" s="130">
        <v>4.7021950072127889E-6</v>
      </c>
      <c r="F805" s="131">
        <v>9.7169511093496939E-4</v>
      </c>
      <c r="G805" s="131">
        <v>1.41414297593056E-2</v>
      </c>
      <c r="H805" s="131">
        <v>2.8208694987794684E-3</v>
      </c>
      <c r="I805" s="131">
        <v>1.0951746771231206E-5</v>
      </c>
      <c r="J805" s="131">
        <v>1.2917184663441279E-3</v>
      </c>
      <c r="K805" s="132">
        <v>5.9589081708035003</v>
      </c>
      <c r="L805" s="133">
        <v>19.461613240496</v>
      </c>
      <c r="M805" s="133">
        <v>4.1348517020708897</v>
      </c>
      <c r="N805" s="133">
        <v>1.8609099984396861E-4</v>
      </c>
      <c r="O805" s="131">
        <v>1.8609099984396861E-4</v>
      </c>
      <c r="P805" s="133">
        <v>136.15200000000002</v>
      </c>
      <c r="Q805" s="137"/>
      <c r="R805" s="135"/>
    </row>
    <row r="806" spans="1:18" x14ac:dyDescent="0.25">
      <c r="A806" s="127">
        <v>45544</v>
      </c>
      <c r="B806" s="128" t="s">
        <v>38</v>
      </c>
      <c r="C806" s="129" t="str">
        <f t="shared" si="25"/>
        <v>09.09.2024_BRAob</v>
      </c>
      <c r="D806" s="143">
        <f t="shared" si="26"/>
        <v>0</v>
      </c>
      <c r="E806" s="130">
        <v>5.1188453681823893E-6</v>
      </c>
      <c r="F806" s="131">
        <v>6.5096440475663291E-4</v>
      </c>
      <c r="G806" s="131">
        <v>1.0408881475907799E-2</v>
      </c>
      <c r="H806" s="131">
        <v>2.7409286679162931E-3</v>
      </c>
      <c r="I806" s="131">
        <v>1.2588680397601549E-5</v>
      </c>
      <c r="J806" s="131">
        <v>8.059762749129299E-4</v>
      </c>
      <c r="K806" s="132">
        <v>4.53216019170425</v>
      </c>
      <c r="L806" s="133">
        <v>15.574650771948299</v>
      </c>
      <c r="M806" s="133">
        <v>3.0910759979331899</v>
      </c>
      <c r="N806" s="133">
        <v>2.3157880628966253E-4</v>
      </c>
      <c r="O806" s="131">
        <v>2.3157880628966253E-4</v>
      </c>
      <c r="P806" s="133">
        <v>151.28</v>
      </c>
      <c r="Q806" s="137"/>
      <c r="R806" s="135"/>
    </row>
    <row r="807" spans="1:18" x14ac:dyDescent="0.25">
      <c r="A807" s="127">
        <v>45544</v>
      </c>
      <c r="B807" s="128" t="s">
        <v>41</v>
      </c>
      <c r="C807" s="129" t="str">
        <f t="shared" si="25"/>
        <v>09.09.2024_BRAohBo</v>
      </c>
      <c r="D807" s="143">
        <f t="shared" si="26"/>
        <v>0</v>
      </c>
      <c r="E807" s="130">
        <v>5.1188457570568815E-6</v>
      </c>
      <c r="F807" s="131">
        <v>8.432895541070737E-4</v>
      </c>
      <c r="G807" s="131">
        <v>1.00310437720056E-2</v>
      </c>
      <c r="H807" s="131">
        <v>2.9026010164292376E-3</v>
      </c>
      <c r="I807" s="131">
        <v>1.344612541098066E-5</v>
      </c>
      <c r="J807" s="131">
        <v>9.4526887297908732E-4</v>
      </c>
      <c r="K807" s="132">
        <v>4.4488591810181699</v>
      </c>
      <c r="L807" s="133">
        <v>13.6454414668183</v>
      </c>
      <c r="M807" s="133">
        <v>3.5376824572837098</v>
      </c>
      <c r="N807" s="133">
        <v>1.8443187319262515E-4</v>
      </c>
      <c r="O807" s="131">
        <v>1.8443187319262515E-4</v>
      </c>
      <c r="P807" s="133">
        <v>149.572</v>
      </c>
      <c r="Q807" s="137"/>
      <c r="R807" s="135"/>
    </row>
    <row r="808" spans="1:18" x14ac:dyDescent="0.25">
      <c r="A808" s="127">
        <v>45544</v>
      </c>
      <c r="B808" s="128" t="s">
        <v>43</v>
      </c>
      <c r="C808" s="129" t="str">
        <f t="shared" si="25"/>
        <v>09.09.2024_HAAob</v>
      </c>
      <c r="D808" s="143">
        <f t="shared" si="26"/>
        <v>0</v>
      </c>
      <c r="E808" s="130">
        <v>2.8570282142215643E-6</v>
      </c>
      <c r="F808" s="131">
        <v>8.9992237164239442E-4</v>
      </c>
      <c r="G808" s="131">
        <v>8.2417312121130584E-3</v>
      </c>
      <c r="H808" s="131">
        <v>3.1531685021726412E-3</v>
      </c>
      <c r="I808" s="131">
        <v>1.0912771640331499E-5</v>
      </c>
      <c r="J808" s="131">
        <v>2.8680707531937842E-3</v>
      </c>
      <c r="K808" s="132">
        <v>15.2166655943352</v>
      </c>
      <c r="L808" s="133">
        <v>21.131140575532701</v>
      </c>
      <c r="M808" s="133">
        <v>4.3387566645203703</v>
      </c>
      <c r="N808" s="133">
        <v>1.4848464150175793E-4</v>
      </c>
      <c r="O808" s="131">
        <v>1.4848464150175793E-4</v>
      </c>
      <c r="P808" s="133">
        <v>152.5</v>
      </c>
      <c r="Q808" s="137"/>
      <c r="R808" s="135"/>
    </row>
    <row r="809" spans="1:18" x14ac:dyDescent="0.25">
      <c r="A809" s="127">
        <v>45544</v>
      </c>
      <c r="B809" s="128" t="s">
        <v>45</v>
      </c>
      <c r="C809" s="129" t="str">
        <f t="shared" si="25"/>
        <v>09.09.2024_HAAun</v>
      </c>
      <c r="D809" s="143">
        <f t="shared" si="26"/>
        <v>0</v>
      </c>
      <c r="E809" s="130">
        <v>4.1069795082342279E-6</v>
      </c>
      <c r="F809" s="131">
        <v>1.124213737976178E-3</v>
      </c>
      <c r="G809" s="131">
        <v>8.0765843656676901E-3</v>
      </c>
      <c r="H809" s="131">
        <v>3.6232943119916088E-3</v>
      </c>
      <c r="I809" s="131">
        <v>7.9117351692612249E-6</v>
      </c>
      <c r="J809" s="131">
        <v>2.4168228552319286E-3</v>
      </c>
      <c r="K809" s="132">
        <v>30.6187028048044</v>
      </c>
      <c r="L809" s="133">
        <v>33.559283489625201</v>
      </c>
      <c r="M809" s="133">
        <v>6.9290734762120803</v>
      </c>
      <c r="N809" s="133">
        <v>2.0517089897336368E-4</v>
      </c>
      <c r="O809" s="131">
        <v>2.0517089897336368E-4</v>
      </c>
      <c r="P809" s="133">
        <v>213.744</v>
      </c>
      <c r="Q809" s="137"/>
      <c r="R809" s="135"/>
    </row>
    <row r="810" spans="1:18" x14ac:dyDescent="0.25">
      <c r="A810" s="127">
        <v>45544</v>
      </c>
      <c r="B810" s="128" t="s">
        <v>47</v>
      </c>
      <c r="C810" s="129" t="str">
        <f t="shared" si="25"/>
        <v>09.09.2024_KIRob</v>
      </c>
      <c r="D810" s="143">
        <f t="shared" si="26"/>
        <v>0</v>
      </c>
      <c r="E810" s="130">
        <v>2.892761902280073E-5</v>
      </c>
      <c r="F810" s="131">
        <v>9.5711635739996405E-4</v>
      </c>
      <c r="G810" s="131">
        <v>8.4655581752795285E-3</v>
      </c>
      <c r="H810" s="131">
        <v>3.5290292295849265E-3</v>
      </c>
      <c r="I810" s="131">
        <v>2.4320259235579388E-5</v>
      </c>
      <c r="J810" s="131">
        <v>1.38101104594383E-3</v>
      </c>
      <c r="K810" s="132">
        <v>11.968270425698901</v>
      </c>
      <c r="L810" s="133">
        <v>64.759443550952597</v>
      </c>
      <c r="M810" s="133">
        <v>6.5328314971451604</v>
      </c>
      <c r="N810" s="133">
        <v>4.2667365499258423E-4</v>
      </c>
      <c r="O810" s="131">
        <v>4.2667365499258423E-4</v>
      </c>
      <c r="P810" s="133">
        <v>164.70000000000002</v>
      </c>
      <c r="Q810" s="137"/>
      <c r="R810" s="135"/>
    </row>
    <row r="811" spans="1:18" x14ac:dyDescent="0.25">
      <c r="A811" s="127">
        <v>45544</v>
      </c>
      <c r="B811" s="128" t="s">
        <v>49</v>
      </c>
      <c r="C811" s="129" t="str">
        <f t="shared" si="25"/>
        <v>09.09.2024_KIRun</v>
      </c>
      <c r="D811" s="143">
        <f t="shared" si="26"/>
        <v>0</v>
      </c>
      <c r="E811" s="130">
        <v>1.0398683291898228E-4</v>
      </c>
      <c r="F811" s="131">
        <v>1.36645465411811E-3</v>
      </c>
      <c r="G811" s="131">
        <v>5.7368659783309794E-3</v>
      </c>
      <c r="H811" s="131">
        <v>3.2665221916642925E-3</v>
      </c>
      <c r="I811" s="131">
        <v>8.4814304931493391E-5</v>
      </c>
      <c r="J811" s="131">
        <v>2.2953814224386917E-3</v>
      </c>
      <c r="K811" s="132">
        <v>11.538796701400001</v>
      </c>
      <c r="L811" s="133">
        <v>49.796629744955801</v>
      </c>
      <c r="M811" s="133">
        <v>5.7085078313110102</v>
      </c>
      <c r="N811" s="133">
        <v>2.9352096158572784E-4</v>
      </c>
      <c r="O811" s="131">
        <v>2.9352096158572784E-4</v>
      </c>
      <c r="P811" s="133">
        <v>207.4</v>
      </c>
      <c r="Q811" s="137"/>
      <c r="R811" s="135"/>
    </row>
    <row r="812" spans="1:18" x14ac:dyDescent="0.25">
      <c r="A812" s="127">
        <v>45544</v>
      </c>
      <c r="B812" s="128" t="s">
        <v>50</v>
      </c>
      <c r="C812" s="129" t="str">
        <f t="shared" si="25"/>
        <v>09.09.2024_LIEohBo</v>
      </c>
      <c r="D812" s="143">
        <f t="shared" si="26"/>
        <v>0</v>
      </c>
      <c r="E812" s="130">
        <v>4.8807594174706865E-6</v>
      </c>
      <c r="F812" s="131">
        <v>9.4365881830399997E-4</v>
      </c>
      <c r="G812" s="131">
        <v>1.0750558249527999E-2</v>
      </c>
      <c r="H812" s="131">
        <v>3.5099378908466324E-3</v>
      </c>
      <c r="I812" s="131">
        <v>1.5005119679506507E-5</v>
      </c>
      <c r="J812" s="131">
        <v>1.3179107950665213E-3</v>
      </c>
      <c r="K812" s="132">
        <v>10.156758996641001</v>
      </c>
      <c r="L812" s="133">
        <v>23.277810664543601</v>
      </c>
      <c r="M812" s="133">
        <v>8.5950032325304004</v>
      </c>
      <c r="N812" s="133">
        <v>2.5563651246215616E-4</v>
      </c>
      <c r="O812" s="131">
        <v>2.5563651246215616E-4</v>
      </c>
      <c r="P812" s="133">
        <v>244.73199999999997</v>
      </c>
      <c r="Q812" s="137"/>
      <c r="R812" s="135"/>
    </row>
    <row r="813" spans="1:18" x14ac:dyDescent="0.25">
      <c r="A813" s="127">
        <v>45544</v>
      </c>
      <c r="B813" s="128" t="s">
        <v>53</v>
      </c>
      <c r="C813" s="129" t="str">
        <f t="shared" si="25"/>
        <v>09.09.2024_NATohBo</v>
      </c>
      <c r="D813" s="143">
        <f t="shared" si="26"/>
        <v>0</v>
      </c>
      <c r="E813" s="130">
        <v>1.2142399374630724E-5</v>
      </c>
      <c r="F813" s="131">
        <v>1.1886984182700819E-3</v>
      </c>
      <c r="G813" s="131">
        <v>6.6443489001792901E-3</v>
      </c>
      <c r="H813" s="131">
        <v>4.7611037024001572E-3</v>
      </c>
      <c r="I813" s="131">
        <v>9.5096861984384741E-6</v>
      </c>
      <c r="J813" s="131">
        <v>2.5013566811277546E-3</v>
      </c>
      <c r="K813" s="132">
        <v>63.485761538008099</v>
      </c>
      <c r="L813" s="133">
        <v>148.530446927675</v>
      </c>
      <c r="M813" s="133">
        <v>16.546325653213099</v>
      </c>
      <c r="N813" s="133">
        <v>2.9545660994621396E-4</v>
      </c>
      <c r="O813" s="131">
        <v>2.9545660994621396E-4</v>
      </c>
      <c r="P813" s="133">
        <v>350.62799999999999</v>
      </c>
      <c r="Q813" s="137"/>
      <c r="R813" s="135"/>
    </row>
    <row r="814" spans="1:18" x14ac:dyDescent="0.25">
      <c r="A814" s="127">
        <v>45544</v>
      </c>
      <c r="B814" s="128" t="s">
        <v>55</v>
      </c>
      <c r="C814" s="129" t="str">
        <f t="shared" si="25"/>
        <v>09.09.2024_QUAohBo</v>
      </c>
      <c r="D814" s="143">
        <f t="shared" si="26"/>
        <v>0</v>
      </c>
      <c r="E814" s="130">
        <v>5.4164531704475137E-6</v>
      </c>
      <c r="F814" s="131">
        <v>7.317069076564971E-4</v>
      </c>
      <c r="G814" s="131">
        <v>6.7107375827797095E-3</v>
      </c>
      <c r="H814" s="131">
        <v>2.6156491910882792E-3</v>
      </c>
      <c r="I814" s="131">
        <v>1.1263543080379719E-5</v>
      </c>
      <c r="J814" s="131">
        <v>1.4810178779090459E-3</v>
      </c>
      <c r="K814" s="132">
        <v>6.5989559606709802</v>
      </c>
      <c r="L814" s="133">
        <v>25.441846420309499</v>
      </c>
      <c r="M814" s="133">
        <v>3.66352899718972</v>
      </c>
      <c r="N814" s="133">
        <v>2.3766233978395616E-4</v>
      </c>
      <c r="O814" s="131">
        <v>2.3766233978395616E-4</v>
      </c>
      <c r="P814" s="133">
        <v>272.548</v>
      </c>
      <c r="Q814" s="137"/>
      <c r="R814" s="135"/>
    </row>
    <row r="815" spans="1:18" x14ac:dyDescent="0.25">
      <c r="A815" s="127">
        <v>45544</v>
      </c>
      <c r="B815" s="128" t="s">
        <v>57</v>
      </c>
      <c r="C815" s="129" t="str">
        <f t="shared" si="25"/>
        <v>09.09.2024_SCHohVo</v>
      </c>
      <c r="D815" s="143">
        <f t="shared" si="26"/>
        <v>0</v>
      </c>
      <c r="E815" s="130">
        <v>3.1427549026664791E-5</v>
      </c>
      <c r="F815" s="131">
        <v>1.334491454483409E-3</v>
      </c>
      <c r="G815" s="131">
        <v>7.5852119936643106E-2</v>
      </c>
      <c r="H815" s="131">
        <v>6.3137647836898235E-3</v>
      </c>
      <c r="I815" s="131">
        <v>5.0395626083717233E-5</v>
      </c>
      <c r="J815" s="131">
        <v>4.6386247717879088E-3</v>
      </c>
      <c r="K815" s="132">
        <v>5.7299371357867201</v>
      </c>
      <c r="L815" s="133">
        <v>15.241235409706</v>
      </c>
      <c r="M815" s="133">
        <v>2.8434131238812901</v>
      </c>
      <c r="N815" s="133">
        <v>6.7142657441961271E-4</v>
      </c>
      <c r="O815" s="131">
        <v>6.7142657441961271E-4</v>
      </c>
      <c r="P815" s="133">
        <v>172.75199999999998</v>
      </c>
      <c r="Q815" s="137"/>
      <c r="R815" s="135"/>
    </row>
    <row r="816" spans="1:18" x14ac:dyDescent="0.25">
      <c r="A816" s="127">
        <v>45544</v>
      </c>
      <c r="B816" s="128" t="s">
        <v>60</v>
      </c>
      <c r="C816" s="129" t="str">
        <f t="shared" si="25"/>
        <v>09.09.2024_VORohBo</v>
      </c>
      <c r="D816" s="143">
        <f t="shared" si="26"/>
        <v>0</v>
      </c>
      <c r="E816" s="130">
        <v>9.1067934617448593E-6</v>
      </c>
      <c r="F816" s="131">
        <v>5.8536159140314971E-4</v>
      </c>
      <c r="G816" s="131">
        <v>4.7553980362418898E-3</v>
      </c>
      <c r="H816" s="131">
        <v>4.2885442404044802E-3</v>
      </c>
      <c r="I816" s="131">
        <v>1.5706671590197732E-5</v>
      </c>
      <c r="J816" s="131">
        <v>1.5179256693105033E-3</v>
      </c>
      <c r="K816" s="132">
        <v>14.1242075058772</v>
      </c>
      <c r="L816" s="133">
        <v>24.578163763145401</v>
      </c>
      <c r="M816" s="133">
        <v>7.0548228945838103</v>
      </c>
      <c r="N816" s="133">
        <v>5.1821133442331638E-4</v>
      </c>
      <c r="O816" s="131">
        <v>5.1821133442331638E-4</v>
      </c>
      <c r="P816" s="133">
        <v>292.8</v>
      </c>
      <c r="Q816" s="137"/>
      <c r="R816" s="135"/>
    </row>
    <row r="817" spans="1:18" x14ac:dyDescent="0.25">
      <c r="A817" s="127">
        <v>45544</v>
      </c>
      <c r="B817" s="128" t="s">
        <v>62</v>
      </c>
      <c r="C817" s="129" t="str">
        <f t="shared" si="25"/>
        <v>09.09.2024_VORuhSc</v>
      </c>
      <c r="D817" s="143">
        <f t="shared" si="26"/>
        <v>0</v>
      </c>
      <c r="E817" s="130">
        <v>9.8210611802238048E-6</v>
      </c>
      <c r="F817" s="131">
        <v>4.7882789549244168E-4</v>
      </c>
      <c r="G817" s="131">
        <v>6.88008947235499E-3</v>
      </c>
      <c r="H817" s="131">
        <v>3.5302221523386182E-3</v>
      </c>
      <c r="I817" s="131">
        <v>3.9481969876753464E-5</v>
      </c>
      <c r="J817" s="131">
        <v>1.395297255698197E-3</v>
      </c>
      <c r="K817" s="132">
        <v>14.7424600894291</v>
      </c>
      <c r="L817" s="133">
        <v>22.922376060842399</v>
      </c>
      <c r="M817" s="133">
        <v>5.8925353567895398</v>
      </c>
      <c r="N817" s="133">
        <v>5.1295682475982799E-4</v>
      </c>
      <c r="O817" s="131">
        <v>5.1295682475982799E-4</v>
      </c>
      <c r="P817" s="133">
        <v>278.15999999999997</v>
      </c>
      <c r="Q817" s="137"/>
      <c r="R817" s="135"/>
    </row>
    <row r="818" spans="1:18" x14ac:dyDescent="0.25">
      <c r="A818" s="127">
        <v>45544</v>
      </c>
      <c r="B818" s="128" t="s">
        <v>64</v>
      </c>
      <c r="C818" s="129" t="str">
        <f t="shared" si="25"/>
        <v>09.09.2024_WITob</v>
      </c>
      <c r="D818" s="143">
        <f t="shared" si="26"/>
        <v>0</v>
      </c>
      <c r="E818" s="130">
        <v>5.8926255718524733E-6</v>
      </c>
      <c r="F818" s="131">
        <v>7.5749982202890493E-4</v>
      </c>
      <c r="G818" s="131">
        <v>2.1888342480232202E-3</v>
      </c>
      <c r="H818" s="131">
        <v>4.453221792580145E-3</v>
      </c>
      <c r="I818" s="131">
        <v>1.7226695184016216E-5</v>
      </c>
      <c r="J818" s="131">
        <v>2.0584502882423092E-3</v>
      </c>
      <c r="K818" s="132">
        <v>20.8219649912653</v>
      </c>
      <c r="L818" s="133">
        <v>49.011784423812998</v>
      </c>
      <c r="M818" s="133">
        <v>6.2022505086447701</v>
      </c>
      <c r="N818" s="133">
        <v>2.3724754776485439E-4</v>
      </c>
      <c r="O818" s="131">
        <v>2.3724754776485439E-4</v>
      </c>
      <c r="P818" s="133">
        <v>335.25600000000003</v>
      </c>
      <c r="Q818" s="137"/>
      <c r="R818" s="135"/>
    </row>
    <row r="819" spans="1:18" x14ac:dyDescent="0.25">
      <c r="A819" s="127">
        <v>45575</v>
      </c>
      <c r="B819" s="128" t="s">
        <v>22</v>
      </c>
      <c r="C819" s="129" t="str">
        <f t="shared" si="25"/>
        <v>10.10.2024_BOYkl</v>
      </c>
      <c r="D819" s="143">
        <f t="shared" si="26"/>
        <v>0</v>
      </c>
      <c r="E819" s="130">
        <v>8.5353545177777184E-5</v>
      </c>
      <c r="F819" s="131">
        <v>4.8492679307103647E-3</v>
      </c>
      <c r="G819" s="131">
        <v>2.7930759047355997E-2</v>
      </c>
      <c r="H819" s="131">
        <v>2.9715132236198295E-3</v>
      </c>
      <c r="I819" s="131">
        <v>1.187016686432399E-4</v>
      </c>
      <c r="J819" s="131">
        <v>7.6577003441345411E-3</v>
      </c>
      <c r="K819" s="132">
        <v>3.5077572489136499</v>
      </c>
      <c r="L819" s="133">
        <v>7.0055864275025401</v>
      </c>
      <c r="M819" s="133">
        <v>7.44300014928446</v>
      </c>
      <c r="N819" s="133">
        <v>3.8237562057556902E-4</v>
      </c>
      <c r="O819" s="131">
        <v>3.8237562057556902E-4</v>
      </c>
      <c r="P819" s="133">
        <v>87.596000000000004</v>
      </c>
      <c r="Q819" s="137"/>
      <c r="R819" s="135"/>
    </row>
    <row r="820" spans="1:18" x14ac:dyDescent="0.25">
      <c r="A820" s="127">
        <v>45575</v>
      </c>
      <c r="B820" s="128" t="s">
        <v>25</v>
      </c>
      <c r="C820" s="129" t="str">
        <f t="shared" si="25"/>
        <v>10.10.2024_BOYohB224</v>
      </c>
      <c r="D820" s="143">
        <f t="shared" si="26"/>
        <v>0</v>
      </c>
      <c r="E820" s="130">
        <v>1.5117107159777919E-5</v>
      </c>
      <c r="F820" s="131">
        <v>3.1398885383014329E-3</v>
      </c>
      <c r="G820" s="131">
        <v>2.57998369966475E-2</v>
      </c>
      <c r="H820" s="131">
        <v>2.0430944413200648E-3</v>
      </c>
      <c r="I820" s="131">
        <v>5.276728649453011E-5</v>
      </c>
      <c r="J820" s="131">
        <v>3.8363177798478852E-3</v>
      </c>
      <c r="K820" s="132">
        <v>3.6623339230386001</v>
      </c>
      <c r="L820" s="133">
        <v>9.3495935355556803</v>
      </c>
      <c r="M820" s="133">
        <v>5.5744384083872696</v>
      </c>
      <c r="N820" s="133">
        <v>3.3274634377193554E-4</v>
      </c>
      <c r="O820" s="131">
        <v>3.3274634377193554E-4</v>
      </c>
      <c r="P820" s="133">
        <v>93.207999999999998</v>
      </c>
      <c r="Q820" s="137"/>
      <c r="R820" s="135"/>
    </row>
    <row r="821" spans="1:18" x14ac:dyDescent="0.25">
      <c r="A821" s="127">
        <v>45575</v>
      </c>
      <c r="B821" s="128" t="s">
        <v>28</v>
      </c>
      <c r="C821" s="129" t="str">
        <f t="shared" si="25"/>
        <v>10.10.2024_BOYohBr</v>
      </c>
      <c r="D821" s="143">
        <f t="shared" si="26"/>
        <v>0</v>
      </c>
      <c r="E821" s="130">
        <v>5.4672071880363926E-5</v>
      </c>
      <c r="F821" s="131">
        <v>6.9567191360330183E-3</v>
      </c>
      <c r="G821" s="131">
        <v>3.5027779032442599E-2</v>
      </c>
      <c r="H821" s="131">
        <v>3.4456556710569454E-3</v>
      </c>
      <c r="I821" s="131">
        <v>1.0597965205943722E-4</v>
      </c>
      <c r="J821" s="131">
        <v>9.541859145840435E-3</v>
      </c>
      <c r="K821" s="132">
        <v>3.4465709450141699</v>
      </c>
      <c r="L821" s="133">
        <v>5.5647867075941404</v>
      </c>
      <c r="M821" s="133">
        <v>6.8023656954989304</v>
      </c>
      <c r="N821" s="133">
        <v>3.6020545378629424E-4</v>
      </c>
      <c r="O821" s="131">
        <v>3.6020545378629424E-4</v>
      </c>
      <c r="P821" s="133">
        <v>92.475999999999999</v>
      </c>
      <c r="Q821" s="137"/>
      <c r="R821" s="135"/>
    </row>
    <row r="822" spans="1:18" x14ac:dyDescent="0.25">
      <c r="A822" s="127">
        <v>45575</v>
      </c>
      <c r="B822" s="128" t="s">
        <v>30</v>
      </c>
      <c r="C822" s="129" t="str">
        <f t="shared" si="25"/>
        <v>10.10.2024_BOYohKi</v>
      </c>
      <c r="D822" s="143">
        <f t="shared" si="26"/>
        <v>0</v>
      </c>
      <c r="E822" s="130">
        <v>2.3723675104488866E-5</v>
      </c>
      <c r="F822" s="131">
        <v>3.4881463981459074E-3</v>
      </c>
      <c r="G822" s="131">
        <v>3.8337250281278698E-2</v>
      </c>
      <c r="H822" s="131">
        <v>2.4622573752985169E-3</v>
      </c>
      <c r="I822" s="131">
        <v>9.0052387243102369E-5</v>
      </c>
      <c r="J822" s="131">
        <v>3.4715275272916828E-3</v>
      </c>
      <c r="K822" s="132">
        <v>3.5507359250442398</v>
      </c>
      <c r="L822" s="133">
        <v>9.8823583409509492</v>
      </c>
      <c r="M822" s="133">
        <v>7.0997316208496004</v>
      </c>
      <c r="N822" s="133">
        <v>4.7375967973679883E-4</v>
      </c>
      <c r="O822" s="131">
        <v>4.7375967973679883E-4</v>
      </c>
      <c r="P822" s="133">
        <v>100.03999999999999</v>
      </c>
      <c r="Q822" s="137"/>
      <c r="R822" s="135"/>
    </row>
    <row r="823" spans="1:18" x14ac:dyDescent="0.25">
      <c r="A823" s="127">
        <v>45575</v>
      </c>
      <c r="B823" s="128" t="s">
        <v>32</v>
      </c>
      <c r="C823" s="129" t="str">
        <f t="shared" si="25"/>
        <v>10.10.2024_BOYohSp</v>
      </c>
      <c r="D823" s="143">
        <f t="shared" si="26"/>
        <v>0</v>
      </c>
      <c r="E823" s="130">
        <v>3.9331567730105169E-5</v>
      </c>
      <c r="F823" s="131">
        <v>4.9190092566182043E-3</v>
      </c>
      <c r="G823" s="131">
        <v>3.6645795538724199E-2</v>
      </c>
      <c r="H823" s="131">
        <v>2.7057468807818188E-3</v>
      </c>
      <c r="I823" s="131">
        <v>7.4901765482003813E-5</v>
      </c>
      <c r="J823" s="131">
        <v>6.5245952031199733E-3</v>
      </c>
      <c r="K823" s="132">
        <v>3.39991540346624</v>
      </c>
      <c r="L823" s="133">
        <v>6.9896104224224498</v>
      </c>
      <c r="M823" s="133">
        <v>7.1173531201037203</v>
      </c>
      <c r="N823" s="133">
        <v>3.6797071208574249E-4</v>
      </c>
      <c r="O823" s="131">
        <v>3.6797071208574249E-4</v>
      </c>
      <c r="P823" s="133">
        <v>98.088000000000008</v>
      </c>
      <c r="Q823" s="137"/>
      <c r="R823" s="135"/>
    </row>
    <row r="824" spans="1:18" x14ac:dyDescent="0.25">
      <c r="A824" s="127">
        <v>45575</v>
      </c>
      <c r="B824" s="128" t="s">
        <v>34</v>
      </c>
      <c r="C824" s="129" t="str">
        <f t="shared" si="25"/>
        <v>10.10.2024_BOYuhHa</v>
      </c>
      <c r="D824" s="143">
        <f t="shared" si="26"/>
        <v>0</v>
      </c>
      <c r="E824" s="130">
        <v>9.5429341371174252E-6</v>
      </c>
      <c r="F824" s="131">
        <v>3.411333840865735E-3</v>
      </c>
      <c r="G824" s="131">
        <v>1.9513192854138398E-2</v>
      </c>
      <c r="H824" s="131">
        <v>1.3468396967072122E-3</v>
      </c>
      <c r="I824" s="131">
        <v>4.2645176642238077E-5</v>
      </c>
      <c r="J824" s="131">
        <v>3.5819231552532099E-3</v>
      </c>
      <c r="K824" s="132">
        <v>2.5871687112995998</v>
      </c>
      <c r="L824" s="133">
        <v>7.4827326711781801</v>
      </c>
      <c r="M824" s="133">
        <v>4.6964922148888197</v>
      </c>
      <c r="N824" s="133">
        <v>2.3259067855441523E-4</v>
      </c>
      <c r="O824" s="131">
        <v>2.3259067855441523E-4</v>
      </c>
      <c r="P824" s="133">
        <v>74.908000000000001</v>
      </c>
      <c r="Q824" s="137"/>
      <c r="R824" s="135"/>
    </row>
    <row r="825" spans="1:18" x14ac:dyDescent="0.25">
      <c r="A825" s="127">
        <v>45575</v>
      </c>
      <c r="B825" s="128" t="s">
        <v>36</v>
      </c>
      <c r="C825" s="129" t="str">
        <f t="shared" si="25"/>
        <v>10.10.2024_BOYuhSp</v>
      </c>
      <c r="D825" s="143">
        <f t="shared" si="26"/>
        <v>0</v>
      </c>
      <c r="E825" s="130">
        <v>4.5128827955457719E-5</v>
      </c>
      <c r="F825" s="131">
        <v>4.4591784302390244E-3</v>
      </c>
      <c r="G825" s="131">
        <v>4.2562613411130899E-2</v>
      </c>
      <c r="H825" s="131">
        <v>3.0264503473340781E-3</v>
      </c>
      <c r="I825" s="131">
        <v>1.4141322103268053E-4</v>
      </c>
      <c r="J825" s="131">
        <v>7.9476009626322543E-3</v>
      </c>
      <c r="K825" s="132">
        <v>3.8379785463452198</v>
      </c>
      <c r="L825" s="133">
        <v>10.484856479285799</v>
      </c>
      <c r="M825" s="133">
        <v>7.1407418887180896</v>
      </c>
      <c r="N825" s="133">
        <v>5.4320065939570587E-4</v>
      </c>
      <c r="O825" s="131">
        <v>5.4320065939570587E-4</v>
      </c>
      <c r="P825" s="133">
        <v>98.088000000000008</v>
      </c>
      <c r="Q825" s="137"/>
      <c r="R825" s="135"/>
    </row>
    <row r="826" spans="1:18" x14ac:dyDescent="0.25">
      <c r="A826" s="127">
        <v>45575</v>
      </c>
      <c r="B826" s="128" t="s">
        <v>38</v>
      </c>
      <c r="C826" s="129" t="str">
        <f t="shared" si="25"/>
        <v>10.10.2024_BRAob</v>
      </c>
      <c r="D826" s="143">
        <f t="shared" si="26"/>
        <v>0</v>
      </c>
      <c r="E826" s="130">
        <v>4.1293717769705379E-5</v>
      </c>
      <c r="F826" s="131">
        <v>2.1776090164635151E-3</v>
      </c>
      <c r="G826" s="131">
        <v>6.0097396362107702E-2</v>
      </c>
      <c r="H826" s="131">
        <v>2.3954473850729772E-3</v>
      </c>
      <c r="I826" s="131">
        <v>1.1100768444842037E-4</v>
      </c>
      <c r="J826" s="131">
        <v>5.6496357142024776E-3</v>
      </c>
      <c r="K826" s="132">
        <v>3.3085920826288699</v>
      </c>
      <c r="L826" s="133">
        <v>8.8239198192608193</v>
      </c>
      <c r="M826" s="133">
        <v>4.8419212726484497</v>
      </c>
      <c r="N826" s="133">
        <v>3.9329208219566548E-4</v>
      </c>
      <c r="O826" s="131">
        <v>3.9329208219566548E-4</v>
      </c>
      <c r="P826" s="133">
        <v>112.97200000000001</v>
      </c>
      <c r="Q826" s="137"/>
      <c r="R826" s="135"/>
    </row>
    <row r="827" spans="1:18" x14ac:dyDescent="0.25">
      <c r="A827" s="127">
        <v>45575</v>
      </c>
      <c r="B827" s="128" t="s">
        <v>41</v>
      </c>
      <c r="C827" s="129" t="str">
        <f t="shared" si="25"/>
        <v>10.10.2024_BRAohBo</v>
      </c>
      <c r="D827" s="143">
        <f t="shared" si="26"/>
        <v>0</v>
      </c>
      <c r="E827" s="130">
        <v>3.8038338103725576E-5</v>
      </c>
      <c r="F827" s="131">
        <v>3.1820211299223512E-3</v>
      </c>
      <c r="G827" s="131">
        <v>4.57577921793757E-2</v>
      </c>
      <c r="H827" s="131">
        <v>2.2207539204902428E-3</v>
      </c>
      <c r="I827" s="131">
        <v>7.9254549370460104E-5</v>
      </c>
      <c r="J827" s="131">
        <v>5.5284188649275222E-3</v>
      </c>
      <c r="K827" s="132">
        <v>3.4125631877882201</v>
      </c>
      <c r="L827" s="133">
        <v>7.0038261878292198</v>
      </c>
      <c r="M827" s="133">
        <v>8.4697156042949704</v>
      </c>
      <c r="N827" s="133">
        <v>3.6628256321870534E-4</v>
      </c>
      <c r="O827" s="131">
        <v>3.6628256321870534E-4</v>
      </c>
      <c r="P827" s="133">
        <v>97.600000000000009</v>
      </c>
      <c r="Q827" s="137"/>
      <c r="R827" s="135"/>
    </row>
    <row r="828" spans="1:18" x14ac:dyDescent="0.25">
      <c r="A828" s="127">
        <v>45575</v>
      </c>
      <c r="B828" s="128" t="s">
        <v>43</v>
      </c>
      <c r="C828" s="129" t="str">
        <f t="shared" si="25"/>
        <v>10.10.2024_HAAob</v>
      </c>
      <c r="D828" s="143">
        <f t="shared" si="26"/>
        <v>0</v>
      </c>
      <c r="E828" s="130">
        <v>3.5228517115601112E-6</v>
      </c>
      <c r="F828" s="131">
        <v>5.7024486491256152E-4</v>
      </c>
      <c r="G828" s="131">
        <v>8.9870389423981588E-3</v>
      </c>
      <c r="H828" s="131">
        <v>1.954513252133484E-3</v>
      </c>
      <c r="I828" s="131">
        <v>2.3245150440331801E-5</v>
      </c>
      <c r="J828" s="131">
        <v>1.7419319559076408E-3</v>
      </c>
      <c r="K828" s="132">
        <v>9.8466218933131007</v>
      </c>
      <c r="L828" s="133">
        <v>16.7419746966413</v>
      </c>
      <c r="M828" s="133">
        <v>4.0829361951484602</v>
      </c>
      <c r="N828" s="133">
        <v>1.2951403987191976E-4</v>
      </c>
      <c r="O828" s="131">
        <v>1.2951403987191976E-4</v>
      </c>
      <c r="P828" s="133">
        <v>138.59199999999998</v>
      </c>
      <c r="Q828" s="137"/>
      <c r="R828" s="135"/>
    </row>
    <row r="829" spans="1:18" x14ac:dyDescent="0.25">
      <c r="A829" s="127">
        <v>45575</v>
      </c>
      <c r="B829" s="128" t="s">
        <v>45</v>
      </c>
      <c r="C829" s="129" t="str">
        <f t="shared" si="25"/>
        <v>10.10.2024_HAAun</v>
      </c>
      <c r="D829" s="143">
        <f t="shared" si="26"/>
        <v>0</v>
      </c>
      <c r="E829" s="130">
        <v>1.0345613909843688E-5</v>
      </c>
      <c r="F829" s="131">
        <v>2.6797973737089659E-3</v>
      </c>
      <c r="G829" s="131">
        <v>3.4276365674334203E-2</v>
      </c>
      <c r="H829" s="131">
        <v>2.2390643676813613E-3</v>
      </c>
      <c r="I829" s="131">
        <v>3.0465233296329209E-5</v>
      </c>
      <c r="J829" s="131">
        <v>4.0655157867386061E-3</v>
      </c>
      <c r="K829" s="132">
        <v>9.8920520970768706</v>
      </c>
      <c r="L829" s="133">
        <v>14.0791021070662</v>
      </c>
      <c r="M829" s="133">
        <v>8.6213443176383304</v>
      </c>
      <c r="N829" s="133">
        <v>3.2160513732842503E-4</v>
      </c>
      <c r="O829" s="131">
        <v>3.2160513732842503E-4</v>
      </c>
      <c r="P829" s="133">
        <v>157.38</v>
      </c>
      <c r="Q829" s="137"/>
      <c r="R829" s="135"/>
    </row>
    <row r="830" spans="1:18" x14ac:dyDescent="0.25">
      <c r="A830" s="127">
        <v>45575</v>
      </c>
      <c r="B830" s="128" t="s">
        <v>47</v>
      </c>
      <c r="C830" s="129" t="str">
        <f t="shared" si="25"/>
        <v>10.10.2024_KIRob</v>
      </c>
      <c r="D830" s="143">
        <f t="shared" si="26"/>
        <v>0</v>
      </c>
      <c r="E830" s="130">
        <v>9.3645612469099382E-6</v>
      </c>
      <c r="F830" s="131">
        <v>1.508451343752098E-3</v>
      </c>
      <c r="G830" s="131">
        <v>9.80925005664764E-3</v>
      </c>
      <c r="H830" s="131">
        <v>2.3266584318343735E-3</v>
      </c>
      <c r="I830" s="131">
        <v>2.4459741630477286E-5</v>
      </c>
      <c r="J830" s="131">
        <v>2.5440045789201383E-3</v>
      </c>
      <c r="K830" s="132">
        <v>6.9572643660835398</v>
      </c>
      <c r="L830" s="133">
        <v>29.7070602587685</v>
      </c>
      <c r="M830" s="133">
        <v>4.3828897746585804</v>
      </c>
      <c r="N830" s="133">
        <v>3.3060808939437935E-4</v>
      </c>
      <c r="O830" s="131">
        <v>3.3060808939437935E-4</v>
      </c>
      <c r="P830" s="133">
        <v>136.64000000000001</v>
      </c>
      <c r="Q830" s="137"/>
      <c r="R830" s="135"/>
    </row>
    <row r="831" spans="1:18" x14ac:dyDescent="0.25">
      <c r="A831" s="127">
        <v>45575</v>
      </c>
      <c r="B831" s="128" t="s">
        <v>49</v>
      </c>
      <c r="C831" s="129" t="str">
        <f t="shared" si="25"/>
        <v>10.10.2024_KIRun</v>
      </c>
      <c r="D831" s="143">
        <f t="shared" si="26"/>
        <v>0</v>
      </c>
      <c r="E831" s="130">
        <v>6.1495087425222165E-5</v>
      </c>
      <c r="F831" s="131">
        <v>1.8879437832644819E-3</v>
      </c>
      <c r="G831" s="131">
        <v>6.2487099234240099E-3</v>
      </c>
      <c r="H831" s="131">
        <v>2.031218145177296E-3</v>
      </c>
      <c r="I831" s="131">
        <v>6.7579765642498117E-5</v>
      </c>
      <c r="J831" s="131">
        <v>1.5301747317119012E-3</v>
      </c>
      <c r="K831" s="132">
        <v>6.3538266500118104</v>
      </c>
      <c r="L831" s="133">
        <v>23.785281656376799</v>
      </c>
      <c r="M831" s="133">
        <v>4.1095710897961801</v>
      </c>
      <c r="N831" s="133">
        <v>2.5172116748912549E-4</v>
      </c>
      <c r="O831" s="131">
        <v>2.5172116748912549E-4</v>
      </c>
      <c r="P831" s="133">
        <v>137.37199999999999</v>
      </c>
      <c r="Q831" s="137"/>
      <c r="R831" s="135"/>
    </row>
    <row r="832" spans="1:18" x14ac:dyDescent="0.25">
      <c r="A832" s="127">
        <v>45575</v>
      </c>
      <c r="B832" s="128" t="s">
        <v>50</v>
      </c>
      <c r="C832" s="129" t="str">
        <f t="shared" si="25"/>
        <v>10.10.2024_LIEohBo</v>
      </c>
      <c r="D832" s="143">
        <f t="shared" si="26"/>
        <v>0</v>
      </c>
      <c r="E832" s="130">
        <v>1.0702360206353335E-5</v>
      </c>
      <c r="F832" s="131">
        <v>2.2480700857095155E-3</v>
      </c>
      <c r="G832" s="131">
        <v>1.7128328952768102E-2</v>
      </c>
      <c r="H832" s="131">
        <v>1.9465954483219256E-3</v>
      </c>
      <c r="I832" s="131">
        <v>3.8495187189761917E-5</v>
      </c>
      <c r="J832" s="131">
        <v>1.0628831694731271E-3</v>
      </c>
      <c r="K832" s="132">
        <v>5.5813661210399097</v>
      </c>
      <c r="L832" s="133">
        <v>9.0988208258810008</v>
      </c>
      <c r="M832" s="133">
        <v>6.98975381381742</v>
      </c>
      <c r="N832" s="133">
        <v>1.8228957155437799E-4</v>
      </c>
      <c r="O832" s="131">
        <v>1.8228957155437799E-4</v>
      </c>
      <c r="P832" s="133">
        <v>137.37199999999999</v>
      </c>
      <c r="Q832" s="137"/>
      <c r="R832" s="135"/>
    </row>
    <row r="833" spans="1:18" x14ac:dyDescent="0.25">
      <c r="A833" s="127">
        <v>45575</v>
      </c>
      <c r="B833" s="128" t="s">
        <v>53</v>
      </c>
      <c r="C833" s="129" t="str">
        <f t="shared" si="25"/>
        <v>10.10.2024_NATohBo</v>
      </c>
      <c r="D833" s="143">
        <f t="shared" si="26"/>
        <v>0</v>
      </c>
      <c r="E833" s="130">
        <v>2.3679079358656838E-5</v>
      </c>
      <c r="F833" s="131">
        <v>3.2912697761559892E-3</v>
      </c>
      <c r="G833" s="131">
        <v>1.7537263876676198E-2</v>
      </c>
      <c r="H833" s="131">
        <v>1.4774760943926711E-3</v>
      </c>
      <c r="I833" s="131">
        <v>6.6432491717382622E-5</v>
      </c>
      <c r="J833" s="131">
        <v>3.6077220316845298E-3</v>
      </c>
      <c r="K833" s="132">
        <v>3.8802377955179401</v>
      </c>
      <c r="L833" s="133">
        <v>9.0928176524786295</v>
      </c>
      <c r="M833" s="133">
        <v>8.5386370470959001</v>
      </c>
      <c r="N833" s="133">
        <v>1.5168187841066343E-4</v>
      </c>
      <c r="O833" s="131">
        <v>1.5168187841066343E-4</v>
      </c>
      <c r="P833" s="133">
        <v>97.112000000000009</v>
      </c>
      <c r="Q833" s="137"/>
      <c r="R833" s="135"/>
    </row>
    <row r="834" spans="1:18" x14ac:dyDescent="0.25">
      <c r="A834" s="127">
        <v>45575</v>
      </c>
      <c r="B834" s="128" t="s">
        <v>55</v>
      </c>
      <c r="C834" s="129" t="str">
        <f t="shared" si="25"/>
        <v>10.10.2024_QUAohBo</v>
      </c>
      <c r="D834" s="143">
        <f t="shared" si="26"/>
        <v>0</v>
      </c>
      <c r="E834" s="130">
        <v>2.1806143810827305E-5</v>
      </c>
      <c r="F834" s="131">
        <v>2.4344773902971995E-3</v>
      </c>
      <c r="G834" s="131">
        <v>2.2119525726558401E-2</v>
      </c>
      <c r="H834" s="131">
        <v>1.8174368469877373E-3</v>
      </c>
      <c r="I834" s="131">
        <v>5.5803949795192827E-5</v>
      </c>
      <c r="J834" s="131">
        <v>2.5368053356185001E-3</v>
      </c>
      <c r="K834" s="132">
        <v>3.8972373396065101</v>
      </c>
      <c r="L834" s="133">
        <v>13.1549058202982</v>
      </c>
      <c r="M834" s="133">
        <v>6.5250858644417402</v>
      </c>
      <c r="N834" s="133">
        <v>2.5791047152318538E-4</v>
      </c>
      <c r="O834" s="131">
        <v>2.5791047152318538E-4</v>
      </c>
      <c r="P834" s="133">
        <v>130.78400000000002</v>
      </c>
      <c r="Q834" s="137"/>
      <c r="R834" s="135"/>
    </row>
    <row r="835" spans="1:18" x14ac:dyDescent="0.25">
      <c r="A835" s="127">
        <v>45575</v>
      </c>
      <c r="B835" s="128" t="s">
        <v>57</v>
      </c>
      <c r="C835" s="129" t="str">
        <f t="shared" ref="C835:C878" si="27">CONCATENATE(TEXT(A835,"TT.MM.JJJJ"),"_",B835)</f>
        <v>10.10.2024_SCHohVo</v>
      </c>
      <c r="D835" s="143">
        <f t="shared" si="26"/>
        <v>0</v>
      </c>
      <c r="E835" s="130">
        <v>7.1350580945797639E-5</v>
      </c>
      <c r="F835" s="131">
        <v>4.599771718547899E-3</v>
      </c>
      <c r="G835" s="131">
        <v>4.6979931551032104E-2</v>
      </c>
      <c r="H835" s="131">
        <v>1.8340656511048849E-2</v>
      </c>
      <c r="I835" s="131">
        <v>7.1122615710251868E-5</v>
      </c>
      <c r="J835" s="131">
        <v>1.1130925159654572E-2</v>
      </c>
      <c r="K835" s="132">
        <v>3.2399461632638</v>
      </c>
      <c r="L835" s="133">
        <v>7.1732110057428704</v>
      </c>
      <c r="M835" s="133">
        <v>2.2672533355681899</v>
      </c>
      <c r="N835" s="133">
        <v>8.5948312046907403E-4</v>
      </c>
      <c r="O835" s="131">
        <v>8.5948312046907403E-4</v>
      </c>
      <c r="P835" s="133">
        <v>86.86399999999999</v>
      </c>
      <c r="Q835" s="137"/>
      <c r="R835" s="135"/>
    </row>
    <row r="836" spans="1:18" x14ac:dyDescent="0.25">
      <c r="A836" s="127">
        <v>45575</v>
      </c>
      <c r="B836" s="128" t="s">
        <v>60</v>
      </c>
      <c r="C836" s="129" t="str">
        <f t="shared" si="27"/>
        <v>10.10.2024_VORohBo</v>
      </c>
      <c r="D836" s="143">
        <f t="shared" si="26"/>
        <v>0</v>
      </c>
      <c r="E836" s="130">
        <v>1.1059115534544693E-5</v>
      </c>
      <c r="F836" s="131">
        <v>1.2929922497494537E-3</v>
      </c>
      <c r="G836" s="131">
        <v>2.1930571083926102E-2</v>
      </c>
      <c r="H836" s="131">
        <v>2.4295952239194183E-3</v>
      </c>
      <c r="I836" s="131">
        <v>2.2840312881197037E-5</v>
      </c>
      <c r="J836" s="131">
        <v>1.4425936711557413E-3</v>
      </c>
      <c r="K836" s="132">
        <v>5.8031241605329402</v>
      </c>
      <c r="L836" s="133">
        <v>9.7652080917145696</v>
      </c>
      <c r="M836" s="133">
        <v>4.4477600554372696</v>
      </c>
      <c r="N836" s="133">
        <v>4.2142727597309717E-4</v>
      </c>
      <c r="O836" s="131">
        <v>4.2142727597309717E-4</v>
      </c>
      <c r="P836" s="133">
        <v>163.48000000000002</v>
      </c>
      <c r="Q836" s="137"/>
      <c r="R836" s="135"/>
    </row>
    <row r="837" spans="1:18" x14ac:dyDescent="0.25">
      <c r="A837" s="127">
        <v>45575</v>
      </c>
      <c r="B837" s="128" t="s">
        <v>62</v>
      </c>
      <c r="C837" s="129" t="str">
        <f t="shared" si="27"/>
        <v>10.10.2024_VORuhSc</v>
      </c>
      <c r="D837" s="143">
        <f t="shared" ref="D837:D878" si="28">COUNTBLANK(E837:P837)</f>
        <v>0</v>
      </c>
      <c r="E837" s="130">
        <v>2.0200772794680309E-5</v>
      </c>
      <c r="F837" s="131">
        <v>1.5979176598229722E-3</v>
      </c>
      <c r="G837" s="131">
        <v>3.2148741659499797E-2</v>
      </c>
      <c r="H837" s="131">
        <v>2.9076706076800649E-3</v>
      </c>
      <c r="I837" s="131">
        <v>3.2253412399579985E-5</v>
      </c>
      <c r="J837" s="131">
        <v>2.3802259973373934E-3</v>
      </c>
      <c r="K837" s="132">
        <v>6.04490635130432</v>
      </c>
      <c r="L837" s="133">
        <v>10.377922543599</v>
      </c>
      <c r="M837" s="133">
        <v>4.2907747691039599</v>
      </c>
      <c r="N837" s="133">
        <v>5.1753995262383064E-4</v>
      </c>
      <c r="O837" s="131">
        <v>5.1753995262383064E-4</v>
      </c>
      <c r="P837" s="133">
        <v>152.5</v>
      </c>
      <c r="Q837" s="137"/>
      <c r="R837" s="135"/>
    </row>
    <row r="838" spans="1:18" x14ac:dyDescent="0.25">
      <c r="A838" s="127">
        <v>45575</v>
      </c>
      <c r="B838" s="128" t="s">
        <v>64</v>
      </c>
      <c r="C838" s="129" t="str">
        <f t="shared" si="27"/>
        <v>10.10.2024_WITob</v>
      </c>
      <c r="D838" s="143">
        <f t="shared" si="28"/>
        <v>0</v>
      </c>
      <c r="E838" s="130">
        <v>4.1917484880352685E-6</v>
      </c>
      <c r="F838" s="131">
        <v>8.2929236498841148E-4</v>
      </c>
      <c r="G838" s="131">
        <v>8.3347140649535703E-3</v>
      </c>
      <c r="H838" s="131">
        <v>2.1960100658766106E-3</v>
      </c>
      <c r="I838" s="131">
        <v>1.3292430433814053E-5</v>
      </c>
      <c r="J838" s="131">
        <v>1.4239977228682535E-3</v>
      </c>
      <c r="K838" s="132">
        <v>12.3429953415037</v>
      </c>
      <c r="L838" s="133">
        <v>22.496258304348899</v>
      </c>
      <c r="M838" s="133">
        <v>4.2764198714605897</v>
      </c>
      <c r="N838" s="133">
        <v>1.9129192345517109E-4</v>
      </c>
      <c r="O838" s="131">
        <v>1.9129192345517109E-4</v>
      </c>
      <c r="P838" s="133">
        <v>235.70399999999998</v>
      </c>
      <c r="Q838" s="137"/>
      <c r="R838" s="135"/>
    </row>
    <row r="839" spans="1:18" x14ac:dyDescent="0.25">
      <c r="A839" s="127">
        <v>45603</v>
      </c>
      <c r="B839" s="128" t="s">
        <v>22</v>
      </c>
      <c r="C839" s="129" t="str">
        <f t="shared" si="27"/>
        <v>07.11.2024_BOYkl</v>
      </c>
      <c r="D839" s="143">
        <f t="shared" si="28"/>
        <v>0</v>
      </c>
      <c r="E839" s="130">
        <v>3.964372609305739E-5</v>
      </c>
      <c r="F839" s="131">
        <v>1.4954043184046062E-3</v>
      </c>
      <c r="G839" s="131">
        <v>5.4625917909323302E-3</v>
      </c>
      <c r="H839" s="131">
        <v>4.5499346325365061E-3</v>
      </c>
      <c r="I839" s="131">
        <v>1.4776889463726084E-5</v>
      </c>
      <c r="J839" s="131">
        <v>4.0193153573792285E-3</v>
      </c>
      <c r="K839" s="132">
        <v>6.0407608693185004</v>
      </c>
      <c r="L839" s="133">
        <v>12.9280029553966</v>
      </c>
      <c r="M839" s="133">
        <v>5.4977308049501303</v>
      </c>
      <c r="N839" s="133">
        <v>4.3999662479860663E-4</v>
      </c>
      <c r="O839" s="131">
        <v>4.3999662479860663E-4</v>
      </c>
      <c r="P839" s="133">
        <v>134.20000000000002</v>
      </c>
      <c r="Q839" s="137"/>
      <c r="R839" s="135"/>
    </row>
    <row r="840" spans="1:18" x14ac:dyDescent="0.25">
      <c r="A840" s="127">
        <v>45603</v>
      </c>
      <c r="B840" s="128" t="s">
        <v>25</v>
      </c>
      <c r="C840" s="129" t="str">
        <f t="shared" si="27"/>
        <v>07.11.2024_BOYohB224</v>
      </c>
      <c r="D840" s="143">
        <f t="shared" si="28"/>
        <v>0</v>
      </c>
      <c r="E840" s="130">
        <v>4.0133757060408703E-6</v>
      </c>
      <c r="F840" s="131">
        <v>8.3078323850143191E-4</v>
      </c>
      <c r="G840" s="131">
        <v>7.0088198796898404E-3</v>
      </c>
      <c r="H840" s="131">
        <v>3.2506506516587277E-3</v>
      </c>
      <c r="I840" s="131">
        <v>1.1504339793845047E-5</v>
      </c>
      <c r="J840" s="131">
        <v>1.4443932082136583E-3</v>
      </c>
      <c r="K840" s="132">
        <v>18.197029168779999</v>
      </c>
      <c r="L840" s="133">
        <v>24.578748043171299</v>
      </c>
      <c r="M840" s="133">
        <v>5.5001081504995701</v>
      </c>
      <c r="N840" s="133">
        <v>2.7411529597914209E-4</v>
      </c>
      <c r="O840" s="131">
        <v>2.7411529597914209E-4</v>
      </c>
      <c r="P840" s="133">
        <v>223.99200000000002</v>
      </c>
      <c r="Q840" s="137"/>
      <c r="R840" s="135"/>
    </row>
    <row r="841" spans="1:18" x14ac:dyDescent="0.25">
      <c r="A841" s="127">
        <v>45603</v>
      </c>
      <c r="B841" s="128" t="s">
        <v>28</v>
      </c>
      <c r="C841" s="129" t="str">
        <f t="shared" si="27"/>
        <v>07.11.2024_BOYohBr</v>
      </c>
      <c r="D841" s="143">
        <f t="shared" si="28"/>
        <v>0</v>
      </c>
      <c r="E841" s="130">
        <v>1.7703531771140163E-5</v>
      </c>
      <c r="F841" s="131">
        <v>1.2497519778539954E-3</v>
      </c>
      <c r="G841" s="131">
        <v>5.0913798753064298E-3</v>
      </c>
      <c r="H841" s="131">
        <v>3.7139175371447321E-3</v>
      </c>
      <c r="I841" s="131">
        <v>9.8849406442415523E-6</v>
      </c>
      <c r="J841" s="131">
        <v>1.9920862123441962E-3</v>
      </c>
      <c r="K841" s="132">
        <v>9.2892946502510707</v>
      </c>
      <c r="L841" s="133">
        <v>13.3732607696969</v>
      </c>
      <c r="M841" s="133">
        <v>5.0165901188319904</v>
      </c>
      <c r="N841" s="133">
        <v>3.0630025566456847E-4</v>
      </c>
      <c r="O841" s="131">
        <v>3.0630025566456847E-4</v>
      </c>
      <c r="P841" s="133">
        <v>158.6</v>
      </c>
      <c r="Q841" s="137"/>
      <c r="R841" s="135"/>
    </row>
    <row r="842" spans="1:18" x14ac:dyDescent="0.25">
      <c r="A842" s="127">
        <v>45603</v>
      </c>
      <c r="B842" s="128" t="s">
        <v>30</v>
      </c>
      <c r="C842" s="129" t="str">
        <f t="shared" si="27"/>
        <v>07.11.2024_BOYohKi</v>
      </c>
      <c r="D842" s="143">
        <f t="shared" si="28"/>
        <v>0</v>
      </c>
      <c r="E842" s="130">
        <v>4.4593071137198845E-6</v>
      </c>
      <c r="F842" s="131">
        <v>8.8147566681590832E-4</v>
      </c>
      <c r="G842" s="131">
        <v>6.4502935123958204E-3</v>
      </c>
      <c r="H842" s="131">
        <v>3.0467429261307735E-3</v>
      </c>
      <c r="I842" s="131">
        <v>7.8944397341029828E-6</v>
      </c>
      <c r="J842" s="131">
        <v>9.723063980733045E-4</v>
      </c>
      <c r="K842" s="132">
        <v>11.3696954000298</v>
      </c>
      <c r="L842" s="133">
        <v>21.004458936904999</v>
      </c>
      <c r="M842" s="133">
        <v>5.1076038613585597</v>
      </c>
      <c r="N842" s="133">
        <v>3.1395283660332849E-4</v>
      </c>
      <c r="O842" s="131">
        <v>3.1395283660332849E-4</v>
      </c>
      <c r="P842" s="133">
        <v>187.88</v>
      </c>
      <c r="Q842" s="137"/>
      <c r="R842" s="135"/>
    </row>
    <row r="843" spans="1:18" x14ac:dyDescent="0.25">
      <c r="A843" s="127">
        <v>45603</v>
      </c>
      <c r="B843" s="128" t="s">
        <v>32</v>
      </c>
      <c r="C843" s="129" t="str">
        <f t="shared" si="27"/>
        <v>07.11.2024_BOYohSp</v>
      </c>
      <c r="D843" s="143">
        <f t="shared" si="28"/>
        <v>0</v>
      </c>
      <c r="E843" s="130">
        <v>6.6889657586609571E-6</v>
      </c>
      <c r="F843" s="131">
        <v>1.04436475826865E-3</v>
      </c>
      <c r="G843" s="131">
        <v>6.6564179974112703E-3</v>
      </c>
      <c r="H843" s="131">
        <v>2.9141038542297021E-3</v>
      </c>
      <c r="I843" s="131">
        <v>8.5017128023906972E-6</v>
      </c>
      <c r="J843" s="131">
        <v>1.7407324122047949E-3</v>
      </c>
      <c r="K843" s="132">
        <v>8.6248946369299606</v>
      </c>
      <c r="L843" s="133">
        <v>15.864673431679901</v>
      </c>
      <c r="M843" s="133">
        <v>4.6540752112714898</v>
      </c>
      <c r="N843" s="133">
        <v>2.7681612944253865E-4</v>
      </c>
      <c r="O843" s="131">
        <v>2.7681612944253865E-4</v>
      </c>
      <c r="P843" s="133">
        <v>183.244</v>
      </c>
      <c r="Q843" s="137"/>
      <c r="R843" s="135"/>
    </row>
    <row r="844" spans="1:18" x14ac:dyDescent="0.25">
      <c r="A844" s="127">
        <v>45603</v>
      </c>
      <c r="B844" s="128" t="s">
        <v>34</v>
      </c>
      <c r="C844" s="129" t="str">
        <f t="shared" si="27"/>
        <v>07.11.2024_BOYuhHa</v>
      </c>
      <c r="D844" s="143">
        <f t="shared" si="28"/>
        <v>0</v>
      </c>
      <c r="E844" s="130">
        <v>3.4782584463475686E-6</v>
      </c>
      <c r="F844" s="131">
        <v>9.4745106643986867E-4</v>
      </c>
      <c r="G844" s="131">
        <v>3.8899189536397197E-3</v>
      </c>
      <c r="H844" s="131">
        <v>3.2110583100227988E-3</v>
      </c>
      <c r="I844" s="131">
        <v>1.0829589120201006E-5</v>
      </c>
      <c r="J844" s="131">
        <v>1.5595687710547512E-3</v>
      </c>
      <c r="K844" s="132">
        <v>22.486756622939499</v>
      </c>
      <c r="L844" s="133">
        <v>32.639595411755302</v>
      </c>
      <c r="M844" s="133">
        <v>6.6244477241809498</v>
      </c>
      <c r="N844" s="133">
        <v>2.4125569201767478E-4</v>
      </c>
      <c r="O844" s="131">
        <v>2.4125569201767478E-4</v>
      </c>
      <c r="P844" s="133">
        <v>258.15199999999999</v>
      </c>
      <c r="Q844" s="137"/>
      <c r="R844" s="135"/>
    </row>
    <row r="845" spans="1:18" x14ac:dyDescent="0.25">
      <c r="A845" s="127">
        <v>45603</v>
      </c>
      <c r="B845" s="128" t="s">
        <v>36</v>
      </c>
      <c r="C845" s="129" t="str">
        <f t="shared" si="27"/>
        <v>07.11.2024_BOYuhSp</v>
      </c>
      <c r="D845" s="143">
        <f t="shared" si="28"/>
        <v>0</v>
      </c>
      <c r="E845" s="130">
        <v>8.0713559980191033E-6</v>
      </c>
      <c r="F845" s="131">
        <v>1.0190179368820826E-3</v>
      </c>
      <c r="G845" s="131">
        <v>5.6870326025454795E-3</v>
      </c>
      <c r="H845" s="131">
        <v>3.3011354462008616E-3</v>
      </c>
      <c r="I845" s="131">
        <v>1.2246564254835997E-5</v>
      </c>
      <c r="J845" s="131">
        <v>2.0394782265049688E-3</v>
      </c>
      <c r="K845" s="132">
        <v>9.2796067143355394</v>
      </c>
      <c r="L845" s="133">
        <v>19.125715589822601</v>
      </c>
      <c r="M845" s="133">
        <v>4.5583989666609099</v>
      </c>
      <c r="N845" s="133">
        <v>3.8046247402308264E-4</v>
      </c>
      <c r="O845" s="131">
        <v>3.8046247402308264E-4</v>
      </c>
      <c r="P845" s="133">
        <v>204.71599999999998</v>
      </c>
      <c r="Q845" s="137"/>
      <c r="R845" s="135"/>
    </row>
    <row r="846" spans="1:18" x14ac:dyDescent="0.25">
      <c r="A846" s="127">
        <v>45603</v>
      </c>
      <c r="B846" s="128" t="s">
        <v>38</v>
      </c>
      <c r="C846" s="129" t="str">
        <f t="shared" si="27"/>
        <v>07.11.2024_BRAob</v>
      </c>
      <c r="D846" s="143">
        <f t="shared" si="28"/>
        <v>0</v>
      </c>
      <c r="E846" s="130">
        <v>4.8606455183943606E-6</v>
      </c>
      <c r="F846" s="131">
        <v>5.0390010928229355E-4</v>
      </c>
      <c r="G846" s="131">
        <v>8.5296584675212412E-3</v>
      </c>
      <c r="H846" s="131">
        <v>2.4879917555025669E-3</v>
      </c>
      <c r="I846" s="131">
        <v>5.2292070197492176E-6</v>
      </c>
      <c r="J846" s="131">
        <v>1.4012029867931919E-3</v>
      </c>
      <c r="K846" s="132">
        <v>6.04149588013982</v>
      </c>
      <c r="L846" s="133">
        <v>17.471568083064899</v>
      </c>
      <c r="M846" s="133">
        <v>3.3648426684560402</v>
      </c>
      <c r="N846" s="133">
        <v>3.5559140668381351E-4</v>
      </c>
      <c r="O846" s="131">
        <v>3.5559140668381351E-4</v>
      </c>
      <c r="P846" s="133">
        <v>175.92400000000001</v>
      </c>
      <c r="Q846" s="137"/>
      <c r="R846" s="135"/>
    </row>
    <row r="847" spans="1:18" x14ac:dyDescent="0.25">
      <c r="A847" s="127">
        <v>45603</v>
      </c>
      <c r="B847" s="128" t="s">
        <v>41</v>
      </c>
      <c r="C847" s="129" t="str">
        <f t="shared" si="27"/>
        <v>07.11.2024_BRAohBo</v>
      </c>
      <c r="D847" s="143">
        <f t="shared" si="28"/>
        <v>0</v>
      </c>
      <c r="E847" s="130">
        <v>3.6120376426530923E-6</v>
      </c>
      <c r="F847" s="131">
        <v>6.5708974101528258E-4</v>
      </c>
      <c r="G847" s="131">
        <v>8.6732482820883403E-3</v>
      </c>
      <c r="H847" s="131">
        <v>2.4088094009647762E-3</v>
      </c>
      <c r="I847" s="131">
        <v>7.3883817473594675E-6</v>
      </c>
      <c r="J847" s="131">
        <v>9.0392431658261924E-4</v>
      </c>
      <c r="K847" s="132">
        <v>5.9652930928097598</v>
      </c>
      <c r="L847" s="133">
        <v>13.6732257700957</v>
      </c>
      <c r="M847" s="133">
        <v>3.3383380569864398</v>
      </c>
      <c r="N847" s="133">
        <v>3.1068912382903715E-4</v>
      </c>
      <c r="O847" s="131">
        <v>3.1068912382903715E-4</v>
      </c>
      <c r="P847" s="133">
        <v>195.20000000000002</v>
      </c>
      <c r="Q847" s="137"/>
      <c r="R847" s="135"/>
    </row>
    <row r="848" spans="1:18" x14ac:dyDescent="0.25">
      <c r="A848" s="127">
        <v>45603</v>
      </c>
      <c r="B848" s="128" t="s">
        <v>43</v>
      </c>
      <c r="C848" s="129" t="str">
        <f t="shared" si="27"/>
        <v>07.11.2024_HAAob</v>
      </c>
      <c r="D848" s="143">
        <f t="shared" si="28"/>
        <v>0</v>
      </c>
      <c r="E848" s="130">
        <v>2.6309895954230688E-6</v>
      </c>
      <c r="F848" s="131">
        <v>5.9633529896800967E-4</v>
      </c>
      <c r="G848" s="131">
        <v>7.4840612996061196E-3</v>
      </c>
      <c r="H848" s="131">
        <v>2.4063348678023642E-3</v>
      </c>
      <c r="I848" s="131">
        <v>1.0121103631134947E-5</v>
      </c>
      <c r="J848" s="131">
        <v>1.6549492246099426E-3</v>
      </c>
      <c r="K848" s="132">
        <v>21.342951392781899</v>
      </c>
      <c r="L848" s="133">
        <v>21.235646999024802</v>
      </c>
      <c r="M848" s="133">
        <v>4.5460523036404696</v>
      </c>
      <c r="N848" s="133">
        <v>1.6360980848035189E-4</v>
      </c>
      <c r="O848" s="131">
        <v>1.6360980848035189E-4</v>
      </c>
      <c r="P848" s="133">
        <v>207.4</v>
      </c>
      <c r="Q848" s="137"/>
      <c r="R848" s="135"/>
    </row>
    <row r="849" spans="1:18" x14ac:dyDescent="0.25">
      <c r="A849" s="127">
        <v>45603</v>
      </c>
      <c r="B849" s="128" t="s">
        <v>45</v>
      </c>
      <c r="C849" s="129" t="str">
        <f t="shared" si="27"/>
        <v>07.11.2024_HAAun</v>
      </c>
      <c r="D849" s="143">
        <f t="shared" si="28"/>
        <v>0</v>
      </c>
      <c r="E849" s="130">
        <v>3.2106998664452511E-6</v>
      </c>
      <c r="F849" s="131">
        <v>7.3797222756318167E-4</v>
      </c>
      <c r="G849" s="131">
        <v>7.2427142690851699E-3</v>
      </c>
      <c r="H849" s="131">
        <v>2.674567962241579E-3</v>
      </c>
      <c r="I849" s="131">
        <v>5.5665771216197457E-6</v>
      </c>
      <c r="J849" s="131">
        <v>1.7965215108291838E-3</v>
      </c>
      <c r="K849" s="132">
        <v>32.185461808912898</v>
      </c>
      <c r="L849" s="133">
        <v>28.822659349885399</v>
      </c>
      <c r="M849" s="133">
        <v>6.7411644756840801</v>
      </c>
      <c r="N849" s="133">
        <v>2.3551651100462776E-4</v>
      </c>
      <c r="O849" s="131">
        <v>2.3551651100462776E-4</v>
      </c>
      <c r="P849" s="133">
        <v>324.27600000000001</v>
      </c>
      <c r="Q849" s="137"/>
      <c r="R849" s="135"/>
    </row>
    <row r="850" spans="1:18" x14ac:dyDescent="0.25">
      <c r="A850" s="127">
        <v>45603</v>
      </c>
      <c r="B850" s="128" t="s">
        <v>47</v>
      </c>
      <c r="C850" s="129" t="str">
        <f t="shared" si="27"/>
        <v>07.11.2024_KIRob</v>
      </c>
      <c r="D850" s="143">
        <f t="shared" si="28"/>
        <v>0</v>
      </c>
      <c r="E850" s="130">
        <v>2.782631112215249E-5</v>
      </c>
      <c r="F850" s="131">
        <v>7.476635031874975E-4</v>
      </c>
      <c r="G850" s="131">
        <v>6.6168426054998503E-3</v>
      </c>
      <c r="H850" s="131">
        <v>3.2526306611972821E-3</v>
      </c>
      <c r="I850" s="131">
        <v>1.0492234715531987E-5</v>
      </c>
      <c r="J850" s="131">
        <v>1.6399520058027616E-3</v>
      </c>
      <c r="K850" s="132">
        <v>12.6193208073395</v>
      </c>
      <c r="L850" s="133">
        <v>56.050399369490499</v>
      </c>
      <c r="M850" s="133">
        <v>6.0025995977734397</v>
      </c>
      <c r="N850" s="133">
        <v>4.4843741706307683E-4</v>
      </c>
      <c r="O850" s="131">
        <v>4.4843741706307683E-4</v>
      </c>
      <c r="P850" s="133">
        <v>216.916</v>
      </c>
      <c r="Q850" s="137"/>
      <c r="R850" s="135"/>
    </row>
    <row r="851" spans="1:18" x14ac:dyDescent="0.25">
      <c r="A851" s="127">
        <v>45603</v>
      </c>
      <c r="B851" s="128" t="s">
        <v>49</v>
      </c>
      <c r="C851" s="129" t="str">
        <f t="shared" si="27"/>
        <v>07.11.2024_KIRun</v>
      </c>
      <c r="D851" s="143">
        <f t="shared" si="28"/>
        <v>0</v>
      </c>
      <c r="E851" s="130">
        <v>7.4695585245879159E-5</v>
      </c>
      <c r="F851" s="131">
        <v>1.2743593294676722E-3</v>
      </c>
      <c r="G851" s="131">
        <v>3.5143044196450299E-3</v>
      </c>
      <c r="H851" s="131">
        <v>2.7814671072489516E-3</v>
      </c>
      <c r="I851" s="131">
        <v>8.1921607725957113E-5</v>
      </c>
      <c r="J851" s="131">
        <v>2.0718762866944419E-3</v>
      </c>
      <c r="K851" s="132">
        <v>12.093094240937599</v>
      </c>
      <c r="L851" s="133">
        <v>43.433806625990201</v>
      </c>
      <c r="M851" s="133">
        <v>5.4198758589573899</v>
      </c>
      <c r="N851" s="133">
        <v>3.122649011831371E-4</v>
      </c>
      <c r="O851" s="131">
        <v>3.122649011831371E-4</v>
      </c>
      <c r="P851" s="133">
        <v>212.768</v>
      </c>
      <c r="Q851" s="137"/>
      <c r="R851" s="135"/>
    </row>
    <row r="852" spans="1:18" x14ac:dyDescent="0.25">
      <c r="A852" s="127">
        <v>45603</v>
      </c>
      <c r="B852" s="128" t="s">
        <v>50</v>
      </c>
      <c r="C852" s="129" t="str">
        <f t="shared" si="27"/>
        <v>07.11.2024_LIEohBo</v>
      </c>
      <c r="D852" s="143">
        <f t="shared" si="28"/>
        <v>0</v>
      </c>
      <c r="E852" s="130">
        <v>3.9241897915961515E-6</v>
      </c>
      <c r="F852" s="131">
        <v>6.9287173508700219E-4</v>
      </c>
      <c r="G852" s="131">
        <v>5.6101680734179397E-3</v>
      </c>
      <c r="H852" s="131">
        <v>2.8547137794102681E-3</v>
      </c>
      <c r="I852" s="131">
        <v>1.0525951503632759E-5</v>
      </c>
      <c r="J852" s="131">
        <v>1.0532856351905355E-3</v>
      </c>
      <c r="K852" s="132">
        <v>13.0613806364558</v>
      </c>
      <c r="L852" s="133">
        <v>21.303379685834699</v>
      </c>
      <c r="M852" s="133">
        <v>5.9760989329922101</v>
      </c>
      <c r="N852" s="133">
        <v>2.3337842400793414E-4</v>
      </c>
      <c r="O852" s="131">
        <v>2.3337842400793414E-4</v>
      </c>
      <c r="P852" s="133">
        <v>243.512</v>
      </c>
      <c r="Q852" s="137"/>
      <c r="R852" s="135"/>
    </row>
    <row r="853" spans="1:18" x14ac:dyDescent="0.25">
      <c r="A853" s="127">
        <v>45603</v>
      </c>
      <c r="B853" s="128" t="s">
        <v>53</v>
      </c>
      <c r="C853" s="129" t="str">
        <f t="shared" si="27"/>
        <v>07.11.2024_NATohBo</v>
      </c>
      <c r="D853" s="143">
        <f t="shared" si="28"/>
        <v>0</v>
      </c>
      <c r="E853" s="130">
        <v>7.3132710595994207E-6</v>
      </c>
      <c r="F853" s="131">
        <v>8.9563980466266478E-4</v>
      </c>
      <c r="G853" s="131">
        <v>8.7010693097153285E-3</v>
      </c>
      <c r="H853" s="131">
        <v>3.3902221325078038E-3</v>
      </c>
      <c r="I853" s="131">
        <v>6.6461641744772944E-6</v>
      </c>
      <c r="J853" s="131">
        <v>2.0982689424411628E-3</v>
      </c>
      <c r="K853" s="132">
        <v>58.422457977479198</v>
      </c>
      <c r="L853" s="133">
        <v>105.10156992324799</v>
      </c>
      <c r="M853" s="133">
        <v>13.006475859715399</v>
      </c>
      <c r="N853" s="133">
        <v>2.6072381641017908E-4</v>
      </c>
      <c r="O853" s="131">
        <v>2.6072381641017908E-4</v>
      </c>
      <c r="P853" s="133">
        <v>320.86</v>
      </c>
      <c r="Q853" s="137"/>
      <c r="R853" s="135"/>
    </row>
    <row r="854" spans="1:18" x14ac:dyDescent="0.25">
      <c r="A854" s="127">
        <v>45603</v>
      </c>
      <c r="B854" s="128" t="s">
        <v>55</v>
      </c>
      <c r="C854" s="129" t="str">
        <f t="shared" si="27"/>
        <v>07.11.2024_QUAohBo</v>
      </c>
      <c r="D854" s="143">
        <f t="shared" si="28"/>
        <v>0</v>
      </c>
      <c r="E854" s="130">
        <v>2.4526172213076133E-6</v>
      </c>
      <c r="F854" s="131">
        <v>6.0490799772876193E-4</v>
      </c>
      <c r="G854" s="131">
        <v>7.1231390141173103E-3</v>
      </c>
      <c r="H854" s="131">
        <v>2.2905322328990716E-3</v>
      </c>
      <c r="I854" s="131">
        <v>5.9714227741875584E-6</v>
      </c>
      <c r="J854" s="131">
        <v>7.4076890371876166E-4</v>
      </c>
      <c r="K854" s="132">
        <v>6.9739732829230299</v>
      </c>
      <c r="L854" s="133">
        <v>19.665754436821398</v>
      </c>
      <c r="M854" s="133">
        <v>3.0859700366039702</v>
      </c>
      <c r="N854" s="133">
        <v>2.5127106307734409E-4</v>
      </c>
      <c r="O854" s="131">
        <v>2.5127106307734409E-4</v>
      </c>
      <c r="P854" s="133">
        <v>217.16</v>
      </c>
      <c r="Q854" s="137"/>
      <c r="R854" s="135"/>
    </row>
    <row r="855" spans="1:18" x14ac:dyDescent="0.25">
      <c r="A855" s="127">
        <v>45603</v>
      </c>
      <c r="B855" s="128" t="s">
        <v>57</v>
      </c>
      <c r="C855" s="129" t="str">
        <f t="shared" si="27"/>
        <v>07.11.2024_SCHohVo</v>
      </c>
      <c r="D855" s="143">
        <f t="shared" si="28"/>
        <v>0</v>
      </c>
      <c r="E855" s="130">
        <v>1.4626583198618847E-5</v>
      </c>
      <c r="F855" s="131">
        <v>1.1245060645089133E-3</v>
      </c>
      <c r="G855" s="131">
        <v>6.7592262016745189E-2</v>
      </c>
      <c r="H855" s="131">
        <v>5.6172114899992109E-3</v>
      </c>
      <c r="I855" s="131">
        <v>4.5276900932722399E-5</v>
      </c>
      <c r="J855" s="131">
        <v>2.5752008458333245E-3</v>
      </c>
      <c r="K855" s="132">
        <v>6.29538226548814</v>
      </c>
      <c r="L855" s="133">
        <v>13.2301215883192</v>
      </c>
      <c r="M855" s="133">
        <v>2.3727185381315601</v>
      </c>
      <c r="N855" s="133">
        <v>8.3348093932841491E-4</v>
      </c>
      <c r="O855" s="131">
        <v>8.3348093932841491E-4</v>
      </c>
      <c r="P855" s="133">
        <v>153.964</v>
      </c>
      <c r="Q855" s="137"/>
      <c r="R855" s="135"/>
    </row>
    <row r="856" spans="1:18" x14ac:dyDescent="0.25">
      <c r="A856" s="127">
        <v>45603</v>
      </c>
      <c r="B856" s="128" t="s">
        <v>60</v>
      </c>
      <c r="C856" s="129" t="str">
        <f t="shared" si="27"/>
        <v>07.11.2024_VORohBo</v>
      </c>
      <c r="D856" s="143">
        <f t="shared" si="28"/>
        <v>0</v>
      </c>
      <c r="E856" s="130">
        <v>4.9498327272319001E-6</v>
      </c>
      <c r="F856" s="131">
        <v>4.4985586068608158E-4</v>
      </c>
      <c r="G856" s="131">
        <v>4.74171142954684E-3</v>
      </c>
      <c r="H856" s="131">
        <v>3.3783457038345298E-3</v>
      </c>
      <c r="I856" s="131">
        <v>5.7015300020932157E-6</v>
      </c>
      <c r="J856" s="131">
        <v>1.0586845597175001E-3</v>
      </c>
      <c r="K856" s="132">
        <v>16.814745934109499</v>
      </c>
      <c r="L856" s="133">
        <v>22.4428122817447</v>
      </c>
      <c r="M856" s="133">
        <v>6.1802240213881001</v>
      </c>
      <c r="N856" s="133">
        <v>4.8850318510214568E-4</v>
      </c>
      <c r="O856" s="131">
        <v>4.8850318510214568E-4</v>
      </c>
      <c r="P856" s="133">
        <v>285.96799999999996</v>
      </c>
      <c r="Q856" s="137"/>
      <c r="R856" s="135"/>
    </row>
    <row r="857" spans="1:18" x14ac:dyDescent="0.25">
      <c r="A857" s="127">
        <v>45603</v>
      </c>
      <c r="B857" s="128" t="s">
        <v>62</v>
      </c>
      <c r="C857" s="129" t="str">
        <f t="shared" si="27"/>
        <v>07.11.2024_VORuhSc</v>
      </c>
      <c r="D857" s="143">
        <f t="shared" si="28"/>
        <v>0</v>
      </c>
      <c r="E857" s="130">
        <v>5.7079188851298965E-6</v>
      </c>
      <c r="F857" s="131">
        <v>4.420288163148019E-4</v>
      </c>
      <c r="G857" s="131">
        <v>1.00739192801102E-2</v>
      </c>
      <c r="H857" s="131">
        <v>3.4243735857496524E-3</v>
      </c>
      <c r="I857" s="131">
        <v>8.8728240882303092E-6</v>
      </c>
      <c r="J857" s="131">
        <v>1.4485922812757302E-3</v>
      </c>
      <c r="K857" s="132">
        <v>13.8294338644384</v>
      </c>
      <c r="L857" s="133">
        <v>18.433931518675799</v>
      </c>
      <c r="M857" s="133">
        <v>4.3837872645146003</v>
      </c>
      <c r="N857" s="133">
        <v>4.9446789220134271E-4</v>
      </c>
      <c r="O857" s="131">
        <v>4.9446789220134271E-4</v>
      </c>
      <c r="P857" s="133">
        <v>273.036</v>
      </c>
      <c r="Q857" s="137"/>
      <c r="R857" s="135"/>
    </row>
    <row r="858" spans="1:18" x14ac:dyDescent="0.25">
      <c r="A858" s="127">
        <v>45603</v>
      </c>
      <c r="B858" s="128" t="s">
        <v>64</v>
      </c>
      <c r="C858" s="129" t="str">
        <f t="shared" si="27"/>
        <v>07.11.2024_WITob</v>
      </c>
      <c r="D858" s="143">
        <f t="shared" si="28"/>
        <v>0</v>
      </c>
      <c r="E858" s="130">
        <v>4.1471552020125291E-6</v>
      </c>
      <c r="F858" s="131">
        <v>6.8392626658967694E-4</v>
      </c>
      <c r="G858" s="131">
        <v>3.6494246537216004E-3</v>
      </c>
      <c r="H858" s="131">
        <v>3.0848501946341895E-3</v>
      </c>
      <c r="I858" s="131">
        <v>7.8269658444073288E-6</v>
      </c>
      <c r="J858" s="131">
        <v>1.648950218158875E-3</v>
      </c>
      <c r="K858" s="132">
        <v>25.7619281094256</v>
      </c>
      <c r="L858" s="133">
        <v>44.295026059426</v>
      </c>
      <c r="M858" s="133">
        <v>5.4435340809842501</v>
      </c>
      <c r="N858" s="133">
        <v>1.8825363277988539E-4</v>
      </c>
      <c r="O858" s="131">
        <v>1.8825363277988539E-4</v>
      </c>
      <c r="P858" s="133">
        <v>331.596</v>
      </c>
      <c r="Q858" s="137"/>
      <c r="R858" s="135"/>
    </row>
    <row r="859" spans="1:18" x14ac:dyDescent="0.25">
      <c r="A859" s="127">
        <v>45631</v>
      </c>
      <c r="B859" s="128" t="s">
        <v>22</v>
      </c>
      <c r="C859" s="129" t="str">
        <f t="shared" si="27"/>
        <v>05.12.2024_BOYkl</v>
      </c>
      <c r="D859" s="143">
        <f t="shared" si="28"/>
        <v>0</v>
      </c>
      <c r="E859" s="130">
        <v>6.3745390193744442E-5</v>
      </c>
      <c r="F859" s="131">
        <v>1.1829289405037582E-3</v>
      </c>
      <c r="G859" s="131">
        <v>7.32434874590386E-3</v>
      </c>
      <c r="H859" s="131">
        <v>3.6359970757955792E-3</v>
      </c>
      <c r="I859" s="131">
        <v>1.0184857788472125E-5</v>
      </c>
      <c r="J859" s="131">
        <v>3.9774393578522697E-3</v>
      </c>
      <c r="K859" s="132">
        <v>6.6840558529107899</v>
      </c>
      <c r="L859" s="133">
        <v>15.4705679845951</v>
      </c>
      <c r="M859" s="133">
        <v>5.6775099495672299</v>
      </c>
      <c r="N859" s="133">
        <v>3.9199082645951659E-4</v>
      </c>
      <c r="O859" s="131">
        <v>3.9199082645951659E-4</v>
      </c>
      <c r="P859" s="133">
        <v>136.39600000000002</v>
      </c>
      <c r="Q859" s="137"/>
      <c r="R859" s="135"/>
    </row>
    <row r="860" spans="1:18" x14ac:dyDescent="0.25">
      <c r="A860" s="127">
        <v>45631</v>
      </c>
      <c r="B860" s="128" t="s">
        <v>25</v>
      </c>
      <c r="C860" s="129" t="str">
        <f t="shared" si="27"/>
        <v>05.12.2024_BOYohB224</v>
      </c>
      <c r="D860" s="143">
        <f t="shared" si="28"/>
        <v>0</v>
      </c>
      <c r="E860" s="130">
        <v>6.5102432297278884E-6</v>
      </c>
      <c r="F860" s="131">
        <v>9.3555227808717869E-4</v>
      </c>
      <c r="G860" s="131">
        <v>9.73800118520716E-3</v>
      </c>
      <c r="H860" s="131">
        <v>2.6772860102338659E-3</v>
      </c>
      <c r="I860" s="131">
        <v>3.2400972346875761E-5</v>
      </c>
      <c r="J860" s="131">
        <v>1.6673176281911701E-3</v>
      </c>
      <c r="K860" s="132">
        <v>15.613196675503</v>
      </c>
      <c r="L860" s="133">
        <v>26.1841231570241</v>
      </c>
      <c r="M860" s="133">
        <v>5.50591284432529</v>
      </c>
      <c r="N860" s="133">
        <v>2.8434003610527676E-4</v>
      </c>
      <c r="O860" s="131">
        <v>2.8434003610527676E-4</v>
      </c>
      <c r="P860" s="133">
        <v>227.89600000000002</v>
      </c>
      <c r="Q860" s="137"/>
      <c r="R860" s="135"/>
    </row>
    <row r="861" spans="1:18" x14ac:dyDescent="0.25">
      <c r="A861" s="127">
        <v>45631</v>
      </c>
      <c r="B861" s="128" t="s">
        <v>28</v>
      </c>
      <c r="C861" s="129" t="str">
        <f t="shared" si="27"/>
        <v>05.12.2024_BOYohBr</v>
      </c>
      <c r="D861" s="143">
        <f t="shared" si="28"/>
        <v>0</v>
      </c>
      <c r="E861" s="130">
        <v>1.1802764287325637E-5</v>
      </c>
      <c r="F861" s="131">
        <v>1.5881407321341186E-3</v>
      </c>
      <c r="G861" s="131">
        <v>6.8582497956160299E-3</v>
      </c>
      <c r="H861" s="131">
        <v>3.035218371329917E-3</v>
      </c>
      <c r="I861" s="131">
        <v>9.4329476829648128E-6</v>
      </c>
      <c r="J861" s="131">
        <v>3.2345034943442957E-3</v>
      </c>
      <c r="K861" s="132">
        <v>8.3563789860951694</v>
      </c>
      <c r="L861" s="133">
        <v>13.4820944211928</v>
      </c>
      <c r="M861" s="133">
        <v>4.8619148643771801</v>
      </c>
      <c r="N861" s="133">
        <v>2.609277802442866E-4</v>
      </c>
      <c r="O861" s="131">
        <v>2.609277802442866E-4</v>
      </c>
      <c r="P861" s="133">
        <v>165.67600000000002</v>
      </c>
      <c r="Q861" s="137"/>
      <c r="R861" s="135"/>
    </row>
    <row r="862" spans="1:18" x14ac:dyDescent="0.25">
      <c r="A862" s="127">
        <v>45631</v>
      </c>
      <c r="B862" s="128" t="s">
        <v>30</v>
      </c>
      <c r="C862" s="129" t="str">
        <f t="shared" si="27"/>
        <v>05.12.2024_BOYohKi</v>
      </c>
      <c r="D862" s="143">
        <f t="shared" si="28"/>
        <v>0</v>
      </c>
      <c r="E862" s="130">
        <v>1.110021713971715E-5</v>
      </c>
      <c r="F862" s="131">
        <v>9.8433368496014069E-4</v>
      </c>
      <c r="G862" s="131">
        <v>9.0201197895207197E-3</v>
      </c>
      <c r="H862" s="131">
        <v>2.9573570747949956E-3</v>
      </c>
      <c r="I862" s="131">
        <v>1.3055803949846721E-5</v>
      </c>
      <c r="J862" s="131">
        <v>1.6446728245966564E-3</v>
      </c>
      <c r="K862" s="132">
        <v>10.103713974479</v>
      </c>
      <c r="L862" s="133">
        <v>20.900318159934301</v>
      </c>
      <c r="M862" s="133">
        <v>4.6195343862183398</v>
      </c>
      <c r="N862" s="133">
        <v>4.2173778019360578E-4</v>
      </c>
      <c r="O862" s="131">
        <v>4.2173778019360578E-4</v>
      </c>
      <c r="P862" s="133">
        <v>213.5</v>
      </c>
      <c r="Q862" s="137"/>
      <c r="R862" s="135"/>
    </row>
    <row r="863" spans="1:18" x14ac:dyDescent="0.25">
      <c r="A863" s="127">
        <v>45631</v>
      </c>
      <c r="B863" s="128" t="s">
        <v>32</v>
      </c>
      <c r="C863" s="129" t="str">
        <f t="shared" si="27"/>
        <v>05.12.2024_BOYohSp</v>
      </c>
      <c r="D863" s="143">
        <f t="shared" si="28"/>
        <v>0</v>
      </c>
      <c r="E863" s="130">
        <v>7.9153352386970568E-6</v>
      </c>
      <c r="F863" s="131">
        <v>1.2351781245557795E-3</v>
      </c>
      <c r="G863" s="131">
        <v>8.6729426126017101E-3</v>
      </c>
      <c r="H863" s="131">
        <v>2.4747105188161278E-3</v>
      </c>
      <c r="I863" s="131">
        <v>8.7835748966742031E-6</v>
      </c>
      <c r="J863" s="131">
        <v>1.5660334417039381E-3</v>
      </c>
      <c r="K863" s="132">
        <v>8.1444859670232095</v>
      </c>
      <c r="L863" s="133">
        <v>17.191929019342499</v>
      </c>
      <c r="M863" s="133">
        <v>4.3431809321461303</v>
      </c>
      <c r="N863" s="133">
        <v>2.7525839703159289E-4</v>
      </c>
      <c r="O863" s="131">
        <v>2.7525839703159289E-4</v>
      </c>
      <c r="P863" s="133">
        <v>165.43200000000002</v>
      </c>
      <c r="Q863" s="137"/>
      <c r="R863" s="135"/>
    </row>
    <row r="864" spans="1:18" x14ac:dyDescent="0.25">
      <c r="A864" s="127">
        <v>45631</v>
      </c>
      <c r="B864" s="128" t="s">
        <v>34</v>
      </c>
      <c r="C864" s="129" t="str">
        <f t="shared" si="27"/>
        <v>05.12.2024_BOYuhHa</v>
      </c>
      <c r="D864" s="143">
        <f t="shared" si="28"/>
        <v>0</v>
      </c>
      <c r="E864" s="130">
        <v>6.7444249871525975E-6</v>
      </c>
      <c r="F864" s="131">
        <v>1.0016610134948576E-3</v>
      </c>
      <c r="G864" s="131">
        <v>8.105289636443979E-3</v>
      </c>
      <c r="H864" s="131">
        <v>2.7916746883350479E-3</v>
      </c>
      <c r="I864" s="131">
        <v>7.9633083780200342E-6</v>
      </c>
      <c r="J864" s="131">
        <v>1.2378983014323707E-3</v>
      </c>
      <c r="K864" s="132">
        <v>17.030558439911701</v>
      </c>
      <c r="L864" s="133">
        <v>28.3673491011279</v>
      </c>
      <c r="M864" s="133">
        <v>5.5052581450521796</v>
      </c>
      <c r="N864" s="133">
        <v>2.7159242963012696E-4</v>
      </c>
      <c r="O864" s="131">
        <v>2.7159242963012696E-4</v>
      </c>
      <c r="P864" s="133">
        <v>219.11199999999999</v>
      </c>
      <c r="Q864" s="137"/>
      <c r="R864" s="135"/>
    </row>
    <row r="865" spans="1:18" x14ac:dyDescent="0.25">
      <c r="A865" s="127">
        <v>45631</v>
      </c>
      <c r="B865" s="128" t="s">
        <v>36</v>
      </c>
      <c r="C865" s="129" t="str">
        <f t="shared" si="27"/>
        <v>05.12.2024_BOYuhSp</v>
      </c>
      <c r="D865" s="143">
        <f t="shared" si="28"/>
        <v>0</v>
      </c>
      <c r="E865" s="130">
        <v>1.5034490540422203E-5</v>
      </c>
      <c r="F865" s="131">
        <v>1.4385818845495599E-3</v>
      </c>
      <c r="G865" s="131">
        <v>1.2178605775917201E-2</v>
      </c>
      <c r="H865" s="131">
        <v>3.075440837203838E-3</v>
      </c>
      <c r="I865" s="131">
        <v>1.8558494670958229E-5</v>
      </c>
      <c r="J865" s="131">
        <v>3.0854304525583529E-3</v>
      </c>
      <c r="K865" s="132">
        <v>8.8705201633757493</v>
      </c>
      <c r="L865" s="133">
        <v>20.821340114413399</v>
      </c>
      <c r="M865" s="133">
        <v>4.5106071292900998</v>
      </c>
      <c r="N865" s="133">
        <v>5.1198163379693367E-4</v>
      </c>
      <c r="O865" s="131">
        <v>5.1198163379693367E-4</v>
      </c>
      <c r="P865" s="133">
        <v>196.17600000000002</v>
      </c>
      <c r="Q865" s="137"/>
      <c r="R865" s="135"/>
    </row>
    <row r="866" spans="1:18" x14ac:dyDescent="0.25">
      <c r="A866" s="127">
        <v>45631</v>
      </c>
      <c r="B866" s="128" t="s">
        <v>38</v>
      </c>
      <c r="C866" s="129" t="str">
        <f t="shared" si="27"/>
        <v>05.12.2024_BRAob</v>
      </c>
      <c r="D866" s="143">
        <f t="shared" si="28"/>
        <v>0</v>
      </c>
      <c r="E866" s="130">
        <v>9.1799194539266474E-6</v>
      </c>
      <c r="F866" s="131">
        <v>5.0560352839434616E-4</v>
      </c>
      <c r="G866" s="131">
        <v>1.35981505847085E-2</v>
      </c>
      <c r="H866" s="131">
        <v>2.6009038431867469E-3</v>
      </c>
      <c r="I866" s="131">
        <v>8.7835760051836784E-6</v>
      </c>
      <c r="J866" s="131">
        <v>1.5195090053609589E-3</v>
      </c>
      <c r="K866" s="132">
        <v>6.9855668602699996</v>
      </c>
      <c r="L866" s="133">
        <v>20.5103533981578</v>
      </c>
      <c r="M866" s="133">
        <v>3.7187056737480999</v>
      </c>
      <c r="N866" s="133">
        <v>3.4499686533430446E-4</v>
      </c>
      <c r="O866" s="131">
        <v>3.4499686533430446E-4</v>
      </c>
      <c r="P866" s="133">
        <v>233.75199999999998</v>
      </c>
      <c r="Q866" s="137"/>
      <c r="R866" s="135"/>
    </row>
    <row r="867" spans="1:18" x14ac:dyDescent="0.25">
      <c r="A867" s="127">
        <v>45631</v>
      </c>
      <c r="B867" s="128" t="s">
        <v>41</v>
      </c>
      <c r="C867" s="129" t="str">
        <f t="shared" si="27"/>
        <v>05.12.2024_BRAohBo</v>
      </c>
      <c r="D867" s="143">
        <f t="shared" si="28"/>
        <v>0</v>
      </c>
      <c r="E867" s="130">
        <v>2.4074169608458765E-5</v>
      </c>
      <c r="F867" s="131">
        <v>8.9796874814136827E-4</v>
      </c>
      <c r="G867" s="131">
        <v>8.6363722546713203E-3</v>
      </c>
      <c r="H867" s="131">
        <v>2.4813521228515775E-3</v>
      </c>
      <c r="I867" s="131">
        <v>2.4677202225826817E-5</v>
      </c>
      <c r="J867" s="131">
        <v>1.7920733771143115E-3</v>
      </c>
      <c r="K867" s="132">
        <v>8.2267519672841694</v>
      </c>
      <c r="L867" s="133">
        <v>18.115788652583898</v>
      </c>
      <c r="M867" s="133">
        <v>4.4236718604599297</v>
      </c>
      <c r="N867" s="133">
        <v>4.1432189897004136E-4</v>
      </c>
      <c r="O867" s="131">
        <v>4.1432189897004136E-4</v>
      </c>
      <c r="P867" s="133">
        <v>219.11199999999999</v>
      </c>
      <c r="Q867" s="137"/>
      <c r="R867" s="135"/>
    </row>
    <row r="868" spans="1:18" x14ac:dyDescent="0.25">
      <c r="A868" s="127">
        <v>45631</v>
      </c>
      <c r="B868" s="128" t="s">
        <v>43</v>
      </c>
      <c r="C868" s="129" t="str">
        <f t="shared" si="27"/>
        <v>05.12.2024_HAAob</v>
      </c>
      <c r="D868" s="143">
        <f t="shared" si="28"/>
        <v>0</v>
      </c>
      <c r="E868" s="130">
        <v>3.1848640700651492E-6</v>
      </c>
      <c r="F868" s="131">
        <v>5.3705544432335419E-4</v>
      </c>
      <c r="G868" s="131">
        <v>1.0671028016936599E-2</v>
      </c>
      <c r="H868" s="131">
        <v>1.8633311758645659E-3</v>
      </c>
      <c r="I868" s="131">
        <v>9.364591899832677E-6</v>
      </c>
      <c r="J868" s="131">
        <v>1.2486025896053961E-3</v>
      </c>
      <c r="K868" s="132">
        <v>17.499191281993099</v>
      </c>
      <c r="L868" s="133">
        <v>21.6535284746152</v>
      </c>
      <c r="M868" s="133">
        <v>4.5832055136590997</v>
      </c>
      <c r="N868" s="133">
        <v>1.6045056949265052E-4</v>
      </c>
      <c r="O868" s="131">
        <v>1.6045056949265052E-4</v>
      </c>
      <c r="P868" s="133">
        <v>237.41200000000001</v>
      </c>
      <c r="Q868" s="137"/>
      <c r="R868" s="135"/>
    </row>
    <row r="869" spans="1:18" x14ac:dyDescent="0.25">
      <c r="A869" s="127">
        <v>45631</v>
      </c>
      <c r="B869" s="128" t="s">
        <v>45</v>
      </c>
      <c r="C869" s="129" t="str">
        <f t="shared" si="27"/>
        <v>05.12.2024_HAAun</v>
      </c>
      <c r="D869" s="143">
        <f t="shared" si="28"/>
        <v>0</v>
      </c>
      <c r="E869" s="130">
        <v>3.606391013985274E-6</v>
      </c>
      <c r="F869" s="131">
        <v>5.7197283612630688E-4</v>
      </c>
      <c r="G869" s="131">
        <v>1.4839181830574599E-2</v>
      </c>
      <c r="H869" s="131">
        <v>2.4208409864819218E-3</v>
      </c>
      <c r="I869" s="131">
        <v>7.9633120145530238E-6</v>
      </c>
      <c r="J869" s="131">
        <v>1.9452397783554568E-3</v>
      </c>
      <c r="K869" s="132">
        <v>24.321477360806401</v>
      </c>
      <c r="L869" s="133">
        <v>28.001952821095902</v>
      </c>
      <c r="M869" s="133">
        <v>7.61883319159673</v>
      </c>
      <c r="N869" s="133">
        <v>3.434140003627328E-4</v>
      </c>
      <c r="O869" s="131">
        <v>3.434140003627328E-4</v>
      </c>
      <c r="P869" s="133">
        <v>303.29200000000003</v>
      </c>
      <c r="Q869" s="137"/>
      <c r="R869" s="135"/>
    </row>
    <row r="870" spans="1:18" x14ac:dyDescent="0.25">
      <c r="A870" s="127">
        <v>45631</v>
      </c>
      <c r="B870" s="128" t="s">
        <v>47</v>
      </c>
      <c r="C870" s="129" t="str">
        <f t="shared" si="27"/>
        <v>05.12.2024_KIRob</v>
      </c>
      <c r="D870" s="143">
        <f t="shared" si="28"/>
        <v>0</v>
      </c>
      <c r="E870" s="130">
        <v>2.9038761380701679E-5</v>
      </c>
      <c r="F870" s="131">
        <v>8.7371077658024183E-4</v>
      </c>
      <c r="G870" s="131">
        <v>5.0724086429027801E-3</v>
      </c>
      <c r="H870" s="131">
        <v>3.1422336180173607E-3</v>
      </c>
      <c r="I870" s="131">
        <v>2.7923621965085673E-5</v>
      </c>
      <c r="J870" s="131">
        <v>1.8698894731183446E-3</v>
      </c>
      <c r="K870" s="132">
        <v>13.9655316652092</v>
      </c>
      <c r="L870" s="133">
        <v>61.682644127187203</v>
      </c>
      <c r="M870" s="133">
        <v>6.0174381276280799</v>
      </c>
      <c r="N870" s="133">
        <v>4.7848332163856613E-4</v>
      </c>
      <c r="O870" s="131">
        <v>4.7848332163856613E-4</v>
      </c>
      <c r="P870" s="133">
        <v>245.70799999999997</v>
      </c>
      <c r="Q870" s="137"/>
      <c r="R870" s="135"/>
    </row>
    <row r="871" spans="1:18" x14ac:dyDescent="0.25">
      <c r="A871" s="127">
        <v>45631</v>
      </c>
      <c r="B871" s="128" t="s">
        <v>49</v>
      </c>
      <c r="C871" s="129" t="str">
        <f t="shared" si="27"/>
        <v>05.12.2024_KIRun</v>
      </c>
      <c r="D871" s="143">
        <f t="shared" si="28"/>
        <v>0</v>
      </c>
      <c r="E871" s="130">
        <v>8.6743903261315603E-5</v>
      </c>
      <c r="F871" s="131">
        <v>1.1770808788927043E-3</v>
      </c>
      <c r="G871" s="131">
        <v>6.0387749889479203E-3</v>
      </c>
      <c r="H871" s="131">
        <v>2.4333845930864973E-3</v>
      </c>
      <c r="I871" s="131">
        <v>9.1504242006739813E-5</v>
      </c>
      <c r="J871" s="131">
        <v>1.4355317191610895E-3</v>
      </c>
      <c r="K871" s="132">
        <v>13.1744841870494</v>
      </c>
      <c r="L871" s="133">
        <v>48.734491564609002</v>
      </c>
      <c r="M871" s="133">
        <v>5.3273781586828397</v>
      </c>
      <c r="N871" s="133">
        <v>3.0467057715471128E-4</v>
      </c>
      <c r="O871" s="131">
        <v>3.0467057715471128E-4</v>
      </c>
      <c r="P871" s="133">
        <v>230.57999999999998</v>
      </c>
      <c r="Q871" s="137"/>
      <c r="R871" s="135"/>
    </row>
    <row r="872" spans="1:18" x14ac:dyDescent="0.25">
      <c r="A872" s="127">
        <v>45631</v>
      </c>
      <c r="B872" s="128" t="s">
        <v>50</v>
      </c>
      <c r="C872" s="129" t="str">
        <f t="shared" si="27"/>
        <v>05.12.2024_LIEohBo</v>
      </c>
      <c r="D872" s="143">
        <f t="shared" si="28"/>
        <v>0</v>
      </c>
      <c r="E872" s="130">
        <v>4.2620984388835577E-6</v>
      </c>
      <c r="F872" s="131">
        <v>6.1142141103664983E-4</v>
      </c>
      <c r="G872" s="131">
        <v>6.9304670631793594E-3</v>
      </c>
      <c r="H872" s="131">
        <v>2.5713851657608476E-3</v>
      </c>
      <c r="I872" s="131">
        <v>8.0658420766390801E-6</v>
      </c>
      <c r="J872" s="131">
        <v>6.36421144335769E-4</v>
      </c>
      <c r="K872" s="132">
        <v>12.605599423720401</v>
      </c>
      <c r="L872" s="133">
        <v>20.7853284604296</v>
      </c>
      <c r="M872" s="133">
        <v>5.4514980320030304</v>
      </c>
      <c r="N872" s="133">
        <v>1.8744382744461847E-4</v>
      </c>
      <c r="O872" s="131">
        <v>1.8744382744461847E-4</v>
      </c>
      <c r="P872" s="133">
        <v>217.892</v>
      </c>
      <c r="Q872" s="137"/>
      <c r="R872" s="135"/>
    </row>
    <row r="873" spans="1:18" x14ac:dyDescent="0.25">
      <c r="A873" s="127">
        <v>45631</v>
      </c>
      <c r="B873" s="128" t="s">
        <v>53</v>
      </c>
      <c r="C873" s="129" t="str">
        <f t="shared" si="27"/>
        <v>05.12.2024_NATohBo</v>
      </c>
      <c r="D873" s="143">
        <f t="shared" si="28"/>
        <v>0</v>
      </c>
      <c r="E873" s="130">
        <v>6.7912614356827387E-6</v>
      </c>
      <c r="F873" s="131">
        <v>6.975172327558963E-4</v>
      </c>
      <c r="G873" s="131">
        <v>7.9977377689790796E-3</v>
      </c>
      <c r="H873" s="131">
        <v>2.3758275128030653E-3</v>
      </c>
      <c r="I873" s="131">
        <v>6.220254872376912E-6</v>
      </c>
      <c r="J873" s="131">
        <v>2.3932283369074462E-3</v>
      </c>
      <c r="K873" s="132">
        <v>31.548216280377499</v>
      </c>
      <c r="L873" s="133">
        <v>64.569007211621795</v>
      </c>
      <c r="M873" s="133">
        <v>9.8455604839765201</v>
      </c>
      <c r="N873" s="133">
        <v>1.8569447924695801E-4</v>
      </c>
      <c r="O873" s="131">
        <v>1.8569447924695801E-4</v>
      </c>
      <c r="P873" s="133">
        <v>285.23599999999999</v>
      </c>
      <c r="Q873" s="137"/>
      <c r="R873" s="135"/>
    </row>
    <row r="874" spans="1:18" x14ac:dyDescent="0.25">
      <c r="A874" s="127">
        <v>45631</v>
      </c>
      <c r="B874" s="128" t="s">
        <v>55</v>
      </c>
      <c r="C874" s="129" t="str">
        <f t="shared" si="27"/>
        <v>05.12.2024_QUAohBo</v>
      </c>
      <c r="D874" s="143">
        <f t="shared" si="28"/>
        <v>0</v>
      </c>
      <c r="E874" s="130">
        <v>7.5406495737205646E-6</v>
      </c>
      <c r="F874" s="131">
        <v>7.1537579038243916E-4</v>
      </c>
      <c r="G874" s="131">
        <v>8.62159902587409E-3</v>
      </c>
      <c r="H874" s="131">
        <v>2.0068548143887112E-3</v>
      </c>
      <c r="I874" s="131">
        <v>8.7494031617228414E-6</v>
      </c>
      <c r="J874" s="131">
        <v>1.1699679142436366E-3</v>
      </c>
      <c r="K874" s="132">
        <v>7.7345910022814</v>
      </c>
      <c r="L874" s="133">
        <v>25.0994486686097</v>
      </c>
      <c r="M874" s="133">
        <v>3.7445052695587302</v>
      </c>
      <c r="N874" s="133">
        <v>3.0092061923868099E-4</v>
      </c>
      <c r="O874" s="131">
        <v>3.0092061923868099E-4</v>
      </c>
      <c r="P874" s="133">
        <v>244.24399999999997</v>
      </c>
      <c r="Q874" s="137"/>
      <c r="R874" s="135"/>
    </row>
    <row r="875" spans="1:18" x14ac:dyDescent="0.25">
      <c r="A875" s="127">
        <v>45631</v>
      </c>
      <c r="B875" s="128" t="s">
        <v>57</v>
      </c>
      <c r="C875" s="129" t="str">
        <f t="shared" si="27"/>
        <v>05.12.2024_SCHohVo</v>
      </c>
      <c r="D875" s="143">
        <f t="shared" si="28"/>
        <v>0</v>
      </c>
      <c r="E875" s="130">
        <v>3.6345314229935189E-5</v>
      </c>
      <c r="F875" s="131">
        <v>1.0397796214085644E-3</v>
      </c>
      <c r="G875" s="131">
        <v>8.6967528029393906E-2</v>
      </c>
      <c r="H875" s="131">
        <v>4.6394968126984961E-3</v>
      </c>
      <c r="I875" s="131">
        <v>4.20397082027224E-5</v>
      </c>
      <c r="J875" s="131">
        <v>4.7295067249413748E-3</v>
      </c>
      <c r="K875" s="132">
        <v>6.4952167484705301</v>
      </c>
      <c r="L875" s="133">
        <v>14.246991315855499</v>
      </c>
      <c r="M875" s="133">
        <v>1.5507057180908099</v>
      </c>
      <c r="N875" s="133">
        <v>9.5527535514909471E-4</v>
      </c>
      <c r="O875" s="131">
        <v>9.5527535514909471E-4</v>
      </c>
      <c r="P875" s="133">
        <v>146.88800000000001</v>
      </c>
      <c r="Q875" s="137"/>
      <c r="R875" s="135"/>
    </row>
    <row r="876" spans="1:18" x14ac:dyDescent="0.25">
      <c r="A876" s="127">
        <v>45631</v>
      </c>
      <c r="B876" s="128" t="s">
        <v>60</v>
      </c>
      <c r="C876" s="129" t="str">
        <f t="shared" si="27"/>
        <v>05.12.2024_VORohBo</v>
      </c>
      <c r="D876" s="143">
        <f t="shared" si="28"/>
        <v>0</v>
      </c>
      <c r="E876" s="130">
        <v>1.4191429741359763E-5</v>
      </c>
      <c r="F876" s="131">
        <v>5.4611812189588678E-4</v>
      </c>
      <c r="G876" s="131">
        <v>8.6416457255645597E-3</v>
      </c>
      <c r="H876" s="131">
        <v>3.1817202370708732E-3</v>
      </c>
      <c r="I876" s="131">
        <v>1.6131831089883567E-5</v>
      </c>
      <c r="J876" s="131">
        <v>1.3840549553584556E-3</v>
      </c>
      <c r="K876" s="132">
        <v>16.537967234271299</v>
      </c>
      <c r="L876" s="133">
        <v>23.298093560559799</v>
      </c>
      <c r="M876" s="133">
        <v>5.5180273473747201</v>
      </c>
      <c r="N876" s="133">
        <v>5.2014851122280769E-4</v>
      </c>
      <c r="O876" s="131">
        <v>5.2014851122280769E-4</v>
      </c>
      <c r="P876" s="133">
        <v>271.32800000000003</v>
      </c>
      <c r="Q876" s="137"/>
      <c r="R876" s="135"/>
    </row>
    <row r="877" spans="1:18" x14ac:dyDescent="0.25">
      <c r="A877" s="127">
        <v>45631</v>
      </c>
      <c r="B877" s="128" t="s">
        <v>62</v>
      </c>
      <c r="C877" s="129" t="str">
        <f t="shared" si="27"/>
        <v>05.12.2024_VORuhSc</v>
      </c>
      <c r="D877" s="143">
        <f t="shared" si="28"/>
        <v>0</v>
      </c>
      <c r="E877" s="130">
        <v>2.0561281182521818E-5</v>
      </c>
      <c r="F877" s="131">
        <v>5.8423424302657336E-4</v>
      </c>
      <c r="G877" s="131">
        <v>1.2376042806664501E-2</v>
      </c>
      <c r="H877" s="131">
        <v>3.2119776277583106E-3</v>
      </c>
      <c r="I877" s="131">
        <v>2.0506840562303551E-5</v>
      </c>
      <c r="J877" s="131">
        <v>2.6254642085788414E-3</v>
      </c>
      <c r="K877" s="132">
        <v>14.4565464346209</v>
      </c>
      <c r="L877" s="133">
        <v>20.226736461131001</v>
      </c>
      <c r="M877" s="133">
        <v>3.9248325336485101</v>
      </c>
      <c r="N877" s="133">
        <v>4.9031596656547833E-4</v>
      </c>
      <c r="O877" s="131">
        <v>4.9031596656547833E-4</v>
      </c>
      <c r="P877" s="133">
        <v>274.012</v>
      </c>
      <c r="Q877" s="137"/>
      <c r="R877" s="135"/>
    </row>
    <row r="878" spans="1:18" x14ac:dyDescent="0.25">
      <c r="A878" s="127">
        <v>45631</v>
      </c>
      <c r="B878" s="128" t="s">
        <v>64</v>
      </c>
      <c r="C878" s="129" t="str">
        <f t="shared" si="27"/>
        <v>05.12.2024_WITob</v>
      </c>
      <c r="D878" s="143">
        <f t="shared" si="28"/>
        <v>0</v>
      </c>
      <c r="E878" s="130">
        <v>3.9810809848090303E-6</v>
      </c>
      <c r="F878" s="131">
        <v>5.3359039739998598E-4</v>
      </c>
      <c r="G878" s="131">
        <v>5.9641204173862105E-3</v>
      </c>
      <c r="H878" s="131">
        <v>2.4772932795800724E-3</v>
      </c>
      <c r="I878" s="131">
        <v>5.0924004562153917E-6</v>
      </c>
      <c r="J878" s="131">
        <v>9.6864822878125654E-4</v>
      </c>
      <c r="K878" s="132">
        <v>22.832453403001701</v>
      </c>
      <c r="L878" s="133">
        <v>41.801305815960603</v>
      </c>
      <c r="M878" s="133">
        <v>4.7329024292756401</v>
      </c>
      <c r="N878" s="133">
        <v>1.7561339832477486E-4</v>
      </c>
      <c r="O878" s="131">
        <v>1.7561339832477486E-4</v>
      </c>
      <c r="P878" s="133">
        <v>278.15999999999997</v>
      </c>
      <c r="Q878" s="137"/>
      <c r="R878" s="135"/>
    </row>
    <row r="879" spans="1:18" x14ac:dyDescent="0.25">
      <c r="A879" s="127">
        <v>45659</v>
      </c>
      <c r="B879" s="128" t="s">
        <v>22</v>
      </c>
      <c r="C879" s="129" t="str">
        <f t="shared" ref="C879:C942" si="29">CONCATENATE(TEXT(A879,"TT.MM.JJJJ"),"_",B879)</f>
        <v>02.01.2025_BOYkl</v>
      </c>
      <c r="D879" s="143">
        <f t="shared" ref="D879:D942" si="30">COUNTBLANK(E879:P879)</f>
        <v>0</v>
      </c>
      <c r="E879" s="130">
        <v>4.0808078493787201E-5</v>
      </c>
      <c r="F879" s="131">
        <v>2.503162983885162E-4</v>
      </c>
      <c r="G879" s="131">
        <v>0.18189433649325989</v>
      </c>
      <c r="H879" s="131">
        <v>4.6829319703086871E-3</v>
      </c>
      <c r="I879" s="131">
        <v>1.8483319196612842E-5</v>
      </c>
      <c r="J879" s="131">
        <v>5.8157319571555124E-4</v>
      </c>
      <c r="K879" s="132">
        <v>52.540942473493999</v>
      </c>
      <c r="L879" s="133">
        <v>5.3633867087725298</v>
      </c>
      <c r="M879" s="133">
        <v>13.8142952887645</v>
      </c>
      <c r="N879" s="133">
        <v>5.319386455551367</v>
      </c>
      <c r="O879" s="131">
        <v>5.3827394832982659E-4</v>
      </c>
      <c r="P879" s="133">
        <v>92.963999999999999</v>
      </c>
      <c r="Q879" s="137"/>
      <c r="R879" s="135"/>
    </row>
    <row r="880" spans="1:18" x14ac:dyDescent="0.25">
      <c r="A880" s="127">
        <v>45659</v>
      </c>
      <c r="B880" s="128" t="s">
        <v>25</v>
      </c>
      <c r="C880" s="129" t="str">
        <f t="shared" si="29"/>
        <v>02.01.2025_BOYohB224</v>
      </c>
      <c r="D880" s="143">
        <f t="shared" si="30"/>
        <v>0</v>
      </c>
      <c r="E880" s="130">
        <v>1.2058191972104327E-5</v>
      </c>
      <c r="F880" s="131">
        <v>2.5012911080740153E-4</v>
      </c>
      <c r="G880" s="131">
        <v>0.28420936089467308</v>
      </c>
      <c r="H880" s="131">
        <v>4.4911052654091482E-3</v>
      </c>
      <c r="I880" s="131">
        <v>1.1535303866075489E-5</v>
      </c>
      <c r="J880" s="131">
        <v>2.090303833466517E-4</v>
      </c>
      <c r="K880" s="132">
        <v>82.516208316097604</v>
      </c>
      <c r="L880" s="133">
        <v>10.4520114873597</v>
      </c>
      <c r="M880" s="133">
        <v>20.215758645616599</v>
      </c>
      <c r="N880" s="133">
        <v>4.9483979592669662</v>
      </c>
      <c r="O880" s="131">
        <v>5.0570961195295209E-4</v>
      </c>
      <c r="P880" s="133">
        <v>135.17600000000002</v>
      </c>
      <c r="Q880" s="137"/>
      <c r="R880" s="135"/>
    </row>
    <row r="881" spans="1:18" x14ac:dyDescent="0.25">
      <c r="A881" s="127">
        <v>45659</v>
      </c>
      <c r="B881" s="128" t="s">
        <v>28</v>
      </c>
      <c r="C881" s="129" t="str">
        <f t="shared" si="29"/>
        <v>02.01.2025_BOYohBr</v>
      </c>
      <c r="D881" s="143">
        <f t="shared" si="30"/>
        <v>0</v>
      </c>
      <c r="E881" s="130">
        <v>2.4235260091040743E-5</v>
      </c>
      <c r="F881" s="131">
        <v>5.1363693260333563E-4</v>
      </c>
      <c r="G881" s="131">
        <v>0.21459345657904716</v>
      </c>
      <c r="H881" s="131">
        <v>4.8767355144519742E-3</v>
      </c>
      <c r="I881" s="131">
        <v>1.6612691869402897E-5</v>
      </c>
      <c r="J881" s="131">
        <v>5.9505713705186602E-4</v>
      </c>
      <c r="K881" s="132">
        <v>62.592551473448403</v>
      </c>
      <c r="L881" s="133">
        <v>6.4527871678923701</v>
      </c>
      <c r="M881" s="133">
        <v>11.720931473068999</v>
      </c>
      <c r="N881" s="133">
        <v>4.6561662729686315</v>
      </c>
      <c r="O881" s="131">
        <v>4.485957556430524E-4</v>
      </c>
      <c r="P881" s="133">
        <v>107.848</v>
      </c>
      <c r="Q881" s="137"/>
      <c r="R881" s="135"/>
    </row>
    <row r="882" spans="1:18" x14ac:dyDescent="0.25">
      <c r="A882" s="127">
        <v>45659</v>
      </c>
      <c r="B882" s="128" t="s">
        <v>30</v>
      </c>
      <c r="C882" s="129" t="str">
        <f t="shared" si="29"/>
        <v>02.01.2025_BOYohKi</v>
      </c>
      <c r="D882" s="143">
        <f t="shared" si="30"/>
        <v>0</v>
      </c>
      <c r="E882" s="130">
        <v>1.5622203928486277E-5</v>
      </c>
      <c r="F882" s="131">
        <v>3.2925806745132027E-4</v>
      </c>
      <c r="G882" s="131">
        <v>0.26282806008132981</v>
      </c>
      <c r="H882" s="131">
        <v>4.1634930654349421E-3</v>
      </c>
      <c r="I882" s="131">
        <v>1.808247443949136E-5</v>
      </c>
      <c r="J882" s="131">
        <v>3.5934701746420666E-4</v>
      </c>
      <c r="K882" s="132">
        <v>76.075468100987194</v>
      </c>
      <c r="L882" s="133">
        <v>6.6287549816445601</v>
      </c>
      <c r="M882" s="133">
        <v>16.350468798496198</v>
      </c>
      <c r="N882" s="133">
        <v>4.6338033567862436</v>
      </c>
      <c r="O882" s="131">
        <v>6.0762018567869303E-4</v>
      </c>
      <c r="P882" s="133">
        <v>133.71200000000002</v>
      </c>
      <c r="Q882" s="137"/>
      <c r="R882" s="135"/>
    </row>
    <row r="883" spans="1:18" x14ac:dyDescent="0.25">
      <c r="A883" s="127">
        <v>45659</v>
      </c>
      <c r="B883" s="128" t="s">
        <v>32</v>
      </c>
      <c r="C883" s="129" t="str">
        <f t="shared" si="29"/>
        <v>02.01.2025_BOYohSp</v>
      </c>
      <c r="D883" s="143">
        <f t="shared" si="30"/>
        <v>0</v>
      </c>
      <c r="E883" s="130">
        <v>1.0513788534973919E-5</v>
      </c>
      <c r="F883" s="131">
        <v>2.9400419282069333E-4</v>
      </c>
      <c r="G883" s="131">
        <v>0.21183073018717369</v>
      </c>
      <c r="H883" s="131">
        <v>3.815276320202142E-3</v>
      </c>
      <c r="I883" s="131">
        <v>1.0911769197212709E-5</v>
      </c>
      <c r="J883" s="131">
        <v>1.5571257931399162E-4</v>
      </c>
      <c r="K883" s="132">
        <v>58.846968082733802</v>
      </c>
      <c r="L883" s="133">
        <v>6.3514943102993602</v>
      </c>
      <c r="M883" s="133">
        <v>15.555917175355701</v>
      </c>
      <c r="N883" s="133">
        <v>5.1824826444716292</v>
      </c>
      <c r="O883" s="131">
        <v>4.7398525915078499E-4</v>
      </c>
      <c r="P883" s="133">
        <v>205.93600000000001</v>
      </c>
      <c r="Q883" s="137"/>
      <c r="R883" s="135"/>
    </row>
    <row r="884" spans="1:18" x14ac:dyDescent="0.25">
      <c r="A884" s="127">
        <v>45659</v>
      </c>
      <c r="B884" s="128" t="s">
        <v>34</v>
      </c>
      <c r="C884" s="129" t="str">
        <f t="shared" si="29"/>
        <v>02.01.2025_BOYuhHa</v>
      </c>
      <c r="D884" s="143">
        <f t="shared" si="30"/>
        <v>0</v>
      </c>
      <c r="E884" s="130">
        <v>1.0097988420086459E-5</v>
      </c>
      <c r="F884" s="131">
        <v>2.6240801280144052E-4</v>
      </c>
      <c r="G884" s="131">
        <v>0.28223127177476404</v>
      </c>
      <c r="H884" s="131">
        <v>3.8805209559662516E-3</v>
      </c>
      <c r="I884" s="131">
        <v>1.2114300766676558E-5</v>
      </c>
      <c r="J884" s="131">
        <v>2.9835888274198067E-4</v>
      </c>
      <c r="K884" s="132">
        <v>84.362145287107595</v>
      </c>
      <c r="L884" s="133">
        <v>10.329052755861399</v>
      </c>
      <c r="M884" s="133">
        <v>23.468202941574901</v>
      </c>
      <c r="N884" s="133">
        <v>5.0938206923156741</v>
      </c>
      <c r="O884" s="131">
        <v>3.6761696199765929E-4</v>
      </c>
      <c r="P884" s="133">
        <v>137.37199999999999</v>
      </c>
      <c r="Q884" s="137"/>
      <c r="R884" s="135"/>
    </row>
    <row r="885" spans="1:18" x14ac:dyDescent="0.25">
      <c r="A885" s="127">
        <v>45659</v>
      </c>
      <c r="B885" s="128" t="s">
        <v>36</v>
      </c>
      <c r="C885" s="129" t="str">
        <f t="shared" si="29"/>
        <v>02.01.2025_BOYuhSp</v>
      </c>
      <c r="D885" s="143">
        <f t="shared" si="30"/>
        <v>0</v>
      </c>
      <c r="E885" s="130">
        <v>2.1146435808454531E-5</v>
      </c>
      <c r="F885" s="131">
        <v>2.8175860548262368E-4</v>
      </c>
      <c r="G885" s="131">
        <v>0.22238444029095208</v>
      </c>
      <c r="H885" s="131">
        <v>4.3023564567216998E-3</v>
      </c>
      <c r="I885" s="131">
        <v>2.1823742968008521E-5</v>
      </c>
      <c r="J885" s="131">
        <v>3.3709943562073213E-4</v>
      </c>
      <c r="K885" s="132">
        <v>65.425429644308494</v>
      </c>
      <c r="L885" s="133">
        <v>6.5623401981088296</v>
      </c>
      <c r="M885" s="133">
        <v>17.5221915176311</v>
      </c>
      <c r="N885" s="133">
        <v>4.5210229534517374</v>
      </c>
      <c r="O885" s="131">
        <v>7.5444370297060971E-4</v>
      </c>
      <c r="P885" s="133">
        <v>109.556</v>
      </c>
      <c r="Q885" s="137"/>
      <c r="R885" s="135"/>
    </row>
    <row r="886" spans="1:18" x14ac:dyDescent="0.25">
      <c r="A886" s="127">
        <v>45659</v>
      </c>
      <c r="B886" s="128" t="s">
        <v>38</v>
      </c>
      <c r="C886" s="129" t="str">
        <f t="shared" si="29"/>
        <v>02.01.2025_BRAob</v>
      </c>
      <c r="D886" s="143">
        <f t="shared" si="30"/>
        <v>0</v>
      </c>
      <c r="E886" s="130">
        <v>9.6227874793590247E-6</v>
      </c>
      <c r="F886" s="131">
        <v>1.1910452080699968E-4</v>
      </c>
      <c r="G886" s="131">
        <v>0.33307325804079235</v>
      </c>
      <c r="H886" s="131">
        <v>3.6489408003788078E-3</v>
      </c>
      <c r="I886" s="131">
        <v>9.0411641617779759E-6</v>
      </c>
      <c r="J886" s="131">
        <v>2.5028239444082489E-4</v>
      </c>
      <c r="K886" s="132">
        <v>102.90210680476299</v>
      </c>
      <c r="L886" s="133">
        <v>4.8446059096621301</v>
      </c>
      <c r="M886" s="133">
        <v>15.5215809667156</v>
      </c>
      <c r="N886" s="133">
        <v>3.9048686084810407</v>
      </c>
      <c r="O886" s="131">
        <v>5.2777309611624402E-4</v>
      </c>
      <c r="P886" s="133">
        <v>162.26000000000002</v>
      </c>
      <c r="Q886" s="137"/>
      <c r="R886" s="135"/>
    </row>
    <row r="887" spans="1:18" x14ac:dyDescent="0.25">
      <c r="A887" s="127">
        <v>45659</v>
      </c>
      <c r="B887" s="128" t="s">
        <v>41</v>
      </c>
      <c r="C887" s="129" t="str">
        <f t="shared" si="29"/>
        <v>02.01.2025_BRAohBo</v>
      </c>
      <c r="D887" s="143">
        <f t="shared" si="30"/>
        <v>0</v>
      </c>
      <c r="E887" s="130">
        <v>1.9067423430759641E-5</v>
      </c>
      <c r="F887" s="131">
        <v>1.8057599996965776E-4</v>
      </c>
      <c r="G887" s="131">
        <v>0.26034584361824975</v>
      </c>
      <c r="H887" s="131">
        <v>3.5565441193741542E-3</v>
      </c>
      <c r="I887" s="131">
        <v>1.3227760416172974E-5</v>
      </c>
      <c r="J887" s="131">
        <v>4.1917867905957211E-4</v>
      </c>
      <c r="K887" s="132">
        <v>77.656513663788502</v>
      </c>
      <c r="L887" s="133">
        <v>6.4803880665234201</v>
      </c>
      <c r="M887" s="133">
        <v>16.0025674127515</v>
      </c>
      <c r="N887" s="133">
        <v>5.1939709545023653</v>
      </c>
      <c r="O887" s="131">
        <v>6.1616174061423557E-4</v>
      </c>
      <c r="P887" s="133">
        <v>137.12800000000001</v>
      </c>
      <c r="Q887" s="137"/>
      <c r="R887" s="135"/>
    </row>
    <row r="888" spans="1:18" x14ac:dyDescent="0.25">
      <c r="A888" s="127">
        <v>45659</v>
      </c>
      <c r="B888" s="128" t="s">
        <v>43</v>
      </c>
      <c r="C888" s="129" t="str">
        <f t="shared" si="29"/>
        <v>02.01.2025_HAAob</v>
      </c>
      <c r="D888" s="143">
        <f t="shared" si="30"/>
        <v>0</v>
      </c>
      <c r="E888" s="130">
        <v>3.8609890252480903E-6</v>
      </c>
      <c r="F888" s="131">
        <v>1.0028266908277883E-4</v>
      </c>
      <c r="G888" s="131">
        <v>0.251023427767957</v>
      </c>
      <c r="H888" s="131">
        <v>2.2577056414018991E-3</v>
      </c>
      <c r="I888" s="131">
        <v>1.9953103221660101E-5</v>
      </c>
      <c r="J888" s="131">
        <v>2.2283610830833037E-4</v>
      </c>
      <c r="K888" s="132">
        <v>74.900809506229393</v>
      </c>
      <c r="L888" s="133">
        <v>8.8762369651890207</v>
      </c>
      <c r="M888" s="133">
        <v>15.1675249508283</v>
      </c>
      <c r="N888" s="133">
        <v>3.3096529254290727</v>
      </c>
      <c r="O888" s="131">
        <v>1.8082608505855564E-4</v>
      </c>
      <c r="P888" s="133">
        <v>192.51600000000002</v>
      </c>
      <c r="Q888" s="137"/>
      <c r="R888" s="135"/>
    </row>
    <row r="889" spans="1:18" x14ac:dyDescent="0.25">
      <c r="A889" s="127">
        <v>45659</v>
      </c>
      <c r="B889" s="128" t="s">
        <v>45</v>
      </c>
      <c r="C889" s="129" t="str">
        <f t="shared" si="29"/>
        <v>02.01.2025_HAAun</v>
      </c>
      <c r="D889" s="143">
        <f t="shared" si="30"/>
        <v>0</v>
      </c>
      <c r="E889" s="130">
        <v>3.9203890971004119E-6</v>
      </c>
      <c r="F889" s="131">
        <v>1.7113308020191105E-4</v>
      </c>
      <c r="G889" s="131">
        <v>0.40700681502155084</v>
      </c>
      <c r="H889" s="131">
        <v>4.1778600792881735E-3</v>
      </c>
      <c r="I889" s="131">
        <v>7.6604845330432532E-6</v>
      </c>
      <c r="J889" s="131">
        <v>2.5712636170006296E-4</v>
      </c>
      <c r="K889" s="132">
        <v>135.69532890207799</v>
      </c>
      <c r="L889" s="133">
        <v>20.858377280626701</v>
      </c>
      <c r="M889" s="133">
        <v>29.352419545903299</v>
      </c>
      <c r="N889" s="133">
        <v>6.5182217310462871</v>
      </c>
      <c r="O889" s="131">
        <v>3.8415822807181876E-4</v>
      </c>
      <c r="P889" s="133">
        <v>215.452</v>
      </c>
      <c r="Q889" s="137"/>
      <c r="R889" s="135"/>
    </row>
    <row r="890" spans="1:18" x14ac:dyDescent="0.25">
      <c r="A890" s="127">
        <v>45659</v>
      </c>
      <c r="B890" s="128" t="s">
        <v>47</v>
      </c>
      <c r="C890" s="129" t="str">
        <f t="shared" si="29"/>
        <v>02.01.2025_KIRob</v>
      </c>
      <c r="D890" s="143">
        <f t="shared" si="30"/>
        <v>0</v>
      </c>
      <c r="E890" s="130">
        <v>6.6527860267131484E-6</v>
      </c>
      <c r="F890" s="131">
        <v>1.1712749924662969E-4</v>
      </c>
      <c r="G890" s="131">
        <v>0.33518421849725955</v>
      </c>
      <c r="H890" s="131">
        <v>4.3414789690230157E-3</v>
      </c>
      <c r="I890" s="131">
        <v>6.0125805498672926E-6</v>
      </c>
      <c r="J890" s="131">
        <v>3.2685547264088533E-4</v>
      </c>
      <c r="K890" s="132">
        <v>116.385251554588</v>
      </c>
      <c r="L890" s="133">
        <v>10.725330799255</v>
      </c>
      <c r="M890" s="133">
        <v>55.053354906276397</v>
      </c>
      <c r="N890" s="133">
        <v>4.5641314277609988</v>
      </c>
      <c r="O890" s="131">
        <v>6.0576064867089597E-4</v>
      </c>
      <c r="P890" s="133">
        <v>175.43600000000001</v>
      </c>
      <c r="Q890" s="137"/>
      <c r="R890" s="135"/>
    </row>
    <row r="891" spans="1:18" x14ac:dyDescent="0.25">
      <c r="A891" s="127">
        <v>45659</v>
      </c>
      <c r="B891" s="128" t="s">
        <v>49</v>
      </c>
      <c r="C891" s="129" t="str">
        <f t="shared" si="29"/>
        <v>02.01.2025_KIRun</v>
      </c>
      <c r="D891" s="143">
        <f t="shared" si="30"/>
        <v>0</v>
      </c>
      <c r="E891" s="130">
        <v>4.4549883411405046E-6</v>
      </c>
      <c r="F891" s="131">
        <v>9.2270099619095954E-5</v>
      </c>
      <c r="G891" s="131">
        <v>0.27216281412665622</v>
      </c>
      <c r="H891" s="131">
        <v>3.101628653788806E-3</v>
      </c>
      <c r="I891" s="131">
        <v>5.0327484114376099E-6</v>
      </c>
      <c r="J891" s="131">
        <v>1.0788854842758349E-4</v>
      </c>
      <c r="K891" s="132">
        <v>104.054146654471</v>
      </c>
      <c r="L891" s="133">
        <v>10.1529262028609</v>
      </c>
      <c r="M891" s="133">
        <v>38.882862229053003</v>
      </c>
      <c r="N891" s="133">
        <v>4.0164409245519863</v>
      </c>
      <c r="O891" s="131">
        <v>2.8455135547356179E-4</v>
      </c>
      <c r="P891" s="133">
        <v>147.864</v>
      </c>
      <c r="Q891" s="137"/>
      <c r="R891" s="135"/>
    </row>
    <row r="892" spans="1:18" x14ac:dyDescent="0.25">
      <c r="A892" s="127">
        <v>45659</v>
      </c>
      <c r="B892" s="128" t="s">
        <v>50</v>
      </c>
      <c r="C892" s="129" t="str">
        <f t="shared" si="29"/>
        <v>02.01.2025_LIEohBo</v>
      </c>
      <c r="D892" s="143">
        <f t="shared" si="30"/>
        <v>0</v>
      </c>
      <c r="E892" s="130">
        <v>5.7023865458177489E-6</v>
      </c>
      <c r="F892" s="131">
        <v>1.4852777904190596E-4</v>
      </c>
      <c r="G892" s="131">
        <v>0.31230922336008488</v>
      </c>
      <c r="H892" s="131">
        <v>4.2401554329211935E-3</v>
      </c>
      <c r="I892" s="131">
        <v>1.1891611759115872E-5</v>
      </c>
      <c r="J892" s="131">
        <v>2.3376684859711873E-4</v>
      </c>
      <c r="K892" s="132">
        <v>95.221360822678193</v>
      </c>
      <c r="L892" s="133">
        <v>11.3833474095124</v>
      </c>
      <c r="M892" s="133">
        <v>18.646221524228601</v>
      </c>
      <c r="N892" s="133">
        <v>5.1990335310213993</v>
      </c>
      <c r="O892" s="131">
        <v>3.522600581116641E-4</v>
      </c>
      <c r="P892" s="133">
        <v>183</v>
      </c>
      <c r="Q892" s="137"/>
      <c r="R892" s="135"/>
    </row>
    <row r="893" spans="1:18" x14ac:dyDescent="0.25">
      <c r="A893" s="127">
        <v>45659</v>
      </c>
      <c r="B893" s="128" t="s">
        <v>53</v>
      </c>
      <c r="C893" s="129" t="str">
        <f t="shared" si="29"/>
        <v>02.01.2025_NATohBo</v>
      </c>
      <c r="D893" s="143">
        <f t="shared" si="30"/>
        <v>0</v>
      </c>
      <c r="E893" s="130">
        <v>1.0216788901977243E-5</v>
      </c>
      <c r="F893" s="131">
        <v>2.0695282106007986E-4</v>
      </c>
      <c r="G893" s="131">
        <v>0.40471613833958886</v>
      </c>
      <c r="H893" s="131">
        <v>4.5730635714321451E-3</v>
      </c>
      <c r="I893" s="131">
        <v>7.7940979729254592E-6</v>
      </c>
      <c r="J893" s="131">
        <v>3.5166956411067916E-4</v>
      </c>
      <c r="K893" s="132">
        <v>123.383885129362</v>
      </c>
      <c r="L893" s="133">
        <v>23.547541938879998</v>
      </c>
      <c r="M893" s="133">
        <v>54.936675279521602</v>
      </c>
      <c r="N893" s="133">
        <v>7.2367051033020626</v>
      </c>
      <c r="O893" s="131">
        <v>3.9271530878627083E-4</v>
      </c>
      <c r="P893" s="133">
        <v>181.292</v>
      </c>
      <c r="Q893" s="137"/>
      <c r="R893" s="135"/>
    </row>
    <row r="894" spans="1:18" x14ac:dyDescent="0.25">
      <c r="A894" s="127">
        <v>45659</v>
      </c>
      <c r="B894" s="128" t="s">
        <v>55</v>
      </c>
      <c r="C894" s="129" t="str">
        <f t="shared" si="29"/>
        <v>02.01.2025_QUAohBo</v>
      </c>
      <c r="D894" s="143">
        <f t="shared" si="30"/>
        <v>0</v>
      </c>
      <c r="E894" s="130">
        <v>7.4249857910114653E-6</v>
      </c>
      <c r="F894" s="131">
        <v>1.1581731129644589E-4</v>
      </c>
      <c r="G894" s="131">
        <v>0.2435099327070388</v>
      </c>
      <c r="H894" s="131">
        <v>2.7959474318999017E-3</v>
      </c>
      <c r="I894" s="131">
        <v>5.5226642156511616E-6</v>
      </c>
      <c r="J894" s="131">
        <v>1.28628318645798E-4</v>
      </c>
      <c r="K894" s="132">
        <v>77.994355502842694</v>
      </c>
      <c r="L894" s="133">
        <v>6.0513789865476202</v>
      </c>
      <c r="M894" s="133">
        <v>27.659367708694798</v>
      </c>
      <c r="N894" s="133">
        <v>3.84441255539328</v>
      </c>
      <c r="O894" s="131">
        <v>3.9481877218737737E-4</v>
      </c>
      <c r="P894" s="133">
        <v>113.94800000000001</v>
      </c>
      <c r="Q894" s="137"/>
      <c r="R894" s="135"/>
    </row>
    <row r="895" spans="1:18" x14ac:dyDescent="0.25">
      <c r="A895" s="127">
        <v>45659</v>
      </c>
      <c r="B895" s="128" t="s">
        <v>356</v>
      </c>
      <c r="C895" s="129" t="str">
        <f t="shared" si="29"/>
        <v>02.01.2025_ROTB</v>
      </c>
      <c r="D895" s="143">
        <f t="shared" si="30"/>
        <v>0</v>
      </c>
      <c r="E895" s="130">
        <v>1.2414956237653319E-4</v>
      </c>
      <c r="F895" s="131">
        <v>2.4761250450877821E-4</v>
      </c>
      <c r="G895" s="131">
        <v>0.25212630666617653</v>
      </c>
      <c r="H895" s="131">
        <v>6.5820326589205369E-3</v>
      </c>
      <c r="I895" s="131">
        <v>8.1954700848943857E-5</v>
      </c>
      <c r="J895" s="131">
        <v>4.0486387963742515E-3</v>
      </c>
      <c r="K895" s="132">
        <v>42.151811454076601</v>
      </c>
      <c r="L895" s="133">
        <v>9.4902022915334108</v>
      </c>
      <c r="M895" s="133">
        <v>33.943436624098503</v>
      </c>
      <c r="N895" s="133">
        <v>3.4042653876215563</v>
      </c>
      <c r="O895" s="131">
        <v>2.097053524901278E-3</v>
      </c>
      <c r="P895" s="133">
        <v>65.88000000000001</v>
      </c>
      <c r="Q895" s="137"/>
      <c r="R895" s="135"/>
    </row>
    <row r="896" spans="1:18" x14ac:dyDescent="0.25">
      <c r="A896" s="127">
        <v>45659</v>
      </c>
      <c r="B896" s="128" t="s">
        <v>57</v>
      </c>
      <c r="C896" s="129" t="str">
        <f t="shared" si="29"/>
        <v>02.01.2025_SCHohVo</v>
      </c>
      <c r="D896" s="143">
        <f t="shared" si="30"/>
        <v>0</v>
      </c>
      <c r="E896" s="130">
        <v>3.0056520106090776E-5</v>
      </c>
      <c r="F896" s="131">
        <v>1.8128985932130417E-4</v>
      </c>
      <c r="G896" s="131">
        <v>0.22723932101743807</v>
      </c>
      <c r="H896" s="131">
        <v>5.445451212542027E-3</v>
      </c>
      <c r="I896" s="131">
        <v>2.9039131246537162E-5</v>
      </c>
      <c r="J896" s="131">
        <v>3.7315754037443302E-4</v>
      </c>
      <c r="K896" s="132">
        <v>61.487553495295103</v>
      </c>
      <c r="L896" s="133">
        <v>4.7172063749879802</v>
      </c>
      <c r="M896" s="133">
        <v>12.255872457115199</v>
      </c>
      <c r="N896" s="133">
        <v>1.7692709574475913</v>
      </c>
      <c r="O896" s="131">
        <v>1.23116165728576E-3</v>
      </c>
      <c r="P896" s="133">
        <v>87.84</v>
      </c>
      <c r="Q896" s="137"/>
      <c r="R896" s="135"/>
    </row>
    <row r="897" spans="1:18" x14ac:dyDescent="0.25">
      <c r="A897" s="127">
        <v>45659</v>
      </c>
      <c r="B897" s="128" t="s">
        <v>357</v>
      </c>
      <c r="C897" s="129" t="str">
        <f t="shared" si="29"/>
        <v>02.01.2025_SCHW</v>
      </c>
      <c r="D897" s="143">
        <f t="shared" si="30"/>
        <v>0</v>
      </c>
      <c r="E897" s="130">
        <v>9.4210372023814364E-5</v>
      </c>
      <c r="F897" s="131">
        <v>3.9571788388129418E-4</v>
      </c>
      <c r="G897" s="131">
        <v>0.34982600566810862</v>
      </c>
      <c r="H897" s="131">
        <v>6.7658327150717755E-3</v>
      </c>
      <c r="I897" s="131">
        <v>3.6878158090908164E-5</v>
      </c>
      <c r="J897" s="131">
        <v>1.5768864263524889E-3</v>
      </c>
      <c r="K897" s="132">
        <v>89.034852444838194</v>
      </c>
      <c r="L897" s="133">
        <v>22.636120369265601</v>
      </c>
      <c r="M897" s="133">
        <v>25.313091906108099</v>
      </c>
      <c r="N897" s="133">
        <v>6.5560643084480468</v>
      </c>
      <c r="O897" s="131">
        <v>1.4049583022499898E-3</v>
      </c>
      <c r="P897" s="133">
        <v>95.89200000000001</v>
      </c>
      <c r="Q897" s="137"/>
      <c r="R897" s="135"/>
    </row>
    <row r="898" spans="1:18" x14ac:dyDescent="0.25">
      <c r="A898" s="127">
        <v>45659</v>
      </c>
      <c r="B898" s="128" t="s">
        <v>358</v>
      </c>
      <c r="C898" s="129" t="str">
        <f t="shared" si="29"/>
        <v>02.01.2025_SPE</v>
      </c>
      <c r="D898" s="143">
        <f t="shared" si="30"/>
        <v>12</v>
      </c>
      <c r="E898" s="130"/>
      <c r="F898" s="131"/>
      <c r="G898" s="131"/>
      <c r="H898" s="131"/>
      <c r="I898" s="131"/>
      <c r="J898" s="131"/>
      <c r="K898" s="132"/>
      <c r="L898" s="133"/>
      <c r="M898" s="133"/>
      <c r="N898" s="133"/>
      <c r="O898" s="131"/>
      <c r="P898" s="133"/>
      <c r="Q898" s="137"/>
      <c r="R898" s="135" t="s">
        <v>359</v>
      </c>
    </row>
    <row r="899" spans="1:18" x14ac:dyDescent="0.25">
      <c r="A899" s="127">
        <v>45659</v>
      </c>
      <c r="B899" s="128" t="s">
        <v>60</v>
      </c>
      <c r="C899" s="129" t="str">
        <f t="shared" si="29"/>
        <v>02.01.2025_VORohBo</v>
      </c>
      <c r="D899" s="143">
        <f t="shared" si="30"/>
        <v>0</v>
      </c>
      <c r="E899" s="130">
        <v>5.583586762472886E-6</v>
      </c>
      <c r="F899" s="131">
        <v>1.1070529436487016E-4</v>
      </c>
      <c r="G899" s="131">
        <v>0.38853685436356944</v>
      </c>
      <c r="H899" s="131">
        <v>5.1255455989912251E-3</v>
      </c>
      <c r="I899" s="131">
        <v>1.1535303450379122E-5</v>
      </c>
      <c r="J899" s="131">
        <v>1.3421134926870786E-4</v>
      </c>
      <c r="K899" s="132">
        <v>129.75631066709701</v>
      </c>
      <c r="L899" s="133">
        <v>12.5826587358572</v>
      </c>
      <c r="M899" s="133">
        <v>21.284510178936301</v>
      </c>
      <c r="N899" s="133">
        <v>4.4245554203117141</v>
      </c>
      <c r="O899" s="131">
        <v>7.5229760905260205E-4</v>
      </c>
      <c r="P899" s="133">
        <v>181.3408</v>
      </c>
      <c r="Q899" s="137"/>
      <c r="R899" s="135"/>
    </row>
    <row r="900" spans="1:18" x14ac:dyDescent="0.25">
      <c r="A900" s="127">
        <v>45659</v>
      </c>
      <c r="B900" s="128" t="s">
        <v>62</v>
      </c>
      <c r="C900" s="129" t="str">
        <f t="shared" si="29"/>
        <v>02.01.2025_VORuhSc</v>
      </c>
      <c r="D900" s="143">
        <f t="shared" si="30"/>
        <v>0</v>
      </c>
      <c r="E900" s="130">
        <v>1.0157387688055939E-5</v>
      </c>
      <c r="F900" s="131">
        <v>1.340438318152573E-4</v>
      </c>
      <c r="G900" s="131">
        <v>0.35432495798745217</v>
      </c>
      <c r="H900" s="131">
        <v>5.0055390670100163E-3</v>
      </c>
      <c r="I900" s="131">
        <v>9.6201616339570759E-6</v>
      </c>
      <c r="J900" s="131">
        <v>2.4552964188010611E-4</v>
      </c>
      <c r="K900" s="132">
        <v>114.773926244691</v>
      </c>
      <c r="L900" s="133">
        <v>9.8122924492668293</v>
      </c>
      <c r="M900" s="133">
        <v>17.701351506892699</v>
      </c>
      <c r="N900" s="133">
        <v>3.4137159418183867</v>
      </c>
      <c r="O900" s="131">
        <v>7.9735267726203159E-4</v>
      </c>
      <c r="P900" s="133">
        <v>176.41200000000001</v>
      </c>
      <c r="Q900" s="137"/>
      <c r="R900" s="135"/>
    </row>
    <row r="901" spans="1:18" x14ac:dyDescent="0.25">
      <c r="A901" s="127">
        <v>45659</v>
      </c>
      <c r="B901" s="128" t="s">
        <v>64</v>
      </c>
      <c r="C901" s="129" t="str">
        <f t="shared" si="29"/>
        <v>02.01.2025_WITob</v>
      </c>
      <c r="D901" s="143">
        <f t="shared" si="30"/>
        <v>0</v>
      </c>
      <c r="E901" s="130">
        <v>4.0391886475974854E-6</v>
      </c>
      <c r="F901" s="131">
        <v>1.022127534234962E-4</v>
      </c>
      <c r="G901" s="131">
        <v>0.45908346410421352</v>
      </c>
      <c r="H901" s="131">
        <v>4.6963768524181443E-3</v>
      </c>
      <c r="I901" s="131">
        <v>5.9235049302063999E-6</v>
      </c>
      <c r="J901" s="131">
        <v>1.5454835678188232E-4</v>
      </c>
      <c r="K901" s="132">
        <v>155.50452136768101</v>
      </c>
      <c r="L901" s="133">
        <v>22.020804019091599</v>
      </c>
      <c r="M901" s="133">
        <v>46.645205103821702</v>
      </c>
      <c r="N901" s="133">
        <v>4.3388810640135276</v>
      </c>
      <c r="O901" s="131">
        <v>3.4885051584681085E-4</v>
      </c>
      <c r="P901" s="133">
        <v>220.08799999999999</v>
      </c>
      <c r="Q901" s="137"/>
      <c r="R901" s="135"/>
    </row>
    <row r="902" spans="1:18" x14ac:dyDescent="0.25">
      <c r="A902" s="127">
        <v>45701</v>
      </c>
      <c r="B902" s="128" t="s">
        <v>22</v>
      </c>
      <c r="C902" s="129" t="str">
        <f t="shared" si="29"/>
        <v>13.02.2025_BOYkl</v>
      </c>
      <c r="D902" s="143">
        <f t="shared" si="30"/>
        <v>0</v>
      </c>
      <c r="E902" s="130">
        <v>6.2200049668878339E-5</v>
      </c>
      <c r="F902" s="131">
        <v>1.390796188928287E-3</v>
      </c>
      <c r="G902" s="131">
        <v>0.14854889003667318</v>
      </c>
      <c r="H902" s="131">
        <v>3.9190666656336573E-3</v>
      </c>
      <c r="I902" s="131">
        <v>1.0187319812254203E-5</v>
      </c>
      <c r="J902" s="131">
        <v>3.8024116054213787E-3</v>
      </c>
      <c r="K902" s="132">
        <v>63.446248513062699</v>
      </c>
      <c r="L902" s="133">
        <v>6.3046661339469603</v>
      </c>
      <c r="M902" s="133">
        <v>17.164778299020298</v>
      </c>
      <c r="N902" s="133">
        <v>4.3928534652398836</v>
      </c>
      <c r="O902" s="131">
        <v>3.2209550188134898E-4</v>
      </c>
      <c r="P902" s="133">
        <v>93.451999999999998</v>
      </c>
      <c r="Q902" s="137"/>
      <c r="R902" s="135"/>
    </row>
    <row r="903" spans="1:18" x14ac:dyDescent="0.25">
      <c r="A903" s="127">
        <v>45701</v>
      </c>
      <c r="B903" s="128" t="s">
        <v>25</v>
      </c>
      <c r="C903" s="129" t="str">
        <f t="shared" si="29"/>
        <v>13.02.2025_BOYohB224</v>
      </c>
      <c r="D903" s="143">
        <f t="shared" si="30"/>
        <v>0</v>
      </c>
      <c r="E903" s="130">
        <v>1.2781250726625995E-5</v>
      </c>
      <c r="F903" s="131">
        <v>1.1979733916711495E-3</v>
      </c>
      <c r="G903" s="131">
        <v>0.46004850124033297</v>
      </c>
      <c r="H903" s="131">
        <v>4.0677248506956485E-3</v>
      </c>
      <c r="I903" s="131">
        <v>2.4471612729125839E-4</v>
      </c>
      <c r="J903" s="131">
        <v>3.7809453741170112E-3</v>
      </c>
      <c r="K903" s="132">
        <v>144.60484803425101</v>
      </c>
      <c r="L903" s="133">
        <v>16.053973807705201</v>
      </c>
      <c r="M903" s="133">
        <v>27.010736035720399</v>
      </c>
      <c r="N903" s="133">
        <v>4.3731462530097263</v>
      </c>
      <c r="O903" s="131">
        <v>3.9053632669909348E-4</v>
      </c>
      <c r="P903" s="133">
        <v>161.77200000000002</v>
      </c>
      <c r="Q903" s="137"/>
      <c r="R903" s="135"/>
    </row>
    <row r="904" spans="1:18" x14ac:dyDescent="0.25">
      <c r="A904" s="127">
        <v>45701</v>
      </c>
      <c r="B904" s="128" t="s">
        <v>28</v>
      </c>
      <c r="C904" s="129" t="str">
        <f t="shared" si="29"/>
        <v>13.02.2025_BOYohBr</v>
      </c>
      <c r="D904" s="143">
        <f t="shared" si="30"/>
        <v>0</v>
      </c>
      <c r="E904" s="130">
        <v>1.5826619795635534E-5</v>
      </c>
      <c r="F904" s="131">
        <v>2.3336912670131028E-3</v>
      </c>
      <c r="G904" s="131">
        <v>0.20694229157634203</v>
      </c>
      <c r="H904" s="131">
        <v>3.8801814141818324E-3</v>
      </c>
      <c r="I904" s="131">
        <v>7.5569681416938193E-6</v>
      </c>
      <c r="J904" s="131">
        <v>3.3828259542251107E-3</v>
      </c>
      <c r="K904" s="132">
        <v>91.461432467030093</v>
      </c>
      <c r="L904" s="133">
        <v>8.3494589497916394</v>
      </c>
      <c r="M904" s="133">
        <v>14.931488642814699</v>
      </c>
      <c r="N904" s="133">
        <v>4.0065163971081086</v>
      </c>
      <c r="O904" s="131">
        <v>2.6615462018522067E-4</v>
      </c>
      <c r="P904" s="133">
        <v>128.58799999999999</v>
      </c>
      <c r="Q904" s="137"/>
      <c r="R904" s="135"/>
    </row>
    <row r="905" spans="1:18" x14ac:dyDescent="0.25">
      <c r="A905" s="127">
        <v>45701</v>
      </c>
      <c r="B905" s="128" t="s">
        <v>30</v>
      </c>
      <c r="C905" s="129" t="str">
        <f t="shared" si="29"/>
        <v>13.02.2025_BOYohKi</v>
      </c>
      <c r="D905" s="143">
        <f t="shared" si="30"/>
        <v>0</v>
      </c>
      <c r="E905" s="130">
        <v>9.5974629456681199E-6</v>
      </c>
      <c r="F905" s="131">
        <v>1.0977481663854921E-3</v>
      </c>
      <c r="G905" s="131">
        <v>0.27274663976002977</v>
      </c>
      <c r="H905" s="131">
        <v>3.9965050378296023E-3</v>
      </c>
      <c r="I905" s="131">
        <v>9.2687826823944342E-6</v>
      </c>
      <c r="J905" s="131">
        <v>2.6819140400453079E-3</v>
      </c>
      <c r="K905" s="132">
        <v>117.01005111949701</v>
      </c>
      <c r="L905" s="133">
        <v>9.2186218078971702</v>
      </c>
      <c r="M905" s="133">
        <v>21.476834727306201</v>
      </c>
      <c r="N905" s="133">
        <v>3.5283973215347717</v>
      </c>
      <c r="O905" s="131">
        <v>4.7946586607902793E-4</v>
      </c>
      <c r="P905" s="133">
        <v>179.584</v>
      </c>
      <c r="Q905" s="137"/>
      <c r="R905" s="135"/>
    </row>
    <row r="906" spans="1:18" x14ac:dyDescent="0.25">
      <c r="A906" s="127">
        <v>45701</v>
      </c>
      <c r="B906" s="128" t="s">
        <v>32</v>
      </c>
      <c r="C906" s="129" t="str">
        <f t="shared" si="29"/>
        <v>13.02.2025_BOYohSp</v>
      </c>
      <c r="D906" s="143">
        <f t="shared" si="30"/>
        <v>0</v>
      </c>
      <c r="E906" s="130">
        <v>8.674627486228637E-6</v>
      </c>
      <c r="F906" s="131">
        <v>1.3295879425283172E-3</v>
      </c>
      <c r="G906" s="131">
        <v>0.23562210516316648</v>
      </c>
      <c r="H906" s="131">
        <v>3.3523116592634504E-3</v>
      </c>
      <c r="I906" s="131">
        <v>9.0600245050566783E-6</v>
      </c>
      <c r="J906" s="131">
        <v>1.9450328984611355E-3</v>
      </c>
      <c r="K906" s="132">
        <v>97.567038686007706</v>
      </c>
      <c r="L906" s="133">
        <v>7.5888246805983597</v>
      </c>
      <c r="M906" s="133">
        <v>19.5635514909576</v>
      </c>
      <c r="N906" s="133">
        <v>3.8732338979008523</v>
      </c>
      <c r="O906" s="131">
        <v>2.8542444086707147E-4</v>
      </c>
      <c r="P906" s="133">
        <v>139.07999999999998</v>
      </c>
      <c r="Q906" s="137"/>
      <c r="R906" s="135"/>
    </row>
    <row r="907" spans="1:18" x14ac:dyDescent="0.25">
      <c r="A907" s="127">
        <v>45701</v>
      </c>
      <c r="B907" s="128" t="s">
        <v>34</v>
      </c>
      <c r="C907" s="129" t="str">
        <f t="shared" si="29"/>
        <v>13.02.2025_BOYuhHa</v>
      </c>
      <c r="D907" s="143">
        <f t="shared" si="30"/>
        <v>0</v>
      </c>
      <c r="E907" s="130">
        <v>8.3516354085385837E-6</v>
      </c>
      <c r="F907" s="131">
        <v>1.0099243256305914E-3</v>
      </c>
      <c r="G907" s="131">
        <v>0.30117387195598172</v>
      </c>
      <c r="H907" s="131">
        <v>4.0461454876737522E-3</v>
      </c>
      <c r="I907" s="131">
        <v>6.304425088543362E-6</v>
      </c>
      <c r="J907" s="131">
        <v>1.5565033047405593E-3</v>
      </c>
      <c r="K907" s="132">
        <v>121.19627146317499</v>
      </c>
      <c r="L907" s="133">
        <v>17.783113343578499</v>
      </c>
      <c r="M907" s="133">
        <v>32.439791646961098</v>
      </c>
      <c r="N907" s="133">
        <v>4.5368159990594386</v>
      </c>
      <c r="O907" s="131">
        <v>3.2956355873461234E-4</v>
      </c>
      <c r="P907" s="133">
        <v>174.45999999999998</v>
      </c>
      <c r="Q907" s="137"/>
      <c r="R907" s="135"/>
    </row>
    <row r="908" spans="1:18" x14ac:dyDescent="0.25">
      <c r="A908" s="127">
        <v>45701</v>
      </c>
      <c r="B908" s="128" t="s">
        <v>36</v>
      </c>
      <c r="C908" s="129" t="str">
        <f t="shared" si="29"/>
        <v>13.02.2025_BOYuhSp</v>
      </c>
      <c r="D908" s="143">
        <f t="shared" si="30"/>
        <v>0</v>
      </c>
      <c r="E908" s="130">
        <v>1.4857637244793465E-5</v>
      </c>
      <c r="F908" s="131">
        <v>1.35657894461643E-3</v>
      </c>
      <c r="G908" s="131">
        <v>0.24518439890029126</v>
      </c>
      <c r="H908" s="131">
        <v>3.802945592313269E-3</v>
      </c>
      <c r="I908" s="131">
        <v>1.2650677751893383E-5</v>
      </c>
      <c r="J908" s="131">
        <v>3.0351135215805191E-3</v>
      </c>
      <c r="K908" s="132">
        <v>101.82097088587901</v>
      </c>
      <c r="L908" s="133">
        <v>7.7142965356507203</v>
      </c>
      <c r="M908" s="133">
        <v>21.359413106576898</v>
      </c>
      <c r="N908" s="133">
        <v>3.4817379500551771</v>
      </c>
      <c r="O908" s="131">
        <v>5.3121406015437986E-4</v>
      </c>
      <c r="P908" s="133">
        <v>150.304</v>
      </c>
      <c r="Q908" s="137"/>
      <c r="R908" s="135"/>
    </row>
    <row r="909" spans="1:18" x14ac:dyDescent="0.25">
      <c r="A909" s="127">
        <v>45701</v>
      </c>
      <c r="B909" s="128" t="s">
        <v>38</v>
      </c>
      <c r="C909" s="129" t="str">
        <f t="shared" si="29"/>
        <v>13.02.2025_BRAob</v>
      </c>
      <c r="D909" s="143">
        <f t="shared" si="30"/>
        <v>0</v>
      </c>
      <c r="E909" s="130">
        <v>5.6754157496769709E-6</v>
      </c>
      <c r="F909" s="131">
        <v>6.9231739409909062E-4</v>
      </c>
      <c r="G909" s="131">
        <v>0.29555904170765246</v>
      </c>
      <c r="H909" s="131">
        <v>3.1507517101946369E-3</v>
      </c>
      <c r="I909" s="131">
        <v>7.014199072589782E-6</v>
      </c>
      <c r="J909" s="131">
        <v>1.1776081605479787E-3</v>
      </c>
      <c r="K909" s="132">
        <v>132.07902888085701</v>
      </c>
      <c r="L909" s="133">
        <v>5.7625718877503704</v>
      </c>
      <c r="M909" s="133">
        <v>19.851534109308101</v>
      </c>
      <c r="N909" s="133">
        <v>3.0941226214669926</v>
      </c>
      <c r="O909" s="131">
        <v>3.1370346487117029E-4</v>
      </c>
      <c r="P909" s="133">
        <v>159.57599999999999</v>
      </c>
      <c r="Q909" s="137"/>
      <c r="R909" s="135"/>
    </row>
    <row r="910" spans="1:18" x14ac:dyDescent="0.25">
      <c r="A910" s="127">
        <v>45701</v>
      </c>
      <c r="B910" s="128" t="s">
        <v>41</v>
      </c>
      <c r="C910" s="129" t="str">
        <f t="shared" si="29"/>
        <v>13.02.2025_BRAohBo</v>
      </c>
      <c r="D910" s="143">
        <f t="shared" si="30"/>
        <v>0</v>
      </c>
      <c r="E910" s="130">
        <v>8.5362021119731801E-6</v>
      </c>
      <c r="F910" s="131">
        <v>9.9136827720001258E-4</v>
      </c>
      <c r="G910" s="131">
        <v>0.25557705696704802</v>
      </c>
      <c r="H910" s="131">
        <v>3.1831971980438205E-3</v>
      </c>
      <c r="I910" s="131">
        <v>6.8889447214871771E-6</v>
      </c>
      <c r="J910" s="131">
        <v>1.761148484158496E-3</v>
      </c>
      <c r="K910" s="132">
        <v>111.582102736872</v>
      </c>
      <c r="L910" s="133">
        <v>7.0842277799585203</v>
      </c>
      <c r="M910" s="133">
        <v>19.282674141244701</v>
      </c>
      <c r="N910" s="133">
        <v>3.4994760950853259</v>
      </c>
      <c r="O910" s="131">
        <v>3.8115571470053535E-4</v>
      </c>
      <c r="P910" s="133">
        <v>157.624</v>
      </c>
      <c r="Q910" s="137"/>
      <c r="R910" s="135"/>
    </row>
    <row r="911" spans="1:18" x14ac:dyDescent="0.25">
      <c r="A911" s="127">
        <v>45701</v>
      </c>
      <c r="B911" s="128" t="s">
        <v>43</v>
      </c>
      <c r="C911" s="129" t="str">
        <f t="shared" si="29"/>
        <v>13.02.2025_HAAob</v>
      </c>
      <c r="D911" s="143">
        <f t="shared" si="30"/>
        <v>0</v>
      </c>
      <c r="E911" s="130">
        <v>2.3532183608294857E-6</v>
      </c>
      <c r="F911" s="131">
        <v>7.1469256430117421E-4</v>
      </c>
      <c r="G911" s="131">
        <v>0.27262866866785962</v>
      </c>
      <c r="H911" s="131">
        <v>2.7171846630161013E-3</v>
      </c>
      <c r="I911" s="131">
        <v>7.8909813618215813E-6</v>
      </c>
      <c r="J911" s="131">
        <v>1.801081261525752E-3</v>
      </c>
      <c r="K911" s="132">
        <v>113.45854856851901</v>
      </c>
      <c r="L911" s="133">
        <v>12.3211026633271</v>
      </c>
      <c r="M911" s="133">
        <v>19.2359732696404</v>
      </c>
      <c r="N911" s="133">
        <v>3.7339891290844194</v>
      </c>
      <c r="O911" s="131">
        <v>1.4978070773647147E-4</v>
      </c>
      <c r="P911" s="133">
        <v>219.35599999999999</v>
      </c>
      <c r="Q911" s="137"/>
      <c r="R911" s="135"/>
    </row>
    <row r="912" spans="1:18" x14ac:dyDescent="0.25">
      <c r="A912" s="127">
        <v>45701</v>
      </c>
      <c r="B912" s="128" t="s">
        <v>45</v>
      </c>
      <c r="C912" s="129" t="str">
        <f t="shared" si="29"/>
        <v>13.02.2025_HAAun</v>
      </c>
      <c r="D912" s="143">
        <f t="shared" si="30"/>
        <v>0</v>
      </c>
      <c r="E912" s="130">
        <v>3.7836078081878414E-6</v>
      </c>
      <c r="F912" s="131">
        <v>8.3323072309291889E-4</v>
      </c>
      <c r="G912" s="131">
        <v>0.3157273105919865</v>
      </c>
      <c r="H912" s="131">
        <v>3.2399983575999388E-3</v>
      </c>
      <c r="I912" s="131">
        <v>7.0559503476002146E-6</v>
      </c>
      <c r="J912" s="131">
        <v>1.5245329862500748E-3</v>
      </c>
      <c r="K912" s="132">
        <v>135.374319814372</v>
      </c>
      <c r="L912" s="133">
        <v>24.0715104244359</v>
      </c>
      <c r="M912" s="133">
        <v>27.601452414454901</v>
      </c>
      <c r="N912" s="133">
        <v>4.9878339884197604</v>
      </c>
      <c r="O912" s="131">
        <v>2.1058419198730313E-4</v>
      </c>
      <c r="P912" s="133">
        <v>209.352</v>
      </c>
      <c r="Q912" s="137"/>
      <c r="R912" s="135"/>
    </row>
    <row r="913" spans="1:18" x14ac:dyDescent="0.25">
      <c r="A913" s="127">
        <v>45701</v>
      </c>
      <c r="B913" s="128" t="s">
        <v>47</v>
      </c>
      <c r="C913" s="129" t="str">
        <f t="shared" si="29"/>
        <v>13.02.2025_KIRob</v>
      </c>
      <c r="D913" s="143">
        <f t="shared" si="30"/>
        <v>0</v>
      </c>
      <c r="E913" s="130">
        <v>7.3365171529293539E-6</v>
      </c>
      <c r="F913" s="131">
        <v>8.6658470582145965E-4</v>
      </c>
      <c r="G913" s="131">
        <v>0.27817054916418499</v>
      </c>
      <c r="H913" s="131">
        <v>3.8065734115693105E-3</v>
      </c>
      <c r="I913" s="131">
        <v>7.849228761886618E-6</v>
      </c>
      <c r="J913" s="131">
        <v>1.4835253725548156E-3</v>
      </c>
      <c r="K913" s="132">
        <v>128.57881067883699</v>
      </c>
      <c r="L913" s="133">
        <v>13.491702794469701</v>
      </c>
      <c r="M913" s="133">
        <v>65.116148970758502</v>
      </c>
      <c r="N913" s="133">
        <v>4.3094247708796782</v>
      </c>
      <c r="O913" s="131">
        <v>3.8431137576650057E-4</v>
      </c>
      <c r="P913" s="133">
        <v>164.70000000000002</v>
      </c>
      <c r="Q913" s="137"/>
      <c r="R913" s="135"/>
    </row>
    <row r="914" spans="1:18" x14ac:dyDescent="0.25">
      <c r="A914" s="127">
        <v>45701</v>
      </c>
      <c r="B914" s="128" t="s">
        <v>49</v>
      </c>
      <c r="C914" s="129" t="str">
        <f t="shared" si="29"/>
        <v>13.02.2025_KIRun</v>
      </c>
      <c r="D914" s="143">
        <f t="shared" si="30"/>
        <v>0</v>
      </c>
      <c r="E914" s="130">
        <v>2.7223509752931387E-6</v>
      </c>
      <c r="F914" s="131">
        <v>7.5731986255843874E-4</v>
      </c>
      <c r="G914" s="131">
        <v>0.29031602289934655</v>
      </c>
      <c r="H914" s="131">
        <v>3.6155676657331067E-3</v>
      </c>
      <c r="I914" s="131">
        <v>5.8451592611472193E-6</v>
      </c>
      <c r="J914" s="131">
        <v>1.1286485841589435E-3</v>
      </c>
      <c r="K914" s="132">
        <v>135.29700414002301</v>
      </c>
      <c r="L914" s="133">
        <v>12.7729526698025</v>
      </c>
      <c r="M914" s="133">
        <v>51.6401172487354</v>
      </c>
      <c r="N914" s="133">
        <v>3.9067822800287888</v>
      </c>
      <c r="O914" s="131">
        <v>3.049175429454613E-4</v>
      </c>
      <c r="P914" s="133">
        <v>192.27200000000002</v>
      </c>
      <c r="Q914" s="137"/>
      <c r="R914" s="135"/>
    </row>
    <row r="915" spans="1:18" x14ac:dyDescent="0.25">
      <c r="A915" s="127">
        <v>45701</v>
      </c>
      <c r="B915" s="128" t="s">
        <v>50</v>
      </c>
      <c r="C915" s="129" t="str">
        <f t="shared" si="29"/>
        <v>13.02.2025_LIEohBo</v>
      </c>
      <c r="D915" s="143">
        <f t="shared" si="30"/>
        <v>0</v>
      </c>
      <c r="E915" s="130">
        <v>4.2911658012118713E-6</v>
      </c>
      <c r="F915" s="131">
        <v>8.7996913564888566E-4</v>
      </c>
      <c r="G915" s="131">
        <v>0.23417720179836443</v>
      </c>
      <c r="H915" s="131">
        <v>3.5708023756953183E-3</v>
      </c>
      <c r="I915" s="131">
        <v>7.6822232526789037E-6</v>
      </c>
      <c r="J915" s="131">
        <v>1.1205559528284803E-3</v>
      </c>
      <c r="K915" s="132">
        <v>89.826885319747205</v>
      </c>
      <c r="L915" s="133">
        <v>12.9794292113859</v>
      </c>
      <c r="M915" s="133">
        <v>20.784162356743501</v>
      </c>
      <c r="N915" s="133">
        <v>4.5286405912265391</v>
      </c>
      <c r="O915" s="131">
        <v>2.2080787052674813E-4</v>
      </c>
      <c r="P915" s="133">
        <v>183.976</v>
      </c>
      <c r="Q915" s="137"/>
      <c r="R915" s="135"/>
    </row>
    <row r="916" spans="1:18" x14ac:dyDescent="0.25">
      <c r="A916" s="127">
        <v>45701</v>
      </c>
      <c r="B916" s="128" t="s">
        <v>53</v>
      </c>
      <c r="C916" s="129" t="str">
        <f t="shared" si="29"/>
        <v>13.02.2025_NATohBo</v>
      </c>
      <c r="D916" s="143">
        <f t="shared" si="30"/>
        <v>0</v>
      </c>
      <c r="E916" s="130">
        <v>7.474942617622521E-6</v>
      </c>
      <c r="F916" s="131">
        <v>1.2129191668383088E-3</v>
      </c>
      <c r="G916" s="131">
        <v>0.42826624659446044</v>
      </c>
      <c r="H916" s="131">
        <v>5.2351023332853639E-3</v>
      </c>
      <c r="I916" s="131">
        <v>6.053916435047949E-6</v>
      </c>
      <c r="J916" s="131">
        <v>2.770040527892577E-3</v>
      </c>
      <c r="K916" s="132">
        <v>209.500132465467</v>
      </c>
      <c r="L916" s="133">
        <v>47.4603705566728</v>
      </c>
      <c r="M916" s="133">
        <v>104.212548511908</v>
      </c>
      <c r="N916" s="133">
        <v>7.335555946270552</v>
      </c>
      <c r="O916" s="131">
        <v>3.7933144422171188E-4</v>
      </c>
      <c r="P916" s="133">
        <v>262.05600000000004</v>
      </c>
      <c r="Q916" s="137"/>
      <c r="R916" s="135"/>
    </row>
    <row r="917" spans="1:18" x14ac:dyDescent="0.25">
      <c r="A917" s="127">
        <v>45701</v>
      </c>
      <c r="B917" s="128" t="s">
        <v>55</v>
      </c>
      <c r="C917" s="129" t="str">
        <f t="shared" si="29"/>
        <v>13.02.2025_QUAohBo</v>
      </c>
      <c r="D917" s="143">
        <f t="shared" si="30"/>
        <v>0</v>
      </c>
      <c r="E917" s="130">
        <v>4.0604576092534189E-6</v>
      </c>
      <c r="F917" s="131">
        <v>7.9477905334411278E-4</v>
      </c>
      <c r="G917" s="131">
        <v>0.28754157111757106</v>
      </c>
      <c r="H917" s="131">
        <v>3.0455197922179874E-3</v>
      </c>
      <c r="I917" s="131">
        <v>1.1105857078501117E-5</v>
      </c>
      <c r="J917" s="131">
        <v>1.4821764768136601E-3</v>
      </c>
      <c r="K917" s="132">
        <v>128.38956918466201</v>
      </c>
      <c r="L917" s="133">
        <v>7.0354939348308401</v>
      </c>
      <c r="M917" s="133">
        <v>30.1103696092257</v>
      </c>
      <c r="N917" s="133">
        <v>2.9975355945592188</v>
      </c>
      <c r="O917" s="131">
        <v>3.0156591070823425E-4</v>
      </c>
      <c r="P917" s="133">
        <v>189.83199999999999</v>
      </c>
      <c r="Q917" s="137"/>
      <c r="R917" s="135"/>
    </row>
    <row r="918" spans="1:18" x14ac:dyDescent="0.25">
      <c r="A918" s="127">
        <v>45701</v>
      </c>
      <c r="B918" s="128" t="s">
        <v>356</v>
      </c>
      <c r="C918" s="129" t="str">
        <f t="shared" si="29"/>
        <v>13.02.2025_ROTB</v>
      </c>
      <c r="D918" s="143">
        <f t="shared" si="30"/>
        <v>0</v>
      </c>
      <c r="E918" s="130">
        <v>7.7427475358528381E-5</v>
      </c>
      <c r="F918" s="131">
        <v>1.4411664205868761E-3</v>
      </c>
      <c r="G918" s="131">
        <v>0.16319885106036125</v>
      </c>
      <c r="H918" s="131">
        <v>5.3625756159201635E-3</v>
      </c>
      <c r="I918" s="131">
        <v>3.1815143609092716E-5</v>
      </c>
      <c r="J918" s="131">
        <v>7.3891983644354372E-3</v>
      </c>
      <c r="K918" s="132">
        <v>50.688232708925597</v>
      </c>
      <c r="L918" s="133">
        <v>13.332010524332</v>
      </c>
      <c r="M918" s="133">
        <v>47.486706173802602</v>
      </c>
      <c r="N918" s="133">
        <v>3.5062176009666555</v>
      </c>
      <c r="O918" s="131">
        <v>1.5779520743629128E-3</v>
      </c>
      <c r="P918" s="133">
        <v>82.960000000000008</v>
      </c>
      <c r="Q918" s="137"/>
      <c r="R918" s="135"/>
    </row>
    <row r="919" spans="1:18" x14ac:dyDescent="0.25">
      <c r="A919" s="127">
        <v>45701</v>
      </c>
      <c r="B919" s="128" t="s">
        <v>57</v>
      </c>
      <c r="C919" s="129" t="str">
        <f t="shared" si="29"/>
        <v>13.02.2025_SCHohVo</v>
      </c>
      <c r="D919" s="143">
        <f t="shared" si="30"/>
        <v>0</v>
      </c>
      <c r="E919" s="130">
        <v>4.305064499404664E-5</v>
      </c>
      <c r="F919" s="131">
        <v>1.365787715690037E-3</v>
      </c>
      <c r="G919" s="131">
        <v>0.23996750424644522</v>
      </c>
      <c r="H919" s="131">
        <v>5.518030188116094E-3</v>
      </c>
      <c r="I919" s="131">
        <v>2.8516629308823188E-5</v>
      </c>
      <c r="J919" s="131">
        <v>5.4845361308875733E-3</v>
      </c>
      <c r="K919" s="132">
        <v>89.559108917596902</v>
      </c>
      <c r="L919" s="133">
        <v>5.6573887041740702</v>
      </c>
      <c r="M919" s="133">
        <v>12.9032281728401</v>
      </c>
      <c r="N919" s="133">
        <v>1.4362887766396397</v>
      </c>
      <c r="O919" s="131">
        <v>9.4372768668094247E-4</v>
      </c>
      <c r="P919" s="133">
        <v>132.24800000000002</v>
      </c>
      <c r="Q919" s="137"/>
      <c r="R919" s="135"/>
    </row>
    <row r="920" spans="1:18" x14ac:dyDescent="0.25">
      <c r="A920" s="127">
        <v>45701</v>
      </c>
      <c r="B920" s="128" t="s">
        <v>357</v>
      </c>
      <c r="C920" s="129" t="str">
        <f t="shared" si="29"/>
        <v>13.02.2025_SCHW</v>
      </c>
      <c r="D920" s="143">
        <f t="shared" si="30"/>
        <v>0</v>
      </c>
      <c r="E920" s="130">
        <v>3.4191245425306473E-5</v>
      </c>
      <c r="F920" s="131">
        <v>1.7452704358878323E-3</v>
      </c>
      <c r="G920" s="131">
        <v>0.26472917184716316</v>
      </c>
      <c r="H920" s="131">
        <v>5.8226327806379921E-3</v>
      </c>
      <c r="I920" s="131">
        <v>1.9748543802458448E-5</v>
      </c>
      <c r="J920" s="131">
        <v>6.7510009637056978E-3</v>
      </c>
      <c r="K920" s="132">
        <v>102.850165944547</v>
      </c>
      <c r="L920" s="133">
        <v>27.8302339887484</v>
      </c>
      <c r="M920" s="133">
        <v>29.550849933129701</v>
      </c>
      <c r="N920" s="133">
        <v>6.8019340357256972</v>
      </c>
      <c r="O920" s="131">
        <v>9.8067336642089736E-4</v>
      </c>
      <c r="P920" s="133">
        <v>117.85199999999999</v>
      </c>
      <c r="Q920" s="137"/>
      <c r="R920" s="135"/>
    </row>
    <row r="921" spans="1:18" x14ac:dyDescent="0.25">
      <c r="A921" s="127">
        <v>45701</v>
      </c>
      <c r="B921" s="128" t="s">
        <v>358</v>
      </c>
      <c r="C921" s="129" t="str">
        <f t="shared" si="29"/>
        <v>13.02.2025_SPE</v>
      </c>
      <c r="D921" s="143">
        <f t="shared" si="30"/>
        <v>0</v>
      </c>
      <c r="E921" s="130">
        <v>2.6946881921791868E-5</v>
      </c>
      <c r="F921" s="131">
        <v>1.1625576057750998E-3</v>
      </c>
      <c r="G921" s="131">
        <v>0.24403622832229643</v>
      </c>
      <c r="H921" s="131">
        <v>4.8056769679946107E-3</v>
      </c>
      <c r="I921" s="131">
        <v>3.5447697551444938E-5</v>
      </c>
      <c r="J921" s="131">
        <v>2.6655850193807208E-3</v>
      </c>
      <c r="K921" s="132">
        <v>99.199170666728605</v>
      </c>
      <c r="L921" s="133">
        <v>8.5489465836457992</v>
      </c>
      <c r="M921" s="133">
        <v>30.963418470272899</v>
      </c>
      <c r="N921" s="133">
        <v>2.6427024155221179</v>
      </c>
      <c r="O921" s="131">
        <v>1.4762074387492652E-3</v>
      </c>
      <c r="P921" s="133">
        <v>157.136</v>
      </c>
      <c r="Q921" s="137"/>
      <c r="R921" s="135"/>
    </row>
    <row r="922" spans="1:18" x14ac:dyDescent="0.25">
      <c r="A922" s="127">
        <v>45701</v>
      </c>
      <c r="B922" s="128" t="s">
        <v>60</v>
      </c>
      <c r="C922" s="129" t="str">
        <f t="shared" si="29"/>
        <v>13.02.2025_VORohBo</v>
      </c>
      <c r="D922" s="143">
        <f t="shared" si="30"/>
        <v>0</v>
      </c>
      <c r="E922" s="130">
        <v>6.9212410560030084E-6</v>
      </c>
      <c r="F922" s="131">
        <v>7.6723328905823414E-4</v>
      </c>
      <c r="G922" s="131">
        <v>0.35207467983484786</v>
      </c>
      <c r="H922" s="131">
        <v>4.9453573293971737E-3</v>
      </c>
      <c r="I922" s="131">
        <v>1.2608923047628249E-5</v>
      </c>
      <c r="J922" s="131">
        <v>2.2428100820969274E-3</v>
      </c>
      <c r="K922" s="132">
        <v>159.07455159428901</v>
      </c>
      <c r="L922" s="133">
        <v>14.9998374600712</v>
      </c>
      <c r="M922" s="133">
        <v>22.161062092013399</v>
      </c>
      <c r="N922" s="133">
        <v>3.7562527540492305</v>
      </c>
      <c r="O922" s="131">
        <v>6.1628515793242305E-4</v>
      </c>
      <c r="P922" s="133">
        <v>221.55200000000002</v>
      </c>
      <c r="Q922" s="137"/>
      <c r="R922" s="135"/>
    </row>
    <row r="923" spans="1:18" x14ac:dyDescent="0.25">
      <c r="A923" s="127">
        <v>45701</v>
      </c>
      <c r="B923" s="128" t="s">
        <v>62</v>
      </c>
      <c r="C923" s="129" t="str">
        <f t="shared" si="29"/>
        <v>13.02.2025_VORuhSc</v>
      </c>
      <c r="D923" s="143">
        <f t="shared" si="30"/>
        <v>0</v>
      </c>
      <c r="E923" s="130">
        <v>1.0612582910988481E-5</v>
      </c>
      <c r="F923" s="131">
        <v>8.7416207377367439E-4</v>
      </c>
      <c r="G923" s="131">
        <v>0.33714299575360368</v>
      </c>
      <c r="H923" s="131">
        <v>5.0851355716052538E-3</v>
      </c>
      <c r="I923" s="131">
        <v>9.310534054824685E-6</v>
      </c>
      <c r="J923" s="131">
        <v>3.5596735588676346E-3</v>
      </c>
      <c r="K923" s="132">
        <v>150.355668833978</v>
      </c>
      <c r="L923" s="133">
        <v>12.400498726574201</v>
      </c>
      <c r="M923" s="133">
        <v>19.599447290978699</v>
      </c>
      <c r="N923" s="133">
        <v>2.9473913961308575</v>
      </c>
      <c r="O923" s="131">
        <v>6.6629920922873522E-4</v>
      </c>
      <c r="P923" s="133">
        <v>196.42000000000002</v>
      </c>
      <c r="Q923" s="137"/>
      <c r="R923" s="135"/>
    </row>
    <row r="924" spans="1:18" x14ac:dyDescent="0.25">
      <c r="A924" s="127">
        <v>45701</v>
      </c>
      <c r="B924" s="128" t="s">
        <v>64</v>
      </c>
      <c r="C924" s="129" t="str">
        <f t="shared" si="29"/>
        <v>13.02.2025_WITob</v>
      </c>
      <c r="D924" s="143">
        <f t="shared" si="30"/>
        <v>0</v>
      </c>
      <c r="E924" s="130">
        <v>3.8758912158905514E-6</v>
      </c>
      <c r="F924" s="131">
        <v>7.2078220824698779E-4</v>
      </c>
      <c r="G924" s="131">
        <v>0.41065379334473406</v>
      </c>
      <c r="H924" s="131">
        <v>4.5401451861224306E-3</v>
      </c>
      <c r="I924" s="131">
        <v>5.8869118415909313E-6</v>
      </c>
      <c r="J924" s="131">
        <v>1.4097405668319855E-3</v>
      </c>
      <c r="K924" s="132">
        <v>193.64425235724701</v>
      </c>
      <c r="L924" s="133">
        <v>23.522512122430602</v>
      </c>
      <c r="M924" s="133">
        <v>51.373016385304098</v>
      </c>
      <c r="N924" s="133">
        <v>3.6662564239544384</v>
      </c>
      <c r="O924" s="131">
        <v>2.6011771476412189E-4</v>
      </c>
      <c r="P924" s="133">
        <v>226.18800000000002</v>
      </c>
      <c r="Q924" s="137"/>
      <c r="R924" s="135"/>
    </row>
    <row r="925" spans="1:18" x14ac:dyDescent="0.25">
      <c r="A925" s="127">
        <v>45720</v>
      </c>
      <c r="B925" s="128" t="s">
        <v>22</v>
      </c>
      <c r="C925" s="129" t="str">
        <f t="shared" si="29"/>
        <v>04.03.2025_BOYkl</v>
      </c>
      <c r="D925" s="143">
        <f t="shared" si="30"/>
        <v>0</v>
      </c>
      <c r="E925" s="130">
        <v>3.7259487670824381E-5</v>
      </c>
      <c r="F925" s="131">
        <v>1.8903493127169017E-4</v>
      </c>
      <c r="G925" s="131">
        <v>0.22939910435486913</v>
      </c>
      <c r="H925" s="131">
        <v>5.3695528245297003E-3</v>
      </c>
      <c r="I925" s="131">
        <v>9.6156554272153669E-6</v>
      </c>
      <c r="J925" s="131">
        <v>4.0584479017769749E-3</v>
      </c>
      <c r="K925" s="132">
        <v>52.624076607786499</v>
      </c>
      <c r="L925" s="133">
        <v>4.7429622118655104</v>
      </c>
      <c r="M925" s="133">
        <v>13.7323792155986</v>
      </c>
      <c r="N925" s="133">
        <v>5.3196529960573198</v>
      </c>
      <c r="O925" s="131">
        <v>4.4384116232337641E-4</v>
      </c>
      <c r="P925" s="133">
        <v>107.116</v>
      </c>
      <c r="Q925" s="137"/>
      <c r="R925" s="135"/>
    </row>
    <row r="926" spans="1:18" x14ac:dyDescent="0.25">
      <c r="A926" s="127">
        <v>45720</v>
      </c>
      <c r="B926" s="128" t="s">
        <v>25</v>
      </c>
      <c r="C926" s="129" t="str">
        <f t="shared" si="29"/>
        <v>04.03.2025_BOYohB224</v>
      </c>
      <c r="D926" s="143">
        <f t="shared" si="30"/>
        <v>0</v>
      </c>
      <c r="E926" s="130">
        <v>5.7565739172338694E-6</v>
      </c>
      <c r="F926" s="131">
        <v>2.6547550986344583E-4</v>
      </c>
      <c r="G926" s="131">
        <v>0.49849829273441404</v>
      </c>
      <c r="H926" s="131">
        <v>6.0988473522391442E-3</v>
      </c>
      <c r="I926" s="131">
        <v>5.9419260422806017E-6</v>
      </c>
      <c r="J926" s="131">
        <v>2.3722233082393357E-3</v>
      </c>
      <c r="K926" s="132">
        <v>100.346297279609</v>
      </c>
      <c r="L926" s="133">
        <v>12.9297187005462</v>
      </c>
      <c r="M926" s="133">
        <v>25.5326780945495</v>
      </c>
      <c r="N926" s="133">
        <v>5.6519505503016303</v>
      </c>
      <c r="O926" s="131">
        <v>6.2738468528339409E-4</v>
      </c>
      <c r="P926" s="133">
        <v>211.792</v>
      </c>
      <c r="Q926" s="137"/>
      <c r="R926" s="135"/>
    </row>
    <row r="927" spans="1:18" x14ac:dyDescent="0.25">
      <c r="A927" s="127">
        <v>45720</v>
      </c>
      <c r="B927" s="128" t="s">
        <v>28</v>
      </c>
      <c r="C927" s="129" t="str">
        <f t="shared" si="29"/>
        <v>04.03.2025_BOYohBr</v>
      </c>
      <c r="D927" s="143">
        <f t="shared" si="30"/>
        <v>0</v>
      </c>
      <c r="E927" s="130">
        <v>2.6063411044093657E-5</v>
      </c>
      <c r="F927" s="131">
        <v>1.8577048778968118E-4</v>
      </c>
      <c r="G927" s="131">
        <v>0.30776215645545402</v>
      </c>
      <c r="H927" s="131">
        <v>5.0295599804258935E-3</v>
      </c>
      <c r="I927" s="131">
        <v>6.3955729632172636E-6</v>
      </c>
      <c r="J927" s="131">
        <v>2.9817048606077044E-3</v>
      </c>
      <c r="K927" s="132">
        <v>68.957751752114007</v>
      </c>
      <c r="L927" s="133">
        <v>6.2585004805296798</v>
      </c>
      <c r="M927" s="133">
        <v>11.449890233287</v>
      </c>
      <c r="N927" s="133">
        <v>4.8711853878705096</v>
      </c>
      <c r="O927" s="131">
        <v>3.8909019839693319E-4</v>
      </c>
      <c r="P927" s="133">
        <v>143.71599999999998</v>
      </c>
      <c r="Q927" s="137"/>
      <c r="R927" s="135"/>
    </row>
    <row r="928" spans="1:18" x14ac:dyDescent="0.25">
      <c r="A928" s="127">
        <v>45720</v>
      </c>
      <c r="B928" s="128" t="s">
        <v>30</v>
      </c>
      <c r="C928" s="129" t="str">
        <f t="shared" si="29"/>
        <v>04.03.2025_BOYohKi</v>
      </c>
      <c r="D928" s="143">
        <f t="shared" si="30"/>
        <v>0</v>
      </c>
      <c r="E928" s="130">
        <v>7.8416382782828528E-6</v>
      </c>
      <c r="F928" s="131">
        <v>1.6409569170049401E-4</v>
      </c>
      <c r="G928" s="131">
        <v>0.40018450723173282</v>
      </c>
      <c r="H928" s="131">
        <v>5.5164047868664625E-3</v>
      </c>
      <c r="I928" s="131">
        <v>1.0113791958563251E-5</v>
      </c>
      <c r="J928" s="131">
        <v>1.8063376197499322E-3</v>
      </c>
      <c r="K928" s="132">
        <v>92.9048239892753</v>
      </c>
      <c r="L928" s="133">
        <v>8.1565332982555692</v>
      </c>
      <c r="M928" s="133">
        <v>20.901226232730099</v>
      </c>
      <c r="N928" s="133">
        <v>4.7909147473604801</v>
      </c>
      <c r="O928" s="131">
        <v>8.3881700747915765E-4</v>
      </c>
      <c r="P928" s="133">
        <v>184.952</v>
      </c>
      <c r="Q928" s="137"/>
      <c r="R928" s="135"/>
    </row>
    <row r="929" spans="1:18" x14ac:dyDescent="0.25">
      <c r="A929" s="127">
        <v>45720</v>
      </c>
      <c r="B929" s="128" t="s">
        <v>32</v>
      </c>
      <c r="C929" s="129" t="str">
        <f t="shared" si="29"/>
        <v>04.03.2025_BOYohSp</v>
      </c>
      <c r="D929" s="143">
        <f t="shared" si="30"/>
        <v>0</v>
      </c>
      <c r="E929" s="130">
        <v>8.1136031642236571E-6</v>
      </c>
      <c r="F929" s="131">
        <v>1.6626190365764664E-4</v>
      </c>
      <c r="G929" s="131">
        <v>0.37679422653035266</v>
      </c>
      <c r="H929" s="131">
        <v>5.0665329359016187E-3</v>
      </c>
      <c r="I929" s="131">
        <v>5.7995982069007958E-6</v>
      </c>
      <c r="J929" s="131">
        <v>1.7493821341372593E-3</v>
      </c>
      <c r="K929" s="132">
        <v>81.377729718568602</v>
      </c>
      <c r="L929" s="133">
        <v>6.0917388888376003</v>
      </c>
      <c r="M929" s="133">
        <v>16.394311200598199</v>
      </c>
      <c r="N929" s="133">
        <v>4.4114220766358399</v>
      </c>
      <c r="O929" s="131">
        <v>5.010714300275939E-4</v>
      </c>
      <c r="P929" s="133">
        <v>160.55200000000002</v>
      </c>
      <c r="Q929" s="137"/>
      <c r="R929" s="135"/>
    </row>
    <row r="930" spans="1:18" x14ac:dyDescent="0.25">
      <c r="A930" s="127">
        <v>45720</v>
      </c>
      <c r="B930" s="128" t="s">
        <v>34</v>
      </c>
      <c r="C930" s="129" t="str">
        <f t="shared" si="29"/>
        <v>04.03.2025_BOYuhHa</v>
      </c>
      <c r="D930" s="143">
        <f t="shared" si="30"/>
        <v>0</v>
      </c>
      <c r="E930" s="130">
        <v>5.4392819007352735E-6</v>
      </c>
      <c r="F930" s="131">
        <v>1.8986344460205143E-4</v>
      </c>
      <c r="G930" s="131">
        <v>0.51415728953803908</v>
      </c>
      <c r="H930" s="131">
        <v>7.7708703005651605E-3</v>
      </c>
      <c r="I930" s="131">
        <v>8.9129307988361079E-6</v>
      </c>
      <c r="J930" s="131">
        <v>1.6576665265119635E-3</v>
      </c>
      <c r="K930" s="132">
        <v>109.57388949657199</v>
      </c>
      <c r="L930" s="133">
        <v>15.4403579510606</v>
      </c>
      <c r="M930" s="133">
        <v>32.020641116900698</v>
      </c>
      <c r="N930" s="133">
        <v>6.1035712996551901</v>
      </c>
      <c r="O930" s="131">
        <v>6.4097268850751734E-4</v>
      </c>
      <c r="P930" s="133">
        <v>234.72799999999998</v>
      </c>
      <c r="Q930" s="137"/>
      <c r="R930" s="135"/>
    </row>
    <row r="931" spans="1:18" x14ac:dyDescent="0.25">
      <c r="A931" s="127">
        <v>45720</v>
      </c>
      <c r="B931" s="128" t="s">
        <v>36</v>
      </c>
      <c r="C931" s="129" t="str">
        <f t="shared" si="29"/>
        <v>04.03.2025_BOYuhSp</v>
      </c>
      <c r="D931" s="143">
        <f t="shared" si="30"/>
        <v>0</v>
      </c>
      <c r="E931" s="130">
        <v>1.3824881362919084E-5</v>
      </c>
      <c r="F931" s="131">
        <v>1.7175342485997765E-4</v>
      </c>
      <c r="G931" s="131">
        <v>0.3860307084787834</v>
      </c>
      <c r="H931" s="131">
        <v>5.473832686516817E-3</v>
      </c>
      <c r="I931" s="131">
        <v>1.0416230678059174E-5</v>
      </c>
      <c r="J931" s="131">
        <v>3.1233627319666242E-3</v>
      </c>
      <c r="K931" s="132">
        <v>87.387078080012202</v>
      </c>
      <c r="L931" s="133">
        <v>6.3721234536516702</v>
      </c>
      <c r="M931" s="133">
        <v>19.135980700324701</v>
      </c>
      <c r="N931" s="133">
        <v>4.2097450183087703</v>
      </c>
      <c r="O931" s="131">
        <v>8.1850666652175076E-4</v>
      </c>
      <c r="P931" s="133">
        <v>183.732</v>
      </c>
      <c r="Q931" s="137"/>
      <c r="R931" s="135"/>
    </row>
    <row r="932" spans="1:18" x14ac:dyDescent="0.25">
      <c r="A932" s="127">
        <v>45720</v>
      </c>
      <c r="B932" s="128" t="s">
        <v>38</v>
      </c>
      <c r="C932" s="129" t="str">
        <f t="shared" si="29"/>
        <v>04.03.2025_BRAob</v>
      </c>
      <c r="D932" s="143">
        <f t="shared" si="30"/>
        <v>0</v>
      </c>
      <c r="E932" s="130">
        <v>8.929498482016219E-6</v>
      </c>
      <c r="F932" s="131">
        <v>1.1000333871111696E-4</v>
      </c>
      <c r="G932" s="131">
        <v>0.44743831157712988</v>
      </c>
      <c r="H932" s="131">
        <v>4.8396186493337998E-3</v>
      </c>
      <c r="I932" s="131">
        <v>7.2850955518453952E-6</v>
      </c>
      <c r="J932" s="131">
        <v>1.7794638043961662E-3</v>
      </c>
      <c r="K932" s="132">
        <v>110.27146465484201</v>
      </c>
      <c r="L932" s="133">
        <v>4.5309284145196704</v>
      </c>
      <c r="M932" s="133">
        <v>17.313980498398301</v>
      </c>
      <c r="N932" s="133">
        <v>3.7592649015650101</v>
      </c>
      <c r="O932" s="131">
        <v>5.0670634810253941E-4</v>
      </c>
      <c r="P932" s="133">
        <v>182.756</v>
      </c>
      <c r="Q932" s="137"/>
      <c r="R932" s="135"/>
    </row>
    <row r="933" spans="1:18" x14ac:dyDescent="0.25">
      <c r="A933" s="127">
        <v>45720</v>
      </c>
      <c r="B933" s="128" t="s">
        <v>41</v>
      </c>
      <c r="C933" s="129" t="str">
        <f t="shared" si="29"/>
        <v>04.03.2025_BRAohBo</v>
      </c>
      <c r="D933" s="143">
        <f t="shared" si="30"/>
        <v>0</v>
      </c>
      <c r="E933" s="130">
        <v>8.0682755429192678E-6</v>
      </c>
      <c r="F933" s="131">
        <v>1.3513923403112393E-4</v>
      </c>
      <c r="G933" s="131">
        <v>0.39605836618934254</v>
      </c>
      <c r="H933" s="131">
        <v>4.8095713424819173E-3</v>
      </c>
      <c r="I933" s="131">
        <v>6.4934241356504395E-6</v>
      </c>
      <c r="J933" s="131">
        <v>1.9457917046101037E-3</v>
      </c>
      <c r="K933" s="132">
        <v>93.087263125739099</v>
      </c>
      <c r="L933" s="133">
        <v>5.5365113068760303</v>
      </c>
      <c r="M933" s="133">
        <v>17.193977844692601</v>
      </c>
      <c r="N933" s="133">
        <v>4.4045070716392498</v>
      </c>
      <c r="O933" s="131">
        <v>6.7321822497691845E-4</v>
      </c>
      <c r="P933" s="133">
        <v>184.22</v>
      </c>
      <c r="Q933" s="137"/>
      <c r="R933" s="135"/>
    </row>
    <row r="934" spans="1:18" x14ac:dyDescent="0.25">
      <c r="A934" s="127">
        <v>45720</v>
      </c>
      <c r="B934" s="128" t="s">
        <v>43</v>
      </c>
      <c r="C934" s="129" t="str">
        <f t="shared" si="29"/>
        <v>04.03.2025_HAAob</v>
      </c>
      <c r="D934" s="143">
        <f t="shared" si="30"/>
        <v>0</v>
      </c>
      <c r="E934" s="130">
        <v>1.0108015007156956E-5</v>
      </c>
      <c r="F934" s="131">
        <v>1.1463446707180501E-4</v>
      </c>
      <c r="G934" s="131">
        <v>0.4633569237183951</v>
      </c>
      <c r="H934" s="131">
        <v>4.4437312386791479E-3</v>
      </c>
      <c r="I934" s="131">
        <v>3.5957668099965328E-4</v>
      </c>
      <c r="J934" s="131">
        <v>1.9518094766957019E-3</v>
      </c>
      <c r="K934" s="132">
        <v>97.558217063762598</v>
      </c>
      <c r="L934" s="133">
        <v>11.1373923311538</v>
      </c>
      <c r="M934" s="133">
        <v>18.081468922982801</v>
      </c>
      <c r="N934" s="133">
        <v>4.7172329309196002</v>
      </c>
      <c r="O934" s="131">
        <v>2.6047718077958852E-4</v>
      </c>
      <c r="P934" s="133">
        <v>223.01600000000002</v>
      </c>
      <c r="Q934" s="137"/>
      <c r="R934" s="135"/>
    </row>
    <row r="935" spans="1:18" x14ac:dyDescent="0.25">
      <c r="A935" s="127">
        <v>45720</v>
      </c>
      <c r="B935" s="128" t="s">
        <v>45</v>
      </c>
      <c r="C935" s="129" t="str">
        <f t="shared" si="29"/>
        <v>04.03.2025_HAAun</v>
      </c>
      <c r="D935" s="143">
        <f t="shared" si="30"/>
        <v>0</v>
      </c>
      <c r="E935" s="130">
        <v>6.5724681646906888E-6</v>
      </c>
      <c r="F935" s="131">
        <v>1.5845042896176325E-4</v>
      </c>
      <c r="G935" s="131">
        <v>0.5289723455801415</v>
      </c>
      <c r="H935" s="131">
        <v>5.1266264762254527E-3</v>
      </c>
      <c r="I935" s="131">
        <v>6.6980135423704637E-6</v>
      </c>
      <c r="J935" s="131">
        <v>2.181397534710341E-3</v>
      </c>
      <c r="K935" s="132">
        <v>123.12377708079801</v>
      </c>
      <c r="L935" s="133">
        <v>20.393144105783701</v>
      </c>
      <c r="M935" s="133">
        <v>26.6418201821323</v>
      </c>
      <c r="N935" s="133">
        <v>6.6686010531668201</v>
      </c>
      <c r="O935" s="131">
        <v>3.489072168076096E-4</v>
      </c>
      <c r="P935" s="133">
        <v>260.10400000000004</v>
      </c>
      <c r="Q935" s="137"/>
      <c r="R935" s="135"/>
    </row>
    <row r="936" spans="1:18" x14ac:dyDescent="0.25">
      <c r="A936" s="127">
        <v>45720</v>
      </c>
      <c r="B936" s="128" t="s">
        <v>47</v>
      </c>
      <c r="C936" s="129" t="str">
        <f t="shared" si="29"/>
        <v>04.03.2025_KIRob</v>
      </c>
      <c r="D936" s="143">
        <f t="shared" si="30"/>
        <v>0</v>
      </c>
      <c r="E936" s="130">
        <v>6.8897615434340438E-6</v>
      </c>
      <c r="F936" s="131">
        <v>2.7316500936814896E-4</v>
      </c>
      <c r="G936" s="131">
        <v>0.36861332892951393</v>
      </c>
      <c r="H936" s="131">
        <v>5.2169200425914702E-3</v>
      </c>
      <c r="I936" s="131">
        <v>5.7551264505794707E-6</v>
      </c>
      <c r="J936" s="131">
        <v>1.4705028246717684E-3</v>
      </c>
      <c r="K936" s="132">
        <v>109.57695416239601</v>
      </c>
      <c r="L936" s="133">
        <v>10.757741376198201</v>
      </c>
      <c r="M936" s="133">
        <v>58.6396651094582</v>
      </c>
      <c r="N936" s="133">
        <v>5.9487105927451296</v>
      </c>
      <c r="O936" s="131">
        <v>6.3182342734142342E-4</v>
      </c>
      <c r="P936" s="133">
        <v>205.69200000000001</v>
      </c>
      <c r="Q936" s="137"/>
      <c r="R936" s="135"/>
    </row>
    <row r="937" spans="1:18" x14ac:dyDescent="0.25">
      <c r="A937" s="127">
        <v>45720</v>
      </c>
      <c r="B937" s="128" t="s">
        <v>49</v>
      </c>
      <c r="C937" s="129" t="str">
        <f t="shared" si="29"/>
        <v>04.03.2025_KIRun</v>
      </c>
      <c r="D937" s="143">
        <f t="shared" si="30"/>
        <v>0</v>
      </c>
      <c r="E937" s="130">
        <v>4.8046980581135205E-6</v>
      </c>
      <c r="F937" s="131">
        <v>1.7655961966336306E-4</v>
      </c>
      <c r="G937" s="131">
        <v>0.37026025951344627</v>
      </c>
      <c r="H937" s="131">
        <v>4.554110327670953E-3</v>
      </c>
      <c r="I937" s="131">
        <v>6.5645822894913929E-6</v>
      </c>
      <c r="J937" s="131">
        <v>1.250201199335933E-3</v>
      </c>
      <c r="K937" s="132">
        <v>116.77533982238999</v>
      </c>
      <c r="L937" s="133">
        <v>10.595937420432699</v>
      </c>
      <c r="M937" s="133">
        <v>47.669661723138901</v>
      </c>
      <c r="N937" s="133">
        <v>5.81586450122267</v>
      </c>
      <c r="O937" s="131">
        <v>4.1485985188756744E-4</v>
      </c>
      <c r="P937" s="133">
        <v>224.48000000000002</v>
      </c>
      <c r="Q937" s="137"/>
      <c r="R937" s="135"/>
    </row>
    <row r="938" spans="1:18" x14ac:dyDescent="0.25">
      <c r="A938" s="127">
        <v>45720</v>
      </c>
      <c r="B938" s="128" t="s">
        <v>50</v>
      </c>
      <c r="C938" s="129" t="str">
        <f t="shared" si="29"/>
        <v>04.03.2025_LIEohBo</v>
      </c>
      <c r="D938" s="143">
        <f t="shared" si="30"/>
        <v>0</v>
      </c>
      <c r="E938" s="130">
        <v>3.7168403842620115E-6</v>
      </c>
      <c r="F938" s="131">
        <v>1.8365931667428228E-4</v>
      </c>
      <c r="G938" s="131">
        <v>0.38509540623535993</v>
      </c>
      <c r="H938" s="131">
        <v>5.242348464375309E-3</v>
      </c>
      <c r="I938" s="131">
        <v>6.0931405078290367E-6</v>
      </c>
      <c r="J938" s="131">
        <v>1.1110518770100206E-3</v>
      </c>
      <c r="K938" s="132">
        <v>80.706222353930599</v>
      </c>
      <c r="L938" s="133">
        <v>11.3358474320751</v>
      </c>
      <c r="M938" s="133">
        <v>20.459753130311402</v>
      </c>
      <c r="N938" s="133">
        <v>5.9839224151486796</v>
      </c>
      <c r="O938" s="131">
        <v>3.8118988491006085E-4</v>
      </c>
      <c r="P938" s="133">
        <v>232.28799999999998</v>
      </c>
      <c r="Q938" s="137"/>
      <c r="R938" s="135"/>
    </row>
    <row r="939" spans="1:18" x14ac:dyDescent="0.25">
      <c r="A939" s="127">
        <v>45720</v>
      </c>
      <c r="B939" s="128" t="s">
        <v>53</v>
      </c>
      <c r="C939" s="129" t="str">
        <f t="shared" si="29"/>
        <v>04.03.2025_NATohBo</v>
      </c>
      <c r="D939" s="143">
        <f t="shared" si="30"/>
        <v>0</v>
      </c>
      <c r="E939" s="130">
        <v>1.0289325225847895E-5</v>
      </c>
      <c r="F939" s="131">
        <v>3.927038465679717E-4</v>
      </c>
      <c r="G939" s="131">
        <v>0.66011518239965372</v>
      </c>
      <c r="H939" s="131">
        <v>7.5070846206196111E-3</v>
      </c>
      <c r="I939" s="131">
        <v>6.9470813804409998E-6</v>
      </c>
      <c r="J939" s="131">
        <v>3.5172106706482182E-3</v>
      </c>
      <c r="K939" s="132">
        <v>159.53634053265</v>
      </c>
      <c r="L939" s="133">
        <v>38.314319264109301</v>
      </c>
      <c r="M939" s="133">
        <v>94.836229834222095</v>
      </c>
      <c r="N939" s="133">
        <v>11.882576489315699</v>
      </c>
      <c r="O939" s="131">
        <v>6.580155886975476E-4</v>
      </c>
      <c r="P939" s="133">
        <v>283.52799999999996</v>
      </c>
      <c r="Q939" s="137"/>
      <c r="R939" s="135"/>
    </row>
    <row r="940" spans="1:18" x14ac:dyDescent="0.25">
      <c r="A940" s="127">
        <v>45720</v>
      </c>
      <c r="B940" s="128" t="s">
        <v>55</v>
      </c>
      <c r="C940" s="129" t="str">
        <f t="shared" si="29"/>
        <v>04.03.2025_QUAohBo</v>
      </c>
      <c r="D940" s="143">
        <f t="shared" si="30"/>
        <v>0</v>
      </c>
      <c r="E940" s="130">
        <v>5.0766624617694415E-6</v>
      </c>
      <c r="F940" s="131">
        <v>1.6175654215902347E-4</v>
      </c>
      <c r="G940" s="131">
        <v>0.45715715436152865</v>
      </c>
      <c r="H940" s="131">
        <v>4.8123097930993361E-3</v>
      </c>
      <c r="I940" s="131">
        <v>8.3080465872244354E-6</v>
      </c>
      <c r="J940" s="131">
        <v>1.2909712742220725E-3</v>
      </c>
      <c r="K940" s="132">
        <v>100.228194660244</v>
      </c>
      <c r="L940" s="133">
        <v>5.4769821731853101</v>
      </c>
      <c r="M940" s="133">
        <v>26.091909556921902</v>
      </c>
      <c r="N940" s="133">
        <v>3.76658329644322</v>
      </c>
      <c r="O940" s="131">
        <v>4.7583546114063276E-4</v>
      </c>
      <c r="P940" s="133">
        <v>220.33199999999999</v>
      </c>
      <c r="Q940" s="137"/>
      <c r="R940" s="135"/>
    </row>
    <row r="941" spans="1:18" x14ac:dyDescent="0.25">
      <c r="A941" s="127">
        <v>45720</v>
      </c>
      <c r="B941" s="128" t="s">
        <v>356</v>
      </c>
      <c r="C941" s="129" t="str">
        <f t="shared" si="29"/>
        <v>04.03.2025_ROTB</v>
      </c>
      <c r="D941" s="143">
        <f t="shared" si="30"/>
        <v>0</v>
      </c>
      <c r="E941" s="130">
        <v>6.6179308431655383E-5</v>
      </c>
      <c r="F941" s="131">
        <v>2.8683749585684264E-4</v>
      </c>
      <c r="G941" s="131">
        <v>0.25845670989453629</v>
      </c>
      <c r="H941" s="131">
        <v>7.0690883307453559E-3</v>
      </c>
      <c r="I941" s="131">
        <v>2.1918101947409786E-5</v>
      </c>
      <c r="J941" s="131">
        <v>8.5392210107701014E-3</v>
      </c>
      <c r="K941" s="132">
        <v>47.530760281641797</v>
      </c>
      <c r="L941" s="133">
        <v>12.538798715704001</v>
      </c>
      <c r="M941" s="133">
        <v>50.6429256826707</v>
      </c>
      <c r="N941" s="133">
        <v>4.7558991329081399</v>
      </c>
      <c r="O941" s="131">
        <v>2.2042555551360578E-3</v>
      </c>
      <c r="P941" s="133">
        <v>103.944</v>
      </c>
      <c r="Q941" s="137"/>
      <c r="R941" s="135"/>
    </row>
    <row r="942" spans="1:18" x14ac:dyDescent="0.25">
      <c r="A942" s="127">
        <v>45720</v>
      </c>
      <c r="B942" s="128" t="s">
        <v>57</v>
      </c>
      <c r="C942" s="129" t="str">
        <f t="shared" si="29"/>
        <v>04.03.2025_SCHohVo</v>
      </c>
      <c r="D942" s="143">
        <f t="shared" si="30"/>
        <v>0</v>
      </c>
      <c r="E942" s="130">
        <v>6.4592785320281739E-5</v>
      </c>
      <c r="F942" s="131">
        <v>1.5235134219651492E-4</v>
      </c>
      <c r="G942" s="131">
        <v>0.34176983569069314</v>
      </c>
      <c r="H942" s="131">
        <v>7.7655768703173119E-3</v>
      </c>
      <c r="I942" s="131">
        <v>2.4346598617001983E-5</v>
      </c>
      <c r="J942" s="131">
        <v>1.3262682611455221E-2</v>
      </c>
      <c r="K942" s="132">
        <v>81.152801242377095</v>
      </c>
      <c r="L942" s="133">
        <v>4.7659297819389304</v>
      </c>
      <c r="M942" s="133">
        <v>12.229571948957201</v>
      </c>
      <c r="N942" s="133">
        <v>1.6597136897489699</v>
      </c>
      <c r="O942" s="131">
        <v>1.5023705396571528E-3</v>
      </c>
      <c r="P942" s="133">
        <v>160.06399999999999</v>
      </c>
      <c r="Q942" s="137"/>
      <c r="R942" s="135"/>
    </row>
    <row r="943" spans="1:18" x14ac:dyDescent="0.25">
      <c r="A943" s="127">
        <v>45720</v>
      </c>
      <c r="B943" s="128" t="s">
        <v>357</v>
      </c>
      <c r="C943" s="129" t="str">
        <f t="shared" ref="C943:C1006" si="31">CONCATENATE(TEXT(A943,"TT.MM.JJJJ"),"_",B943)</f>
        <v>04.03.2025_SCHW</v>
      </c>
      <c r="D943" s="143">
        <f t="shared" ref="D943:D1006" si="32">COUNTBLANK(E943:P943)</f>
        <v>0</v>
      </c>
      <c r="E943" s="130">
        <v>2.9508347657771365E-5</v>
      </c>
      <c r="F943" s="131">
        <v>2.2276862835918251E-4</v>
      </c>
      <c r="G943" s="131">
        <v>0.41360340150448682</v>
      </c>
      <c r="H943" s="131">
        <v>7.3054700465894871E-3</v>
      </c>
      <c r="I943" s="131">
        <v>1.2933619712395357E-5</v>
      </c>
      <c r="J943" s="131">
        <v>4.8669682082790565E-3</v>
      </c>
      <c r="K943" s="132">
        <v>86.412422307662993</v>
      </c>
      <c r="L943" s="133">
        <v>24.026181845173699</v>
      </c>
      <c r="M943" s="133">
        <v>31.145747003209301</v>
      </c>
      <c r="N943" s="133">
        <v>10.0080926634226</v>
      </c>
      <c r="O943" s="131">
        <v>1.1482765070720763E-3</v>
      </c>
      <c r="P943" s="133">
        <v>127.36800000000001</v>
      </c>
      <c r="Q943" s="137"/>
      <c r="R943" s="135"/>
    </row>
    <row r="944" spans="1:18" x14ac:dyDescent="0.25">
      <c r="A944" s="127">
        <v>45720</v>
      </c>
      <c r="B944" s="128" t="s">
        <v>358</v>
      </c>
      <c r="C944" s="129" t="str">
        <f t="shared" si="31"/>
        <v>04.03.2025_SPE</v>
      </c>
      <c r="D944" s="143">
        <f t="shared" si="32"/>
        <v>0</v>
      </c>
      <c r="E944" s="130">
        <v>2.7967191911276813E-5</v>
      </c>
      <c r="F944" s="131">
        <v>1.9624757268695901E-4</v>
      </c>
      <c r="G944" s="131">
        <v>0.4713295020622798</v>
      </c>
      <c r="H944" s="131">
        <v>7.8584620931509003E-3</v>
      </c>
      <c r="I944" s="131">
        <v>5.0581255716052407E-5</v>
      </c>
      <c r="J944" s="131">
        <v>5.6082577973973853E-3</v>
      </c>
      <c r="K944" s="132">
        <v>93.555877661575295</v>
      </c>
      <c r="L944" s="133">
        <v>7.60225534628497</v>
      </c>
      <c r="M944" s="133">
        <v>31.681196291871299</v>
      </c>
      <c r="N944" s="133">
        <v>3.4958117386773102</v>
      </c>
      <c r="O944" s="131">
        <v>2.8002898541304986E-3</v>
      </c>
      <c r="P944" s="133">
        <v>193.73600000000002</v>
      </c>
      <c r="Q944" s="137"/>
      <c r="R944" s="135"/>
    </row>
    <row r="945" spans="1:18" x14ac:dyDescent="0.25">
      <c r="A945" s="127">
        <v>45720</v>
      </c>
      <c r="B945" s="128" t="s">
        <v>60</v>
      </c>
      <c r="C945" s="129" t="str">
        <f t="shared" si="31"/>
        <v>04.03.2025_VORohBo</v>
      </c>
      <c r="D945" s="143">
        <f t="shared" si="32"/>
        <v>0</v>
      </c>
      <c r="E945" s="130">
        <v>7.3430356792641059E-6</v>
      </c>
      <c r="F945" s="131">
        <v>1.2420661672447858E-4</v>
      </c>
      <c r="G945" s="131">
        <v>0.55630860780114555</v>
      </c>
      <c r="H945" s="131">
        <v>7.3975518758008334E-3</v>
      </c>
      <c r="I945" s="131">
        <v>6.4845295228679162E-6</v>
      </c>
      <c r="J945" s="131">
        <v>1.9254686499244338E-3</v>
      </c>
      <c r="K945" s="132">
        <v>139.042693803481</v>
      </c>
      <c r="L945" s="133">
        <v>12.4913983070388</v>
      </c>
      <c r="M945" s="133">
        <v>21.493053557131802</v>
      </c>
      <c r="N945" s="133">
        <v>5.5139607674615299</v>
      </c>
      <c r="O945" s="131">
        <v>9.6860093480774241E-4</v>
      </c>
      <c r="P945" s="133">
        <v>265.22800000000001</v>
      </c>
      <c r="Q945" s="137"/>
      <c r="R945" s="135"/>
    </row>
    <row r="946" spans="1:18" x14ac:dyDescent="0.25">
      <c r="A946" s="127">
        <v>45720</v>
      </c>
      <c r="B946" s="128" t="s">
        <v>62</v>
      </c>
      <c r="C946" s="129" t="str">
        <f t="shared" si="31"/>
        <v>04.03.2025_VORuhSc</v>
      </c>
      <c r="D946" s="143">
        <f t="shared" si="32"/>
        <v>0</v>
      </c>
      <c r="E946" s="130">
        <v>9.3827749573569014E-6</v>
      </c>
      <c r="F946" s="131">
        <v>1.1724351144370863E-4</v>
      </c>
      <c r="G946" s="131">
        <v>0.49591787368747436</v>
      </c>
      <c r="H946" s="131">
        <v>6.9925014730280941E-3</v>
      </c>
      <c r="I946" s="131">
        <v>7.5697431382939739E-6</v>
      </c>
      <c r="J946" s="131">
        <v>2.5371186543204946E-3</v>
      </c>
      <c r="K946" s="132">
        <v>131.459597198138</v>
      </c>
      <c r="L946" s="133">
        <v>10.7332083865771</v>
      </c>
      <c r="M946" s="133">
        <v>18.538492244909499</v>
      </c>
      <c r="N946" s="133">
        <v>4.1134211468602704</v>
      </c>
      <c r="O946" s="131">
        <v>9.480950380324262E-4</v>
      </c>
      <c r="P946" s="133">
        <v>252.29600000000002</v>
      </c>
      <c r="Q946" s="137"/>
      <c r="R946" s="135"/>
    </row>
    <row r="947" spans="1:18" x14ac:dyDescent="0.25">
      <c r="A947" s="127">
        <v>45720</v>
      </c>
      <c r="B947" s="128" t="s">
        <v>64</v>
      </c>
      <c r="C947" s="129" t="str">
        <f t="shared" si="31"/>
        <v>04.03.2025_WITob</v>
      </c>
      <c r="D947" s="143">
        <f t="shared" si="32"/>
        <v>0</v>
      </c>
      <c r="E947" s="130">
        <v>3.9434774542924798E-6</v>
      </c>
      <c r="F947" s="131">
        <v>1.9082794867803502E-4</v>
      </c>
      <c r="G947" s="131">
        <v>0.63157025888569895</v>
      </c>
      <c r="H947" s="131">
        <v>6.4701003170254253E-3</v>
      </c>
      <c r="I947" s="131">
        <v>6.3511025643174642E-6</v>
      </c>
      <c r="J947" s="131">
        <v>1.1225470519710533E-3</v>
      </c>
      <c r="K947" s="132">
        <v>144.49620250960299</v>
      </c>
      <c r="L947" s="133">
        <v>16.965253424037499</v>
      </c>
      <c r="M947" s="133">
        <v>43.690628921397199</v>
      </c>
      <c r="N947" s="133">
        <v>4.9730061171942097</v>
      </c>
      <c r="O947" s="131">
        <v>3.814465669856099E-4</v>
      </c>
      <c r="P947" s="133">
        <v>253.76000000000002</v>
      </c>
      <c r="Q947" s="137"/>
      <c r="R947" s="135"/>
    </row>
    <row r="948" spans="1:18" x14ac:dyDescent="0.25">
      <c r="A948" s="127">
        <v>45733</v>
      </c>
      <c r="B948" s="128" t="s">
        <v>22</v>
      </c>
      <c r="C948" s="129" t="str">
        <f t="shared" si="31"/>
        <v>17.03.2025_BOYkl</v>
      </c>
      <c r="D948" s="143">
        <f t="shared" si="32"/>
        <v>0</v>
      </c>
      <c r="E948" s="130">
        <v>3.1548117400634458E-5</v>
      </c>
      <c r="F948" s="131">
        <v>1.7854671109163102E-4</v>
      </c>
      <c r="G948" s="131">
        <v>0.31398001581205104</v>
      </c>
      <c r="H948" s="131">
        <v>6.3908124483260751E-3</v>
      </c>
      <c r="I948" s="131">
        <v>9.1797810067833612E-6</v>
      </c>
      <c r="J948" s="131">
        <v>4.5172159762166316E-3</v>
      </c>
      <c r="K948" s="132">
        <v>61.865123923311103</v>
      </c>
      <c r="L948" s="133">
        <v>4.5286525204616304</v>
      </c>
      <c r="M948" s="133">
        <v>12.5838830247886</v>
      </c>
      <c r="N948" s="133">
        <v>4.8671734117484204</v>
      </c>
      <c r="O948" s="131">
        <v>4.6773326522231808E-4</v>
      </c>
      <c r="P948" s="196" t="s">
        <v>354</v>
      </c>
      <c r="Q948" s="137"/>
      <c r="R948" s="128" t="s">
        <v>367</v>
      </c>
    </row>
    <row r="949" spans="1:18" x14ac:dyDescent="0.25">
      <c r="A949" s="127">
        <v>45733</v>
      </c>
      <c r="B949" s="128" t="s">
        <v>25</v>
      </c>
      <c r="C949" s="129" t="str">
        <f t="shared" si="31"/>
        <v>17.03.2025_BOYohB224</v>
      </c>
      <c r="D949" s="143">
        <f t="shared" si="32"/>
        <v>0</v>
      </c>
      <c r="E949" s="130">
        <v>6.7084512697461839E-6</v>
      </c>
      <c r="F949" s="131">
        <v>1.5527716622406037E-4</v>
      </c>
      <c r="G949" s="131">
        <v>0.59628556009033284</v>
      </c>
      <c r="H949" s="131">
        <v>6.2957413847284094E-3</v>
      </c>
      <c r="I949" s="131">
        <v>1.0158268642298545E-5</v>
      </c>
      <c r="J949" s="131">
        <v>1.8185044755126426E-3</v>
      </c>
      <c r="K949" s="132">
        <v>120.09266402838399</v>
      </c>
      <c r="L949" s="133">
        <v>15.0130891384041</v>
      </c>
      <c r="M949" s="133">
        <v>28.096313715339399</v>
      </c>
      <c r="N949" s="133">
        <v>6.2123563402728701</v>
      </c>
      <c r="O949" s="131">
        <v>6.0579073124442519E-4</v>
      </c>
      <c r="P949" s="196" t="s">
        <v>354</v>
      </c>
      <c r="Q949" s="137"/>
      <c r="R949" s="128" t="s">
        <v>367</v>
      </c>
    </row>
    <row r="950" spans="1:18" x14ac:dyDescent="0.25">
      <c r="A950" s="127">
        <v>45733</v>
      </c>
      <c r="B950" s="128" t="s">
        <v>28</v>
      </c>
      <c r="C950" s="129" t="str">
        <f t="shared" si="31"/>
        <v>17.03.2025_BOYohBr</v>
      </c>
      <c r="D950" s="143">
        <f t="shared" si="32"/>
        <v>0</v>
      </c>
      <c r="E950" s="130">
        <v>9.1108086964766113E-6</v>
      </c>
      <c r="F950" s="131">
        <v>1.4163184244693819E-4</v>
      </c>
      <c r="G950" s="131">
        <v>0.34762827004558372</v>
      </c>
      <c r="H950" s="131">
        <v>4.3798792105085894E-3</v>
      </c>
      <c r="I950" s="131">
        <v>4.6343339460830159E-6</v>
      </c>
      <c r="J950" s="131">
        <v>1.9051448740524583E-3</v>
      </c>
      <c r="K950" s="132">
        <v>72.247592835431703</v>
      </c>
      <c r="L950" s="133">
        <v>6.0528439225522099</v>
      </c>
      <c r="M950" s="133">
        <v>10.552233622968901</v>
      </c>
      <c r="N950" s="133">
        <v>4.1899525978625398</v>
      </c>
      <c r="O950" s="131">
        <v>3.0335569534024962E-4</v>
      </c>
      <c r="P950" s="196" t="s">
        <v>354</v>
      </c>
      <c r="Q950" s="137"/>
      <c r="R950" s="128" t="s">
        <v>367</v>
      </c>
    </row>
    <row r="951" spans="1:18" x14ac:dyDescent="0.25">
      <c r="A951" s="127">
        <v>45733</v>
      </c>
      <c r="B951" s="128" t="s">
        <v>30</v>
      </c>
      <c r="C951" s="129" t="str">
        <f t="shared" si="31"/>
        <v>17.03.2025_BOYohKi</v>
      </c>
      <c r="D951" s="143">
        <f t="shared" si="32"/>
        <v>0</v>
      </c>
      <c r="E951" s="130">
        <v>5.0313350604550203E-6</v>
      </c>
      <c r="F951" s="131">
        <v>1.4003177113732041E-4</v>
      </c>
      <c r="G951" s="131">
        <v>0.50110697381725711</v>
      </c>
      <c r="H951" s="131">
        <v>5.8016728893696481E-3</v>
      </c>
      <c r="I951" s="131">
        <v>6.1642981116466436E-6</v>
      </c>
      <c r="J951" s="131">
        <v>1.2705192011583087E-3</v>
      </c>
      <c r="K951" s="132">
        <v>96.456586167696202</v>
      </c>
      <c r="L951" s="133">
        <v>8.3854537948948504</v>
      </c>
      <c r="M951" s="133">
        <v>21.3738409185667</v>
      </c>
      <c r="N951" s="133">
        <v>4.8101022882928204</v>
      </c>
      <c r="O951" s="131">
        <v>7.2191517312090645E-4</v>
      </c>
      <c r="P951" s="196" t="s">
        <v>354</v>
      </c>
      <c r="Q951" s="137"/>
      <c r="R951" s="128" t="s">
        <v>367</v>
      </c>
    </row>
    <row r="952" spans="1:18" x14ac:dyDescent="0.25">
      <c r="A952" s="127">
        <v>45733</v>
      </c>
      <c r="B952" s="128" t="s">
        <v>32</v>
      </c>
      <c r="C952" s="129" t="str">
        <f t="shared" si="31"/>
        <v>17.03.2025_BOYohSp</v>
      </c>
      <c r="D952" s="143">
        <f t="shared" si="32"/>
        <v>0</v>
      </c>
      <c r="E952" s="130">
        <v>7.8416379398364307E-6</v>
      </c>
      <c r="F952" s="131">
        <v>1.3267766102801465E-4</v>
      </c>
      <c r="G952" s="131">
        <v>0.42165702313323566</v>
      </c>
      <c r="H952" s="131">
        <v>4.7006678711895818E-3</v>
      </c>
      <c r="I952" s="131">
        <v>7.4985796792988834E-6</v>
      </c>
      <c r="J952" s="131">
        <v>1.5991093399753222E-3</v>
      </c>
      <c r="K952" s="132">
        <v>83.832621274748305</v>
      </c>
      <c r="L952" s="133">
        <v>5.8468524867876104</v>
      </c>
      <c r="M952" s="133">
        <v>15.7882064775358</v>
      </c>
      <c r="N952" s="133">
        <v>3.7723566679295102</v>
      </c>
      <c r="O952" s="131">
        <v>3.975893539698092E-4</v>
      </c>
      <c r="P952" s="196" t="s">
        <v>354</v>
      </c>
      <c r="Q952" s="137"/>
      <c r="R952" s="128" t="s">
        <v>367</v>
      </c>
    </row>
    <row r="953" spans="1:18" x14ac:dyDescent="0.25">
      <c r="A953" s="127">
        <v>45733</v>
      </c>
      <c r="B953" s="128" t="s">
        <v>34</v>
      </c>
      <c r="C953" s="129" t="str">
        <f t="shared" si="31"/>
        <v>17.03.2025_BOYuhHa</v>
      </c>
      <c r="D953" s="143">
        <f t="shared" si="32"/>
        <v>0</v>
      </c>
      <c r="E953" s="130">
        <v>4.6687158076340814E-6</v>
      </c>
      <c r="F953" s="131">
        <v>1.745258256074825E-4</v>
      </c>
      <c r="G953" s="131">
        <v>0.59811961429678373</v>
      </c>
      <c r="H953" s="131">
        <v>6.2591403311619224E-3</v>
      </c>
      <c r="I953" s="131">
        <v>6.2532555886877943E-6</v>
      </c>
      <c r="J953" s="131">
        <v>1.8322758027338496E-3</v>
      </c>
      <c r="K953" s="132">
        <v>124.68545144008</v>
      </c>
      <c r="L953" s="133">
        <v>17.0547642110952</v>
      </c>
      <c r="M953" s="133">
        <v>35.399578992706203</v>
      </c>
      <c r="N953" s="133">
        <v>6.5203518305415402</v>
      </c>
      <c r="O953" s="131">
        <v>5.7958958661607964E-4</v>
      </c>
      <c r="P953" s="196" t="s">
        <v>354</v>
      </c>
      <c r="Q953" s="137"/>
      <c r="R953" s="128" t="s">
        <v>367</v>
      </c>
    </row>
    <row r="954" spans="1:18" x14ac:dyDescent="0.25">
      <c r="A954" s="127">
        <v>45733</v>
      </c>
      <c r="B954" s="128" t="s">
        <v>36</v>
      </c>
      <c r="C954" s="129" t="str">
        <f t="shared" si="31"/>
        <v>17.03.2025_BOYuhSp</v>
      </c>
      <c r="D954" s="143">
        <f t="shared" si="32"/>
        <v>0</v>
      </c>
      <c r="E954" s="130">
        <v>7.9322930766806097E-6</v>
      </c>
      <c r="F954" s="131">
        <v>1.4019237824636194E-4</v>
      </c>
      <c r="G954" s="131">
        <v>0.4440369133551802</v>
      </c>
      <c r="H954" s="131">
        <v>5.1822359642768271E-3</v>
      </c>
      <c r="I954" s="131">
        <v>8.5482185090641685E-6</v>
      </c>
      <c r="J954" s="131">
        <v>2.5522306661508354E-3</v>
      </c>
      <c r="K954" s="132">
        <v>92.190137902664901</v>
      </c>
      <c r="L954" s="133">
        <v>7.04540527604183</v>
      </c>
      <c r="M954" s="133">
        <v>20.762639866148401</v>
      </c>
      <c r="N954" s="133">
        <v>4.4753835561592599</v>
      </c>
      <c r="O954" s="131">
        <v>7.3146785738935273E-4</v>
      </c>
      <c r="P954" s="196" t="s">
        <v>354</v>
      </c>
      <c r="Q954" s="137"/>
      <c r="R954" s="128" t="s">
        <v>367</v>
      </c>
    </row>
    <row r="955" spans="1:18" x14ac:dyDescent="0.25">
      <c r="A955" s="127">
        <v>45733</v>
      </c>
      <c r="B955" s="128" t="s">
        <v>38</v>
      </c>
      <c r="C955" s="129" t="str">
        <f t="shared" si="31"/>
        <v>17.03.2025_BRAob</v>
      </c>
      <c r="D955" s="143">
        <f t="shared" si="32"/>
        <v>0</v>
      </c>
      <c r="E955" s="130">
        <v>6.4364857407578637E-6</v>
      </c>
      <c r="F955" s="131">
        <v>1.1756769269292008E-4</v>
      </c>
      <c r="G955" s="131">
        <v>0.64439331056059701</v>
      </c>
      <c r="H955" s="131">
        <v>6.0732498120723826E-3</v>
      </c>
      <c r="I955" s="131">
        <v>1.2657867048007301E-5</v>
      </c>
      <c r="J955" s="131">
        <v>1.2432500316862591E-3</v>
      </c>
      <c r="K955" s="132">
        <v>131.44691108512001</v>
      </c>
      <c r="L955" s="133">
        <v>4.7502772748438602</v>
      </c>
      <c r="M955" s="133">
        <v>18.803732155665699</v>
      </c>
      <c r="N955" s="133">
        <v>3.6207553309930298</v>
      </c>
      <c r="O955" s="131">
        <v>5.7545120500621626E-4</v>
      </c>
      <c r="P955" s="196" t="s">
        <v>354</v>
      </c>
      <c r="Q955" s="137"/>
      <c r="R955" s="128" t="s">
        <v>367</v>
      </c>
    </row>
    <row r="956" spans="1:18" x14ac:dyDescent="0.25">
      <c r="A956" s="127">
        <v>45733</v>
      </c>
      <c r="B956" s="128" t="s">
        <v>41</v>
      </c>
      <c r="C956" s="129" t="str">
        <f t="shared" si="31"/>
        <v>17.03.2025_BRAohBo</v>
      </c>
      <c r="D956" s="143">
        <f t="shared" si="32"/>
        <v>0</v>
      </c>
      <c r="E956" s="130">
        <v>5.212645122614003E-6</v>
      </c>
      <c r="F956" s="131">
        <v>1.2929897064839556E-4</v>
      </c>
      <c r="G956" s="131">
        <v>0.5176827520151811</v>
      </c>
      <c r="H956" s="131">
        <v>1.5779459498860306E-2</v>
      </c>
      <c r="I956" s="131">
        <v>1.4205657096291257E-5</v>
      </c>
      <c r="J956" s="131">
        <v>1.3627555996775797E-3</v>
      </c>
      <c r="K956" s="132">
        <v>110.67011634588999</v>
      </c>
      <c r="L956" s="133">
        <v>5.8811703581446402</v>
      </c>
      <c r="M956" s="133">
        <v>18.916560869252098</v>
      </c>
      <c r="N956" s="133">
        <v>4.2177768090046897</v>
      </c>
      <c r="O956" s="131">
        <v>6.3036769107369529E-4</v>
      </c>
      <c r="P956" s="196" t="s">
        <v>354</v>
      </c>
      <c r="Q956" s="137"/>
      <c r="R956" s="128" t="s">
        <v>367</v>
      </c>
    </row>
    <row r="957" spans="1:18" x14ac:dyDescent="0.25">
      <c r="A957" s="127">
        <v>45733</v>
      </c>
      <c r="B957" s="128" t="s">
        <v>43</v>
      </c>
      <c r="C957" s="129" t="str">
        <f t="shared" si="31"/>
        <v>17.03.2025_HAAob</v>
      </c>
      <c r="D957" s="143">
        <f t="shared" si="32"/>
        <v>0</v>
      </c>
      <c r="E957" s="130">
        <v>3.8074955295661828E-6</v>
      </c>
      <c r="F957" s="131">
        <v>1.085616000700124E-4</v>
      </c>
      <c r="G957" s="131">
        <v>0.47540854840320829</v>
      </c>
      <c r="H957" s="131">
        <v>4.1026206217469035E-3</v>
      </c>
      <c r="I957" s="131">
        <v>4.6788097061537554E-6</v>
      </c>
      <c r="J957" s="131">
        <v>1.3318760598601135E-3</v>
      </c>
      <c r="K957" s="132">
        <v>94.1052268717347</v>
      </c>
      <c r="L957" s="133">
        <v>11.3143894720234</v>
      </c>
      <c r="M957" s="133">
        <v>20.031210349221301</v>
      </c>
      <c r="N957" s="133">
        <v>4.89907933296666</v>
      </c>
      <c r="O957" s="131">
        <v>2.4924547280953728E-4</v>
      </c>
      <c r="P957" s="196" t="s">
        <v>354</v>
      </c>
      <c r="Q957" s="137"/>
      <c r="R957" s="128" t="s">
        <v>367</v>
      </c>
    </row>
    <row r="958" spans="1:18" x14ac:dyDescent="0.25">
      <c r="A958" s="127">
        <v>45733</v>
      </c>
      <c r="B958" s="128" t="s">
        <v>45</v>
      </c>
      <c r="C958" s="129" t="str">
        <f t="shared" si="31"/>
        <v>17.03.2025_HAAun</v>
      </c>
      <c r="D958" s="143">
        <f t="shared" si="32"/>
        <v>0</v>
      </c>
      <c r="E958" s="130">
        <v>4.079459573624466E-6</v>
      </c>
      <c r="F958" s="131">
        <v>1.461975074491894E-4</v>
      </c>
      <c r="G958" s="131">
        <v>0.62506896282380853</v>
      </c>
      <c r="H958" s="131">
        <v>5.5895084159375222E-3</v>
      </c>
      <c r="I958" s="131">
        <v>6.3955779777988913E-6</v>
      </c>
      <c r="J958" s="131">
        <v>1.743098045770356E-3</v>
      </c>
      <c r="K958" s="132">
        <v>126.88543463894</v>
      </c>
      <c r="L958" s="133">
        <v>18.575989819725599</v>
      </c>
      <c r="M958" s="133">
        <v>25.9151303688745</v>
      </c>
      <c r="N958" s="133">
        <v>6.17191250385111</v>
      </c>
      <c r="O958" s="131">
        <v>4.2548495350260972E-4</v>
      </c>
      <c r="P958" s="196" t="s">
        <v>354</v>
      </c>
      <c r="Q958" s="137"/>
      <c r="R958" s="128" t="s">
        <v>367</v>
      </c>
    </row>
    <row r="959" spans="1:18" x14ac:dyDescent="0.25">
      <c r="A959" s="127">
        <v>45733</v>
      </c>
      <c r="B959" s="128" t="s">
        <v>47</v>
      </c>
      <c r="C959" s="129" t="str">
        <f t="shared" si="31"/>
        <v>17.03.2025_KIRob</v>
      </c>
      <c r="D959" s="143">
        <f t="shared" si="32"/>
        <v>0</v>
      </c>
      <c r="E959" s="130">
        <v>8.8388434086307167E-6</v>
      </c>
      <c r="F959" s="131">
        <v>2.5953259815855132E-4</v>
      </c>
      <c r="G959" s="131">
        <v>0.57961194989188425</v>
      </c>
      <c r="H959" s="131">
        <v>7.0783636447714496E-3</v>
      </c>
      <c r="I959" s="131">
        <v>8.3703157157341782E-6</v>
      </c>
      <c r="J959" s="131">
        <v>2.6156244911262057E-3</v>
      </c>
      <c r="K959" s="132">
        <v>128.12868042124401</v>
      </c>
      <c r="L959" s="133">
        <v>11.143866044514599</v>
      </c>
      <c r="M959" s="133">
        <v>61.020079473632599</v>
      </c>
      <c r="N959" s="133">
        <v>6.1998275423989098</v>
      </c>
      <c r="O959" s="131">
        <v>8.4994420636435317E-4</v>
      </c>
      <c r="P959" s="196" t="s">
        <v>354</v>
      </c>
      <c r="Q959" s="137"/>
      <c r="R959" s="128" t="s">
        <v>367</v>
      </c>
    </row>
    <row r="960" spans="1:18" x14ac:dyDescent="0.25">
      <c r="A960" s="127">
        <v>45733</v>
      </c>
      <c r="B960" s="128" t="s">
        <v>49</v>
      </c>
      <c r="C960" s="129" t="str">
        <f t="shared" si="31"/>
        <v>17.03.2025_KIRun</v>
      </c>
      <c r="D960" s="143">
        <f t="shared" si="32"/>
        <v>0</v>
      </c>
      <c r="E960" s="130">
        <v>4.4874060458455526E-6</v>
      </c>
      <c r="F960" s="131">
        <v>2.0394044168551924E-4</v>
      </c>
      <c r="G960" s="131">
        <v>0.57501800120042801</v>
      </c>
      <c r="H960" s="131">
        <v>6.2397493629612394E-3</v>
      </c>
      <c r="I960" s="131">
        <v>5.3548394416737946E-6</v>
      </c>
      <c r="J960" s="131">
        <v>1.4479100992661508E-3</v>
      </c>
      <c r="K960" s="132">
        <v>119.41463010872801</v>
      </c>
      <c r="L960" s="133">
        <v>10.6444988599063</v>
      </c>
      <c r="M960" s="133">
        <v>46.900783941640199</v>
      </c>
      <c r="N960" s="133">
        <v>5.6777216263454804</v>
      </c>
      <c r="O960" s="131">
        <v>6.2010555509206837E-4</v>
      </c>
      <c r="P960" s="196" t="s">
        <v>354</v>
      </c>
      <c r="Q960" s="137"/>
      <c r="R960" s="128" t="s">
        <v>367</v>
      </c>
    </row>
    <row r="961" spans="1:18" x14ac:dyDescent="0.25">
      <c r="A961" s="127">
        <v>45733</v>
      </c>
      <c r="B961" s="128" t="s">
        <v>50</v>
      </c>
      <c r="C961" s="129" t="str">
        <f t="shared" si="31"/>
        <v>17.03.2025_LIEohBo</v>
      </c>
      <c r="D961" s="143">
        <f t="shared" si="32"/>
        <v>0</v>
      </c>
      <c r="E961" s="130">
        <v>5.7565740356898347E-6</v>
      </c>
      <c r="F961" s="131">
        <v>1.5570058011267119E-4</v>
      </c>
      <c r="G961" s="131">
        <v>0.44094154634578892</v>
      </c>
      <c r="H961" s="131">
        <v>6.1744385000542645E-3</v>
      </c>
      <c r="I961" s="131">
        <v>7.5341632695545663E-6</v>
      </c>
      <c r="J961" s="131">
        <v>1.0690815006418513E-3</v>
      </c>
      <c r="K961" s="132">
        <v>86.333633246884304</v>
      </c>
      <c r="L961" s="133">
        <v>11.5120775958501</v>
      </c>
      <c r="M961" s="133">
        <v>20.733281836716198</v>
      </c>
      <c r="N961" s="133">
        <v>6.1930352763253502</v>
      </c>
      <c r="O961" s="131">
        <v>3.631516002998788E-4</v>
      </c>
      <c r="P961" s="196" t="s">
        <v>354</v>
      </c>
      <c r="Q961" s="137"/>
      <c r="R961" s="128" t="s">
        <v>367</v>
      </c>
    </row>
    <row r="962" spans="1:18" x14ac:dyDescent="0.25">
      <c r="A962" s="127">
        <v>45733</v>
      </c>
      <c r="B962" s="128" t="s">
        <v>53</v>
      </c>
      <c r="C962" s="129" t="str">
        <f t="shared" si="31"/>
        <v>17.03.2025_NATohBo</v>
      </c>
      <c r="D962" s="143">
        <f t="shared" si="32"/>
        <v>0</v>
      </c>
      <c r="E962" s="130">
        <v>8.0229480527627872E-6</v>
      </c>
      <c r="F962" s="131">
        <v>3.6874950111993334E-4</v>
      </c>
      <c r="G962" s="131">
        <v>0.8467098802085169</v>
      </c>
      <c r="H962" s="131">
        <v>8.2885154330412311E-3</v>
      </c>
      <c r="I962" s="131">
        <v>5.2303090365669411E-6</v>
      </c>
      <c r="J962" s="131">
        <v>4.7842443793161011E-3</v>
      </c>
      <c r="K962" s="132">
        <v>191.21308063777099</v>
      </c>
      <c r="L962" s="133">
        <v>37.086188070914297</v>
      </c>
      <c r="M962" s="133">
        <v>105.799853140558</v>
      </c>
      <c r="N962" s="133">
        <v>11.9895543504689</v>
      </c>
      <c r="O962" s="131">
        <v>7.2027311331126576E-4</v>
      </c>
      <c r="P962" s="196" t="s">
        <v>354</v>
      </c>
      <c r="Q962" s="137"/>
      <c r="R962" s="128" t="s">
        <v>367</v>
      </c>
    </row>
    <row r="963" spans="1:18" x14ac:dyDescent="0.25">
      <c r="A963" s="127">
        <v>45733</v>
      </c>
      <c r="B963" s="128" t="s">
        <v>55</v>
      </c>
      <c r="C963" s="129" t="str">
        <f t="shared" si="31"/>
        <v>17.03.2025_QUAohBo</v>
      </c>
      <c r="D963" s="143">
        <f t="shared" si="32"/>
        <v>0</v>
      </c>
      <c r="E963" s="130">
        <v>4.44207868683679E-6</v>
      </c>
      <c r="F963" s="131">
        <v>1.5939272261848931E-4</v>
      </c>
      <c r="G963" s="131">
        <v>0.51944866841453186</v>
      </c>
      <c r="H963" s="131">
        <v>4.8431372246162379E-3</v>
      </c>
      <c r="I963" s="131">
        <v>9.8558283723343465E-6</v>
      </c>
      <c r="J963" s="131">
        <v>1.4055328370126301E-3</v>
      </c>
      <c r="K963" s="132">
        <v>101.16002942134</v>
      </c>
      <c r="L963" s="133">
        <v>5.1938263770634396</v>
      </c>
      <c r="M963" s="133">
        <v>27.499409091143701</v>
      </c>
      <c r="N963" s="133">
        <v>4.34623782670577</v>
      </c>
      <c r="O963" s="131">
        <v>4.79829665742641E-4</v>
      </c>
      <c r="P963" s="196" t="s">
        <v>354</v>
      </c>
      <c r="Q963" s="137"/>
      <c r="R963" s="128" t="s">
        <v>367</v>
      </c>
    </row>
    <row r="964" spans="1:18" x14ac:dyDescent="0.25">
      <c r="A964" s="127">
        <v>45733</v>
      </c>
      <c r="B964" s="128" t="s">
        <v>356</v>
      </c>
      <c r="C964" s="129" t="str">
        <f t="shared" si="31"/>
        <v>17.03.2025_ROTB</v>
      </c>
      <c r="D964" s="143">
        <f t="shared" si="32"/>
        <v>0</v>
      </c>
      <c r="E964" s="130">
        <v>4.3786794986035536E-5</v>
      </c>
      <c r="F964" s="131">
        <v>3.9116523259937955E-4</v>
      </c>
      <c r="G964" s="131">
        <v>0.39500955035834878</v>
      </c>
      <c r="H964" s="131">
        <v>8.1377345950748806E-3</v>
      </c>
      <c r="I964" s="131">
        <v>1.1448089879933844E-5</v>
      </c>
      <c r="J964" s="131">
        <v>1.1417413206866595E-2</v>
      </c>
      <c r="K964" s="132">
        <v>75.586700456363104</v>
      </c>
      <c r="L964" s="133">
        <v>22.9040233305527</v>
      </c>
      <c r="M964" s="133">
        <v>104.142843544971</v>
      </c>
      <c r="N964" s="133">
        <v>8.2738022421360995</v>
      </c>
      <c r="O964" s="131">
        <v>2.3724542071721991E-3</v>
      </c>
      <c r="P964" s="196" t="s">
        <v>354</v>
      </c>
      <c r="Q964" s="137"/>
      <c r="R964" s="128" t="s">
        <v>367</v>
      </c>
    </row>
    <row r="965" spans="1:18" x14ac:dyDescent="0.25">
      <c r="A965" s="127">
        <v>45733</v>
      </c>
      <c r="B965" s="128" t="s">
        <v>57</v>
      </c>
      <c r="C965" s="129" t="str">
        <f t="shared" si="31"/>
        <v>17.03.2025_SCHohVo</v>
      </c>
      <c r="D965" s="143">
        <f t="shared" si="32"/>
        <v>0</v>
      </c>
      <c r="E965" s="130">
        <v>2.6698003462159258E-5</v>
      </c>
      <c r="F965" s="131">
        <v>2.0316431938395194E-4</v>
      </c>
      <c r="G965" s="131">
        <v>0.52260514898039678</v>
      </c>
      <c r="H965" s="131">
        <v>7.5406542131416857E-3</v>
      </c>
      <c r="I965" s="131">
        <v>1.1172336939481823E-5</v>
      </c>
      <c r="J965" s="131">
        <v>5.9465076384363795E-3</v>
      </c>
      <c r="K965" s="132">
        <v>96.818283338948106</v>
      </c>
      <c r="L965" s="133">
        <v>5.1623494772854102</v>
      </c>
      <c r="M965" s="133">
        <v>13.8531544863195</v>
      </c>
      <c r="N965" s="133">
        <v>2.0801647152017502</v>
      </c>
      <c r="O965" s="131">
        <v>1.1469040415869026E-3</v>
      </c>
      <c r="P965" s="196" t="s">
        <v>354</v>
      </c>
      <c r="Q965" s="137"/>
      <c r="R965" s="128" t="s">
        <v>367</v>
      </c>
    </row>
    <row r="966" spans="1:18" x14ac:dyDescent="0.25">
      <c r="A966" s="127">
        <v>45733</v>
      </c>
      <c r="B966" s="128" t="s">
        <v>357</v>
      </c>
      <c r="C966" s="129" t="str">
        <f t="shared" si="31"/>
        <v>17.03.2025_SCHW</v>
      </c>
      <c r="D966" s="143">
        <f t="shared" si="32"/>
        <v>0</v>
      </c>
      <c r="E966" s="130">
        <v>3.3814532585993778E-5</v>
      </c>
      <c r="F966" s="131">
        <v>1.5744004314257091E-4</v>
      </c>
      <c r="G966" s="131">
        <v>0.48770965019646961</v>
      </c>
      <c r="H966" s="131">
        <v>9.4380623405028799E-3</v>
      </c>
      <c r="I966" s="131">
        <v>1.6660803215623024E-5</v>
      </c>
      <c r="J966" s="131">
        <v>1.3572901052398226E-2</v>
      </c>
      <c r="K966" s="132">
        <v>102.025740293084</v>
      </c>
      <c r="L966" s="133">
        <v>27.068105204854099</v>
      </c>
      <c r="M966" s="133">
        <v>34.187069208842999</v>
      </c>
      <c r="N966" s="133">
        <v>10.3455697921584</v>
      </c>
      <c r="O966" s="131">
        <v>1.6093166606691227E-3</v>
      </c>
      <c r="P966" s="196" t="s">
        <v>354</v>
      </c>
      <c r="Q966" s="137"/>
      <c r="R966" s="128" t="s">
        <v>367</v>
      </c>
    </row>
    <row r="967" spans="1:18" x14ac:dyDescent="0.25">
      <c r="A967" s="127">
        <v>45733</v>
      </c>
      <c r="B967" s="128" t="s">
        <v>358</v>
      </c>
      <c r="C967" s="129" t="str">
        <f t="shared" si="31"/>
        <v>17.03.2025_SPE</v>
      </c>
      <c r="D967" s="143">
        <f t="shared" si="32"/>
        <v>0</v>
      </c>
      <c r="E967" s="130">
        <v>1.8538969191849993E-5</v>
      </c>
      <c r="F967" s="131">
        <v>1.7471726864926992E-4</v>
      </c>
      <c r="G967" s="131">
        <v>0.48314938477981578</v>
      </c>
      <c r="H967" s="131">
        <v>7.5199477475291383E-3</v>
      </c>
      <c r="I967" s="131">
        <v>2.2878836267258695E-5</v>
      </c>
      <c r="J967" s="131">
        <v>5.7187265296724235E-3</v>
      </c>
      <c r="K967" s="132">
        <v>93.374294843738994</v>
      </c>
      <c r="L967" s="133">
        <v>7.7935785568131299</v>
      </c>
      <c r="M967" s="133">
        <v>32.831571599213802</v>
      </c>
      <c r="N967" s="133">
        <v>3.8108769489168299</v>
      </c>
      <c r="O967" s="131">
        <v>2.6545972617877992E-3</v>
      </c>
      <c r="P967" s="196" t="s">
        <v>354</v>
      </c>
      <c r="Q967" s="137"/>
      <c r="R967" s="128" t="s">
        <v>367</v>
      </c>
    </row>
    <row r="968" spans="1:18" x14ac:dyDescent="0.25">
      <c r="A968" s="127">
        <v>45733</v>
      </c>
      <c r="B968" s="128" t="s">
        <v>60</v>
      </c>
      <c r="C968" s="129" t="str">
        <f t="shared" si="31"/>
        <v>17.03.2025_VORohBo</v>
      </c>
      <c r="D968" s="143">
        <f t="shared" si="32"/>
        <v>0</v>
      </c>
      <c r="E968" s="130">
        <v>6.4364858338304674E-6</v>
      </c>
      <c r="F968" s="131">
        <v>2.8917526493247117E-4</v>
      </c>
      <c r="G968" s="131">
        <v>0.66538612439486744</v>
      </c>
      <c r="H968" s="131">
        <v>7.3857360559070277E-3</v>
      </c>
      <c r="I968" s="131">
        <v>7.2209628363308393E-5</v>
      </c>
      <c r="J968" s="131">
        <v>3.1238988547538996E-3</v>
      </c>
      <c r="K968" s="132">
        <v>147.38294598516401</v>
      </c>
      <c r="L968" s="133">
        <v>13.760856196469501</v>
      </c>
      <c r="M968" s="133">
        <v>23.217026264924201</v>
      </c>
      <c r="N968" s="133">
        <v>6.2072373413730597</v>
      </c>
      <c r="O968" s="131">
        <v>1.0409059152775122E-3</v>
      </c>
      <c r="P968" s="196" t="s">
        <v>354</v>
      </c>
      <c r="Q968" s="137"/>
      <c r="R968" s="128" t="s">
        <v>367</v>
      </c>
    </row>
    <row r="969" spans="1:18" x14ac:dyDescent="0.25">
      <c r="A969" s="127">
        <v>45733</v>
      </c>
      <c r="B969" s="128" t="s">
        <v>62</v>
      </c>
      <c r="C969" s="129" t="str">
        <f t="shared" si="31"/>
        <v>17.03.2025_VORuhSc</v>
      </c>
      <c r="D969" s="143">
        <f t="shared" si="32"/>
        <v>0</v>
      </c>
      <c r="E969" s="130">
        <v>5.3032995487222076E-6</v>
      </c>
      <c r="F969" s="131">
        <v>1.0824670217545531E-4</v>
      </c>
      <c r="G969" s="131">
        <v>0.71909104052899697</v>
      </c>
      <c r="H969" s="131">
        <v>8.144138580530683E-3</v>
      </c>
      <c r="I969" s="131">
        <v>7.2495140060290685E-6</v>
      </c>
      <c r="J969" s="131">
        <v>2.7826744269604485E-3</v>
      </c>
      <c r="K969" s="132">
        <v>157.86455211720099</v>
      </c>
      <c r="L969" s="133">
        <v>11.9539196942898</v>
      </c>
      <c r="M969" s="133">
        <v>20.832577264707201</v>
      </c>
      <c r="N969" s="133">
        <v>5.0199597594815302</v>
      </c>
      <c r="O969" s="131">
        <v>9.9816972167039828E-4</v>
      </c>
      <c r="P969" s="196" t="s">
        <v>354</v>
      </c>
      <c r="Q969" s="137"/>
      <c r="R969" s="128" t="s">
        <v>367</v>
      </c>
    </row>
    <row r="970" spans="1:18" x14ac:dyDescent="0.25">
      <c r="A970" s="127">
        <v>45733</v>
      </c>
      <c r="B970" s="128" t="s">
        <v>64</v>
      </c>
      <c r="C970" s="129" t="str">
        <f t="shared" si="31"/>
        <v>17.03.2025_WITob</v>
      </c>
      <c r="D970" s="143">
        <f t="shared" si="32"/>
        <v>0</v>
      </c>
      <c r="E970" s="130">
        <v>4.2154418367955351E-6</v>
      </c>
      <c r="F970" s="131">
        <v>1.7080157190549496E-4</v>
      </c>
      <c r="G970" s="131">
        <v>0.75613560784397915</v>
      </c>
      <c r="H970" s="131">
        <v>6.9695873965591425E-3</v>
      </c>
      <c r="I970" s="131">
        <v>4.8211308789850391E-6</v>
      </c>
      <c r="J970" s="131">
        <v>1.1662563947857944E-3</v>
      </c>
      <c r="K970" s="132">
        <v>162.61153435061499</v>
      </c>
      <c r="L970" s="133">
        <v>18.002181566895501</v>
      </c>
      <c r="M970" s="133">
        <v>46.335866876949098</v>
      </c>
      <c r="N970" s="133">
        <v>5.3421502935474203</v>
      </c>
      <c r="O970" s="131">
        <v>4.61000297647386E-4</v>
      </c>
      <c r="P970" s="196" t="s">
        <v>354</v>
      </c>
      <c r="Q970" s="137"/>
      <c r="R970" s="128" t="s">
        <v>367</v>
      </c>
    </row>
    <row r="971" spans="1:18" x14ac:dyDescent="0.25">
      <c r="A971" s="127">
        <v>45772</v>
      </c>
      <c r="B971" s="128" t="s">
        <v>22</v>
      </c>
      <c r="C971" s="129" t="str">
        <f t="shared" si="31"/>
        <v>25.04.2025_BOYkl</v>
      </c>
      <c r="D971" s="143">
        <f t="shared" si="32"/>
        <v>0</v>
      </c>
      <c r="E971" s="130">
        <v>2.8928091577350363E-5</v>
      </c>
      <c r="F971" s="131">
        <v>1.8494899212712647E-3</v>
      </c>
      <c r="G971" s="131">
        <v>0.24175328120954129</v>
      </c>
      <c r="H971" s="131">
        <v>3.9737536107885768E-3</v>
      </c>
      <c r="I971" s="131">
        <v>1.8925453633768505E-5</v>
      </c>
      <c r="J971" s="131">
        <v>4.0134306588459371E-3</v>
      </c>
      <c r="K971" s="132">
        <v>41.210950245953804</v>
      </c>
      <c r="L971" s="133">
        <v>3.7628854664580702</v>
      </c>
      <c r="M971" s="133">
        <v>9.85963534132779</v>
      </c>
      <c r="N971" s="133">
        <v>4.1928944133559529</v>
      </c>
      <c r="O971" s="131">
        <v>4.2405622101370486E-4</v>
      </c>
      <c r="P971" s="133">
        <v>95.403999999999996</v>
      </c>
      <c r="Q971" s="137"/>
      <c r="R971" s="135" t="s">
        <v>366</v>
      </c>
    </row>
    <row r="972" spans="1:18" x14ac:dyDescent="0.25">
      <c r="A972" s="127">
        <v>45772</v>
      </c>
      <c r="B972" s="128" t="s">
        <v>25</v>
      </c>
      <c r="C972" s="129" t="str">
        <f t="shared" si="31"/>
        <v>25.04.2025_BOYohB224</v>
      </c>
      <c r="D972" s="143">
        <f t="shared" si="32"/>
        <v>0</v>
      </c>
      <c r="E972" s="130">
        <v>1.1020156911622579E-5</v>
      </c>
      <c r="F972" s="131">
        <v>2.3963625432304419E-3</v>
      </c>
      <c r="G972" s="131">
        <v>0.46411995775850029</v>
      </c>
      <c r="H972" s="131">
        <v>4.9430576578435928E-3</v>
      </c>
      <c r="I972" s="131">
        <v>2.1380135876726261E-5</v>
      </c>
      <c r="J972" s="131">
        <v>2.9150486419375217E-3</v>
      </c>
      <c r="K972" s="132">
        <v>65.909900221122001</v>
      </c>
      <c r="L972" s="133">
        <v>6.6356117466917501</v>
      </c>
      <c r="M972" s="133">
        <v>16.938274700725501</v>
      </c>
      <c r="N972" s="133">
        <v>4.5537703463276857</v>
      </c>
      <c r="O972" s="131">
        <v>7.0871441007038503E-4</v>
      </c>
      <c r="P972" s="133">
        <v>161.77200000000002</v>
      </c>
      <c r="Q972" s="137"/>
      <c r="R972" s="135" t="s">
        <v>366</v>
      </c>
    </row>
    <row r="973" spans="1:18" x14ac:dyDescent="0.25">
      <c r="A973" s="127">
        <v>45772</v>
      </c>
      <c r="B973" s="128" t="s">
        <v>28</v>
      </c>
      <c r="C973" s="129" t="str">
        <f t="shared" si="31"/>
        <v>25.04.2025_BOYohBr</v>
      </c>
      <c r="D973" s="143">
        <f t="shared" si="32"/>
        <v>0</v>
      </c>
      <c r="E973" s="130">
        <v>3.8019890503741069E-5</v>
      </c>
      <c r="F973" s="131">
        <v>4.2654926410843376E-3</v>
      </c>
      <c r="G973" s="131">
        <v>0.36289568002457234</v>
      </c>
      <c r="H973" s="131">
        <v>5.464022322500396E-3</v>
      </c>
      <c r="I973" s="131">
        <v>2.5649158651740381E-5</v>
      </c>
      <c r="J973" s="131">
        <v>7.0122822629174316E-3</v>
      </c>
      <c r="K973" s="132">
        <v>56.212846732231597</v>
      </c>
      <c r="L973" s="133">
        <v>4.9829071048517699</v>
      </c>
      <c r="M973" s="133">
        <v>10.6656881752654</v>
      </c>
      <c r="N973" s="133">
        <v>4.7847630202187919</v>
      </c>
      <c r="O973" s="131">
        <v>5.704536060482648E-4</v>
      </c>
      <c r="P973" s="133">
        <v>136.15200000000002</v>
      </c>
      <c r="Q973" s="137"/>
      <c r="R973" s="135" t="s">
        <v>366</v>
      </c>
    </row>
    <row r="974" spans="1:18" x14ac:dyDescent="0.25">
      <c r="A974" s="127">
        <v>45772</v>
      </c>
      <c r="B974" s="128" t="s">
        <v>30</v>
      </c>
      <c r="C974" s="129" t="str">
        <f t="shared" si="31"/>
        <v>25.04.2025_BOYohKi</v>
      </c>
      <c r="D974" s="143">
        <f t="shared" si="32"/>
        <v>0</v>
      </c>
      <c r="E974" s="130">
        <v>1.8688397944726655E-5</v>
      </c>
      <c r="F974" s="131">
        <v>3.1848872109358104E-3</v>
      </c>
      <c r="G974" s="131">
        <v>0.39972051603590569</v>
      </c>
      <c r="H974" s="131">
        <v>4.9718461194631662E-3</v>
      </c>
      <c r="I974" s="131">
        <v>4.8204534459098155E-5</v>
      </c>
      <c r="J974" s="131">
        <v>3.6419771719305707E-3</v>
      </c>
      <c r="K974" s="132">
        <v>63.935102686724001</v>
      </c>
      <c r="L974" s="133">
        <v>4.88034050628639</v>
      </c>
      <c r="M974" s="133">
        <v>15.4026650600356</v>
      </c>
      <c r="N974" s="133">
        <v>4.5890844652430456</v>
      </c>
      <c r="O974" s="131">
        <v>9.6405562975591691E-4</v>
      </c>
      <c r="P974" s="133">
        <v>141.27599999999998</v>
      </c>
      <c r="Q974" s="137"/>
      <c r="R974" s="135" t="s">
        <v>366</v>
      </c>
    </row>
    <row r="975" spans="1:18" x14ac:dyDescent="0.25">
      <c r="A975" s="127">
        <v>45772</v>
      </c>
      <c r="B975" s="128" t="s">
        <v>32</v>
      </c>
      <c r="C975" s="129" t="str">
        <f t="shared" si="31"/>
        <v>25.04.2025_BOYohSp</v>
      </c>
      <c r="D975" s="143">
        <f t="shared" si="32"/>
        <v>0</v>
      </c>
      <c r="E975" s="130">
        <v>1.8504727493815143E-5</v>
      </c>
      <c r="F975" s="131">
        <v>3.0893137492598657E-3</v>
      </c>
      <c r="G975" s="131">
        <v>0.40299914026047118</v>
      </c>
      <c r="H975" s="131">
        <v>4.7569585124010248E-3</v>
      </c>
      <c r="I975" s="131">
        <v>1.4407467026909302E-5</v>
      </c>
      <c r="J975" s="131">
        <v>4.090748849188695E-3</v>
      </c>
      <c r="K975" s="132">
        <v>63.116064611558102</v>
      </c>
      <c r="L975" s="133">
        <v>4.3553951904622901</v>
      </c>
      <c r="M975" s="133">
        <v>13.6237034359599</v>
      </c>
      <c r="N975" s="133">
        <v>4.5828482366779815</v>
      </c>
      <c r="O975" s="131">
        <v>6.550435890647976E-4</v>
      </c>
      <c r="P975" s="133">
        <v>150.304</v>
      </c>
      <c r="Q975" s="137"/>
      <c r="R975" s="135" t="s">
        <v>366</v>
      </c>
    </row>
    <row r="976" spans="1:18" x14ac:dyDescent="0.25">
      <c r="A976" s="127">
        <v>45772</v>
      </c>
      <c r="B976" s="128" t="s">
        <v>34</v>
      </c>
      <c r="C976" s="129" t="str">
        <f t="shared" si="31"/>
        <v>25.04.2025_BOYuhHa</v>
      </c>
      <c r="D976" s="143">
        <f t="shared" si="32"/>
        <v>0</v>
      </c>
      <c r="E976" s="130">
        <v>1.0009972459420837E-5</v>
      </c>
      <c r="F976" s="131">
        <v>2.7197139921834612E-3</v>
      </c>
      <c r="G976" s="131">
        <v>0.38867786934738852</v>
      </c>
      <c r="H976" s="131">
        <v>3.8781500437225272E-3</v>
      </c>
      <c r="I976" s="131">
        <v>3.0807624800617465E-5</v>
      </c>
      <c r="J976" s="131">
        <v>2.401308054362796E-3</v>
      </c>
      <c r="K976" s="132">
        <v>50.8909960432687</v>
      </c>
      <c r="L976" s="133">
        <v>3.94195858485504</v>
      </c>
      <c r="M976" s="133">
        <v>12.6854431624966</v>
      </c>
      <c r="N976" s="133">
        <v>3.7311917658713849</v>
      </c>
      <c r="O976" s="131">
        <v>5.0013793985677043E-4</v>
      </c>
      <c r="P976" s="133">
        <v>135.66400000000002</v>
      </c>
      <c r="Q976" s="137"/>
      <c r="R976" s="135" t="s">
        <v>366</v>
      </c>
    </row>
    <row r="977" spans="1:18" x14ac:dyDescent="0.25">
      <c r="A977" s="127">
        <v>45772</v>
      </c>
      <c r="B977" s="128" t="s">
        <v>36</v>
      </c>
      <c r="C977" s="129" t="str">
        <f t="shared" si="31"/>
        <v>25.04.2025_BOYuhSp</v>
      </c>
      <c r="D977" s="143">
        <f t="shared" si="32"/>
        <v>0</v>
      </c>
      <c r="E977" s="130">
        <v>2.0525108265225849E-5</v>
      </c>
      <c r="F977" s="131">
        <v>2.777670425129772E-3</v>
      </c>
      <c r="G977" s="131">
        <v>0.39652463096919144</v>
      </c>
      <c r="H977" s="131">
        <v>5.033771918092741E-3</v>
      </c>
      <c r="I977" s="131">
        <v>7.0227340430227103E-5</v>
      </c>
      <c r="J977" s="131">
        <v>2.0716988740240756E-3</v>
      </c>
      <c r="K977" s="132">
        <v>60.145406664718898</v>
      </c>
      <c r="L977" s="133">
        <v>4.7479520918331302</v>
      </c>
      <c r="M977" s="133">
        <v>16.129647864166198</v>
      </c>
      <c r="N977" s="133">
        <v>4.3292151980025046</v>
      </c>
      <c r="O977" s="131">
        <v>1.1850489609164132E-3</v>
      </c>
      <c r="P977" s="133">
        <v>152.256</v>
      </c>
      <c r="Q977" s="137"/>
      <c r="R977" s="135" t="s">
        <v>366</v>
      </c>
    </row>
    <row r="978" spans="1:18" x14ac:dyDescent="0.25">
      <c r="A978" s="127">
        <v>45772</v>
      </c>
      <c r="B978" s="128" t="s">
        <v>38</v>
      </c>
      <c r="C978" s="129" t="str">
        <f t="shared" si="31"/>
        <v>25.04.2025_BRAob</v>
      </c>
      <c r="D978" s="143">
        <f t="shared" si="32"/>
        <v>0</v>
      </c>
      <c r="E978" s="130">
        <v>1.4050714948160132E-5</v>
      </c>
      <c r="F978" s="131">
        <v>1.3774727845179452E-3</v>
      </c>
      <c r="G978" s="131">
        <v>0.45586580894742235</v>
      </c>
      <c r="H978" s="131">
        <v>3.9975542773638354E-3</v>
      </c>
      <c r="I978" s="131">
        <v>1.1703808085229471E-5</v>
      </c>
      <c r="J978" s="131">
        <v>2.932872018992244E-3</v>
      </c>
      <c r="K978" s="132">
        <v>79.237107193039193</v>
      </c>
      <c r="L978" s="133">
        <v>3.4419260056138699</v>
      </c>
      <c r="M978" s="133">
        <v>12.630202750775601</v>
      </c>
      <c r="N978" s="133">
        <v>3.406169272149886</v>
      </c>
      <c r="O978" s="131">
        <v>5.8635227841731888E-4</v>
      </c>
      <c r="P978" s="133">
        <v>162.01600000000002</v>
      </c>
      <c r="Q978" s="137"/>
      <c r="R978" s="135" t="s">
        <v>366</v>
      </c>
    </row>
    <row r="979" spans="1:18" x14ac:dyDescent="0.25">
      <c r="A979" s="127">
        <v>45772</v>
      </c>
      <c r="B979" s="128" t="s">
        <v>41</v>
      </c>
      <c r="C979" s="129" t="str">
        <f t="shared" si="31"/>
        <v>25.04.2025_BRAohBo</v>
      </c>
      <c r="D979" s="143">
        <f t="shared" si="32"/>
        <v>0</v>
      </c>
      <c r="E979" s="130">
        <v>1.3407868462109029E-5</v>
      </c>
      <c r="F979" s="131">
        <v>2.0899177572038892E-3</v>
      </c>
      <c r="G979" s="131">
        <v>0.43225821183710073</v>
      </c>
      <c r="H979" s="131">
        <v>4.2724618103087428E-3</v>
      </c>
      <c r="I979" s="131">
        <v>1.2023976143381802E-5</v>
      </c>
      <c r="J979" s="131">
        <v>2.7479254434900659E-3</v>
      </c>
      <c r="K979" s="132">
        <v>72.470990487818099</v>
      </c>
      <c r="L979" s="133">
        <v>4.6212255560212796</v>
      </c>
      <c r="M979" s="133">
        <v>13.895158068073</v>
      </c>
      <c r="N979" s="133">
        <v>4.6454612588487088</v>
      </c>
      <c r="O979" s="131">
        <v>9.976054329685481E-4</v>
      </c>
      <c r="P979" s="133">
        <v>160.79600000000002</v>
      </c>
      <c r="Q979" s="137"/>
      <c r="R979" s="135" t="s">
        <v>366</v>
      </c>
    </row>
    <row r="980" spans="1:18" x14ac:dyDescent="0.25">
      <c r="A980" s="127">
        <v>45772</v>
      </c>
      <c r="B980" s="128" t="s">
        <v>43</v>
      </c>
      <c r="C980" s="129" t="str">
        <f t="shared" si="31"/>
        <v>25.04.2025_HAAob</v>
      </c>
      <c r="D980" s="143">
        <f t="shared" si="32"/>
        <v>0</v>
      </c>
      <c r="E980" s="130">
        <v>4.4539702849475913E-6</v>
      </c>
      <c r="F980" s="131">
        <v>7.7477985254961236E-4</v>
      </c>
      <c r="G980" s="131">
        <v>0.45367354097573026</v>
      </c>
      <c r="H980" s="131">
        <v>3.2797175156968755E-3</v>
      </c>
      <c r="I980" s="131">
        <v>1.3411378092806191E-5</v>
      </c>
      <c r="J980" s="131">
        <v>1.9975708471165615E-3</v>
      </c>
      <c r="K980" s="132">
        <v>68.814687543161895</v>
      </c>
      <c r="L980" s="133">
        <v>6.3368896661913103</v>
      </c>
      <c r="M980" s="133">
        <v>14.511347935627301</v>
      </c>
      <c r="N980" s="133">
        <v>3.8666223329161991</v>
      </c>
      <c r="O980" s="131">
        <v>2.5594499756752286E-4</v>
      </c>
      <c r="P980" s="133">
        <v>171.28799999999998</v>
      </c>
      <c r="Q980" s="137"/>
      <c r="R980" s="135" t="s">
        <v>366</v>
      </c>
    </row>
    <row r="981" spans="1:18" x14ac:dyDescent="0.25">
      <c r="A981" s="127">
        <v>45772</v>
      </c>
      <c r="B981" s="128" t="s">
        <v>45</v>
      </c>
      <c r="C981" s="129" t="str">
        <f t="shared" si="31"/>
        <v>25.04.2025_HAAun</v>
      </c>
      <c r="D981" s="143">
        <f t="shared" si="32"/>
        <v>0</v>
      </c>
      <c r="E981" s="130">
        <v>4.5917222006469126E-6</v>
      </c>
      <c r="F981" s="131">
        <v>1.0873755889544306E-3</v>
      </c>
      <c r="G981" s="131">
        <v>0.51706853266075314</v>
      </c>
      <c r="H981" s="131">
        <v>3.7968870509472053E-3</v>
      </c>
      <c r="I981" s="131">
        <v>9.3203330728273962E-6</v>
      </c>
      <c r="J981" s="131">
        <v>3.7868980308871023E-3</v>
      </c>
      <c r="K981" s="132">
        <v>83.401315280915</v>
      </c>
      <c r="L981" s="133">
        <v>10.919557950845901</v>
      </c>
      <c r="M981" s="133">
        <v>18.157107490110999</v>
      </c>
      <c r="N981" s="133">
        <v>5.6964332170039036</v>
      </c>
      <c r="O981" s="131">
        <v>3.7176986702495702E-4</v>
      </c>
      <c r="P981" s="133">
        <v>196.90800000000002</v>
      </c>
      <c r="Q981" s="137"/>
      <c r="R981" s="135" t="s">
        <v>366</v>
      </c>
    </row>
    <row r="982" spans="1:18" x14ac:dyDescent="0.25">
      <c r="A982" s="127">
        <v>45772</v>
      </c>
      <c r="B982" s="128" t="s">
        <v>47</v>
      </c>
      <c r="C982" s="129" t="str">
        <f t="shared" si="31"/>
        <v>25.04.2025_KIRob</v>
      </c>
      <c r="D982" s="143">
        <f t="shared" si="32"/>
        <v>0</v>
      </c>
      <c r="E982" s="130">
        <v>6.7039194499172554E-6</v>
      </c>
      <c r="F982" s="131">
        <v>1.1338734860603477E-3</v>
      </c>
      <c r="G982" s="131">
        <v>0.4074724992634165</v>
      </c>
      <c r="H982" s="131">
        <v>4.1924440267192926E-3</v>
      </c>
      <c r="I982" s="131">
        <v>7.3281846059946779E-6</v>
      </c>
      <c r="J982" s="131">
        <v>3.0077384615389154E-3</v>
      </c>
      <c r="K982" s="132">
        <v>94.071555611766101</v>
      </c>
      <c r="L982" s="133">
        <v>7.2587285543185098</v>
      </c>
      <c r="M982" s="133">
        <v>40.924810541987803</v>
      </c>
      <c r="N982" s="133">
        <v>3.7859649000947746</v>
      </c>
      <c r="O982" s="131">
        <v>5.135671137712365E-4</v>
      </c>
      <c r="P982" s="133">
        <v>181.78</v>
      </c>
      <c r="Q982" s="137"/>
      <c r="R982" s="135" t="s">
        <v>366</v>
      </c>
    </row>
    <row r="983" spans="1:18" x14ac:dyDescent="0.25">
      <c r="A983" s="127">
        <v>45772</v>
      </c>
      <c r="B983" s="128" t="s">
        <v>49</v>
      </c>
      <c r="C983" s="129" t="str">
        <f t="shared" si="31"/>
        <v>25.04.2025_KIRun</v>
      </c>
      <c r="D983" s="143">
        <f t="shared" si="32"/>
        <v>0</v>
      </c>
      <c r="E983" s="130">
        <v>5.5100684124500355E-6</v>
      </c>
      <c r="F983" s="131">
        <v>7.224066704520078E-4</v>
      </c>
      <c r="G983" s="131">
        <v>0.34922838353050656</v>
      </c>
      <c r="H983" s="131">
        <v>3.3574436024075881E-3</v>
      </c>
      <c r="I983" s="131">
        <v>7.0791665934108654E-6</v>
      </c>
      <c r="J983" s="131">
        <v>1.1704647489795175E-3</v>
      </c>
      <c r="K983" s="132">
        <v>83.474910680043294</v>
      </c>
      <c r="L983" s="133">
        <v>7.9400592570481701</v>
      </c>
      <c r="M983" s="133">
        <v>36.361593504570003</v>
      </c>
      <c r="N983" s="133">
        <v>3.9947967904475843</v>
      </c>
      <c r="O983" s="131">
        <v>3.3364217287127067E-4</v>
      </c>
      <c r="P983" s="133">
        <v>182.268</v>
      </c>
      <c r="Q983" s="137"/>
      <c r="R983" s="135" t="s">
        <v>366</v>
      </c>
    </row>
    <row r="984" spans="1:18" x14ac:dyDescent="0.25">
      <c r="A984" s="127">
        <v>45772</v>
      </c>
      <c r="B984" s="128" t="s">
        <v>50</v>
      </c>
      <c r="C984" s="129" t="str">
        <f t="shared" si="31"/>
        <v>25.04.2025_LIEohBo</v>
      </c>
      <c r="D984" s="143">
        <f t="shared" si="32"/>
        <v>0</v>
      </c>
      <c r="E984" s="130">
        <v>7.5304319255218795E-6</v>
      </c>
      <c r="F984" s="131">
        <v>1.5687093786621424E-3</v>
      </c>
      <c r="G984" s="131">
        <v>0.39714175018730924</v>
      </c>
      <c r="H984" s="131">
        <v>3.9265095249903697E-3</v>
      </c>
      <c r="I984" s="131">
        <v>3.7673809316099567E-5</v>
      </c>
      <c r="J984" s="131">
        <v>1.2348795002691472E-3</v>
      </c>
      <c r="K984" s="132">
        <v>54.2566433215625</v>
      </c>
      <c r="L984" s="133">
        <v>5.7840014881536996</v>
      </c>
      <c r="M984" s="133">
        <v>12.9130061209476</v>
      </c>
      <c r="N984" s="133">
        <v>4.6722886861426192</v>
      </c>
      <c r="O984" s="131">
        <v>3.1912099691450933E-4</v>
      </c>
      <c r="P984" s="133">
        <v>180.804</v>
      </c>
      <c r="Q984" s="137"/>
      <c r="R984" s="135" t="s">
        <v>366</v>
      </c>
    </row>
    <row r="985" spans="1:18" x14ac:dyDescent="0.25">
      <c r="A985" s="127">
        <v>45772</v>
      </c>
      <c r="B985" s="128" t="s">
        <v>53</v>
      </c>
      <c r="C985" s="129" t="str">
        <f t="shared" si="31"/>
        <v>25.04.2025_NATohBo</v>
      </c>
      <c r="D985" s="143">
        <f t="shared" si="32"/>
        <v>0</v>
      </c>
      <c r="E985" s="130">
        <v>1.1479331918203837E-5</v>
      </c>
      <c r="F985" s="131">
        <v>1.9729127482083224E-3</v>
      </c>
      <c r="G985" s="131">
        <v>0.50579364287664363</v>
      </c>
      <c r="H985" s="131">
        <v>4.0568426256157464E-3</v>
      </c>
      <c r="I985" s="131">
        <v>2.6538547038707565E-5</v>
      </c>
      <c r="J985" s="131">
        <v>3.3173524545024296E-3</v>
      </c>
      <c r="K985" s="132">
        <v>73.689054333464597</v>
      </c>
      <c r="L985" s="133">
        <v>8.8547284620061504</v>
      </c>
      <c r="M985" s="133">
        <v>26.245812867909098</v>
      </c>
      <c r="N985" s="133">
        <v>5.0464782534041737</v>
      </c>
      <c r="O985" s="131">
        <v>3.6102865015739689E-4</v>
      </c>
      <c r="P985" s="133">
        <v>189.34399999999999</v>
      </c>
      <c r="Q985" s="137"/>
      <c r="R985" s="135" t="s">
        <v>366</v>
      </c>
    </row>
    <row r="986" spans="1:18" x14ac:dyDescent="0.25">
      <c r="A986" s="127">
        <v>45772</v>
      </c>
      <c r="B986" s="128" t="s">
        <v>55</v>
      </c>
      <c r="C986" s="129" t="str">
        <f t="shared" si="31"/>
        <v>25.04.2025_QUAohBo</v>
      </c>
      <c r="D986" s="143">
        <f t="shared" si="32"/>
        <v>0</v>
      </c>
      <c r="E986" s="130">
        <v>9.0457061224385772E-6</v>
      </c>
      <c r="F986" s="131">
        <v>9.122402695035536E-3</v>
      </c>
      <c r="G986" s="131">
        <v>0.46129450993911875</v>
      </c>
      <c r="H986" s="131">
        <v>3.7244526924747876E-3</v>
      </c>
      <c r="I986" s="131">
        <v>2.3407913288766405E-5</v>
      </c>
      <c r="J986" s="131">
        <v>1.8944423316402524E-2</v>
      </c>
      <c r="K986" s="132">
        <v>75.862277580981001</v>
      </c>
      <c r="L986" s="133">
        <v>3.7327872403904698</v>
      </c>
      <c r="M986" s="133">
        <v>22.089354151975002</v>
      </c>
      <c r="N986" s="133">
        <v>3.3142509199646244</v>
      </c>
      <c r="O986" s="131">
        <v>4.1081703837590467E-4</v>
      </c>
      <c r="P986" s="133">
        <v>179.096</v>
      </c>
      <c r="Q986" s="137"/>
      <c r="R986" s="135" t="s">
        <v>366</v>
      </c>
    </row>
    <row r="987" spans="1:18" x14ac:dyDescent="0.25">
      <c r="A987" s="127">
        <v>45772</v>
      </c>
      <c r="B987" s="128" t="s">
        <v>356</v>
      </c>
      <c r="C987" s="129" t="str">
        <f t="shared" si="31"/>
        <v>25.04.2025_ROTB</v>
      </c>
      <c r="D987" s="143">
        <f t="shared" si="32"/>
        <v>0</v>
      </c>
      <c r="E987" s="130">
        <v>7.6775470219296764E-5</v>
      </c>
      <c r="F987" s="131">
        <v>2.5251896545917018E-3</v>
      </c>
      <c r="G987" s="131">
        <v>0.30954105343804444</v>
      </c>
      <c r="H987" s="131">
        <v>6.2689882052011526E-3</v>
      </c>
      <c r="I987" s="131">
        <v>1.8790186616498601E-4</v>
      </c>
      <c r="J987" s="131">
        <v>3.1227333335363445E-2</v>
      </c>
      <c r="K987" s="132">
        <v>20.948945136863099</v>
      </c>
      <c r="L987" s="133">
        <v>4.3284436374645301</v>
      </c>
      <c r="M987" s="133">
        <v>21.509144072297499</v>
      </c>
      <c r="N987" s="133">
        <v>3.0154051612475006</v>
      </c>
      <c r="O987" s="131">
        <v>2.6574403149109524E-3</v>
      </c>
      <c r="P987" s="133">
        <v>48.800000000000004</v>
      </c>
      <c r="Q987" s="137"/>
      <c r="R987" s="135" t="s">
        <v>366</v>
      </c>
    </row>
    <row r="988" spans="1:18" x14ac:dyDescent="0.25">
      <c r="A988" s="127">
        <v>45772</v>
      </c>
      <c r="B988" s="128" t="s">
        <v>57</v>
      </c>
      <c r="C988" s="129" t="str">
        <f t="shared" si="31"/>
        <v>25.04.2025_SCHohVo</v>
      </c>
      <c r="D988" s="143">
        <f t="shared" si="32"/>
        <v>0</v>
      </c>
      <c r="E988" s="130">
        <v>4.825971306877771E-5</v>
      </c>
      <c r="F988" s="131">
        <v>1.870761100208139E-3</v>
      </c>
      <c r="G988" s="131">
        <v>0.34287952196318561</v>
      </c>
      <c r="H988" s="131">
        <v>6.0414136838346875E-3</v>
      </c>
      <c r="I988" s="131">
        <v>7.115238630127371E-5</v>
      </c>
      <c r="J988" s="131">
        <v>1.3406418604841435E-2</v>
      </c>
      <c r="K988" s="132">
        <v>52.952838896362699</v>
      </c>
      <c r="L988" s="133">
        <v>3.43440575483522</v>
      </c>
      <c r="M988" s="133">
        <v>9.0521863034593899</v>
      </c>
      <c r="N988" s="133">
        <v>1.7886006043834306</v>
      </c>
      <c r="O988" s="131">
        <v>1.6160517789120714E-3</v>
      </c>
      <c r="P988" s="133">
        <v>118.584</v>
      </c>
      <c r="Q988" s="137"/>
      <c r="R988" s="135" t="s">
        <v>366</v>
      </c>
    </row>
    <row r="989" spans="1:18" x14ac:dyDescent="0.25">
      <c r="A989" s="127">
        <v>45772</v>
      </c>
      <c r="B989" s="128" t="s">
        <v>357</v>
      </c>
      <c r="C989" s="129" t="str">
        <f t="shared" si="31"/>
        <v>25.04.2025_SCHW</v>
      </c>
      <c r="D989" s="143">
        <f t="shared" si="32"/>
        <v>0</v>
      </c>
      <c r="E989" s="130">
        <v>4.7938282302136021E-5</v>
      </c>
      <c r="F989" s="131">
        <v>1.3637045402055657E-3</v>
      </c>
      <c r="G989" s="131">
        <v>0.55660186202084661</v>
      </c>
      <c r="H989" s="131">
        <v>6.3060067867855528E-3</v>
      </c>
      <c r="I989" s="131">
        <v>3.6855553209824235E-5</v>
      </c>
      <c r="J989" s="131">
        <v>7.2406525364042086E-3</v>
      </c>
      <c r="K989" s="132">
        <v>73.302068100207606</v>
      </c>
      <c r="L989" s="133">
        <v>18.345021066567401</v>
      </c>
      <c r="M989" s="133">
        <v>27.465299092114901</v>
      </c>
      <c r="N989" s="133">
        <v>7.0150644526394261</v>
      </c>
      <c r="O989" s="131">
        <v>1.2411932391921E-3</v>
      </c>
      <c r="P989" s="133">
        <v>120.536</v>
      </c>
      <c r="Q989" s="137"/>
      <c r="R989" s="135" t="s">
        <v>366</v>
      </c>
    </row>
    <row r="990" spans="1:18" x14ac:dyDescent="0.25">
      <c r="A990" s="127">
        <v>45772</v>
      </c>
      <c r="B990" s="128" t="s">
        <v>358</v>
      </c>
      <c r="C990" s="129" t="str">
        <f t="shared" si="31"/>
        <v>25.04.2025_SPE</v>
      </c>
      <c r="D990" s="143">
        <f t="shared" si="32"/>
        <v>0</v>
      </c>
      <c r="E990" s="130">
        <v>5.4275069487601509E-5</v>
      </c>
      <c r="F990" s="131">
        <v>2.1313195542955882E-3</v>
      </c>
      <c r="G990" s="131">
        <v>0.43703713688383217</v>
      </c>
      <c r="H990" s="131">
        <v>6.8267954122865106E-3</v>
      </c>
      <c r="I990" s="131">
        <v>3.3910484187960798E-4</v>
      </c>
      <c r="J990" s="131">
        <v>5.9419747614511088E-3</v>
      </c>
      <c r="K990" s="132">
        <v>50.062879127822399</v>
      </c>
      <c r="L990" s="133">
        <v>3.70642829467698</v>
      </c>
      <c r="M990" s="133">
        <v>18.757108576226901</v>
      </c>
      <c r="N990" s="133">
        <v>2.6675296729681288</v>
      </c>
      <c r="O990" s="131">
        <v>2.9784082267037657E-3</v>
      </c>
      <c r="P990" s="133">
        <v>133.22400000000002</v>
      </c>
      <c r="Q990" s="137"/>
      <c r="R990" s="135" t="s">
        <v>366</v>
      </c>
    </row>
    <row r="991" spans="1:18" x14ac:dyDescent="0.25">
      <c r="A991" s="127">
        <v>45772</v>
      </c>
      <c r="B991" s="128" t="s">
        <v>60</v>
      </c>
      <c r="C991" s="129" t="str">
        <f t="shared" si="31"/>
        <v>25.04.2025_VORohBo</v>
      </c>
      <c r="D991" s="143">
        <f t="shared" si="32"/>
        <v>0</v>
      </c>
      <c r="E991" s="130">
        <v>7.576349530749335E-6</v>
      </c>
      <c r="F991" s="131">
        <v>1.2630483964096875E-3</v>
      </c>
      <c r="G991" s="131">
        <v>0.480009656873225</v>
      </c>
      <c r="H991" s="131">
        <v>5.3072851233194069E-3</v>
      </c>
      <c r="I991" s="131">
        <v>1.2130700439787857E-5</v>
      </c>
      <c r="J991" s="131">
        <v>9.8606367402434276E-4</v>
      </c>
      <c r="K991" s="132">
        <v>90.036067030170898</v>
      </c>
      <c r="L991" s="133">
        <v>7.1975845510388998</v>
      </c>
      <c r="M991" s="133">
        <v>13.622300717750299</v>
      </c>
      <c r="N991" s="133">
        <v>3.2735666920111206</v>
      </c>
      <c r="O991" s="131">
        <v>8.9001394407888076E-4</v>
      </c>
      <c r="P991" s="133">
        <v>198.61599999999999</v>
      </c>
      <c r="Q991" s="137"/>
      <c r="R991" s="135" t="s">
        <v>366</v>
      </c>
    </row>
    <row r="992" spans="1:18" x14ac:dyDescent="0.25">
      <c r="A992" s="127">
        <v>45772</v>
      </c>
      <c r="B992" s="128" t="s">
        <v>62</v>
      </c>
      <c r="C992" s="129" t="str">
        <f t="shared" si="31"/>
        <v>25.04.2025_VORuhSc</v>
      </c>
      <c r="D992" s="143">
        <f t="shared" si="32"/>
        <v>0</v>
      </c>
      <c r="E992" s="130">
        <v>1.1984424628583071E-5</v>
      </c>
      <c r="F992" s="131">
        <v>1.3332621823164291E-3</v>
      </c>
      <c r="G992" s="131">
        <v>0.44349062403398931</v>
      </c>
      <c r="H992" s="131">
        <v>5.4748123687902257E-3</v>
      </c>
      <c r="I992" s="131">
        <v>1.3660399591707213E-5</v>
      </c>
      <c r="J992" s="131">
        <v>3.0335518757893024E-3</v>
      </c>
      <c r="K992" s="132">
        <v>82.818495472507706</v>
      </c>
      <c r="L992" s="133">
        <v>5.8142380387833201</v>
      </c>
      <c r="M992" s="133">
        <v>11.3430401770073</v>
      </c>
      <c r="N992" s="133">
        <v>2.6164677441145114</v>
      </c>
      <c r="O992" s="131">
        <v>1.0308145631630764E-3</v>
      </c>
      <c r="P992" s="133">
        <v>182.268</v>
      </c>
      <c r="Q992" s="137"/>
      <c r="R992" s="135" t="s">
        <v>366</v>
      </c>
    </row>
    <row r="993" spans="1:18" x14ac:dyDescent="0.25">
      <c r="A993" s="127">
        <v>45772</v>
      </c>
      <c r="B993" s="128" t="s">
        <v>64</v>
      </c>
      <c r="C993" s="129" t="str">
        <f t="shared" si="31"/>
        <v>25.04.2025_WITob</v>
      </c>
      <c r="D993" s="143">
        <f t="shared" si="32"/>
        <v>0</v>
      </c>
      <c r="E993" s="130">
        <v>5.2345644567681891E-6</v>
      </c>
      <c r="F993" s="131">
        <v>1.1023644488159206E-3</v>
      </c>
      <c r="G993" s="131">
        <v>0.68204702923646887</v>
      </c>
      <c r="H993" s="131">
        <v>5.3765778791620101E-3</v>
      </c>
      <c r="I993" s="131">
        <v>1.0601005172632736E-5</v>
      </c>
      <c r="J993" s="131">
        <v>1.2740707586272296E-3</v>
      </c>
      <c r="K993" s="132">
        <v>107.22688479805301</v>
      </c>
      <c r="L993" s="133">
        <v>13.4298430353205</v>
      </c>
      <c r="M993" s="133">
        <v>33.093399651930497</v>
      </c>
      <c r="N993" s="133">
        <v>4.3118876393959145</v>
      </c>
      <c r="O993" s="131">
        <v>4.6937424923990622E-4</v>
      </c>
      <c r="P993" s="133">
        <v>283.52799999999996</v>
      </c>
      <c r="Q993" s="137"/>
      <c r="R993" s="135" t="s">
        <v>366</v>
      </c>
    </row>
    <row r="994" spans="1:18" x14ac:dyDescent="0.25">
      <c r="A994" s="127">
        <v>45796</v>
      </c>
      <c r="B994" s="128" t="s">
        <v>22</v>
      </c>
      <c r="C994" s="129" t="str">
        <f t="shared" si="31"/>
        <v>19.05.2025_BOYkl</v>
      </c>
      <c r="D994" s="143">
        <f t="shared" si="32"/>
        <v>3</v>
      </c>
      <c r="E994" s="130">
        <v>2.0571027713299524E-5</v>
      </c>
      <c r="F994" s="131">
        <v>1.6677032536864421E-3</v>
      </c>
      <c r="G994" s="131">
        <v>0.38047953602457857</v>
      </c>
      <c r="H994" s="131">
        <v>4.4550653037056581E-3</v>
      </c>
      <c r="I994" s="131">
        <v>1.6933264119367174E-5</v>
      </c>
      <c r="J994" s="131">
        <v>1.28433252694673E-3</v>
      </c>
      <c r="K994" s="202"/>
      <c r="L994" s="198"/>
      <c r="M994" s="198"/>
      <c r="N994" s="133">
        <v>6.4765757318161423</v>
      </c>
      <c r="O994" s="131">
        <v>2.27731569973775E-4</v>
      </c>
      <c r="P994" s="133">
        <v>101.50399999999999</v>
      </c>
      <c r="Q994" s="137"/>
      <c r="R994" s="201" t="s">
        <v>382</v>
      </c>
    </row>
    <row r="995" spans="1:18" x14ac:dyDescent="0.25">
      <c r="A995" s="127">
        <v>45796</v>
      </c>
      <c r="B995" s="128" t="s">
        <v>25</v>
      </c>
      <c r="C995" s="129" t="str">
        <f t="shared" si="31"/>
        <v>19.05.2025_BOYohB224</v>
      </c>
      <c r="D995" s="143">
        <f t="shared" si="32"/>
        <v>3</v>
      </c>
      <c r="E995" s="130">
        <v>4.7753916315748904E-6</v>
      </c>
      <c r="F995" s="131">
        <v>1.1124595809988715E-3</v>
      </c>
      <c r="G995" s="131">
        <v>0.78441831067883805</v>
      </c>
      <c r="H995" s="131">
        <v>5.6697308648846687E-3</v>
      </c>
      <c r="I995" s="131">
        <v>6.8657232881805611E-6</v>
      </c>
      <c r="J995" s="131">
        <v>9.6240880640933763E-4</v>
      </c>
      <c r="K995" s="197"/>
      <c r="L995" s="198"/>
      <c r="M995" s="198"/>
      <c r="N995" s="133">
        <v>5.4644030884007444</v>
      </c>
      <c r="O995" s="131">
        <v>4.7790237387053988E-4</v>
      </c>
      <c r="P995" s="133">
        <v>227.16400000000002</v>
      </c>
      <c r="Q995" s="137"/>
      <c r="R995" s="201" t="s">
        <v>382</v>
      </c>
    </row>
    <row r="996" spans="1:18" x14ac:dyDescent="0.25">
      <c r="A996" s="127">
        <v>45796</v>
      </c>
      <c r="B996" s="128" t="s">
        <v>28</v>
      </c>
      <c r="C996" s="129" t="str">
        <f t="shared" si="31"/>
        <v>19.05.2025_BOYohBr</v>
      </c>
      <c r="D996" s="143">
        <f t="shared" si="32"/>
        <v>3</v>
      </c>
      <c r="E996" s="130">
        <v>1.0606900157402096E-5</v>
      </c>
      <c r="F996" s="131">
        <v>9.1547029526568326E-4</v>
      </c>
      <c r="G996" s="131">
        <v>0.47678084732617237</v>
      </c>
      <c r="H996" s="131">
        <v>4.4390267189862356E-3</v>
      </c>
      <c r="I996" s="131">
        <v>1.003181647056441E-5</v>
      </c>
      <c r="J996" s="131">
        <v>1.6486250226090318E-3</v>
      </c>
      <c r="K996" s="197"/>
      <c r="L996" s="198"/>
      <c r="M996" s="198"/>
      <c r="N996" s="133">
        <v>3.4694108881953141</v>
      </c>
      <c r="O996" s="131">
        <v>3.2000415264794689E-4</v>
      </c>
      <c r="P996" s="133">
        <v>155.916</v>
      </c>
      <c r="Q996" s="137"/>
      <c r="R996" s="201" t="s">
        <v>382</v>
      </c>
    </row>
    <row r="997" spans="1:18" x14ac:dyDescent="0.25">
      <c r="A997" s="127">
        <v>45796</v>
      </c>
      <c r="B997" s="128" t="s">
        <v>30</v>
      </c>
      <c r="C997" s="129" t="str">
        <f t="shared" si="31"/>
        <v>19.05.2025_BOYohKi</v>
      </c>
      <c r="D997" s="143">
        <f t="shared" si="32"/>
        <v>3</v>
      </c>
      <c r="E997" s="130">
        <v>4.1784667021148852E-6</v>
      </c>
      <c r="F997" s="131">
        <v>8.413767057735272E-4</v>
      </c>
      <c r="G997" s="131">
        <v>0.70587405457062002</v>
      </c>
      <c r="H997" s="131">
        <v>5.103341188140105E-3</v>
      </c>
      <c r="I997" s="131">
        <v>1.0280838948944554E-5</v>
      </c>
      <c r="J997" s="131">
        <v>1.1188767821576631E-3</v>
      </c>
      <c r="K997" s="197"/>
      <c r="L997" s="198"/>
      <c r="M997" s="198"/>
      <c r="N997" s="133">
        <v>4.0331450042463102</v>
      </c>
      <c r="O997" s="131">
        <v>5.1155122551004007E-4</v>
      </c>
      <c r="P997" s="133">
        <v>229.84799999999998</v>
      </c>
      <c r="Q997" s="137"/>
      <c r="R997" s="201" t="s">
        <v>382</v>
      </c>
    </row>
    <row r="998" spans="1:18" x14ac:dyDescent="0.25">
      <c r="A998" s="127">
        <v>45796</v>
      </c>
      <c r="B998" s="128" t="s">
        <v>32</v>
      </c>
      <c r="C998" s="129" t="str">
        <f t="shared" si="31"/>
        <v>19.05.2025_BOYohSp</v>
      </c>
      <c r="D998" s="143">
        <f t="shared" si="32"/>
        <v>3</v>
      </c>
      <c r="E998" s="130">
        <v>5.1427299105861944E-6</v>
      </c>
      <c r="F998" s="131">
        <v>1.0065438267202634E-3</v>
      </c>
      <c r="G998" s="131">
        <v>0.51423023793122324</v>
      </c>
      <c r="H998" s="131">
        <v>3.869674118731565E-3</v>
      </c>
      <c r="I998" s="131">
        <v>8.8222945823525244E-6</v>
      </c>
      <c r="J998" s="131">
        <v>1.0929407661926574E-3</v>
      </c>
      <c r="K998" s="197"/>
      <c r="L998" s="198"/>
      <c r="M998" s="198"/>
      <c r="N998" s="133">
        <v>3.6723694987402826</v>
      </c>
      <c r="O998" s="131">
        <v>3.1623835678617335E-4</v>
      </c>
      <c r="P998" s="133">
        <v>162.99200000000002</v>
      </c>
      <c r="Q998" s="137"/>
      <c r="R998" s="201" t="s">
        <v>382</v>
      </c>
    </row>
    <row r="999" spans="1:18" x14ac:dyDescent="0.25">
      <c r="A999" s="127">
        <v>45796</v>
      </c>
      <c r="B999" s="128" t="s">
        <v>34</v>
      </c>
      <c r="C999" s="129" t="str">
        <f t="shared" si="31"/>
        <v>19.05.2025_BOYuhHa</v>
      </c>
      <c r="D999" s="143">
        <f t="shared" si="32"/>
        <v>3</v>
      </c>
      <c r="E999" s="130">
        <v>4.1325495254502791E-6</v>
      </c>
      <c r="F999" s="131">
        <v>1.0397323949130214E-3</v>
      </c>
      <c r="G999" s="131">
        <v>0.77674789162334401</v>
      </c>
      <c r="H999" s="131">
        <v>5.5648003735889367E-3</v>
      </c>
      <c r="I999" s="131">
        <v>1.245086960194189E-5</v>
      </c>
      <c r="J999" s="131">
        <v>1.2040971281886573E-3</v>
      </c>
      <c r="K999" s="197"/>
      <c r="L999" s="198"/>
      <c r="M999" s="198"/>
      <c r="N999" s="133">
        <v>5.1793279648640835</v>
      </c>
      <c r="O999" s="131">
        <v>4.9472638041769151E-4</v>
      </c>
      <c r="P999" s="133">
        <v>266.44800000000004</v>
      </c>
      <c r="Q999" s="137"/>
      <c r="R999" s="201" t="s">
        <v>382</v>
      </c>
    </row>
    <row r="1000" spans="1:18" x14ac:dyDescent="0.25">
      <c r="A1000" s="127">
        <v>45796</v>
      </c>
      <c r="B1000" s="128" t="s">
        <v>36</v>
      </c>
      <c r="C1000" s="129" t="str">
        <f t="shared" si="31"/>
        <v>19.05.2025_BOYuhSp</v>
      </c>
      <c r="D1000" s="143">
        <f t="shared" si="32"/>
        <v>3</v>
      </c>
      <c r="E1000" s="130">
        <v>4.867226486321678E-6</v>
      </c>
      <c r="F1000" s="131">
        <v>9.1791720750307882E-4</v>
      </c>
      <c r="G1000" s="131">
        <v>0.53477710026116787</v>
      </c>
      <c r="H1000" s="131">
        <v>4.2039201913937861E-3</v>
      </c>
      <c r="I1000" s="131">
        <v>8.1108132016889235E-6</v>
      </c>
      <c r="J1000" s="131">
        <v>1.0618748181995925E-3</v>
      </c>
      <c r="K1000" s="197"/>
      <c r="L1000" s="198"/>
      <c r="M1000" s="198"/>
      <c r="N1000" s="133">
        <v>3.4584469367632429</v>
      </c>
      <c r="O1000" s="131">
        <v>3.8328660108853766E-4</v>
      </c>
      <c r="P1000" s="133">
        <v>184.952</v>
      </c>
      <c r="Q1000" s="137"/>
      <c r="R1000" s="201" t="s">
        <v>382</v>
      </c>
    </row>
    <row r="1001" spans="1:18" x14ac:dyDescent="0.25">
      <c r="A1001" s="127">
        <v>45796</v>
      </c>
      <c r="B1001" s="128" t="s">
        <v>38</v>
      </c>
      <c r="C1001" s="129" t="str">
        <f t="shared" si="31"/>
        <v>19.05.2025_BRAob</v>
      </c>
      <c r="D1001" s="143">
        <f t="shared" si="32"/>
        <v>3</v>
      </c>
      <c r="E1001" s="130">
        <v>4.9590611267872158E-6</v>
      </c>
      <c r="F1001" s="131">
        <v>7.3616892385697946E-4</v>
      </c>
      <c r="G1001" s="131">
        <v>0.69210906235300373</v>
      </c>
      <c r="H1001" s="131">
        <v>4.4201913172772864E-3</v>
      </c>
      <c r="I1001" s="131">
        <v>7.0080188637371922E-6</v>
      </c>
      <c r="J1001" s="131">
        <v>8.2946093154209939E-4</v>
      </c>
      <c r="K1001" s="197"/>
      <c r="L1001" s="198"/>
      <c r="M1001" s="198"/>
      <c r="N1001" s="133">
        <v>2.4218767223987081</v>
      </c>
      <c r="O1001" s="131">
        <v>3.8392215382477245E-4</v>
      </c>
      <c r="P1001" s="133">
        <v>206.42400000000001</v>
      </c>
      <c r="Q1001" s="137"/>
      <c r="R1001" s="201" t="s">
        <v>382</v>
      </c>
    </row>
    <row r="1002" spans="1:18" x14ac:dyDescent="0.25">
      <c r="A1002" s="127">
        <v>45796</v>
      </c>
      <c r="B1002" s="128" t="s">
        <v>41</v>
      </c>
      <c r="C1002" s="129" t="str">
        <f t="shared" si="31"/>
        <v>19.05.2025_BRAohBo</v>
      </c>
      <c r="D1002" s="143">
        <f t="shared" si="32"/>
        <v>3</v>
      </c>
      <c r="E1002" s="130">
        <v>4.3621359659034166E-6</v>
      </c>
      <c r="F1002" s="131">
        <v>7.9137140083836155E-4</v>
      </c>
      <c r="G1002" s="131">
        <v>0.59673827618007735</v>
      </c>
      <c r="H1002" s="131">
        <v>4.2223319675040432E-3</v>
      </c>
      <c r="I1002" s="131">
        <v>1.3269083297554582E-5</v>
      </c>
      <c r="J1002" s="131">
        <v>1.7164719161243199E-3</v>
      </c>
      <c r="K1002" s="197"/>
      <c r="L1002" s="198"/>
      <c r="M1002" s="198"/>
      <c r="N1002" s="133">
        <v>4.2088063670852272</v>
      </c>
      <c r="O1002" s="131">
        <v>4.3211785520779822E-4</v>
      </c>
      <c r="P1002" s="133">
        <v>217.404</v>
      </c>
      <c r="Q1002" s="137"/>
      <c r="R1002" s="201" t="s">
        <v>382</v>
      </c>
    </row>
    <row r="1003" spans="1:18" x14ac:dyDescent="0.25">
      <c r="A1003" s="127">
        <v>45796</v>
      </c>
      <c r="B1003" s="128" t="s">
        <v>43</v>
      </c>
      <c r="C1003" s="129" t="str">
        <f t="shared" si="31"/>
        <v>19.05.2025_HAAob</v>
      </c>
      <c r="D1003" s="143">
        <f t="shared" si="32"/>
        <v>3</v>
      </c>
      <c r="E1003" s="130">
        <v>3.4897075221807676E-6</v>
      </c>
      <c r="F1003" s="131">
        <v>8.3648319479453809E-4</v>
      </c>
      <c r="G1003" s="131">
        <v>0.5390352441057622</v>
      </c>
      <c r="H1003" s="131">
        <v>4.1912522008457093E-3</v>
      </c>
      <c r="I1003" s="131">
        <v>1.1881678534149176E-5</v>
      </c>
      <c r="J1003" s="131">
        <v>2.40572761996713E-3</v>
      </c>
      <c r="K1003" s="197"/>
      <c r="L1003" s="198"/>
      <c r="M1003" s="198"/>
      <c r="N1003" s="133">
        <v>3.2468889078340113</v>
      </c>
      <c r="O1003" s="131">
        <v>2.8406803354097111E-4</v>
      </c>
      <c r="P1003" s="133">
        <v>131.27200000000002</v>
      </c>
      <c r="Q1003" s="137"/>
      <c r="R1003" s="201" t="s">
        <v>382</v>
      </c>
    </row>
    <row r="1004" spans="1:18" x14ac:dyDescent="0.25">
      <c r="A1004" s="127">
        <v>45796</v>
      </c>
      <c r="B1004" s="128" t="s">
        <v>45</v>
      </c>
      <c r="C1004" s="129" t="str">
        <f t="shared" si="31"/>
        <v>19.05.2025_HAAun</v>
      </c>
      <c r="D1004" s="143">
        <f t="shared" si="32"/>
        <v>3</v>
      </c>
      <c r="E1004" s="130">
        <v>3.4437901826627611E-6</v>
      </c>
      <c r="F1004" s="131">
        <v>1.0362148718850107E-3</v>
      </c>
      <c r="G1004" s="131">
        <v>0.86446745327546248</v>
      </c>
      <c r="H1004" s="131">
        <v>5.6731482488265352E-3</v>
      </c>
      <c r="I1004" s="131">
        <v>6.8301492780819397E-6</v>
      </c>
      <c r="J1004" s="131">
        <v>2.6481130164020812E-3</v>
      </c>
      <c r="K1004" s="197"/>
      <c r="L1004" s="198"/>
      <c r="M1004" s="198"/>
      <c r="N1004" s="133">
        <v>5.5710267940083424</v>
      </c>
      <c r="O1004" s="131">
        <v>4.2444372131977262E-4</v>
      </c>
      <c r="P1004" s="133">
        <v>252.05199999999999</v>
      </c>
      <c r="Q1004" s="137"/>
      <c r="R1004" s="201" t="s">
        <v>382</v>
      </c>
    </row>
    <row r="1005" spans="1:18" x14ac:dyDescent="0.25">
      <c r="A1005" s="127">
        <v>45796</v>
      </c>
      <c r="B1005" s="128" t="s">
        <v>47</v>
      </c>
      <c r="C1005" s="129" t="str">
        <f t="shared" si="31"/>
        <v>19.05.2025_KIRob</v>
      </c>
      <c r="D1005" s="143">
        <f t="shared" si="32"/>
        <v>3</v>
      </c>
      <c r="E1005" s="130">
        <v>5.6937374405293156E-6</v>
      </c>
      <c r="F1005" s="131">
        <v>1.0493679412483781E-3</v>
      </c>
      <c r="G1005" s="131">
        <v>0.69077798466845164</v>
      </c>
      <c r="H1005" s="131">
        <v>5.8578231600062182E-3</v>
      </c>
      <c r="I1005" s="131">
        <v>7.0791667262215479E-6</v>
      </c>
      <c r="J1005" s="131">
        <v>1.3252340737195229E-3</v>
      </c>
      <c r="K1005" s="197"/>
      <c r="L1005" s="198"/>
      <c r="M1005" s="198"/>
      <c r="N1005" s="133">
        <v>4.7930489030180832</v>
      </c>
      <c r="O1005" s="131">
        <v>6.5518357621642813E-4</v>
      </c>
      <c r="P1005" s="133">
        <v>236.43600000000001</v>
      </c>
      <c r="Q1005" s="137"/>
      <c r="R1005" s="201" t="s">
        <v>382</v>
      </c>
    </row>
    <row r="1006" spans="1:18" x14ac:dyDescent="0.25">
      <c r="A1006" s="127">
        <v>45796</v>
      </c>
      <c r="B1006" s="128" t="s">
        <v>49</v>
      </c>
      <c r="C1006" s="129" t="str">
        <f t="shared" si="31"/>
        <v>19.05.2025_KIRun</v>
      </c>
      <c r="D1006" s="143">
        <f t="shared" si="32"/>
        <v>3</v>
      </c>
      <c r="E1006" s="130">
        <v>5.0049777591776531E-6</v>
      </c>
      <c r="F1006" s="131">
        <v>9.1608195236888353E-4</v>
      </c>
      <c r="G1006" s="131">
        <v>0.64987762682084771</v>
      </c>
      <c r="H1006" s="131">
        <v>4.9046720627708793E-3</v>
      </c>
      <c r="I1006" s="131">
        <v>5.976375061081007E-6</v>
      </c>
      <c r="J1006" s="131">
        <v>9.6924879194447216E-4</v>
      </c>
      <c r="K1006" s="197"/>
      <c r="L1006" s="198"/>
      <c r="M1006" s="198"/>
      <c r="N1006" s="133">
        <v>4.4273641927322123</v>
      </c>
      <c r="O1006" s="131">
        <v>4.6946718567460817E-4</v>
      </c>
      <c r="P1006" s="133">
        <v>234.97199999999998</v>
      </c>
      <c r="Q1006" s="137"/>
      <c r="R1006" s="201" t="s">
        <v>382</v>
      </c>
    </row>
    <row r="1007" spans="1:18" x14ac:dyDescent="0.25">
      <c r="A1007" s="127">
        <v>45796</v>
      </c>
      <c r="B1007" s="128" t="s">
        <v>50</v>
      </c>
      <c r="C1007" s="129" t="str">
        <f t="shared" ref="C1007:C1016" si="33">CONCATENATE(TEXT(A1007,"TT.MM.JJJJ"),"_",B1007)</f>
        <v>19.05.2025_LIEohBo</v>
      </c>
      <c r="D1007" s="143">
        <f t="shared" ref="D1007:D1016" si="34">COUNTBLANK(E1007:P1007)</f>
        <v>3</v>
      </c>
      <c r="E1007" s="130">
        <v>4.499887791604869E-6</v>
      </c>
      <c r="F1007" s="131">
        <v>9.7228547874748071E-4</v>
      </c>
      <c r="G1007" s="131">
        <v>0.57627203767830526</v>
      </c>
      <c r="H1007" s="131">
        <v>4.6241725208201571E-3</v>
      </c>
      <c r="I1007" s="131">
        <v>6.4744099905629807E-6</v>
      </c>
      <c r="J1007" s="131">
        <v>1.2068048655171201E-3</v>
      </c>
      <c r="K1007" s="197"/>
      <c r="L1007" s="198"/>
      <c r="M1007" s="198"/>
      <c r="N1007" s="133">
        <v>2.5788156991313755</v>
      </c>
      <c r="O1007" s="131">
        <v>3.7432756306085237E-4</v>
      </c>
      <c r="P1007" s="133">
        <v>285.23599999999999</v>
      </c>
      <c r="Q1007" s="137"/>
      <c r="R1007" s="201" t="s">
        <v>382</v>
      </c>
    </row>
    <row r="1008" spans="1:18" x14ac:dyDescent="0.25">
      <c r="A1008" s="127">
        <v>45796</v>
      </c>
      <c r="B1008" s="128" t="s">
        <v>53</v>
      </c>
      <c r="C1008" s="129" t="str">
        <f t="shared" si="33"/>
        <v>19.05.2025_NATohBo</v>
      </c>
      <c r="D1008" s="143">
        <f t="shared" si="34"/>
        <v>4</v>
      </c>
      <c r="E1008" s="130">
        <v>9.7344678908936544E-6</v>
      </c>
      <c r="F1008" s="131">
        <v>1.7286788655241575E-3</v>
      </c>
      <c r="G1008" s="131">
        <v>1.3091376686413401</v>
      </c>
      <c r="H1008" s="131">
        <v>9.0663374534271906E-3</v>
      </c>
      <c r="I1008" s="131">
        <v>4.8380116270118932E-6</v>
      </c>
      <c r="J1008" s="131">
        <v>2.2459077810568231E-3</v>
      </c>
      <c r="K1008" s="197"/>
      <c r="L1008" s="198"/>
      <c r="M1008" s="198"/>
      <c r="N1008" s="133"/>
      <c r="O1008" s="131">
        <v>7.5663620502570332E-4</v>
      </c>
      <c r="P1008" s="133">
        <v>401.62399999999997</v>
      </c>
      <c r="Q1008" s="137"/>
      <c r="R1008" s="201" t="s">
        <v>382</v>
      </c>
    </row>
    <row r="1009" spans="1:18" x14ac:dyDescent="0.25">
      <c r="A1009" s="127">
        <v>45796</v>
      </c>
      <c r="B1009" s="128" t="s">
        <v>55</v>
      </c>
      <c r="C1009" s="129" t="str">
        <f t="shared" si="33"/>
        <v>19.05.2025_QUAohBo</v>
      </c>
      <c r="D1009" s="143">
        <f t="shared" si="34"/>
        <v>3</v>
      </c>
      <c r="E1009" s="130">
        <v>4.362135601625843E-6</v>
      </c>
      <c r="F1009" s="131">
        <v>1.0213027464718498E-3</v>
      </c>
      <c r="G1009" s="131">
        <v>0.62567248040367851</v>
      </c>
      <c r="H1009" s="131">
        <v>4.095700799675083E-3</v>
      </c>
      <c r="I1009" s="131">
        <v>5.5850618215684866E-6</v>
      </c>
      <c r="J1009" s="131">
        <v>7.7859203315072103E-4</v>
      </c>
      <c r="K1009" s="197"/>
      <c r="L1009" s="198"/>
      <c r="M1009" s="198"/>
      <c r="N1009" s="133">
        <v>2.5565311368005164</v>
      </c>
      <c r="O1009" s="131">
        <v>4.3501677004182581E-4</v>
      </c>
      <c r="P1009" s="133">
        <v>241.56</v>
      </c>
      <c r="Q1009" s="137"/>
      <c r="R1009" s="201" t="s">
        <v>382</v>
      </c>
    </row>
    <row r="1010" spans="1:18" x14ac:dyDescent="0.25">
      <c r="A1010" s="127">
        <v>45796</v>
      </c>
      <c r="B1010" s="128" t="s">
        <v>356</v>
      </c>
      <c r="C1010" s="129" t="str">
        <f t="shared" si="33"/>
        <v>19.05.2025_ROTB</v>
      </c>
      <c r="D1010" s="143">
        <f t="shared" si="34"/>
        <v>3</v>
      </c>
      <c r="E1010" s="130">
        <v>1.3316033577362881E-5</v>
      </c>
      <c r="F1010" s="131">
        <v>1.1687470477590159E-3</v>
      </c>
      <c r="G1010" s="131">
        <v>0.55498072425292988</v>
      </c>
      <c r="H1010" s="131">
        <v>5.767543920214677E-3</v>
      </c>
      <c r="I1010" s="131">
        <v>1.5367978049524464E-5</v>
      </c>
      <c r="J1010" s="131">
        <v>3.4548403776555356E-3</v>
      </c>
      <c r="K1010" s="197"/>
      <c r="L1010" s="198"/>
      <c r="M1010" s="198"/>
      <c r="N1010" s="133">
        <v>6.1096085688490227</v>
      </c>
      <c r="O1010" s="131">
        <v>8.3024156521327365E-4</v>
      </c>
      <c r="P1010" s="133">
        <v>160.55200000000002</v>
      </c>
      <c r="Q1010" s="137"/>
      <c r="R1010" s="201" t="s">
        <v>382</v>
      </c>
    </row>
    <row r="1011" spans="1:18" x14ac:dyDescent="0.25">
      <c r="A1011" s="127">
        <v>45796</v>
      </c>
      <c r="B1011" s="128" t="s">
        <v>57</v>
      </c>
      <c r="C1011" s="129" t="str">
        <f t="shared" si="33"/>
        <v>19.05.2025_SCHohVo</v>
      </c>
      <c r="D1011" s="143">
        <f t="shared" si="34"/>
        <v>3</v>
      </c>
      <c r="E1011" s="130">
        <v>7.7141013178793311E-6</v>
      </c>
      <c r="F1011" s="131">
        <v>1.0742982832069358E-3</v>
      </c>
      <c r="G1011" s="131">
        <v>0.68869374352857937</v>
      </c>
      <c r="H1011" s="131">
        <v>7.8849933768045423E-3</v>
      </c>
      <c r="I1011" s="131">
        <v>1.5581425737553628E-5</v>
      </c>
      <c r="J1011" s="131">
        <v>5.857170982303499E-3</v>
      </c>
      <c r="K1011" s="197"/>
      <c r="L1011" s="198"/>
      <c r="M1011" s="198"/>
      <c r="N1011" s="133">
        <v>2.0154105431324068</v>
      </c>
      <c r="O1011" s="131">
        <v>9.2850789883240561E-4</v>
      </c>
      <c r="P1011" s="133">
        <v>240.584</v>
      </c>
      <c r="Q1011" s="137"/>
      <c r="R1011" s="201" t="s">
        <v>382</v>
      </c>
    </row>
    <row r="1012" spans="1:18" x14ac:dyDescent="0.25">
      <c r="A1012" s="127">
        <v>45796</v>
      </c>
      <c r="B1012" s="128" t="s">
        <v>357</v>
      </c>
      <c r="C1012" s="129" t="str">
        <f t="shared" si="33"/>
        <v>19.05.2025_SCHW</v>
      </c>
      <c r="D1012" s="143">
        <f t="shared" si="34"/>
        <v>3</v>
      </c>
      <c r="E1012" s="130">
        <v>1.2443600453723956E-5</v>
      </c>
      <c r="F1012" s="131">
        <v>1.1543688396449009E-3</v>
      </c>
      <c r="G1012" s="131">
        <v>0.69684099248667941</v>
      </c>
      <c r="H1012" s="131">
        <v>6.7638808907789531E-3</v>
      </c>
      <c r="I1012" s="131">
        <v>1.0743302300418432E-5</v>
      </c>
      <c r="J1012" s="131">
        <v>2.7222589015114249E-3</v>
      </c>
      <c r="K1012" s="197"/>
      <c r="L1012" s="198"/>
      <c r="M1012" s="198"/>
      <c r="N1012" s="133">
        <v>7.9055877441639959</v>
      </c>
      <c r="O1012" s="131">
        <v>8.4829600383494745E-4</v>
      </c>
      <c r="P1012" s="133">
        <v>120.292</v>
      </c>
      <c r="Q1012" s="137"/>
      <c r="R1012" s="201" t="s">
        <v>382</v>
      </c>
    </row>
    <row r="1013" spans="1:18" x14ac:dyDescent="0.25">
      <c r="A1013" s="127">
        <v>45796</v>
      </c>
      <c r="B1013" s="128" t="s">
        <v>358</v>
      </c>
      <c r="C1013" s="129" t="str">
        <f t="shared" si="33"/>
        <v>19.05.2025_SPE</v>
      </c>
      <c r="D1013" s="143">
        <f t="shared" si="34"/>
        <v>3</v>
      </c>
      <c r="E1013" s="130">
        <v>7.576349346467014E-6</v>
      </c>
      <c r="F1013" s="131">
        <v>1.4254327499612762E-3</v>
      </c>
      <c r="G1013" s="131">
        <v>0.72133147790093433</v>
      </c>
      <c r="H1013" s="131">
        <v>7.7379388367210785E-3</v>
      </c>
      <c r="I1013" s="131">
        <v>5.1477647770108436E-5</v>
      </c>
      <c r="J1013" s="131">
        <v>2.3753610060912259E-3</v>
      </c>
      <c r="K1013" s="197"/>
      <c r="L1013" s="198"/>
      <c r="M1013" s="198"/>
      <c r="N1013" s="133">
        <v>4.2791884361256818</v>
      </c>
      <c r="O1013" s="131">
        <v>1.0513048356455526E-3</v>
      </c>
      <c r="P1013" s="133">
        <v>232.53199999999998</v>
      </c>
      <c r="Q1013" s="137"/>
      <c r="R1013" s="201" t="s">
        <v>382</v>
      </c>
    </row>
    <row r="1014" spans="1:18" x14ac:dyDescent="0.25">
      <c r="A1014" s="127">
        <v>45796</v>
      </c>
      <c r="B1014" s="128" t="s">
        <v>60</v>
      </c>
      <c r="C1014" s="129" t="str">
        <f t="shared" si="33"/>
        <v>19.05.2025_VORohBo</v>
      </c>
      <c r="D1014" s="143">
        <f t="shared" si="34"/>
        <v>3</v>
      </c>
      <c r="E1014" s="130">
        <v>4.0866320916485854E-6</v>
      </c>
      <c r="F1014" s="131">
        <v>7.38080172332395E-4</v>
      </c>
      <c r="G1014" s="131">
        <v>0.91196152159527322</v>
      </c>
      <c r="H1014" s="131">
        <v>6.5402880646256382E-3</v>
      </c>
      <c r="I1014" s="131">
        <v>7.3637588900152155E-6</v>
      </c>
      <c r="J1014" s="131">
        <v>9.3975165669903918E-4</v>
      </c>
      <c r="K1014" s="197"/>
      <c r="L1014" s="198"/>
      <c r="M1014" s="198"/>
      <c r="N1014" s="133">
        <v>5.4723393231546913</v>
      </c>
      <c r="O1014" s="131">
        <v>8.1800866225314778E-4</v>
      </c>
      <c r="P1014" s="133">
        <v>277.67199999999997</v>
      </c>
      <c r="Q1014" s="137"/>
      <c r="R1014" s="201" t="s">
        <v>382</v>
      </c>
    </row>
    <row r="1015" spans="1:18" x14ac:dyDescent="0.25">
      <c r="A1015" s="127">
        <v>45796</v>
      </c>
      <c r="B1015" s="128" t="s">
        <v>62</v>
      </c>
      <c r="C1015" s="129" t="str">
        <f t="shared" si="33"/>
        <v>19.05.2025_VORuhSc</v>
      </c>
      <c r="D1015" s="143">
        <f t="shared" si="34"/>
        <v>3</v>
      </c>
      <c r="E1015" s="130">
        <v>5.555985469116863E-6</v>
      </c>
      <c r="F1015" s="131">
        <v>7.2722342279470109E-4</v>
      </c>
      <c r="G1015" s="131">
        <v>0.9862626128399129</v>
      </c>
      <c r="H1015" s="131">
        <v>7.2717244987994803E-3</v>
      </c>
      <c r="I1015" s="131">
        <v>6.7945747616441732E-6</v>
      </c>
      <c r="J1015" s="131">
        <v>1.5176394268060509E-3</v>
      </c>
      <c r="K1015" s="197"/>
      <c r="L1015" s="198"/>
      <c r="M1015" s="198"/>
      <c r="N1015" s="133">
        <v>4.3634111638913877</v>
      </c>
      <c r="O1015" s="131">
        <v>1.0251603776053316E-3</v>
      </c>
      <c r="P1015" s="133">
        <v>329.88800000000003</v>
      </c>
      <c r="Q1015" s="137"/>
      <c r="R1015" s="201" t="s">
        <v>382</v>
      </c>
    </row>
    <row r="1016" spans="1:18" x14ac:dyDescent="0.25">
      <c r="A1016" s="127">
        <v>45796</v>
      </c>
      <c r="B1016" s="128" t="s">
        <v>64</v>
      </c>
      <c r="C1016" s="129" t="str">
        <f t="shared" si="33"/>
        <v>19.05.2025_WITob</v>
      </c>
      <c r="D1016" s="143">
        <f t="shared" si="34"/>
        <v>3</v>
      </c>
      <c r="E1016" s="130">
        <v>4.0407147649874074E-6</v>
      </c>
      <c r="F1016" s="131">
        <v>1.3475652600497474E-3</v>
      </c>
      <c r="G1016" s="131">
        <v>1.0897205232894969</v>
      </c>
      <c r="H1016" s="131">
        <v>7.508143601615367E-3</v>
      </c>
      <c r="I1016" s="131">
        <v>4.3755531231048029E-6</v>
      </c>
      <c r="J1016" s="131">
        <v>1.5360257895524801E-3</v>
      </c>
      <c r="K1016" s="197"/>
      <c r="L1016" s="198"/>
      <c r="M1016" s="198"/>
      <c r="N1016" s="133">
        <v>5.3558609489051499</v>
      </c>
      <c r="O1016" s="131">
        <v>5.0562732475200114E-4</v>
      </c>
      <c r="P1016" s="133">
        <v>325.49600000000004</v>
      </c>
      <c r="Q1016" s="137"/>
      <c r="R1016" s="201" t="s">
        <v>382</v>
      </c>
    </row>
    <row r="1017" spans="1:18" x14ac:dyDescent="0.25">
      <c r="A1017" s="36"/>
    </row>
    <row r="1018" spans="1:18" x14ac:dyDescent="0.25">
      <c r="A1018" s="36"/>
    </row>
    <row r="1019" spans="1:18" x14ac:dyDescent="0.25">
      <c r="A1019" s="36"/>
    </row>
    <row r="1020" spans="1:18" x14ac:dyDescent="0.25">
      <c r="A1020" s="36"/>
    </row>
    <row r="1021" spans="1:18" x14ac:dyDescent="0.25">
      <c r="A1021" s="36"/>
    </row>
    <row r="1022" spans="1:18" x14ac:dyDescent="0.25">
      <c r="A1022" s="36"/>
    </row>
    <row r="1023" spans="1:18" x14ac:dyDescent="0.25">
      <c r="A1023" s="36"/>
    </row>
    <row r="1024" spans="1:18" x14ac:dyDescent="0.25">
      <c r="A1024" s="36"/>
    </row>
    <row r="1025" spans="1:1" x14ac:dyDescent="0.25">
      <c r="A1025" s="36"/>
    </row>
    <row r="1026" spans="1:1" x14ac:dyDescent="0.25">
      <c r="A1026" s="36"/>
    </row>
    <row r="1027" spans="1:1" x14ac:dyDescent="0.25">
      <c r="A1027" s="36"/>
    </row>
    <row r="1028" spans="1:1" x14ac:dyDescent="0.25">
      <c r="A1028" s="36"/>
    </row>
    <row r="1029" spans="1:1" x14ac:dyDescent="0.25">
      <c r="A1029" s="36"/>
    </row>
    <row r="1030" spans="1:1" x14ac:dyDescent="0.25">
      <c r="A1030" s="36"/>
    </row>
    <row r="1031" spans="1:1" x14ac:dyDescent="0.25">
      <c r="A1031" s="36"/>
    </row>
    <row r="1032" spans="1:1" x14ac:dyDescent="0.25">
      <c r="A1032" s="36"/>
    </row>
    <row r="1033" spans="1:1" x14ac:dyDescent="0.25">
      <c r="A1033" s="36"/>
    </row>
    <row r="1034" spans="1:1" x14ac:dyDescent="0.25">
      <c r="A1034" s="36"/>
    </row>
    <row r="1035" spans="1:1" x14ac:dyDescent="0.25">
      <c r="A1035" s="36"/>
    </row>
    <row r="1036" spans="1:1" x14ac:dyDescent="0.25">
      <c r="A1036" s="36"/>
    </row>
    <row r="1037" spans="1:1" x14ac:dyDescent="0.25">
      <c r="A1037" s="36"/>
    </row>
    <row r="1038" spans="1:1" x14ac:dyDescent="0.25">
      <c r="A1038" s="36"/>
    </row>
    <row r="1039" spans="1:1" x14ac:dyDescent="0.25">
      <c r="A1039" s="36"/>
    </row>
    <row r="1040" spans="1:1" x14ac:dyDescent="0.25">
      <c r="A1040" s="36"/>
    </row>
    <row r="1041" spans="1:1" x14ac:dyDescent="0.25">
      <c r="A1041" s="36"/>
    </row>
    <row r="1042" spans="1:1" x14ac:dyDescent="0.25">
      <c r="A1042" s="36"/>
    </row>
    <row r="1043" spans="1:1" x14ac:dyDescent="0.25">
      <c r="A1043" s="36"/>
    </row>
    <row r="1044" spans="1:1" x14ac:dyDescent="0.25">
      <c r="A1044" s="36"/>
    </row>
    <row r="1045" spans="1:1" x14ac:dyDescent="0.25">
      <c r="A1045" s="36"/>
    </row>
    <row r="1046" spans="1:1" x14ac:dyDescent="0.25">
      <c r="A1046" s="36"/>
    </row>
    <row r="1047" spans="1:1" x14ac:dyDescent="0.25">
      <c r="A1047" s="36"/>
    </row>
    <row r="1048" spans="1:1" x14ac:dyDescent="0.25">
      <c r="A1048" s="36"/>
    </row>
    <row r="1049" spans="1:1" x14ac:dyDescent="0.25">
      <c r="A1049" s="36"/>
    </row>
    <row r="1050" spans="1:1" x14ac:dyDescent="0.25">
      <c r="A1050" s="36"/>
    </row>
    <row r="1051" spans="1:1" x14ac:dyDescent="0.25">
      <c r="A1051" s="36"/>
    </row>
    <row r="1052" spans="1:1" x14ac:dyDescent="0.25">
      <c r="A1052" s="36"/>
    </row>
    <row r="1053" spans="1:1" x14ac:dyDescent="0.25">
      <c r="A1053" s="36"/>
    </row>
    <row r="1054" spans="1:1" x14ac:dyDescent="0.25">
      <c r="A1054" s="36"/>
    </row>
    <row r="1055" spans="1:1" x14ac:dyDescent="0.25">
      <c r="A1055" s="36"/>
    </row>
    <row r="1056" spans="1:1" x14ac:dyDescent="0.25">
      <c r="A1056" s="36"/>
    </row>
    <row r="1057" spans="1:1" x14ac:dyDescent="0.25">
      <c r="A1057" s="36"/>
    </row>
    <row r="1058" spans="1:1" x14ac:dyDescent="0.25">
      <c r="A1058" s="36"/>
    </row>
    <row r="1059" spans="1:1" x14ac:dyDescent="0.25">
      <c r="A1059" s="36"/>
    </row>
    <row r="1060" spans="1:1" x14ac:dyDescent="0.25">
      <c r="A1060" s="36"/>
    </row>
    <row r="1061" spans="1:1" x14ac:dyDescent="0.25">
      <c r="A1061" s="36"/>
    </row>
    <row r="1062" spans="1:1" x14ac:dyDescent="0.25">
      <c r="A1062" s="36"/>
    </row>
    <row r="1063" spans="1:1" x14ac:dyDescent="0.25">
      <c r="A1063" s="36"/>
    </row>
    <row r="1064" spans="1:1" x14ac:dyDescent="0.25">
      <c r="A1064" s="36"/>
    </row>
    <row r="1065" spans="1:1" x14ac:dyDescent="0.25">
      <c r="A1065" s="36"/>
    </row>
    <row r="1066" spans="1:1" x14ac:dyDescent="0.25">
      <c r="A1066" s="36"/>
    </row>
    <row r="1067" spans="1:1" x14ac:dyDescent="0.25">
      <c r="A1067" s="36"/>
    </row>
    <row r="1068" spans="1:1" x14ac:dyDescent="0.25">
      <c r="A1068" s="36"/>
    </row>
    <row r="1069" spans="1:1" x14ac:dyDescent="0.25">
      <c r="A1069" s="36"/>
    </row>
    <row r="1070" spans="1:1" x14ac:dyDescent="0.25">
      <c r="A1070" s="36"/>
    </row>
    <row r="1071" spans="1:1" x14ac:dyDescent="0.25">
      <c r="A1071" s="36"/>
    </row>
    <row r="1072" spans="1:1" x14ac:dyDescent="0.25">
      <c r="A1072" s="36"/>
    </row>
    <row r="1073" spans="1:1" x14ac:dyDescent="0.25">
      <c r="A1073" s="36"/>
    </row>
    <row r="1074" spans="1:1" x14ac:dyDescent="0.25">
      <c r="A1074" s="36"/>
    </row>
    <row r="1075" spans="1:1" x14ac:dyDescent="0.25">
      <c r="A1075" s="36"/>
    </row>
    <row r="1076" spans="1:1" x14ac:dyDescent="0.25">
      <c r="A1076" s="36"/>
    </row>
    <row r="1077" spans="1:1" x14ac:dyDescent="0.25">
      <c r="A1077" s="36"/>
    </row>
    <row r="1078" spans="1:1" x14ac:dyDescent="0.25">
      <c r="A1078" s="36"/>
    </row>
    <row r="1079" spans="1:1" x14ac:dyDescent="0.25">
      <c r="A1079" s="36"/>
    </row>
    <row r="1080" spans="1:1" x14ac:dyDescent="0.25">
      <c r="A1080" s="36"/>
    </row>
    <row r="1081" spans="1:1" x14ac:dyDescent="0.25">
      <c r="A1081" s="36"/>
    </row>
    <row r="1082" spans="1:1" x14ac:dyDescent="0.25">
      <c r="A1082" s="36"/>
    </row>
    <row r="1083" spans="1:1" x14ac:dyDescent="0.25">
      <c r="A1083" s="36"/>
    </row>
    <row r="1084" spans="1:1" x14ac:dyDescent="0.25">
      <c r="A1084" s="36"/>
    </row>
    <row r="1085" spans="1:1" x14ac:dyDescent="0.25">
      <c r="A1085" s="36"/>
    </row>
    <row r="1086" spans="1:1" x14ac:dyDescent="0.25">
      <c r="A1086" s="36"/>
    </row>
    <row r="1087" spans="1:1" x14ac:dyDescent="0.25">
      <c r="A1087" s="36"/>
    </row>
    <row r="1088" spans="1:1" x14ac:dyDescent="0.25">
      <c r="A1088" s="36"/>
    </row>
    <row r="1089" spans="1:1" x14ac:dyDescent="0.25">
      <c r="A1089" s="36"/>
    </row>
    <row r="1090" spans="1:1" x14ac:dyDescent="0.25">
      <c r="A1090" s="36"/>
    </row>
    <row r="1091" spans="1:1" x14ac:dyDescent="0.25">
      <c r="A1091" s="36"/>
    </row>
    <row r="1092" spans="1:1" x14ac:dyDescent="0.25">
      <c r="A1092" s="36"/>
    </row>
    <row r="1093" spans="1:1" x14ac:dyDescent="0.25">
      <c r="A1093" s="36"/>
    </row>
    <row r="1094" spans="1:1" x14ac:dyDescent="0.25">
      <c r="A1094" s="36"/>
    </row>
    <row r="1095" spans="1:1" x14ac:dyDescent="0.25">
      <c r="A1095" s="36"/>
    </row>
    <row r="1096" spans="1:1" x14ac:dyDescent="0.25">
      <c r="A1096" s="36"/>
    </row>
    <row r="1097" spans="1:1" x14ac:dyDescent="0.25">
      <c r="A1097" s="36"/>
    </row>
    <row r="1098" spans="1:1" x14ac:dyDescent="0.25">
      <c r="A1098" s="36"/>
    </row>
    <row r="1099" spans="1:1" x14ac:dyDescent="0.25">
      <c r="A1099" s="36"/>
    </row>
    <row r="1100" spans="1:1" x14ac:dyDescent="0.25">
      <c r="A1100" s="36"/>
    </row>
    <row r="1101" spans="1:1" x14ac:dyDescent="0.25">
      <c r="A1101" s="36"/>
    </row>
    <row r="1102" spans="1:1" x14ac:dyDescent="0.25">
      <c r="A1102" s="36"/>
    </row>
    <row r="1103" spans="1:1" x14ac:dyDescent="0.25">
      <c r="A1103" s="36"/>
    </row>
    <row r="1104" spans="1:1" x14ac:dyDescent="0.25">
      <c r="A1104" s="36"/>
    </row>
    <row r="1105" spans="1:1" x14ac:dyDescent="0.25">
      <c r="A1105" s="36"/>
    </row>
    <row r="1106" spans="1:1" x14ac:dyDescent="0.25">
      <c r="A1106" s="36"/>
    </row>
    <row r="1107" spans="1:1" x14ac:dyDescent="0.25">
      <c r="A1107" s="36"/>
    </row>
    <row r="1108" spans="1:1" x14ac:dyDescent="0.25">
      <c r="A1108" s="36"/>
    </row>
    <row r="1109" spans="1:1" x14ac:dyDescent="0.25">
      <c r="A1109" s="36"/>
    </row>
    <row r="1110" spans="1:1" x14ac:dyDescent="0.25">
      <c r="A1110" s="36"/>
    </row>
    <row r="1111" spans="1:1" x14ac:dyDescent="0.25">
      <c r="A1111" s="36"/>
    </row>
    <row r="1112" spans="1:1" x14ac:dyDescent="0.25">
      <c r="A1112" s="36"/>
    </row>
    <row r="1113" spans="1:1" x14ac:dyDescent="0.25">
      <c r="A1113" s="36"/>
    </row>
    <row r="1114" spans="1:1" x14ac:dyDescent="0.25">
      <c r="A1114" s="36"/>
    </row>
    <row r="1115" spans="1:1" x14ac:dyDescent="0.25">
      <c r="A1115" s="36"/>
    </row>
    <row r="1116" spans="1:1" x14ac:dyDescent="0.25">
      <c r="A1116" s="36"/>
    </row>
    <row r="1117" spans="1:1" x14ac:dyDescent="0.25">
      <c r="A1117" s="36"/>
    </row>
    <row r="1118" spans="1:1" x14ac:dyDescent="0.25">
      <c r="A1118" s="36"/>
    </row>
    <row r="1119" spans="1:1" x14ac:dyDescent="0.25">
      <c r="A1119" s="36"/>
    </row>
    <row r="1120" spans="1:1" x14ac:dyDescent="0.25">
      <c r="A1120" s="36"/>
    </row>
    <row r="1121" spans="1:1" x14ac:dyDescent="0.25">
      <c r="A1121" s="36"/>
    </row>
    <row r="1122" spans="1:1" x14ac:dyDescent="0.25">
      <c r="A1122" s="36"/>
    </row>
    <row r="1123" spans="1:1" x14ac:dyDescent="0.25">
      <c r="A1123" s="36"/>
    </row>
    <row r="1124" spans="1:1" x14ac:dyDescent="0.25">
      <c r="A1124" s="36"/>
    </row>
    <row r="1125" spans="1:1" x14ac:dyDescent="0.25">
      <c r="A1125" s="36"/>
    </row>
    <row r="1126" spans="1:1" x14ac:dyDescent="0.25">
      <c r="A1126" s="36"/>
    </row>
    <row r="1127" spans="1:1" x14ac:dyDescent="0.25">
      <c r="A1127" s="36"/>
    </row>
    <row r="1128" spans="1:1" x14ac:dyDescent="0.25">
      <c r="A1128" s="36"/>
    </row>
    <row r="1129" spans="1:1" x14ac:dyDescent="0.25">
      <c r="A1129" s="36"/>
    </row>
    <row r="1130" spans="1:1" x14ac:dyDescent="0.25">
      <c r="A1130" s="36"/>
    </row>
    <row r="1131" spans="1:1" x14ac:dyDescent="0.25">
      <c r="A1131" s="36"/>
    </row>
    <row r="1132" spans="1:1" x14ac:dyDescent="0.25">
      <c r="A1132" s="36"/>
    </row>
    <row r="1133" spans="1:1" x14ac:dyDescent="0.25">
      <c r="A1133" s="36"/>
    </row>
    <row r="1134" spans="1:1" x14ac:dyDescent="0.25">
      <c r="A1134" s="36"/>
    </row>
    <row r="1135" spans="1:1" x14ac:dyDescent="0.25">
      <c r="A1135" s="36"/>
    </row>
    <row r="1136" spans="1:1" x14ac:dyDescent="0.25">
      <c r="A1136" s="36"/>
    </row>
    <row r="1137" spans="1:1" x14ac:dyDescent="0.25">
      <c r="A1137" s="36"/>
    </row>
    <row r="1138" spans="1:1" x14ac:dyDescent="0.25">
      <c r="A1138" s="36"/>
    </row>
    <row r="1139" spans="1:1" x14ac:dyDescent="0.25">
      <c r="A1139" s="36"/>
    </row>
    <row r="1140" spans="1:1" x14ac:dyDescent="0.25">
      <c r="A1140" s="36"/>
    </row>
    <row r="1141" spans="1:1" x14ac:dyDescent="0.25">
      <c r="A1141" s="36"/>
    </row>
    <row r="1142" spans="1:1" x14ac:dyDescent="0.25">
      <c r="A1142" s="36"/>
    </row>
    <row r="1143" spans="1:1" x14ac:dyDescent="0.25">
      <c r="A1143" s="36"/>
    </row>
    <row r="1144" spans="1:1" x14ac:dyDescent="0.25">
      <c r="A1144" s="36"/>
    </row>
    <row r="1145" spans="1:1" x14ac:dyDescent="0.25">
      <c r="A1145" s="36"/>
    </row>
    <row r="1146" spans="1:1" x14ac:dyDescent="0.25">
      <c r="A1146" s="36"/>
    </row>
    <row r="1147" spans="1:1" x14ac:dyDescent="0.25">
      <c r="A1147" s="36"/>
    </row>
    <row r="1148" spans="1:1" x14ac:dyDescent="0.25">
      <c r="A1148" s="36"/>
    </row>
    <row r="1149" spans="1:1" x14ac:dyDescent="0.25">
      <c r="A1149" s="36"/>
    </row>
    <row r="1150" spans="1:1" x14ac:dyDescent="0.25">
      <c r="A1150" s="36"/>
    </row>
    <row r="1151" spans="1:1" x14ac:dyDescent="0.25">
      <c r="A1151" s="36"/>
    </row>
    <row r="1152" spans="1:1" x14ac:dyDescent="0.25">
      <c r="A1152" s="36"/>
    </row>
    <row r="1153" spans="1:1" x14ac:dyDescent="0.25">
      <c r="A1153" s="36"/>
    </row>
    <row r="1154" spans="1:1" x14ac:dyDescent="0.25">
      <c r="A1154" s="36"/>
    </row>
    <row r="1155" spans="1:1" x14ac:dyDescent="0.25">
      <c r="A1155" s="36"/>
    </row>
    <row r="1156" spans="1:1" x14ac:dyDescent="0.25">
      <c r="A1156" s="36"/>
    </row>
    <row r="1157" spans="1:1" x14ac:dyDescent="0.25">
      <c r="A1157" s="36"/>
    </row>
    <row r="1158" spans="1:1" x14ac:dyDescent="0.25">
      <c r="A1158" s="36"/>
    </row>
    <row r="1159" spans="1:1" x14ac:dyDescent="0.25">
      <c r="A1159" s="36"/>
    </row>
    <row r="1160" spans="1:1" x14ac:dyDescent="0.25">
      <c r="A1160" s="36"/>
    </row>
    <row r="1161" spans="1:1" x14ac:dyDescent="0.25">
      <c r="A1161" s="36"/>
    </row>
    <row r="1162" spans="1:1" x14ac:dyDescent="0.25">
      <c r="A1162" s="36"/>
    </row>
    <row r="1163" spans="1:1" x14ac:dyDescent="0.25">
      <c r="A1163" s="36"/>
    </row>
    <row r="1164" spans="1:1" x14ac:dyDescent="0.25">
      <c r="A1164" s="36"/>
    </row>
    <row r="1165" spans="1:1" x14ac:dyDescent="0.25">
      <c r="A1165" s="36"/>
    </row>
    <row r="1166" spans="1:1" x14ac:dyDescent="0.25">
      <c r="A1166" s="36"/>
    </row>
    <row r="1167" spans="1:1" x14ac:dyDescent="0.25">
      <c r="A1167" s="36"/>
    </row>
    <row r="1168" spans="1:1" x14ac:dyDescent="0.25">
      <c r="A1168" s="36"/>
    </row>
    <row r="1169" spans="1:1" x14ac:dyDescent="0.25">
      <c r="A1169" s="36"/>
    </row>
    <row r="1170" spans="1:1" x14ac:dyDescent="0.25">
      <c r="A1170" s="36"/>
    </row>
    <row r="1171" spans="1:1" x14ac:dyDescent="0.25">
      <c r="A1171" s="36"/>
    </row>
    <row r="1172" spans="1:1" x14ac:dyDescent="0.25">
      <c r="A1172" s="36"/>
    </row>
    <row r="1173" spans="1:1" x14ac:dyDescent="0.25">
      <c r="A1173" s="36"/>
    </row>
    <row r="1174" spans="1:1" x14ac:dyDescent="0.25">
      <c r="A1174" s="36"/>
    </row>
    <row r="1175" spans="1:1" x14ac:dyDescent="0.25">
      <c r="A1175" s="36"/>
    </row>
    <row r="1176" spans="1:1" x14ac:dyDescent="0.25">
      <c r="A1176" s="36"/>
    </row>
    <row r="1177" spans="1:1" x14ac:dyDescent="0.25">
      <c r="A1177" s="36"/>
    </row>
    <row r="1178" spans="1:1" x14ac:dyDescent="0.25">
      <c r="A1178" s="36"/>
    </row>
    <row r="1179" spans="1:1" x14ac:dyDescent="0.25">
      <c r="A1179" s="36"/>
    </row>
    <row r="1180" spans="1:1" x14ac:dyDescent="0.25">
      <c r="A1180" s="36"/>
    </row>
    <row r="1181" spans="1:1" x14ac:dyDescent="0.25">
      <c r="A1181" s="36"/>
    </row>
    <row r="1182" spans="1:1" x14ac:dyDescent="0.25">
      <c r="A1182" s="36"/>
    </row>
    <row r="1183" spans="1:1" x14ac:dyDescent="0.25">
      <c r="A1183" s="36"/>
    </row>
    <row r="1184" spans="1:1" x14ac:dyDescent="0.25">
      <c r="A1184" s="36"/>
    </row>
    <row r="1185" spans="1:1" x14ac:dyDescent="0.25">
      <c r="A1185" s="36"/>
    </row>
    <row r="1186" spans="1:1" x14ac:dyDescent="0.25">
      <c r="A1186" s="36"/>
    </row>
    <row r="1187" spans="1:1" x14ac:dyDescent="0.25">
      <c r="A1187" s="36"/>
    </row>
    <row r="1188" spans="1:1" x14ac:dyDescent="0.25">
      <c r="A1188" s="36"/>
    </row>
    <row r="1189" spans="1:1" x14ac:dyDescent="0.25">
      <c r="A1189" s="36"/>
    </row>
    <row r="1190" spans="1:1" x14ac:dyDescent="0.25">
      <c r="A1190" s="36"/>
    </row>
    <row r="1191" spans="1:1" x14ac:dyDescent="0.25">
      <c r="A1191" s="36"/>
    </row>
    <row r="1192" spans="1:1" x14ac:dyDescent="0.25">
      <c r="A1192" s="36"/>
    </row>
    <row r="1193" spans="1:1" x14ac:dyDescent="0.25">
      <c r="A1193" s="36"/>
    </row>
    <row r="1194" spans="1:1" x14ac:dyDescent="0.25">
      <c r="A1194" s="36"/>
    </row>
    <row r="1195" spans="1:1" x14ac:dyDescent="0.25">
      <c r="A1195" s="36"/>
    </row>
    <row r="1196" spans="1:1" x14ac:dyDescent="0.25">
      <c r="A1196" s="36"/>
    </row>
    <row r="1197" spans="1:1" x14ac:dyDescent="0.25">
      <c r="A1197" s="36"/>
    </row>
    <row r="1198" spans="1:1" x14ac:dyDescent="0.25">
      <c r="A1198" s="36"/>
    </row>
    <row r="1199" spans="1:1" x14ac:dyDescent="0.25">
      <c r="A1199" s="36"/>
    </row>
    <row r="1200" spans="1:1" x14ac:dyDescent="0.25">
      <c r="A1200" s="36"/>
    </row>
    <row r="1201" spans="1:1" x14ac:dyDescent="0.25">
      <c r="A1201" s="36"/>
    </row>
    <row r="1202" spans="1:1" x14ac:dyDescent="0.25">
      <c r="A1202" s="36"/>
    </row>
    <row r="1203" spans="1:1" x14ac:dyDescent="0.25">
      <c r="A1203" s="36"/>
    </row>
    <row r="1204" spans="1:1" x14ac:dyDescent="0.25">
      <c r="A1204" s="36"/>
    </row>
    <row r="1205" spans="1:1" x14ac:dyDescent="0.25">
      <c r="A1205" s="36"/>
    </row>
    <row r="1206" spans="1:1" x14ac:dyDescent="0.25">
      <c r="A1206" s="36"/>
    </row>
    <row r="1207" spans="1:1" x14ac:dyDescent="0.25">
      <c r="A1207" s="36"/>
    </row>
    <row r="1208" spans="1:1" x14ac:dyDescent="0.25">
      <c r="A1208" s="36"/>
    </row>
    <row r="1209" spans="1:1" x14ac:dyDescent="0.25">
      <c r="A1209" s="36"/>
    </row>
    <row r="1210" spans="1:1" x14ac:dyDescent="0.25">
      <c r="A1210" s="36"/>
    </row>
    <row r="1211" spans="1:1" x14ac:dyDescent="0.25">
      <c r="A1211" s="36"/>
    </row>
    <row r="1212" spans="1:1" x14ac:dyDescent="0.25">
      <c r="A1212" s="36"/>
    </row>
    <row r="1213" spans="1:1" x14ac:dyDescent="0.25">
      <c r="A1213" s="36"/>
    </row>
    <row r="1214" spans="1:1" x14ac:dyDescent="0.25">
      <c r="A1214" s="36"/>
    </row>
    <row r="1215" spans="1:1" x14ac:dyDescent="0.25">
      <c r="A1215" s="36"/>
    </row>
    <row r="1216" spans="1:1" x14ac:dyDescent="0.25">
      <c r="A1216" s="36"/>
    </row>
    <row r="1217" spans="1:1" x14ac:dyDescent="0.25">
      <c r="A1217" s="36"/>
    </row>
    <row r="1218" spans="1:1" x14ac:dyDescent="0.25">
      <c r="A1218" s="36"/>
    </row>
    <row r="1219" spans="1:1" x14ac:dyDescent="0.25">
      <c r="A1219" s="36"/>
    </row>
    <row r="1220" spans="1:1" x14ac:dyDescent="0.25">
      <c r="A1220" s="36"/>
    </row>
    <row r="1221" spans="1:1" x14ac:dyDescent="0.25">
      <c r="A1221" s="36"/>
    </row>
    <row r="1222" spans="1:1" x14ac:dyDescent="0.25">
      <c r="A1222" s="36"/>
    </row>
    <row r="1223" spans="1:1" x14ac:dyDescent="0.25">
      <c r="A1223" s="36"/>
    </row>
    <row r="1224" spans="1:1" x14ac:dyDescent="0.25">
      <c r="A1224" s="36"/>
    </row>
    <row r="1225" spans="1:1" x14ac:dyDescent="0.25">
      <c r="A1225" s="36"/>
    </row>
    <row r="1226" spans="1:1" x14ac:dyDescent="0.25">
      <c r="A1226" s="36"/>
    </row>
    <row r="1227" spans="1:1" x14ac:dyDescent="0.25">
      <c r="A1227" s="36"/>
    </row>
    <row r="1228" spans="1:1" x14ac:dyDescent="0.25">
      <c r="A1228" s="36"/>
    </row>
    <row r="1229" spans="1:1" x14ac:dyDescent="0.25">
      <c r="A1229" s="36"/>
    </row>
    <row r="1230" spans="1:1" x14ac:dyDescent="0.25">
      <c r="A1230" s="36"/>
    </row>
    <row r="1231" spans="1:1" x14ac:dyDescent="0.25">
      <c r="A1231" s="36"/>
    </row>
    <row r="1232" spans="1:1" x14ac:dyDescent="0.25">
      <c r="A1232" s="36"/>
    </row>
    <row r="1233" spans="1:1" x14ac:dyDescent="0.25">
      <c r="A1233" s="36"/>
    </row>
    <row r="1234" spans="1:1" x14ac:dyDescent="0.25">
      <c r="A1234" s="36"/>
    </row>
    <row r="1235" spans="1:1" x14ac:dyDescent="0.25">
      <c r="A1235" s="36"/>
    </row>
    <row r="1236" spans="1:1" x14ac:dyDescent="0.25">
      <c r="A1236" s="36"/>
    </row>
    <row r="1237" spans="1:1" x14ac:dyDescent="0.25">
      <c r="A1237" s="36"/>
    </row>
    <row r="1238" spans="1:1" x14ac:dyDescent="0.25">
      <c r="A1238" s="36"/>
    </row>
    <row r="1239" spans="1:1" x14ac:dyDescent="0.25">
      <c r="A1239" s="36"/>
    </row>
    <row r="1240" spans="1:1" x14ac:dyDescent="0.25">
      <c r="A1240" s="36"/>
    </row>
    <row r="1241" spans="1:1" x14ac:dyDescent="0.25">
      <c r="A1241" s="36"/>
    </row>
    <row r="1242" spans="1:1" x14ac:dyDescent="0.25">
      <c r="A1242" s="36"/>
    </row>
    <row r="1243" spans="1:1" x14ac:dyDescent="0.25">
      <c r="A1243" s="36"/>
    </row>
    <row r="1244" spans="1:1" x14ac:dyDescent="0.25">
      <c r="A1244" s="36"/>
    </row>
    <row r="1245" spans="1:1" x14ac:dyDescent="0.25">
      <c r="A1245" s="36"/>
    </row>
    <row r="1246" spans="1:1" x14ac:dyDescent="0.25">
      <c r="A1246" s="36"/>
    </row>
    <row r="1247" spans="1:1" x14ac:dyDescent="0.25">
      <c r="A1247" s="36"/>
    </row>
    <row r="1248" spans="1:1" x14ac:dyDescent="0.25">
      <c r="A1248" s="36"/>
    </row>
    <row r="1249" spans="1:1" x14ac:dyDescent="0.25">
      <c r="A1249" s="36"/>
    </row>
    <row r="1250" spans="1:1" x14ac:dyDescent="0.25">
      <c r="A1250" s="36"/>
    </row>
    <row r="1251" spans="1:1" x14ac:dyDescent="0.25">
      <c r="A1251" s="36"/>
    </row>
    <row r="1252" spans="1:1" x14ac:dyDescent="0.25">
      <c r="A1252" s="36"/>
    </row>
    <row r="1253" spans="1:1" x14ac:dyDescent="0.25">
      <c r="A1253" s="36"/>
    </row>
    <row r="1254" spans="1:1" x14ac:dyDescent="0.25">
      <c r="A1254" s="36"/>
    </row>
    <row r="1255" spans="1:1" x14ac:dyDescent="0.25">
      <c r="A1255" s="36"/>
    </row>
    <row r="1256" spans="1:1" x14ac:dyDescent="0.25">
      <c r="A1256" s="36"/>
    </row>
    <row r="1257" spans="1:1" x14ac:dyDescent="0.25">
      <c r="A1257" s="36"/>
    </row>
    <row r="1258" spans="1:1" x14ac:dyDescent="0.25">
      <c r="A1258" s="36"/>
    </row>
    <row r="1259" spans="1:1" x14ac:dyDescent="0.25">
      <c r="A1259" s="36"/>
    </row>
    <row r="1260" spans="1:1" x14ac:dyDescent="0.25">
      <c r="A1260" s="36"/>
    </row>
    <row r="1261" spans="1:1" x14ac:dyDescent="0.25">
      <c r="A1261" s="36"/>
    </row>
    <row r="1262" spans="1:1" x14ac:dyDescent="0.25">
      <c r="A1262" s="36"/>
    </row>
    <row r="1263" spans="1:1" x14ac:dyDescent="0.25">
      <c r="A1263" s="36"/>
    </row>
    <row r="1264" spans="1:1" x14ac:dyDescent="0.25">
      <c r="A1264" s="36"/>
    </row>
    <row r="1265" spans="1:1" x14ac:dyDescent="0.25">
      <c r="A1265" s="36"/>
    </row>
    <row r="1266" spans="1:1" x14ac:dyDescent="0.25">
      <c r="A1266" s="36"/>
    </row>
    <row r="1267" spans="1:1" x14ac:dyDescent="0.25">
      <c r="A1267" s="36"/>
    </row>
    <row r="1268" spans="1:1" x14ac:dyDescent="0.25">
      <c r="A1268" s="36"/>
    </row>
    <row r="1269" spans="1:1" x14ac:dyDescent="0.25">
      <c r="A1269" s="36"/>
    </row>
    <row r="1270" spans="1:1" x14ac:dyDescent="0.25">
      <c r="A1270" s="36"/>
    </row>
    <row r="1271" spans="1:1" x14ac:dyDescent="0.25">
      <c r="A1271" s="36"/>
    </row>
    <row r="1272" spans="1:1" x14ac:dyDescent="0.25">
      <c r="A1272" s="36"/>
    </row>
    <row r="1273" spans="1:1" x14ac:dyDescent="0.25">
      <c r="A1273" s="36"/>
    </row>
    <row r="1274" spans="1:1" x14ac:dyDescent="0.25">
      <c r="A1274" s="36"/>
    </row>
    <row r="1275" spans="1:1" x14ac:dyDescent="0.25">
      <c r="A1275" s="36"/>
    </row>
    <row r="1276" spans="1:1" x14ac:dyDescent="0.25">
      <c r="A1276" s="36"/>
    </row>
    <row r="1277" spans="1:1" x14ac:dyDescent="0.25">
      <c r="A1277" s="36"/>
    </row>
    <row r="1278" spans="1:1" x14ac:dyDescent="0.25">
      <c r="A1278" s="36"/>
    </row>
    <row r="1279" spans="1:1" x14ac:dyDescent="0.25">
      <c r="A1279" s="36"/>
    </row>
    <row r="1280" spans="1:1" x14ac:dyDescent="0.25">
      <c r="A1280" s="36"/>
    </row>
    <row r="1281" spans="1:1" x14ac:dyDescent="0.25">
      <c r="A1281" s="36"/>
    </row>
    <row r="1282" spans="1:1" x14ac:dyDescent="0.25">
      <c r="A1282" s="36"/>
    </row>
    <row r="1283" spans="1:1" x14ac:dyDescent="0.25">
      <c r="A1283" s="36"/>
    </row>
    <row r="1284" spans="1:1" x14ac:dyDescent="0.25">
      <c r="A1284" s="36"/>
    </row>
    <row r="1285" spans="1:1" x14ac:dyDescent="0.25">
      <c r="A1285" s="36"/>
    </row>
    <row r="1286" spans="1:1" x14ac:dyDescent="0.25">
      <c r="A1286" s="36"/>
    </row>
    <row r="1287" spans="1:1" x14ac:dyDescent="0.25">
      <c r="A1287" s="36"/>
    </row>
    <row r="1288" spans="1:1" x14ac:dyDescent="0.25">
      <c r="A1288" s="36"/>
    </row>
    <row r="1289" spans="1:1" x14ac:dyDescent="0.25">
      <c r="A1289" s="36"/>
    </row>
    <row r="1290" spans="1:1" x14ac:dyDescent="0.25">
      <c r="A1290" s="36"/>
    </row>
    <row r="1291" spans="1:1" x14ac:dyDescent="0.25">
      <c r="A1291" s="36"/>
    </row>
    <row r="1292" spans="1:1" x14ac:dyDescent="0.25">
      <c r="A1292" s="36"/>
    </row>
    <row r="1293" spans="1:1" x14ac:dyDescent="0.25">
      <c r="A1293" s="36"/>
    </row>
    <row r="1294" spans="1:1" x14ac:dyDescent="0.25">
      <c r="A1294" s="36"/>
    </row>
    <row r="1295" spans="1:1" x14ac:dyDescent="0.25">
      <c r="A1295" s="36"/>
    </row>
    <row r="1296" spans="1:1" x14ac:dyDescent="0.25">
      <c r="A1296" s="36"/>
    </row>
    <row r="1297" spans="1:1" x14ac:dyDescent="0.25">
      <c r="A1297" s="36"/>
    </row>
    <row r="1298" spans="1:1" x14ac:dyDescent="0.25">
      <c r="A1298" s="36"/>
    </row>
    <row r="1299" spans="1:1" x14ac:dyDescent="0.25">
      <c r="A1299" s="36"/>
    </row>
    <row r="1300" spans="1:1" x14ac:dyDescent="0.25">
      <c r="A1300" s="36"/>
    </row>
    <row r="1301" spans="1:1" x14ac:dyDescent="0.25">
      <c r="A1301" s="36"/>
    </row>
    <row r="1302" spans="1:1" x14ac:dyDescent="0.25">
      <c r="A1302" s="36"/>
    </row>
    <row r="1303" spans="1:1" x14ac:dyDescent="0.25">
      <c r="A1303" s="36"/>
    </row>
    <row r="1304" spans="1:1" x14ac:dyDescent="0.25">
      <c r="A1304" s="36"/>
    </row>
    <row r="1305" spans="1:1" x14ac:dyDescent="0.25">
      <c r="A1305" s="36"/>
    </row>
    <row r="1306" spans="1:1" x14ac:dyDescent="0.25">
      <c r="A1306" s="36"/>
    </row>
    <row r="1307" spans="1:1" x14ac:dyDescent="0.25">
      <c r="A1307" s="36"/>
    </row>
    <row r="1308" spans="1:1" x14ac:dyDescent="0.25">
      <c r="A1308" s="36"/>
    </row>
    <row r="1309" spans="1:1" x14ac:dyDescent="0.25">
      <c r="A1309" s="36"/>
    </row>
    <row r="1310" spans="1:1" x14ac:dyDescent="0.25">
      <c r="A1310" s="36"/>
    </row>
    <row r="1311" spans="1:1" x14ac:dyDescent="0.25">
      <c r="A1311" s="36"/>
    </row>
    <row r="1312" spans="1:1" x14ac:dyDescent="0.25">
      <c r="A1312" s="36"/>
    </row>
    <row r="1313" spans="1:1" x14ac:dyDescent="0.25">
      <c r="A1313" s="36"/>
    </row>
    <row r="1314" spans="1:1" x14ac:dyDescent="0.25">
      <c r="A1314" s="36"/>
    </row>
    <row r="1315" spans="1:1" x14ac:dyDescent="0.25">
      <c r="A1315" s="36"/>
    </row>
    <row r="1316" spans="1:1" x14ac:dyDescent="0.25">
      <c r="A1316" s="36"/>
    </row>
    <row r="1317" spans="1:1" x14ac:dyDescent="0.25">
      <c r="A1317" s="36"/>
    </row>
    <row r="1318" spans="1:1" x14ac:dyDescent="0.25">
      <c r="A1318" s="36"/>
    </row>
    <row r="1319" spans="1:1" x14ac:dyDescent="0.25">
      <c r="A1319" s="36"/>
    </row>
    <row r="1320" spans="1:1" x14ac:dyDescent="0.25">
      <c r="A1320" s="36"/>
    </row>
    <row r="1321" spans="1:1" x14ac:dyDescent="0.25">
      <c r="A1321" s="36"/>
    </row>
    <row r="1322" spans="1:1" x14ac:dyDescent="0.25">
      <c r="A1322" s="36"/>
    </row>
    <row r="1323" spans="1:1" x14ac:dyDescent="0.25">
      <c r="A1323" s="36"/>
    </row>
    <row r="1324" spans="1:1" x14ac:dyDescent="0.25">
      <c r="A1324" s="36"/>
    </row>
    <row r="1325" spans="1:1" x14ac:dyDescent="0.25">
      <c r="A1325" s="36"/>
    </row>
    <row r="1326" spans="1:1" x14ac:dyDescent="0.25">
      <c r="A1326" s="36"/>
    </row>
    <row r="1327" spans="1:1" x14ac:dyDescent="0.25">
      <c r="A1327" s="36"/>
    </row>
    <row r="1328" spans="1:1" x14ac:dyDescent="0.25">
      <c r="A1328" s="36"/>
    </row>
    <row r="1329" spans="1:1" x14ac:dyDescent="0.25">
      <c r="A1329" s="36"/>
    </row>
    <row r="1330" spans="1:1" x14ac:dyDescent="0.25">
      <c r="A1330" s="36"/>
    </row>
    <row r="1331" spans="1:1" x14ac:dyDescent="0.25">
      <c r="A1331" s="36"/>
    </row>
    <row r="1332" spans="1:1" x14ac:dyDescent="0.25">
      <c r="A1332" s="36"/>
    </row>
    <row r="1333" spans="1:1" x14ac:dyDescent="0.25">
      <c r="A1333" s="36"/>
    </row>
    <row r="1334" spans="1:1" x14ac:dyDescent="0.25">
      <c r="A1334" s="36"/>
    </row>
    <row r="1335" spans="1:1" x14ac:dyDescent="0.25">
      <c r="A1335" s="36"/>
    </row>
    <row r="1336" spans="1:1" x14ac:dyDescent="0.25">
      <c r="A1336" s="36"/>
    </row>
    <row r="1337" spans="1:1" x14ac:dyDescent="0.25">
      <c r="A1337" s="36"/>
    </row>
    <row r="1338" spans="1:1" x14ac:dyDescent="0.25">
      <c r="A1338" s="36"/>
    </row>
    <row r="1339" spans="1:1" x14ac:dyDescent="0.25">
      <c r="A1339" s="36"/>
    </row>
    <row r="1340" spans="1:1" x14ac:dyDescent="0.25">
      <c r="A1340" s="36"/>
    </row>
    <row r="1341" spans="1:1" x14ac:dyDescent="0.25">
      <c r="A1341" s="36"/>
    </row>
    <row r="1342" spans="1:1" x14ac:dyDescent="0.25">
      <c r="A1342" s="36"/>
    </row>
    <row r="1343" spans="1:1" x14ac:dyDescent="0.25">
      <c r="A1343" s="36"/>
    </row>
    <row r="1344" spans="1:1" x14ac:dyDescent="0.25">
      <c r="A1344" s="36"/>
    </row>
    <row r="1345" spans="1:1" x14ac:dyDescent="0.25">
      <c r="A1345" s="36"/>
    </row>
    <row r="1346" spans="1:1" x14ac:dyDescent="0.25">
      <c r="A1346" s="36"/>
    </row>
    <row r="1347" spans="1:1" x14ac:dyDescent="0.25">
      <c r="A1347" s="36"/>
    </row>
    <row r="1348" spans="1:1" x14ac:dyDescent="0.25">
      <c r="A1348" s="36"/>
    </row>
    <row r="1349" spans="1:1" x14ac:dyDescent="0.25">
      <c r="A1349" s="36"/>
    </row>
    <row r="1350" spans="1:1" x14ac:dyDescent="0.25">
      <c r="A1350" s="36"/>
    </row>
    <row r="1351" spans="1:1" x14ac:dyDescent="0.25">
      <c r="A1351" s="36"/>
    </row>
    <row r="1352" spans="1:1" x14ac:dyDescent="0.25">
      <c r="A1352" s="36"/>
    </row>
    <row r="1353" spans="1:1" x14ac:dyDescent="0.25">
      <c r="A1353" s="36"/>
    </row>
    <row r="1354" spans="1:1" x14ac:dyDescent="0.25">
      <c r="A1354" s="36"/>
    </row>
    <row r="1355" spans="1:1" x14ac:dyDescent="0.25">
      <c r="A1355" s="36"/>
    </row>
    <row r="1356" spans="1:1" x14ac:dyDescent="0.25">
      <c r="A1356" s="36"/>
    </row>
    <row r="1357" spans="1:1" x14ac:dyDescent="0.25">
      <c r="A1357" s="36"/>
    </row>
    <row r="1358" spans="1:1" x14ac:dyDescent="0.25">
      <c r="A1358" s="36"/>
    </row>
    <row r="1359" spans="1:1" x14ac:dyDescent="0.25">
      <c r="A1359" s="36"/>
    </row>
    <row r="1360" spans="1:1" x14ac:dyDescent="0.25">
      <c r="A1360" s="36"/>
    </row>
    <row r="1361" spans="1:1" x14ac:dyDescent="0.25">
      <c r="A1361" s="36"/>
    </row>
    <row r="1362" spans="1:1" x14ac:dyDescent="0.25">
      <c r="A1362" s="36"/>
    </row>
    <row r="1363" spans="1:1" x14ac:dyDescent="0.25">
      <c r="A1363" s="36"/>
    </row>
    <row r="1364" spans="1:1" x14ac:dyDescent="0.25">
      <c r="A1364" s="36"/>
    </row>
    <row r="1365" spans="1:1" x14ac:dyDescent="0.25">
      <c r="A1365" s="36"/>
    </row>
    <row r="1366" spans="1:1" x14ac:dyDescent="0.25">
      <c r="A1366" s="36"/>
    </row>
    <row r="1367" spans="1:1" x14ac:dyDescent="0.25">
      <c r="A1367" s="36"/>
    </row>
    <row r="1368" spans="1:1" x14ac:dyDescent="0.25">
      <c r="A1368" s="36"/>
    </row>
    <row r="1369" spans="1:1" x14ac:dyDescent="0.25">
      <c r="A1369" s="36"/>
    </row>
    <row r="1370" spans="1:1" x14ac:dyDescent="0.25">
      <c r="A1370" s="36"/>
    </row>
    <row r="1371" spans="1:1" x14ac:dyDescent="0.25">
      <c r="A1371" s="36"/>
    </row>
    <row r="1372" spans="1:1" x14ac:dyDescent="0.25">
      <c r="A1372" s="36"/>
    </row>
    <row r="1373" spans="1:1" x14ac:dyDescent="0.25">
      <c r="A1373" s="36"/>
    </row>
    <row r="1374" spans="1:1" x14ac:dyDescent="0.25">
      <c r="A1374" s="36"/>
    </row>
    <row r="1375" spans="1:1" x14ac:dyDescent="0.25">
      <c r="A1375" s="36"/>
    </row>
    <row r="1376" spans="1:1" x14ac:dyDescent="0.25">
      <c r="A1376" s="36"/>
    </row>
    <row r="1377" spans="1:1" x14ac:dyDescent="0.25">
      <c r="A1377" s="36"/>
    </row>
    <row r="1378" spans="1:1" x14ac:dyDescent="0.25">
      <c r="A1378" s="36"/>
    </row>
    <row r="1379" spans="1:1" x14ac:dyDescent="0.25">
      <c r="A1379" s="36"/>
    </row>
    <row r="1380" spans="1:1" x14ac:dyDescent="0.25">
      <c r="A1380" s="36"/>
    </row>
    <row r="1381" spans="1:1" x14ac:dyDescent="0.25">
      <c r="A1381" s="36"/>
    </row>
    <row r="1382" spans="1:1" x14ac:dyDescent="0.25">
      <c r="A1382" s="36"/>
    </row>
    <row r="1383" spans="1:1" x14ac:dyDescent="0.25">
      <c r="A1383" s="36"/>
    </row>
    <row r="1384" spans="1:1" x14ac:dyDescent="0.25">
      <c r="A1384" s="36"/>
    </row>
    <row r="1385" spans="1:1" x14ac:dyDescent="0.25">
      <c r="A1385" s="36"/>
    </row>
    <row r="1386" spans="1:1" x14ac:dyDescent="0.25">
      <c r="A1386" s="36"/>
    </row>
    <row r="1387" spans="1:1" x14ac:dyDescent="0.25">
      <c r="A1387" s="36"/>
    </row>
    <row r="1388" spans="1:1" x14ac:dyDescent="0.25">
      <c r="A1388" s="36"/>
    </row>
    <row r="1389" spans="1:1" x14ac:dyDescent="0.25">
      <c r="A1389" s="36"/>
    </row>
    <row r="1390" spans="1:1" x14ac:dyDescent="0.25">
      <c r="A1390" s="36"/>
    </row>
    <row r="1391" spans="1:1" x14ac:dyDescent="0.25">
      <c r="A1391" s="36"/>
    </row>
    <row r="1392" spans="1:1" x14ac:dyDescent="0.25">
      <c r="A1392" s="36"/>
    </row>
    <row r="1393" spans="1:1" x14ac:dyDescent="0.25">
      <c r="A1393" s="36"/>
    </row>
    <row r="1394" spans="1:1" x14ac:dyDescent="0.25">
      <c r="A1394" s="36"/>
    </row>
    <row r="1395" spans="1:1" x14ac:dyDescent="0.25">
      <c r="A1395" s="36"/>
    </row>
    <row r="1396" spans="1:1" x14ac:dyDescent="0.25">
      <c r="A1396" s="36"/>
    </row>
    <row r="1397" spans="1:1" x14ac:dyDescent="0.25">
      <c r="A1397" s="36"/>
    </row>
    <row r="1398" spans="1:1" x14ac:dyDescent="0.25">
      <c r="A1398" s="36"/>
    </row>
    <row r="1399" spans="1:1" x14ac:dyDescent="0.25">
      <c r="A1399" s="36"/>
    </row>
    <row r="1400" spans="1:1" x14ac:dyDescent="0.25">
      <c r="A1400" s="36"/>
    </row>
    <row r="1401" spans="1:1" x14ac:dyDescent="0.25">
      <c r="A1401" s="36"/>
    </row>
    <row r="1402" spans="1:1" x14ac:dyDescent="0.25">
      <c r="A1402" s="36"/>
    </row>
    <row r="1403" spans="1:1" x14ac:dyDescent="0.25">
      <c r="A1403" s="36"/>
    </row>
    <row r="1404" spans="1:1" x14ac:dyDescent="0.25">
      <c r="A1404" s="36"/>
    </row>
    <row r="1405" spans="1:1" x14ac:dyDescent="0.25">
      <c r="A1405" s="36"/>
    </row>
    <row r="1406" spans="1:1" x14ac:dyDescent="0.25">
      <c r="A1406" s="36"/>
    </row>
    <row r="1407" spans="1:1" x14ac:dyDescent="0.25">
      <c r="A1407" s="36"/>
    </row>
    <row r="1408" spans="1:1" x14ac:dyDescent="0.25">
      <c r="A1408" s="36"/>
    </row>
    <row r="1409" spans="1:1" x14ac:dyDescent="0.25">
      <c r="A1409" s="36"/>
    </row>
    <row r="1410" spans="1:1" x14ac:dyDescent="0.25">
      <c r="A1410" s="36"/>
    </row>
    <row r="1411" spans="1:1" x14ac:dyDescent="0.25">
      <c r="A1411" s="36"/>
    </row>
    <row r="1412" spans="1:1" x14ac:dyDescent="0.25">
      <c r="A1412" s="36"/>
    </row>
    <row r="1413" spans="1:1" x14ac:dyDescent="0.25">
      <c r="A1413" s="36"/>
    </row>
    <row r="1414" spans="1:1" x14ac:dyDescent="0.25">
      <c r="A1414" s="36"/>
    </row>
    <row r="1415" spans="1:1" x14ac:dyDescent="0.25">
      <c r="A1415" s="36"/>
    </row>
    <row r="1416" spans="1:1" x14ac:dyDescent="0.25">
      <c r="A1416" s="36"/>
    </row>
    <row r="1417" spans="1:1" x14ac:dyDescent="0.25">
      <c r="A1417" s="36"/>
    </row>
    <row r="1418" spans="1:1" x14ac:dyDescent="0.25">
      <c r="A1418" s="36"/>
    </row>
    <row r="1419" spans="1:1" x14ac:dyDescent="0.25">
      <c r="A1419" s="36"/>
    </row>
    <row r="1420" spans="1:1" x14ac:dyDescent="0.25">
      <c r="A1420" s="36"/>
    </row>
    <row r="1421" spans="1:1" x14ac:dyDescent="0.25">
      <c r="A1421" s="36"/>
    </row>
    <row r="1422" spans="1:1" x14ac:dyDescent="0.25">
      <c r="A1422" s="36"/>
    </row>
    <row r="1423" spans="1:1" x14ac:dyDescent="0.25">
      <c r="A1423" s="36"/>
    </row>
    <row r="1424" spans="1:1" x14ac:dyDescent="0.25">
      <c r="A1424" s="36"/>
    </row>
    <row r="1425" spans="1:1" x14ac:dyDescent="0.25">
      <c r="A1425" s="36"/>
    </row>
    <row r="1426" spans="1:1" x14ac:dyDescent="0.25">
      <c r="A1426" s="36"/>
    </row>
    <row r="1427" spans="1:1" x14ac:dyDescent="0.25">
      <c r="A1427" s="36"/>
    </row>
    <row r="1428" spans="1:1" x14ac:dyDescent="0.25">
      <c r="A1428" s="36"/>
    </row>
    <row r="1429" spans="1:1" x14ac:dyDescent="0.25">
      <c r="A1429" s="36"/>
    </row>
    <row r="1430" spans="1:1" x14ac:dyDescent="0.25">
      <c r="A1430" s="36"/>
    </row>
    <row r="1431" spans="1:1" x14ac:dyDescent="0.25">
      <c r="A1431" s="36"/>
    </row>
    <row r="1432" spans="1:1" x14ac:dyDescent="0.25">
      <c r="A1432" s="36"/>
    </row>
    <row r="1433" spans="1:1" x14ac:dyDescent="0.25">
      <c r="A1433" s="36"/>
    </row>
    <row r="1434" spans="1:1" x14ac:dyDescent="0.25">
      <c r="A1434" s="36"/>
    </row>
    <row r="1435" spans="1:1" x14ac:dyDescent="0.25">
      <c r="A1435" s="36"/>
    </row>
    <row r="1436" spans="1:1" x14ac:dyDescent="0.25">
      <c r="A1436" s="36"/>
    </row>
    <row r="1437" spans="1:1" x14ac:dyDescent="0.25">
      <c r="A1437" s="36"/>
    </row>
    <row r="1438" spans="1:1" x14ac:dyDescent="0.25">
      <c r="A1438" s="36"/>
    </row>
    <row r="1439" spans="1:1" x14ac:dyDescent="0.25">
      <c r="A1439" s="36"/>
    </row>
    <row r="1440" spans="1:1" x14ac:dyDescent="0.25">
      <c r="A1440" s="36"/>
    </row>
    <row r="1441" spans="1:1" x14ac:dyDescent="0.25">
      <c r="A1441" s="36"/>
    </row>
    <row r="1442" spans="1:1" x14ac:dyDescent="0.25">
      <c r="A1442" s="36"/>
    </row>
    <row r="1443" spans="1:1" x14ac:dyDescent="0.25">
      <c r="A1443" s="36"/>
    </row>
    <row r="1444" spans="1:1" x14ac:dyDescent="0.25">
      <c r="A1444" s="36"/>
    </row>
    <row r="1445" spans="1:1" x14ac:dyDescent="0.25">
      <c r="A1445" s="36"/>
    </row>
    <row r="1446" spans="1:1" x14ac:dyDescent="0.25">
      <c r="A1446" s="36"/>
    </row>
    <row r="1447" spans="1:1" x14ac:dyDescent="0.25">
      <c r="A1447" s="36"/>
    </row>
    <row r="1448" spans="1:1" x14ac:dyDescent="0.25">
      <c r="A1448" s="36"/>
    </row>
    <row r="1449" spans="1:1" x14ac:dyDescent="0.25">
      <c r="A1449" s="36"/>
    </row>
    <row r="1450" spans="1:1" x14ac:dyDescent="0.25">
      <c r="A1450" s="36"/>
    </row>
    <row r="1451" spans="1:1" x14ac:dyDescent="0.25">
      <c r="A1451" s="36"/>
    </row>
    <row r="1452" spans="1:1" x14ac:dyDescent="0.25">
      <c r="A1452" s="36"/>
    </row>
    <row r="1453" spans="1:1" x14ac:dyDescent="0.25">
      <c r="A1453" s="36"/>
    </row>
    <row r="1454" spans="1:1" x14ac:dyDescent="0.25">
      <c r="A1454" s="36"/>
    </row>
    <row r="1455" spans="1:1" x14ac:dyDescent="0.25">
      <c r="A1455" s="36"/>
    </row>
    <row r="1456" spans="1:1" x14ac:dyDescent="0.25">
      <c r="A1456" s="36"/>
    </row>
    <row r="1457" spans="1:1" x14ac:dyDescent="0.25">
      <c r="A1457" s="36"/>
    </row>
    <row r="1458" spans="1:1" x14ac:dyDescent="0.25">
      <c r="A1458" s="36"/>
    </row>
    <row r="1459" spans="1:1" x14ac:dyDescent="0.25">
      <c r="A1459" s="36"/>
    </row>
    <row r="1460" spans="1:1" x14ac:dyDescent="0.25">
      <c r="A1460" s="36"/>
    </row>
    <row r="1461" spans="1:1" x14ac:dyDescent="0.25">
      <c r="A1461" s="36"/>
    </row>
    <row r="1462" spans="1:1" x14ac:dyDescent="0.25">
      <c r="A1462" s="36"/>
    </row>
    <row r="1463" spans="1:1" x14ac:dyDescent="0.25">
      <c r="A1463" s="36"/>
    </row>
    <row r="1464" spans="1:1" x14ac:dyDescent="0.25">
      <c r="A1464" s="36"/>
    </row>
    <row r="1465" spans="1:1" x14ac:dyDescent="0.25">
      <c r="A1465" s="36"/>
    </row>
    <row r="1466" spans="1:1" x14ac:dyDescent="0.25">
      <c r="A1466" s="36"/>
    </row>
    <row r="1467" spans="1:1" x14ac:dyDescent="0.25">
      <c r="A1467" s="36"/>
    </row>
    <row r="1468" spans="1:1" x14ac:dyDescent="0.25">
      <c r="A1468" s="36"/>
    </row>
    <row r="1469" spans="1:1" x14ac:dyDescent="0.25">
      <c r="A1469" s="36"/>
    </row>
    <row r="1470" spans="1:1" x14ac:dyDescent="0.25">
      <c r="A1470" s="36"/>
    </row>
    <row r="1471" spans="1:1" x14ac:dyDescent="0.25">
      <c r="A1471" s="36"/>
    </row>
    <row r="1472" spans="1:1" x14ac:dyDescent="0.25">
      <c r="A1472" s="36"/>
    </row>
    <row r="1473" spans="1:1" x14ac:dyDescent="0.25">
      <c r="A1473" s="36"/>
    </row>
    <row r="1474" spans="1:1" x14ac:dyDescent="0.25">
      <c r="A1474" s="36"/>
    </row>
    <row r="1475" spans="1:1" x14ac:dyDescent="0.25">
      <c r="A1475" s="36"/>
    </row>
    <row r="1476" spans="1:1" x14ac:dyDescent="0.25">
      <c r="A1476" s="36"/>
    </row>
    <row r="1477" spans="1:1" x14ac:dyDescent="0.25">
      <c r="A1477" s="36"/>
    </row>
    <row r="1478" spans="1:1" x14ac:dyDescent="0.25">
      <c r="A1478" s="36"/>
    </row>
    <row r="1479" spans="1:1" x14ac:dyDescent="0.25">
      <c r="A1479" s="36"/>
    </row>
    <row r="1480" spans="1:1" x14ac:dyDescent="0.25">
      <c r="A1480" s="36"/>
    </row>
    <row r="1481" spans="1:1" x14ac:dyDescent="0.25">
      <c r="A1481" s="36"/>
    </row>
    <row r="1482" spans="1:1" x14ac:dyDescent="0.25">
      <c r="A1482" s="36"/>
    </row>
    <row r="1483" spans="1:1" x14ac:dyDescent="0.25">
      <c r="A1483" s="36"/>
    </row>
    <row r="1484" spans="1:1" x14ac:dyDescent="0.25">
      <c r="A1484" s="36"/>
    </row>
    <row r="1485" spans="1:1" x14ac:dyDescent="0.25">
      <c r="A1485" s="36"/>
    </row>
    <row r="1486" spans="1:1" x14ac:dyDescent="0.25">
      <c r="A1486" s="36"/>
    </row>
    <row r="1487" spans="1:1" x14ac:dyDescent="0.25">
      <c r="A1487" s="36"/>
    </row>
    <row r="1488" spans="1:1" x14ac:dyDescent="0.25">
      <c r="A1488" s="36"/>
    </row>
    <row r="1489" spans="1:1" x14ac:dyDescent="0.25">
      <c r="A1489" s="36"/>
    </row>
    <row r="1490" spans="1:1" x14ac:dyDescent="0.25">
      <c r="A1490" s="36"/>
    </row>
    <row r="1491" spans="1:1" x14ac:dyDescent="0.25">
      <c r="A1491" s="36"/>
    </row>
    <row r="1492" spans="1:1" x14ac:dyDescent="0.25">
      <c r="A1492" s="36"/>
    </row>
    <row r="1493" spans="1:1" x14ac:dyDescent="0.25">
      <c r="A1493" s="36"/>
    </row>
    <row r="1494" spans="1:1" x14ac:dyDescent="0.25">
      <c r="A1494" s="36"/>
    </row>
    <row r="1495" spans="1:1" x14ac:dyDescent="0.25">
      <c r="A1495" s="36"/>
    </row>
    <row r="1496" spans="1:1" x14ac:dyDescent="0.25">
      <c r="A1496" s="36"/>
    </row>
    <row r="1497" spans="1:1" x14ac:dyDescent="0.25">
      <c r="A1497" s="36"/>
    </row>
    <row r="1498" spans="1:1" x14ac:dyDescent="0.25">
      <c r="A1498" s="36"/>
    </row>
    <row r="1499" spans="1:1" x14ac:dyDescent="0.25">
      <c r="A1499" s="36"/>
    </row>
    <row r="1500" spans="1:1" x14ac:dyDescent="0.25">
      <c r="A1500" s="36"/>
    </row>
    <row r="1501" spans="1:1" x14ac:dyDescent="0.25">
      <c r="A1501" s="36"/>
    </row>
    <row r="1502" spans="1:1" x14ac:dyDescent="0.25">
      <c r="A1502" s="36"/>
    </row>
    <row r="1503" spans="1:1" x14ac:dyDescent="0.25">
      <c r="A1503" s="36"/>
    </row>
    <row r="1504" spans="1:1" x14ac:dyDescent="0.25">
      <c r="A1504" s="36"/>
    </row>
    <row r="1505" spans="1:1" x14ac:dyDescent="0.25">
      <c r="A1505" s="36"/>
    </row>
    <row r="1506" spans="1:1" x14ac:dyDescent="0.25">
      <c r="A1506" s="36"/>
    </row>
  </sheetData>
  <autoFilter ref="A3:R879" xr:uid="{00000000-0009-0000-0000-000003000000}"/>
  <mergeCells count="2">
    <mergeCell ref="T1:T3"/>
    <mergeCell ref="U1:U3"/>
  </mergeCells>
  <pageMargins left="0.7" right="0.7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1:W2096"/>
  <sheetViews>
    <sheetView showGridLines="0" tabSelected="1" workbookViewId="0"/>
  </sheetViews>
  <sheetFormatPr baseColWidth="10" defaultRowHeight="15" x14ac:dyDescent="0.25"/>
  <cols>
    <col min="1" max="1" width="1.7109375" style="181" customWidth="1"/>
    <col min="2" max="7" width="12.7109375" style="181" customWidth="1"/>
    <col min="8" max="8" width="5.7109375" style="181" customWidth="1"/>
    <col min="9" max="14" width="12.7109375" style="181" customWidth="1"/>
    <col min="15" max="15" width="5.7109375" style="181" customWidth="1"/>
    <col min="16" max="21" width="12.7109375" style="181" customWidth="1"/>
    <col min="22" max="22" width="5.7109375" style="181" customWidth="1"/>
    <col min="23" max="16384" width="11.42578125" style="181"/>
  </cols>
  <sheetData>
    <row r="1" spans="2:23" ht="5.0999999999999996" customHeight="1" x14ac:dyDescent="0.25"/>
    <row r="2" spans="2:23" x14ac:dyDescent="0.25">
      <c r="B2" s="224" t="s">
        <v>343</v>
      </c>
      <c r="C2" s="225"/>
      <c r="D2" s="225"/>
      <c r="E2" s="225"/>
      <c r="F2" s="225"/>
      <c r="G2" s="226"/>
      <c r="I2" s="224" t="s">
        <v>344</v>
      </c>
      <c r="J2" s="225"/>
      <c r="K2" s="225"/>
      <c r="L2" s="225"/>
      <c r="M2" s="225"/>
      <c r="N2" s="226"/>
      <c r="P2" s="224" t="s">
        <v>345</v>
      </c>
      <c r="Q2" s="225"/>
      <c r="R2" s="225"/>
      <c r="S2" s="225"/>
      <c r="T2" s="225"/>
      <c r="U2" s="226"/>
    </row>
    <row r="3" spans="2:23" ht="17.25" x14ac:dyDescent="0.25">
      <c r="B3" s="182" t="s">
        <v>15</v>
      </c>
      <c r="C3" s="182" t="s">
        <v>66</v>
      </c>
      <c r="D3" s="182" t="s">
        <v>68</v>
      </c>
      <c r="E3" s="182" t="s">
        <v>217</v>
      </c>
      <c r="F3" s="182" t="s">
        <v>355</v>
      </c>
      <c r="G3" s="182" t="s">
        <v>362</v>
      </c>
      <c r="I3" s="182" t="s">
        <v>15</v>
      </c>
      <c r="J3" s="182" t="s">
        <v>66</v>
      </c>
      <c r="K3" s="182" t="s">
        <v>68</v>
      </c>
      <c r="L3" s="182" t="s">
        <v>217</v>
      </c>
      <c r="M3" s="182" t="s">
        <v>355</v>
      </c>
      <c r="N3" s="182" t="s">
        <v>362</v>
      </c>
      <c r="P3" s="182" t="s">
        <v>15</v>
      </c>
      <c r="Q3" s="182" t="s">
        <v>66</v>
      </c>
      <c r="R3" s="182" t="s">
        <v>68</v>
      </c>
      <c r="S3" s="182" t="s">
        <v>217</v>
      </c>
      <c r="T3" s="182" t="s">
        <v>221</v>
      </c>
      <c r="U3" s="182" t="s">
        <v>363</v>
      </c>
    </row>
    <row r="4" spans="2:23" x14ac:dyDescent="0.25">
      <c r="B4" s="183" t="s">
        <v>354</v>
      </c>
      <c r="C4" s="184">
        <v>44575</v>
      </c>
      <c r="D4" s="184">
        <v>44939</v>
      </c>
      <c r="E4" s="184">
        <v>45306</v>
      </c>
      <c r="F4" s="206">
        <v>45673</v>
      </c>
      <c r="G4" s="185"/>
      <c r="I4" s="183" t="s">
        <v>354</v>
      </c>
      <c r="J4" s="185">
        <v>44575</v>
      </c>
      <c r="K4" s="185">
        <v>44939</v>
      </c>
      <c r="L4" s="186">
        <v>45306</v>
      </c>
      <c r="M4" s="187">
        <v>45659</v>
      </c>
      <c r="N4" s="185"/>
      <c r="P4" s="183" t="s">
        <v>354</v>
      </c>
      <c r="Q4" s="185">
        <v>44575</v>
      </c>
      <c r="R4" s="185">
        <v>44939</v>
      </c>
      <c r="S4" s="185">
        <v>45306</v>
      </c>
      <c r="T4" s="187">
        <v>45659</v>
      </c>
      <c r="U4" s="185"/>
      <c r="W4" s="188"/>
    </row>
    <row r="5" spans="2:23" x14ac:dyDescent="0.25">
      <c r="B5" s="183" t="s">
        <v>354</v>
      </c>
      <c r="C5" s="185">
        <v>44589</v>
      </c>
      <c r="D5" s="185">
        <v>44953</v>
      </c>
      <c r="E5" s="185">
        <v>45322</v>
      </c>
      <c r="F5" s="206">
        <v>45321</v>
      </c>
      <c r="G5" s="185"/>
      <c r="I5" s="183" t="s">
        <v>354</v>
      </c>
      <c r="J5" s="185">
        <v>44589</v>
      </c>
      <c r="K5" s="185">
        <v>44953</v>
      </c>
      <c r="L5" s="186">
        <v>45322</v>
      </c>
      <c r="M5" s="183" t="s">
        <v>354</v>
      </c>
      <c r="N5" s="185"/>
      <c r="P5" s="183" t="s">
        <v>354</v>
      </c>
      <c r="Q5" s="185">
        <v>44603</v>
      </c>
      <c r="R5" s="185">
        <v>44967</v>
      </c>
      <c r="S5" s="185">
        <v>45338</v>
      </c>
      <c r="T5" s="187">
        <v>45701</v>
      </c>
      <c r="U5" s="185"/>
      <c r="W5" s="188"/>
    </row>
    <row r="6" spans="2:23" x14ac:dyDescent="0.25">
      <c r="B6" s="183" t="s">
        <v>354</v>
      </c>
      <c r="C6" s="185">
        <v>44603</v>
      </c>
      <c r="D6" s="185">
        <v>44967</v>
      </c>
      <c r="E6" s="185">
        <v>45338</v>
      </c>
      <c r="F6" s="206">
        <v>45701</v>
      </c>
      <c r="G6" s="185"/>
      <c r="I6" s="183" t="s">
        <v>354</v>
      </c>
      <c r="J6" s="185">
        <v>44603</v>
      </c>
      <c r="K6" s="185">
        <v>44967</v>
      </c>
      <c r="L6" s="186">
        <v>45338</v>
      </c>
      <c r="M6" s="187">
        <v>45701</v>
      </c>
      <c r="N6" s="185"/>
      <c r="P6" s="183" t="s">
        <v>354</v>
      </c>
      <c r="Q6" s="185">
        <v>44631</v>
      </c>
      <c r="R6" s="185">
        <v>44995</v>
      </c>
      <c r="S6" s="185">
        <v>45363</v>
      </c>
      <c r="T6" s="187">
        <v>45733</v>
      </c>
      <c r="U6" s="185"/>
      <c r="W6" s="188"/>
    </row>
    <row r="7" spans="2:23" x14ac:dyDescent="0.25">
      <c r="B7" s="183" t="s">
        <v>354</v>
      </c>
      <c r="C7" s="185">
        <v>44617</v>
      </c>
      <c r="D7" s="185">
        <v>44981</v>
      </c>
      <c r="E7" s="185">
        <v>45348</v>
      </c>
      <c r="F7" s="183" t="s">
        <v>354</v>
      </c>
      <c r="G7" s="185"/>
      <c r="I7" s="183" t="s">
        <v>354</v>
      </c>
      <c r="J7" s="185">
        <v>44617</v>
      </c>
      <c r="K7" s="185">
        <v>44981</v>
      </c>
      <c r="L7" s="186">
        <v>45348</v>
      </c>
      <c r="M7" s="183" t="s">
        <v>354</v>
      </c>
      <c r="N7" s="185"/>
      <c r="P7" s="185">
        <v>44295</v>
      </c>
      <c r="Q7" s="185">
        <v>44659</v>
      </c>
      <c r="R7" s="185">
        <v>45020</v>
      </c>
      <c r="S7" s="185">
        <v>45390</v>
      </c>
      <c r="T7" s="187">
        <v>45772</v>
      </c>
      <c r="U7" s="185"/>
      <c r="W7" s="188"/>
    </row>
    <row r="8" spans="2:23" x14ac:dyDescent="0.25">
      <c r="B8" s="183" t="s">
        <v>354</v>
      </c>
      <c r="C8" s="185">
        <v>44631</v>
      </c>
      <c r="D8" s="185">
        <v>44995</v>
      </c>
      <c r="E8" s="185">
        <v>45363</v>
      </c>
      <c r="F8" s="206">
        <v>45720</v>
      </c>
      <c r="G8" s="185"/>
      <c r="I8" s="185">
        <v>44281</v>
      </c>
      <c r="J8" s="185">
        <v>44631</v>
      </c>
      <c r="K8" s="185">
        <v>44995</v>
      </c>
      <c r="L8" s="189">
        <v>45363</v>
      </c>
      <c r="M8" s="187">
        <v>45720</v>
      </c>
      <c r="N8" s="185"/>
      <c r="P8" s="185">
        <v>44323</v>
      </c>
      <c r="Q8" s="185">
        <v>44683</v>
      </c>
      <c r="R8" s="185">
        <v>45050</v>
      </c>
      <c r="S8" s="185">
        <v>45418</v>
      </c>
      <c r="T8" s="187">
        <v>45796</v>
      </c>
      <c r="U8" s="185"/>
      <c r="W8" s="190"/>
    </row>
    <row r="9" spans="2:23" x14ac:dyDescent="0.25">
      <c r="B9" s="184">
        <v>44295</v>
      </c>
      <c r="C9" s="185">
        <v>44659</v>
      </c>
      <c r="D9" s="185">
        <v>45020</v>
      </c>
      <c r="E9" s="185">
        <v>45390</v>
      </c>
      <c r="F9" s="183" t="s">
        <v>354</v>
      </c>
      <c r="G9" s="185"/>
      <c r="I9" s="185">
        <v>44295</v>
      </c>
      <c r="J9" s="185">
        <v>44645</v>
      </c>
      <c r="K9" s="186">
        <v>45008</v>
      </c>
      <c r="L9" s="189">
        <v>45372</v>
      </c>
      <c r="M9" s="187">
        <v>45733</v>
      </c>
      <c r="N9" s="185"/>
      <c r="P9" s="185">
        <v>44351</v>
      </c>
      <c r="Q9" s="185">
        <v>44732</v>
      </c>
      <c r="R9" s="185">
        <v>45082</v>
      </c>
      <c r="S9" s="185">
        <v>45451</v>
      </c>
      <c r="T9" s="185"/>
      <c r="U9" s="185"/>
      <c r="W9" s="190"/>
    </row>
    <row r="10" spans="2:23" x14ac:dyDescent="0.25">
      <c r="B10" s="185">
        <v>44309</v>
      </c>
      <c r="C10" s="185">
        <v>44673</v>
      </c>
      <c r="D10" s="185">
        <v>45036</v>
      </c>
      <c r="E10" s="185">
        <v>45404</v>
      </c>
      <c r="F10" s="206">
        <v>38467</v>
      </c>
      <c r="G10" s="185"/>
      <c r="I10" s="185">
        <v>44309</v>
      </c>
      <c r="J10" s="185">
        <v>44659</v>
      </c>
      <c r="K10" s="186">
        <v>45020</v>
      </c>
      <c r="L10" s="189">
        <v>45390</v>
      </c>
      <c r="M10" s="183" t="s">
        <v>354</v>
      </c>
      <c r="N10" s="185"/>
      <c r="P10" s="185">
        <v>44379</v>
      </c>
      <c r="Q10" s="185">
        <v>44753</v>
      </c>
      <c r="R10" s="185">
        <v>45124</v>
      </c>
      <c r="S10" s="185">
        <v>45474</v>
      </c>
      <c r="T10" s="185"/>
      <c r="U10" s="185"/>
      <c r="W10" s="190"/>
    </row>
    <row r="11" spans="2:23" x14ac:dyDescent="0.25">
      <c r="B11" s="185">
        <v>44323</v>
      </c>
      <c r="C11" s="185">
        <v>44683</v>
      </c>
      <c r="D11" s="185">
        <v>45050</v>
      </c>
      <c r="E11" s="185">
        <v>45418</v>
      </c>
      <c r="F11" s="183" t="s">
        <v>354</v>
      </c>
      <c r="G11" s="185"/>
      <c r="I11" s="185">
        <v>44323</v>
      </c>
      <c r="J11" s="185">
        <v>44673</v>
      </c>
      <c r="K11" s="186">
        <v>45036</v>
      </c>
      <c r="L11" s="189">
        <v>45404</v>
      </c>
      <c r="M11" s="187">
        <v>45772</v>
      </c>
      <c r="N11" s="185"/>
      <c r="P11" s="185">
        <v>44421</v>
      </c>
      <c r="Q11" s="185">
        <v>44782</v>
      </c>
      <c r="R11" s="185">
        <v>45149</v>
      </c>
      <c r="S11" s="189">
        <v>45518</v>
      </c>
      <c r="T11" s="185"/>
      <c r="U11" s="185"/>
      <c r="W11" s="190"/>
    </row>
    <row r="12" spans="2:23" x14ac:dyDescent="0.25">
      <c r="B12" s="185">
        <v>44337</v>
      </c>
      <c r="C12" s="185">
        <v>44697</v>
      </c>
      <c r="D12" s="185">
        <v>45062</v>
      </c>
      <c r="E12" s="185">
        <v>45434</v>
      </c>
      <c r="F12" s="206">
        <v>45796</v>
      </c>
      <c r="G12" s="185"/>
      <c r="I12" s="185">
        <v>44337</v>
      </c>
      <c r="J12" s="185">
        <v>44683</v>
      </c>
      <c r="K12" s="186">
        <v>45050</v>
      </c>
      <c r="L12" s="189">
        <v>45418</v>
      </c>
      <c r="M12" s="183" t="s">
        <v>354</v>
      </c>
      <c r="N12" s="185"/>
      <c r="P12" s="185">
        <v>44449</v>
      </c>
      <c r="Q12" s="185">
        <v>44809</v>
      </c>
      <c r="R12" s="185">
        <v>45177</v>
      </c>
      <c r="S12" s="189">
        <v>45544</v>
      </c>
      <c r="T12" s="185"/>
      <c r="U12" s="185"/>
      <c r="W12" s="190"/>
    </row>
    <row r="13" spans="2:23" x14ac:dyDescent="0.25">
      <c r="B13" s="185">
        <v>44351</v>
      </c>
      <c r="C13" s="185">
        <v>44711</v>
      </c>
      <c r="D13" s="185">
        <v>45082</v>
      </c>
      <c r="E13" s="185">
        <v>45446</v>
      </c>
      <c r="F13" s="183" t="s">
        <v>354</v>
      </c>
      <c r="G13" s="185"/>
      <c r="I13" s="185">
        <v>44351</v>
      </c>
      <c r="J13" s="185">
        <v>44697</v>
      </c>
      <c r="K13" s="186">
        <v>45062</v>
      </c>
      <c r="L13" s="189">
        <v>45434</v>
      </c>
      <c r="M13" s="187">
        <v>45796</v>
      </c>
      <c r="N13" s="185"/>
      <c r="P13" s="185">
        <v>44477</v>
      </c>
      <c r="Q13" s="185">
        <v>44841</v>
      </c>
      <c r="R13" s="185">
        <v>45205</v>
      </c>
      <c r="S13" s="189">
        <v>45575</v>
      </c>
      <c r="T13" s="185"/>
      <c r="U13" s="185"/>
      <c r="W13" s="190"/>
    </row>
    <row r="14" spans="2:23" x14ac:dyDescent="0.25">
      <c r="B14" s="185">
        <v>44365</v>
      </c>
      <c r="C14" s="185">
        <v>44732</v>
      </c>
      <c r="D14" s="185">
        <v>45093</v>
      </c>
      <c r="E14" s="185">
        <v>45460</v>
      </c>
      <c r="F14" s="206">
        <v>45831</v>
      </c>
      <c r="G14" s="185"/>
      <c r="I14" s="185">
        <v>44365</v>
      </c>
      <c r="J14" s="185">
        <v>44711</v>
      </c>
      <c r="K14" s="186">
        <v>45082</v>
      </c>
      <c r="L14" s="189">
        <v>45446</v>
      </c>
      <c r="M14" s="185"/>
      <c r="N14" s="185"/>
      <c r="P14" s="185">
        <v>44505</v>
      </c>
      <c r="Q14" s="185">
        <v>44869</v>
      </c>
      <c r="R14" s="185">
        <v>45236</v>
      </c>
      <c r="S14" s="189">
        <v>45603</v>
      </c>
      <c r="T14" s="185"/>
      <c r="U14" s="185"/>
      <c r="W14" s="190"/>
    </row>
    <row r="15" spans="2:23" x14ac:dyDescent="0.25">
      <c r="B15" s="185">
        <v>44379</v>
      </c>
      <c r="C15" s="185">
        <v>44739</v>
      </c>
      <c r="D15" s="185">
        <v>45107</v>
      </c>
      <c r="E15" s="185">
        <v>45474</v>
      </c>
      <c r="F15" s="183" t="s">
        <v>354</v>
      </c>
      <c r="G15" s="185"/>
      <c r="I15" s="185">
        <v>44379</v>
      </c>
      <c r="J15" s="185">
        <v>44732</v>
      </c>
      <c r="K15" s="186">
        <v>45093</v>
      </c>
      <c r="L15" s="189">
        <v>45460</v>
      </c>
      <c r="M15" s="189"/>
      <c r="N15" s="185"/>
      <c r="P15" s="185">
        <v>44536</v>
      </c>
      <c r="Q15" s="185">
        <v>44897</v>
      </c>
      <c r="R15" s="185">
        <v>45271</v>
      </c>
      <c r="S15" s="189">
        <v>45631</v>
      </c>
      <c r="T15" s="185"/>
      <c r="U15" s="185"/>
      <c r="W15" s="190"/>
    </row>
    <row r="16" spans="2:23" x14ac:dyDescent="0.25">
      <c r="B16" s="185">
        <v>44393</v>
      </c>
      <c r="C16" s="185">
        <v>44753</v>
      </c>
      <c r="D16" s="185">
        <v>45124</v>
      </c>
      <c r="E16" s="185">
        <v>45488</v>
      </c>
      <c r="F16" s="206">
        <v>45853</v>
      </c>
      <c r="G16" s="185"/>
      <c r="I16" s="185">
        <v>44393</v>
      </c>
      <c r="J16" s="185">
        <v>44739</v>
      </c>
      <c r="K16" s="186">
        <v>45107</v>
      </c>
      <c r="L16" s="189">
        <v>45474</v>
      </c>
      <c r="M16" s="189"/>
      <c r="N16" s="185"/>
      <c r="W16" s="190"/>
    </row>
    <row r="17" spans="2:23" x14ac:dyDescent="0.25">
      <c r="B17" s="185">
        <v>44407</v>
      </c>
      <c r="C17" s="185">
        <v>44767</v>
      </c>
      <c r="D17" s="185">
        <v>45135</v>
      </c>
      <c r="E17" s="185">
        <v>45502</v>
      </c>
      <c r="F17" s="183" t="s">
        <v>354</v>
      </c>
      <c r="G17" s="185"/>
      <c r="I17" s="185">
        <v>44407</v>
      </c>
      <c r="J17" s="185">
        <v>44753</v>
      </c>
      <c r="K17" s="186">
        <v>45124</v>
      </c>
      <c r="L17" s="189">
        <v>45488</v>
      </c>
      <c r="M17" s="189"/>
      <c r="N17" s="185"/>
      <c r="T17" s="187">
        <v>45720</v>
      </c>
      <c r="U17" s="191" t="s">
        <v>384</v>
      </c>
      <c r="W17" s="190"/>
    </row>
    <row r="18" spans="2:23" x14ac:dyDescent="0.25">
      <c r="B18" s="185">
        <v>44421</v>
      </c>
      <c r="C18" s="185">
        <v>44782</v>
      </c>
      <c r="D18" s="185">
        <v>45149</v>
      </c>
      <c r="E18" s="185">
        <v>45518</v>
      </c>
      <c r="F18" s="206">
        <v>45883</v>
      </c>
      <c r="G18" s="185"/>
      <c r="I18" s="185">
        <v>44421</v>
      </c>
      <c r="J18" s="185">
        <v>44767</v>
      </c>
      <c r="K18" s="186">
        <v>45135</v>
      </c>
      <c r="L18" s="189">
        <v>45502</v>
      </c>
      <c r="M18" s="189"/>
      <c r="N18" s="185"/>
      <c r="T18" s="187">
        <v>45796</v>
      </c>
      <c r="U18" s="191" t="s">
        <v>383</v>
      </c>
      <c r="W18" s="190"/>
    </row>
    <row r="19" spans="2:23" x14ac:dyDescent="0.25">
      <c r="B19" s="185">
        <v>44435</v>
      </c>
      <c r="C19" s="185">
        <v>44795</v>
      </c>
      <c r="D19" s="185">
        <v>45163</v>
      </c>
      <c r="E19" s="185">
        <v>45531</v>
      </c>
      <c r="F19" s="183" t="s">
        <v>354</v>
      </c>
      <c r="G19" s="185"/>
      <c r="I19" s="185">
        <v>44435</v>
      </c>
      <c r="J19" s="185">
        <v>44782</v>
      </c>
      <c r="K19" s="186">
        <v>45149</v>
      </c>
      <c r="L19" s="189">
        <v>45518</v>
      </c>
      <c r="M19" s="189"/>
      <c r="N19" s="185"/>
      <c r="W19" s="190"/>
    </row>
    <row r="20" spans="2:23" x14ac:dyDescent="0.25">
      <c r="B20" s="185">
        <v>44449</v>
      </c>
      <c r="C20" s="185">
        <v>44809</v>
      </c>
      <c r="D20" s="185">
        <v>45177</v>
      </c>
      <c r="E20" s="185">
        <v>45544</v>
      </c>
      <c r="F20" s="206">
        <v>45908</v>
      </c>
      <c r="G20" s="185"/>
      <c r="I20" s="185">
        <v>44449</v>
      </c>
      <c r="J20" s="185">
        <v>44795</v>
      </c>
      <c r="K20" s="186">
        <v>45163</v>
      </c>
      <c r="L20" s="189">
        <v>45531</v>
      </c>
      <c r="M20" s="189"/>
      <c r="N20" s="185"/>
      <c r="W20" s="190"/>
    </row>
    <row r="21" spans="2:23" x14ac:dyDescent="0.25">
      <c r="B21" s="185">
        <v>44463</v>
      </c>
      <c r="C21" s="185">
        <v>44823</v>
      </c>
      <c r="D21" s="185">
        <v>45195</v>
      </c>
      <c r="E21" s="185">
        <v>45558</v>
      </c>
      <c r="F21" s="183" t="s">
        <v>354</v>
      </c>
      <c r="G21" s="185"/>
      <c r="I21" s="185">
        <v>44463</v>
      </c>
      <c r="J21" s="185">
        <v>44809</v>
      </c>
      <c r="K21" s="186">
        <v>45177</v>
      </c>
      <c r="L21" s="189">
        <v>45544</v>
      </c>
      <c r="M21" s="189"/>
      <c r="N21" s="185"/>
      <c r="W21" s="190"/>
    </row>
    <row r="22" spans="2:23" x14ac:dyDescent="0.25">
      <c r="B22" s="185">
        <v>44477</v>
      </c>
      <c r="C22" s="185">
        <v>44841</v>
      </c>
      <c r="D22" s="185">
        <v>45205</v>
      </c>
      <c r="E22" s="185">
        <v>45575</v>
      </c>
      <c r="F22" s="206">
        <v>45938</v>
      </c>
      <c r="G22" s="185"/>
      <c r="I22" s="185">
        <v>44477</v>
      </c>
      <c r="J22" s="185">
        <v>44823</v>
      </c>
      <c r="K22" s="186">
        <v>45195</v>
      </c>
      <c r="L22" s="189">
        <v>45558</v>
      </c>
      <c r="M22" s="189"/>
      <c r="N22" s="185"/>
      <c r="W22" s="190"/>
    </row>
    <row r="23" spans="2:23" x14ac:dyDescent="0.25">
      <c r="B23" s="185">
        <v>44491</v>
      </c>
      <c r="C23" s="185">
        <v>44855</v>
      </c>
      <c r="D23" s="185">
        <v>45223</v>
      </c>
      <c r="E23" s="185">
        <v>45590</v>
      </c>
      <c r="F23" s="183" t="s">
        <v>354</v>
      </c>
      <c r="G23" s="185"/>
      <c r="I23" s="185">
        <v>44491</v>
      </c>
      <c r="J23" s="185">
        <v>44841</v>
      </c>
      <c r="K23" s="186">
        <v>45205</v>
      </c>
      <c r="L23" s="189">
        <v>45575</v>
      </c>
      <c r="M23" s="189"/>
      <c r="N23" s="185"/>
      <c r="W23" s="190"/>
    </row>
    <row r="24" spans="2:23" x14ac:dyDescent="0.25">
      <c r="B24" s="185">
        <v>44505</v>
      </c>
      <c r="C24" s="185">
        <v>44869</v>
      </c>
      <c r="D24" s="185">
        <v>45236</v>
      </c>
      <c r="E24" s="185">
        <v>45603</v>
      </c>
      <c r="F24" s="206">
        <v>45964</v>
      </c>
      <c r="G24" s="192"/>
      <c r="I24" s="185">
        <v>44505</v>
      </c>
      <c r="J24" s="185">
        <v>44855</v>
      </c>
      <c r="K24" s="186">
        <v>45224</v>
      </c>
      <c r="L24" s="189">
        <v>45590</v>
      </c>
      <c r="M24" s="189"/>
      <c r="N24" s="185"/>
      <c r="W24" s="190"/>
    </row>
    <row r="25" spans="2:23" x14ac:dyDescent="0.25">
      <c r="B25" s="185">
        <v>44519</v>
      </c>
      <c r="C25" s="185">
        <v>44883</v>
      </c>
      <c r="D25" s="185">
        <v>45251</v>
      </c>
      <c r="E25" s="185">
        <v>45618</v>
      </c>
      <c r="F25" s="183" t="s">
        <v>354</v>
      </c>
      <c r="G25" s="192"/>
      <c r="I25" s="185">
        <v>44519</v>
      </c>
      <c r="J25" s="185">
        <v>44869</v>
      </c>
      <c r="K25" s="186">
        <v>45236</v>
      </c>
      <c r="L25" s="189">
        <v>45603</v>
      </c>
      <c r="M25" s="189"/>
      <c r="N25" s="185"/>
      <c r="W25" s="190"/>
    </row>
    <row r="26" spans="2:23" x14ac:dyDescent="0.25">
      <c r="B26" s="185">
        <v>44536</v>
      </c>
      <c r="C26" s="185">
        <v>44897</v>
      </c>
      <c r="D26" s="185">
        <v>45271</v>
      </c>
      <c r="E26" s="185">
        <v>45631</v>
      </c>
      <c r="F26" s="206">
        <v>45996</v>
      </c>
      <c r="G26" s="192"/>
      <c r="I26" s="185">
        <v>44536</v>
      </c>
      <c r="J26" s="185">
        <v>44883</v>
      </c>
      <c r="K26" s="186">
        <v>45251</v>
      </c>
      <c r="L26" s="189">
        <v>45618</v>
      </c>
      <c r="M26" s="189"/>
      <c r="N26" s="185"/>
      <c r="W26" s="190"/>
    </row>
    <row r="27" spans="2:23" x14ac:dyDescent="0.25">
      <c r="B27" s="185">
        <v>44547</v>
      </c>
      <c r="C27" s="185">
        <v>44911</v>
      </c>
      <c r="D27" s="185">
        <v>45278</v>
      </c>
      <c r="E27" s="185">
        <v>45646</v>
      </c>
      <c r="F27" s="183" t="s">
        <v>354</v>
      </c>
      <c r="G27" s="192"/>
      <c r="I27" s="185">
        <v>44547</v>
      </c>
      <c r="J27" s="185">
        <v>44897</v>
      </c>
      <c r="K27" s="186">
        <v>45271</v>
      </c>
      <c r="L27" s="189">
        <v>45631</v>
      </c>
      <c r="M27" s="189"/>
      <c r="N27" s="185"/>
      <c r="W27" s="190"/>
    </row>
    <row r="28" spans="2:23" x14ac:dyDescent="0.25">
      <c r="B28" s="185">
        <v>44560</v>
      </c>
      <c r="C28" s="185">
        <v>44925</v>
      </c>
      <c r="D28" s="185">
        <v>45289</v>
      </c>
      <c r="E28" s="206">
        <v>45659</v>
      </c>
      <c r="F28" s="185"/>
      <c r="G28" s="192"/>
      <c r="I28" s="185">
        <v>44560</v>
      </c>
      <c r="J28" s="185">
        <v>44911</v>
      </c>
      <c r="K28" s="186">
        <v>45278</v>
      </c>
      <c r="L28" s="189">
        <v>45646</v>
      </c>
      <c r="M28" s="189"/>
      <c r="N28" s="185"/>
      <c r="W28" s="190"/>
    </row>
    <row r="29" spans="2:23" x14ac:dyDescent="0.25">
      <c r="B29" s="185"/>
      <c r="C29" s="185"/>
      <c r="D29" s="185"/>
      <c r="E29" s="185"/>
      <c r="F29" s="185"/>
      <c r="G29" s="192"/>
      <c r="I29" s="183" t="s">
        <v>354</v>
      </c>
      <c r="J29" s="185">
        <v>44925</v>
      </c>
      <c r="K29" s="186">
        <v>45289</v>
      </c>
      <c r="L29" s="183" t="s">
        <v>354</v>
      </c>
      <c r="M29" s="185"/>
      <c r="N29" s="185"/>
      <c r="W29" s="190"/>
    </row>
    <row r="30" spans="2:23" ht="15" customHeight="1" x14ac:dyDescent="0.25">
      <c r="W30" s="190"/>
    </row>
    <row r="31" spans="2:23" x14ac:dyDescent="0.25">
      <c r="B31" s="193" t="s">
        <v>220</v>
      </c>
      <c r="W31" s="190"/>
    </row>
    <row r="32" spans="2:23" x14ac:dyDescent="0.25">
      <c r="B32" s="194" t="s">
        <v>361</v>
      </c>
      <c r="W32" s="190"/>
    </row>
    <row r="33" spans="2:23" ht="5.0999999999999996" customHeight="1" x14ac:dyDescent="0.25">
      <c r="W33" s="190"/>
    </row>
    <row r="34" spans="2:23" x14ac:dyDescent="0.25">
      <c r="B34" s="195" t="s">
        <v>342</v>
      </c>
      <c r="W34" s="190"/>
    </row>
    <row r="35" spans="2:23" x14ac:dyDescent="0.25">
      <c r="W35" s="190"/>
    </row>
    <row r="36" spans="2:23" x14ac:dyDescent="0.25">
      <c r="W36" s="190"/>
    </row>
    <row r="37" spans="2:23" x14ac:dyDescent="0.25">
      <c r="P37" s="190"/>
      <c r="W37" s="190"/>
    </row>
    <row r="38" spans="2:23" x14ac:dyDescent="0.25">
      <c r="P38" s="190"/>
      <c r="W38" s="190"/>
    </row>
    <row r="39" spans="2:23" x14ac:dyDescent="0.25">
      <c r="P39" s="190"/>
      <c r="W39" s="190"/>
    </row>
    <row r="40" spans="2:23" x14ac:dyDescent="0.25">
      <c r="P40" s="190"/>
      <c r="W40" s="190"/>
    </row>
    <row r="41" spans="2:23" x14ac:dyDescent="0.25">
      <c r="P41" s="190"/>
      <c r="W41" s="190"/>
    </row>
    <row r="42" spans="2:23" x14ac:dyDescent="0.25">
      <c r="P42" s="190"/>
      <c r="W42" s="190"/>
    </row>
    <row r="43" spans="2:23" x14ac:dyDescent="0.25">
      <c r="P43" s="190"/>
      <c r="W43" s="190"/>
    </row>
    <row r="44" spans="2:23" x14ac:dyDescent="0.25">
      <c r="P44" s="190"/>
      <c r="W44" s="190"/>
    </row>
    <row r="45" spans="2:23" x14ac:dyDescent="0.25">
      <c r="P45" s="190"/>
      <c r="W45" s="190"/>
    </row>
    <row r="46" spans="2:23" x14ac:dyDescent="0.25">
      <c r="P46" s="190"/>
      <c r="W46" s="190"/>
    </row>
    <row r="47" spans="2:23" x14ac:dyDescent="0.25">
      <c r="P47" s="190"/>
      <c r="W47" s="190"/>
    </row>
    <row r="48" spans="2:23" x14ac:dyDescent="0.25">
      <c r="P48" s="190"/>
      <c r="W48" s="190"/>
    </row>
    <row r="49" spans="6:23" x14ac:dyDescent="0.25">
      <c r="P49" s="190"/>
      <c r="W49" s="190"/>
    </row>
    <row r="50" spans="6:23" x14ac:dyDescent="0.25">
      <c r="P50" s="190"/>
      <c r="W50" s="190"/>
    </row>
    <row r="51" spans="6:23" x14ac:dyDescent="0.25">
      <c r="P51" s="190"/>
      <c r="W51" s="190"/>
    </row>
    <row r="52" spans="6:23" x14ac:dyDescent="0.25">
      <c r="F52"/>
      <c r="P52" s="190"/>
      <c r="W52" s="190"/>
    </row>
    <row r="53" spans="6:23" x14ac:dyDescent="0.25">
      <c r="F53"/>
      <c r="P53" s="190"/>
      <c r="W53" s="190"/>
    </row>
    <row r="54" spans="6:23" x14ac:dyDescent="0.25">
      <c r="F54"/>
      <c r="P54" s="190"/>
      <c r="W54" s="190"/>
    </row>
    <row r="55" spans="6:23" x14ac:dyDescent="0.25">
      <c r="F55"/>
      <c r="P55" s="190"/>
      <c r="W55" s="190"/>
    </row>
    <row r="56" spans="6:23" x14ac:dyDescent="0.25">
      <c r="F56"/>
      <c r="P56" s="190"/>
      <c r="W56" s="190"/>
    </row>
    <row r="57" spans="6:23" x14ac:dyDescent="0.25">
      <c r="F57"/>
      <c r="P57" s="190"/>
      <c r="W57" s="190"/>
    </row>
    <row r="58" spans="6:23" x14ac:dyDescent="0.25">
      <c r="F58"/>
      <c r="P58" s="190"/>
      <c r="W58" s="190"/>
    </row>
    <row r="59" spans="6:23" x14ac:dyDescent="0.25">
      <c r="F59"/>
      <c r="P59" s="190"/>
      <c r="W59" s="190"/>
    </row>
    <row r="60" spans="6:23" x14ac:dyDescent="0.25">
      <c r="F60"/>
      <c r="P60" s="190"/>
      <c r="W60" s="190"/>
    </row>
    <row r="61" spans="6:23" x14ac:dyDescent="0.25">
      <c r="F61"/>
      <c r="P61" s="190"/>
      <c r="W61" s="190"/>
    </row>
    <row r="62" spans="6:23" x14ac:dyDescent="0.25">
      <c r="F62"/>
      <c r="P62" s="190"/>
      <c r="W62" s="190"/>
    </row>
    <row r="63" spans="6:23" x14ac:dyDescent="0.25">
      <c r="F63"/>
      <c r="P63" s="190"/>
      <c r="W63" s="190"/>
    </row>
    <row r="64" spans="6:23" x14ac:dyDescent="0.25">
      <c r="F64"/>
      <c r="P64" s="190"/>
      <c r="W64" s="190"/>
    </row>
    <row r="65" spans="6:23" x14ac:dyDescent="0.25">
      <c r="F65"/>
      <c r="P65" s="190"/>
      <c r="W65" s="190"/>
    </row>
    <row r="66" spans="6:23" x14ac:dyDescent="0.25">
      <c r="F66"/>
      <c r="P66" s="190"/>
      <c r="W66" s="190"/>
    </row>
    <row r="67" spans="6:23" x14ac:dyDescent="0.25">
      <c r="F67"/>
      <c r="P67" s="190"/>
      <c r="W67" s="190"/>
    </row>
    <row r="68" spans="6:23" x14ac:dyDescent="0.25">
      <c r="F68"/>
      <c r="P68" s="190"/>
      <c r="W68" s="190"/>
    </row>
    <row r="69" spans="6:23" x14ac:dyDescent="0.25">
      <c r="F69"/>
      <c r="P69" s="190"/>
    </row>
    <row r="70" spans="6:23" x14ac:dyDescent="0.25">
      <c r="F70"/>
      <c r="P70" s="190"/>
    </row>
    <row r="71" spans="6:23" x14ac:dyDescent="0.25">
      <c r="F71"/>
      <c r="P71" s="190"/>
    </row>
    <row r="72" spans="6:23" x14ac:dyDescent="0.25">
      <c r="F72"/>
      <c r="P72" s="190"/>
    </row>
    <row r="73" spans="6:23" x14ac:dyDescent="0.25">
      <c r="F73"/>
      <c r="P73" s="190"/>
    </row>
    <row r="74" spans="6:23" x14ac:dyDescent="0.25">
      <c r="F74"/>
      <c r="P74" s="190"/>
    </row>
    <row r="75" spans="6:23" x14ac:dyDescent="0.25">
      <c r="F75"/>
      <c r="P75" s="190"/>
    </row>
    <row r="76" spans="6:23" x14ac:dyDescent="0.25">
      <c r="F76"/>
      <c r="P76" s="190"/>
    </row>
    <row r="77" spans="6:23" x14ac:dyDescent="0.25">
      <c r="F77"/>
      <c r="P77" s="190"/>
    </row>
    <row r="78" spans="6:23" x14ac:dyDescent="0.25">
      <c r="F78"/>
      <c r="P78" s="190"/>
    </row>
    <row r="79" spans="6:23" x14ac:dyDescent="0.25">
      <c r="F79"/>
      <c r="P79" s="190"/>
    </row>
    <row r="80" spans="6:23" x14ac:dyDescent="0.25">
      <c r="F80"/>
      <c r="P80" s="190"/>
    </row>
    <row r="81" spans="6:16" x14ac:dyDescent="0.25">
      <c r="F81"/>
      <c r="P81" s="190"/>
    </row>
    <row r="82" spans="6:16" x14ac:dyDescent="0.25">
      <c r="F82"/>
      <c r="P82" s="190"/>
    </row>
    <row r="83" spans="6:16" x14ac:dyDescent="0.25">
      <c r="F83"/>
      <c r="P83" s="190"/>
    </row>
    <row r="84" spans="6:16" x14ac:dyDescent="0.25">
      <c r="F84"/>
      <c r="P84" s="190"/>
    </row>
    <row r="85" spans="6:16" x14ac:dyDescent="0.25">
      <c r="F85"/>
      <c r="P85" s="190"/>
    </row>
    <row r="86" spans="6:16" x14ac:dyDescent="0.25">
      <c r="F86"/>
      <c r="P86" s="190"/>
    </row>
    <row r="87" spans="6:16" x14ac:dyDescent="0.25">
      <c r="F87"/>
      <c r="P87" s="190"/>
    </row>
    <row r="88" spans="6:16" x14ac:dyDescent="0.25">
      <c r="F88"/>
      <c r="P88" s="190"/>
    </row>
    <row r="89" spans="6:16" x14ac:dyDescent="0.25">
      <c r="F89"/>
      <c r="P89" s="190"/>
    </row>
    <row r="90" spans="6:16" x14ac:dyDescent="0.25">
      <c r="F90"/>
      <c r="P90" s="190"/>
    </row>
    <row r="91" spans="6:16" x14ac:dyDescent="0.25">
      <c r="F91"/>
      <c r="P91" s="190"/>
    </row>
    <row r="92" spans="6:16" x14ac:dyDescent="0.25">
      <c r="F92"/>
      <c r="P92" s="190"/>
    </row>
    <row r="93" spans="6:16" x14ac:dyDescent="0.25">
      <c r="F93"/>
      <c r="P93" s="190"/>
    </row>
    <row r="94" spans="6:16" x14ac:dyDescent="0.25">
      <c r="F94"/>
      <c r="P94" s="190"/>
    </row>
    <row r="95" spans="6:16" x14ac:dyDescent="0.25">
      <c r="F95"/>
      <c r="P95" s="190"/>
    </row>
    <row r="96" spans="6:16" x14ac:dyDescent="0.25">
      <c r="F96"/>
      <c r="P96" s="190"/>
    </row>
    <row r="97" spans="6:16" x14ac:dyDescent="0.25">
      <c r="F97"/>
      <c r="P97" s="190"/>
    </row>
    <row r="98" spans="6:16" x14ac:dyDescent="0.25">
      <c r="F98"/>
      <c r="P98" s="190"/>
    </row>
    <row r="99" spans="6:16" x14ac:dyDescent="0.25">
      <c r="F99"/>
      <c r="P99" s="190"/>
    </row>
    <row r="100" spans="6:16" x14ac:dyDescent="0.25">
      <c r="F100"/>
      <c r="P100" s="190"/>
    </row>
    <row r="101" spans="6:16" x14ac:dyDescent="0.25">
      <c r="F101"/>
      <c r="P101" s="190"/>
    </row>
    <row r="102" spans="6:16" x14ac:dyDescent="0.25">
      <c r="F102"/>
      <c r="P102" s="190"/>
    </row>
    <row r="103" spans="6:16" x14ac:dyDescent="0.25">
      <c r="F103"/>
      <c r="P103" s="190"/>
    </row>
    <row r="104" spans="6:16" x14ac:dyDescent="0.25">
      <c r="F104"/>
      <c r="P104" s="190"/>
    </row>
    <row r="105" spans="6:16" x14ac:dyDescent="0.25">
      <c r="F105"/>
      <c r="P105" s="190"/>
    </row>
    <row r="106" spans="6:16" x14ac:dyDescent="0.25">
      <c r="F106"/>
      <c r="P106" s="190"/>
    </row>
    <row r="107" spans="6:16" x14ac:dyDescent="0.25">
      <c r="F107"/>
      <c r="P107" s="190"/>
    </row>
    <row r="108" spans="6:16" x14ac:dyDescent="0.25">
      <c r="F108"/>
      <c r="P108" s="190"/>
    </row>
    <row r="109" spans="6:16" x14ac:dyDescent="0.25">
      <c r="F109"/>
      <c r="P109" s="190"/>
    </row>
    <row r="110" spans="6:16" x14ac:dyDescent="0.25">
      <c r="F110"/>
      <c r="P110" s="190"/>
    </row>
    <row r="111" spans="6:16" x14ac:dyDescent="0.25">
      <c r="F111"/>
      <c r="P111" s="190"/>
    </row>
    <row r="112" spans="6:16" x14ac:dyDescent="0.25">
      <c r="F112"/>
      <c r="P112" s="190"/>
    </row>
    <row r="113" spans="6:16" x14ac:dyDescent="0.25">
      <c r="F113"/>
      <c r="P113" s="190"/>
    </row>
    <row r="114" spans="6:16" x14ac:dyDescent="0.25">
      <c r="F114"/>
      <c r="P114" s="190"/>
    </row>
    <row r="115" spans="6:16" x14ac:dyDescent="0.25">
      <c r="F115"/>
      <c r="P115" s="190"/>
    </row>
    <row r="116" spans="6:16" x14ac:dyDescent="0.25">
      <c r="F116"/>
      <c r="P116" s="190"/>
    </row>
    <row r="117" spans="6:16" x14ac:dyDescent="0.25">
      <c r="F117"/>
      <c r="P117" s="190"/>
    </row>
    <row r="118" spans="6:16" x14ac:dyDescent="0.25">
      <c r="F118"/>
      <c r="P118" s="190"/>
    </row>
    <row r="119" spans="6:16" x14ac:dyDescent="0.25">
      <c r="F119"/>
      <c r="P119" s="190"/>
    </row>
    <row r="120" spans="6:16" x14ac:dyDescent="0.25">
      <c r="F120"/>
      <c r="P120" s="190"/>
    </row>
    <row r="121" spans="6:16" x14ac:dyDescent="0.25">
      <c r="F121"/>
      <c r="P121" s="190"/>
    </row>
    <row r="122" spans="6:16" x14ac:dyDescent="0.25">
      <c r="F122"/>
      <c r="P122" s="190"/>
    </row>
    <row r="123" spans="6:16" x14ac:dyDescent="0.25">
      <c r="F123"/>
      <c r="P123" s="190"/>
    </row>
    <row r="124" spans="6:16" x14ac:dyDescent="0.25">
      <c r="F124"/>
      <c r="P124" s="190"/>
    </row>
    <row r="125" spans="6:16" x14ac:dyDescent="0.25">
      <c r="F125"/>
      <c r="P125" s="190"/>
    </row>
    <row r="126" spans="6:16" x14ac:dyDescent="0.25">
      <c r="F126"/>
      <c r="P126" s="190"/>
    </row>
    <row r="127" spans="6:16" x14ac:dyDescent="0.25">
      <c r="F127"/>
      <c r="P127" s="190"/>
    </row>
    <row r="128" spans="6:16" x14ac:dyDescent="0.25">
      <c r="F128"/>
      <c r="P128" s="190"/>
    </row>
    <row r="129" spans="6:16" x14ac:dyDescent="0.25">
      <c r="F129"/>
      <c r="P129" s="190"/>
    </row>
    <row r="130" spans="6:16" x14ac:dyDescent="0.25">
      <c r="F130"/>
      <c r="P130" s="190"/>
    </row>
    <row r="131" spans="6:16" x14ac:dyDescent="0.25">
      <c r="F131"/>
      <c r="P131" s="190"/>
    </row>
    <row r="132" spans="6:16" x14ac:dyDescent="0.25">
      <c r="F132"/>
      <c r="P132" s="190"/>
    </row>
    <row r="133" spans="6:16" x14ac:dyDescent="0.25">
      <c r="F133"/>
      <c r="P133" s="190"/>
    </row>
    <row r="134" spans="6:16" x14ac:dyDescent="0.25">
      <c r="F134"/>
      <c r="P134" s="190"/>
    </row>
    <row r="135" spans="6:16" x14ac:dyDescent="0.25">
      <c r="F135"/>
      <c r="P135" s="190"/>
    </row>
    <row r="136" spans="6:16" x14ac:dyDescent="0.25">
      <c r="F136"/>
      <c r="P136" s="190"/>
    </row>
    <row r="137" spans="6:16" x14ac:dyDescent="0.25">
      <c r="F137"/>
      <c r="P137" s="190"/>
    </row>
    <row r="138" spans="6:16" x14ac:dyDescent="0.25">
      <c r="F138"/>
      <c r="P138" s="190"/>
    </row>
    <row r="139" spans="6:16" x14ac:dyDescent="0.25">
      <c r="F139"/>
      <c r="P139" s="190"/>
    </row>
    <row r="140" spans="6:16" x14ac:dyDescent="0.25">
      <c r="F140"/>
      <c r="P140" s="190"/>
    </row>
    <row r="141" spans="6:16" x14ac:dyDescent="0.25">
      <c r="F141"/>
      <c r="P141" s="190"/>
    </row>
    <row r="142" spans="6:16" x14ac:dyDescent="0.25">
      <c r="F142"/>
      <c r="P142" s="190"/>
    </row>
    <row r="143" spans="6:16" x14ac:dyDescent="0.25">
      <c r="F143"/>
      <c r="P143" s="190"/>
    </row>
    <row r="144" spans="6:16" x14ac:dyDescent="0.25">
      <c r="F144"/>
      <c r="P144" s="190"/>
    </row>
    <row r="145" spans="6:16" x14ac:dyDescent="0.25">
      <c r="F145"/>
      <c r="P145" s="190"/>
    </row>
    <row r="146" spans="6:16" x14ac:dyDescent="0.25">
      <c r="F146"/>
      <c r="P146" s="190"/>
    </row>
    <row r="147" spans="6:16" x14ac:dyDescent="0.25">
      <c r="F147"/>
      <c r="P147" s="190"/>
    </row>
    <row r="148" spans="6:16" x14ac:dyDescent="0.25">
      <c r="F148"/>
      <c r="P148" s="190"/>
    </row>
    <row r="149" spans="6:16" x14ac:dyDescent="0.25">
      <c r="F149"/>
      <c r="P149" s="190"/>
    </row>
    <row r="150" spans="6:16" x14ac:dyDescent="0.25">
      <c r="F150"/>
      <c r="P150" s="190"/>
    </row>
    <row r="151" spans="6:16" x14ac:dyDescent="0.25">
      <c r="F151"/>
      <c r="P151" s="190"/>
    </row>
    <row r="152" spans="6:16" x14ac:dyDescent="0.25">
      <c r="F152"/>
      <c r="P152" s="190"/>
    </row>
    <row r="153" spans="6:16" x14ac:dyDescent="0.25">
      <c r="F153"/>
      <c r="P153" s="190"/>
    </row>
    <row r="154" spans="6:16" x14ac:dyDescent="0.25">
      <c r="F154"/>
      <c r="P154" s="190"/>
    </row>
    <row r="155" spans="6:16" x14ac:dyDescent="0.25">
      <c r="F155"/>
      <c r="P155" s="190"/>
    </row>
    <row r="156" spans="6:16" x14ac:dyDescent="0.25">
      <c r="F156"/>
      <c r="P156" s="190"/>
    </row>
    <row r="157" spans="6:16" x14ac:dyDescent="0.25">
      <c r="F157"/>
      <c r="P157" s="190"/>
    </row>
    <row r="158" spans="6:16" x14ac:dyDescent="0.25">
      <c r="F158"/>
      <c r="P158" s="190"/>
    </row>
    <row r="159" spans="6:16" x14ac:dyDescent="0.25">
      <c r="F159"/>
      <c r="P159" s="190"/>
    </row>
    <row r="160" spans="6:16" x14ac:dyDescent="0.25">
      <c r="F160"/>
      <c r="P160" s="190"/>
    </row>
    <row r="161" spans="6:16" x14ac:dyDescent="0.25">
      <c r="F161"/>
      <c r="P161" s="190"/>
    </row>
    <row r="162" spans="6:16" x14ac:dyDescent="0.25">
      <c r="F162"/>
      <c r="P162" s="190"/>
    </row>
    <row r="163" spans="6:16" x14ac:dyDescent="0.25">
      <c r="F163"/>
      <c r="P163" s="190"/>
    </row>
    <row r="164" spans="6:16" x14ac:dyDescent="0.25">
      <c r="F164"/>
      <c r="P164" s="190"/>
    </row>
    <row r="165" spans="6:16" x14ac:dyDescent="0.25">
      <c r="F165"/>
      <c r="P165" s="190"/>
    </row>
    <row r="166" spans="6:16" x14ac:dyDescent="0.25">
      <c r="F166"/>
      <c r="P166" s="190"/>
    </row>
    <row r="167" spans="6:16" x14ac:dyDescent="0.25">
      <c r="F167"/>
      <c r="P167" s="190"/>
    </row>
    <row r="168" spans="6:16" x14ac:dyDescent="0.25">
      <c r="F168"/>
      <c r="P168" s="190"/>
    </row>
    <row r="169" spans="6:16" x14ac:dyDescent="0.25">
      <c r="F169"/>
      <c r="P169" s="190"/>
    </row>
    <row r="170" spans="6:16" x14ac:dyDescent="0.25">
      <c r="F170"/>
      <c r="P170" s="190"/>
    </row>
    <row r="171" spans="6:16" x14ac:dyDescent="0.25">
      <c r="F171"/>
      <c r="P171" s="190"/>
    </row>
    <row r="172" spans="6:16" x14ac:dyDescent="0.25">
      <c r="F172"/>
      <c r="P172" s="190"/>
    </row>
    <row r="173" spans="6:16" x14ac:dyDescent="0.25">
      <c r="F173"/>
      <c r="P173" s="190"/>
    </row>
    <row r="174" spans="6:16" x14ac:dyDescent="0.25">
      <c r="F174"/>
      <c r="P174" s="190"/>
    </row>
    <row r="175" spans="6:16" x14ac:dyDescent="0.25">
      <c r="F175"/>
      <c r="P175" s="190"/>
    </row>
    <row r="176" spans="6:16" x14ac:dyDescent="0.25">
      <c r="F176"/>
      <c r="P176" s="190"/>
    </row>
    <row r="177" spans="6:16" x14ac:dyDescent="0.25">
      <c r="F177"/>
      <c r="P177" s="190"/>
    </row>
    <row r="178" spans="6:16" x14ac:dyDescent="0.25">
      <c r="F178"/>
      <c r="P178" s="190"/>
    </row>
    <row r="179" spans="6:16" x14ac:dyDescent="0.25">
      <c r="F179"/>
      <c r="P179" s="190"/>
    </row>
    <row r="180" spans="6:16" x14ac:dyDescent="0.25">
      <c r="F180"/>
      <c r="P180" s="190"/>
    </row>
    <row r="181" spans="6:16" x14ac:dyDescent="0.25">
      <c r="F181"/>
      <c r="P181" s="190"/>
    </row>
    <row r="182" spans="6:16" x14ac:dyDescent="0.25">
      <c r="F182"/>
      <c r="P182" s="190"/>
    </row>
    <row r="183" spans="6:16" x14ac:dyDescent="0.25">
      <c r="F183"/>
      <c r="P183" s="190"/>
    </row>
    <row r="184" spans="6:16" x14ac:dyDescent="0.25">
      <c r="F184"/>
      <c r="P184" s="190"/>
    </row>
    <row r="185" spans="6:16" x14ac:dyDescent="0.25">
      <c r="F185"/>
      <c r="P185" s="190"/>
    </row>
    <row r="186" spans="6:16" x14ac:dyDescent="0.25">
      <c r="F186"/>
      <c r="P186" s="190"/>
    </row>
    <row r="187" spans="6:16" x14ac:dyDescent="0.25">
      <c r="F187"/>
      <c r="P187" s="190"/>
    </row>
    <row r="188" spans="6:16" x14ac:dyDescent="0.25">
      <c r="F188"/>
      <c r="P188" s="190"/>
    </row>
    <row r="189" spans="6:16" x14ac:dyDescent="0.25">
      <c r="F189"/>
      <c r="P189" s="190"/>
    </row>
    <row r="190" spans="6:16" x14ac:dyDescent="0.25">
      <c r="F190"/>
      <c r="P190" s="190"/>
    </row>
    <row r="191" spans="6:16" x14ac:dyDescent="0.25">
      <c r="F191"/>
      <c r="P191" s="190"/>
    </row>
    <row r="192" spans="6:16" x14ac:dyDescent="0.25">
      <c r="F192"/>
      <c r="P192" s="190"/>
    </row>
    <row r="193" spans="6:16" x14ac:dyDescent="0.25">
      <c r="F193"/>
      <c r="P193" s="190"/>
    </row>
    <row r="194" spans="6:16" x14ac:dyDescent="0.25">
      <c r="F194"/>
      <c r="P194" s="190"/>
    </row>
    <row r="195" spans="6:16" x14ac:dyDescent="0.25">
      <c r="F195"/>
      <c r="P195" s="190"/>
    </row>
    <row r="196" spans="6:16" x14ac:dyDescent="0.25">
      <c r="F196"/>
      <c r="P196" s="190"/>
    </row>
    <row r="197" spans="6:16" x14ac:dyDescent="0.25">
      <c r="F197"/>
      <c r="P197" s="190"/>
    </row>
    <row r="198" spans="6:16" x14ac:dyDescent="0.25">
      <c r="F198"/>
      <c r="P198" s="190"/>
    </row>
    <row r="199" spans="6:16" x14ac:dyDescent="0.25">
      <c r="F199"/>
      <c r="P199" s="190"/>
    </row>
    <row r="200" spans="6:16" x14ac:dyDescent="0.25">
      <c r="F200"/>
      <c r="P200" s="190"/>
    </row>
    <row r="201" spans="6:16" x14ac:dyDescent="0.25">
      <c r="F201"/>
      <c r="P201" s="190"/>
    </row>
    <row r="202" spans="6:16" x14ac:dyDescent="0.25">
      <c r="F202"/>
      <c r="P202" s="190"/>
    </row>
    <row r="203" spans="6:16" x14ac:dyDescent="0.25">
      <c r="F203"/>
      <c r="P203" s="190"/>
    </row>
    <row r="204" spans="6:16" x14ac:dyDescent="0.25">
      <c r="F204"/>
      <c r="P204" s="190"/>
    </row>
    <row r="205" spans="6:16" x14ac:dyDescent="0.25">
      <c r="F205"/>
      <c r="P205" s="190"/>
    </row>
    <row r="206" spans="6:16" x14ac:dyDescent="0.25">
      <c r="F206"/>
      <c r="P206" s="190"/>
    </row>
    <row r="207" spans="6:16" x14ac:dyDescent="0.25">
      <c r="F207"/>
      <c r="P207" s="190"/>
    </row>
    <row r="208" spans="6:16" x14ac:dyDescent="0.25">
      <c r="F208"/>
      <c r="P208" s="190"/>
    </row>
    <row r="209" spans="6:16" x14ac:dyDescent="0.25">
      <c r="F209"/>
      <c r="P209" s="190"/>
    </row>
    <row r="210" spans="6:16" x14ac:dyDescent="0.25">
      <c r="F210"/>
      <c r="P210" s="190"/>
    </row>
    <row r="211" spans="6:16" x14ac:dyDescent="0.25">
      <c r="F211"/>
      <c r="P211" s="190"/>
    </row>
    <row r="212" spans="6:16" x14ac:dyDescent="0.25">
      <c r="F212"/>
      <c r="P212" s="190"/>
    </row>
    <row r="213" spans="6:16" x14ac:dyDescent="0.25">
      <c r="F213"/>
      <c r="P213" s="190"/>
    </row>
    <row r="214" spans="6:16" x14ac:dyDescent="0.25">
      <c r="F214"/>
      <c r="P214" s="190"/>
    </row>
    <row r="215" spans="6:16" x14ac:dyDescent="0.25">
      <c r="F215"/>
      <c r="P215" s="190"/>
    </row>
    <row r="216" spans="6:16" x14ac:dyDescent="0.25">
      <c r="F216"/>
      <c r="P216" s="190"/>
    </row>
    <row r="217" spans="6:16" x14ac:dyDescent="0.25">
      <c r="F217"/>
      <c r="P217" s="190"/>
    </row>
    <row r="218" spans="6:16" x14ac:dyDescent="0.25">
      <c r="F218"/>
      <c r="P218" s="190"/>
    </row>
    <row r="219" spans="6:16" x14ac:dyDescent="0.25">
      <c r="F219"/>
      <c r="P219" s="190"/>
    </row>
    <row r="220" spans="6:16" x14ac:dyDescent="0.25">
      <c r="F220"/>
      <c r="P220" s="190"/>
    </row>
    <row r="221" spans="6:16" x14ac:dyDescent="0.25">
      <c r="F221"/>
      <c r="P221" s="190"/>
    </row>
    <row r="222" spans="6:16" x14ac:dyDescent="0.25">
      <c r="F222"/>
      <c r="P222" s="190"/>
    </row>
    <row r="223" spans="6:16" x14ac:dyDescent="0.25">
      <c r="F223"/>
      <c r="P223" s="190"/>
    </row>
    <row r="224" spans="6:16" x14ac:dyDescent="0.25">
      <c r="F224"/>
      <c r="P224" s="190"/>
    </row>
    <row r="225" spans="6:16" x14ac:dyDescent="0.25">
      <c r="F225"/>
      <c r="P225" s="190"/>
    </row>
    <row r="226" spans="6:16" x14ac:dyDescent="0.25">
      <c r="F226"/>
      <c r="P226" s="190"/>
    </row>
    <row r="227" spans="6:16" x14ac:dyDescent="0.25">
      <c r="F227"/>
      <c r="P227" s="190"/>
    </row>
    <row r="228" spans="6:16" x14ac:dyDescent="0.25">
      <c r="F228"/>
      <c r="P228" s="190"/>
    </row>
    <row r="229" spans="6:16" x14ac:dyDescent="0.25">
      <c r="F229"/>
      <c r="P229" s="190"/>
    </row>
    <row r="230" spans="6:16" x14ac:dyDescent="0.25">
      <c r="F230"/>
      <c r="P230" s="190"/>
    </row>
    <row r="231" spans="6:16" x14ac:dyDescent="0.25">
      <c r="F231"/>
      <c r="P231" s="190"/>
    </row>
    <row r="232" spans="6:16" x14ac:dyDescent="0.25">
      <c r="F232"/>
      <c r="P232" s="190"/>
    </row>
    <row r="233" spans="6:16" x14ac:dyDescent="0.25">
      <c r="F233"/>
      <c r="P233" s="190"/>
    </row>
    <row r="234" spans="6:16" x14ac:dyDescent="0.25">
      <c r="F234"/>
      <c r="P234" s="190"/>
    </row>
    <row r="235" spans="6:16" x14ac:dyDescent="0.25">
      <c r="F235"/>
      <c r="P235" s="190"/>
    </row>
    <row r="236" spans="6:16" x14ac:dyDescent="0.25">
      <c r="F236"/>
      <c r="P236" s="190"/>
    </row>
    <row r="237" spans="6:16" x14ac:dyDescent="0.25">
      <c r="F237"/>
      <c r="P237" s="190"/>
    </row>
    <row r="238" spans="6:16" x14ac:dyDescent="0.25">
      <c r="F238"/>
      <c r="P238" s="190"/>
    </row>
    <row r="239" spans="6:16" x14ac:dyDescent="0.25">
      <c r="F239"/>
      <c r="P239" s="190"/>
    </row>
    <row r="240" spans="6:16" x14ac:dyDescent="0.25">
      <c r="F240"/>
      <c r="P240" s="190"/>
    </row>
    <row r="241" spans="6:16" x14ac:dyDescent="0.25">
      <c r="F241"/>
      <c r="P241" s="190"/>
    </row>
    <row r="242" spans="6:16" x14ac:dyDescent="0.25">
      <c r="F242"/>
      <c r="P242" s="190"/>
    </row>
    <row r="243" spans="6:16" x14ac:dyDescent="0.25">
      <c r="F243"/>
      <c r="P243" s="190"/>
    </row>
    <row r="244" spans="6:16" x14ac:dyDescent="0.25">
      <c r="F244"/>
      <c r="P244" s="190"/>
    </row>
    <row r="245" spans="6:16" x14ac:dyDescent="0.25">
      <c r="F245"/>
      <c r="P245" s="190"/>
    </row>
    <row r="246" spans="6:16" x14ac:dyDescent="0.25">
      <c r="F246"/>
      <c r="P246" s="190"/>
    </row>
    <row r="247" spans="6:16" x14ac:dyDescent="0.25">
      <c r="F247"/>
      <c r="P247" s="190"/>
    </row>
    <row r="248" spans="6:16" x14ac:dyDescent="0.25">
      <c r="F248"/>
      <c r="P248" s="190"/>
    </row>
    <row r="249" spans="6:16" x14ac:dyDescent="0.25">
      <c r="F249"/>
      <c r="P249" s="190"/>
    </row>
    <row r="250" spans="6:16" x14ac:dyDescent="0.25">
      <c r="F250"/>
      <c r="P250" s="190"/>
    </row>
    <row r="251" spans="6:16" x14ac:dyDescent="0.25">
      <c r="F251"/>
      <c r="P251" s="190"/>
    </row>
    <row r="252" spans="6:16" x14ac:dyDescent="0.25">
      <c r="F252"/>
      <c r="P252" s="190"/>
    </row>
    <row r="253" spans="6:16" x14ac:dyDescent="0.25">
      <c r="F253"/>
      <c r="P253" s="190"/>
    </row>
    <row r="254" spans="6:16" x14ac:dyDescent="0.25">
      <c r="F254"/>
      <c r="P254" s="190"/>
    </row>
    <row r="255" spans="6:16" x14ac:dyDescent="0.25">
      <c r="F255"/>
      <c r="P255" s="190"/>
    </row>
    <row r="256" spans="6:16" x14ac:dyDescent="0.25">
      <c r="F256"/>
      <c r="P256" s="190"/>
    </row>
    <row r="257" spans="6:16" x14ac:dyDescent="0.25">
      <c r="F257"/>
      <c r="P257" s="190"/>
    </row>
    <row r="258" spans="6:16" x14ac:dyDescent="0.25">
      <c r="F258"/>
      <c r="P258" s="190"/>
    </row>
    <row r="259" spans="6:16" x14ac:dyDescent="0.25">
      <c r="F259"/>
      <c r="P259" s="190"/>
    </row>
    <row r="260" spans="6:16" x14ac:dyDescent="0.25">
      <c r="F260"/>
      <c r="P260" s="190"/>
    </row>
    <row r="261" spans="6:16" x14ac:dyDescent="0.25">
      <c r="F261"/>
      <c r="P261" s="190"/>
    </row>
    <row r="262" spans="6:16" x14ac:dyDescent="0.25">
      <c r="F262"/>
      <c r="P262" s="190"/>
    </row>
    <row r="263" spans="6:16" x14ac:dyDescent="0.25">
      <c r="F263"/>
      <c r="P263" s="190"/>
    </row>
    <row r="264" spans="6:16" x14ac:dyDescent="0.25">
      <c r="F264"/>
      <c r="P264" s="190"/>
    </row>
    <row r="265" spans="6:16" x14ac:dyDescent="0.25">
      <c r="F265"/>
      <c r="P265" s="190"/>
    </row>
    <row r="266" spans="6:16" x14ac:dyDescent="0.25">
      <c r="F266"/>
      <c r="P266" s="190"/>
    </row>
    <row r="267" spans="6:16" x14ac:dyDescent="0.25">
      <c r="F267"/>
      <c r="P267" s="190"/>
    </row>
    <row r="268" spans="6:16" x14ac:dyDescent="0.25">
      <c r="F268"/>
      <c r="P268" s="190"/>
    </row>
    <row r="269" spans="6:16" x14ac:dyDescent="0.25">
      <c r="F269"/>
      <c r="P269" s="190"/>
    </row>
    <row r="270" spans="6:16" x14ac:dyDescent="0.25">
      <c r="F270"/>
      <c r="P270" s="190"/>
    </row>
    <row r="271" spans="6:16" x14ac:dyDescent="0.25">
      <c r="F271"/>
      <c r="P271" s="190"/>
    </row>
    <row r="272" spans="6:16" x14ac:dyDescent="0.25">
      <c r="F272"/>
      <c r="P272" s="190"/>
    </row>
    <row r="273" spans="6:16" x14ac:dyDescent="0.25">
      <c r="F273"/>
      <c r="P273" s="190"/>
    </row>
    <row r="274" spans="6:16" x14ac:dyDescent="0.25">
      <c r="F274"/>
      <c r="P274" s="190"/>
    </row>
    <row r="275" spans="6:16" x14ac:dyDescent="0.25">
      <c r="F275"/>
      <c r="P275" s="190"/>
    </row>
    <row r="276" spans="6:16" x14ac:dyDescent="0.25">
      <c r="F276"/>
      <c r="P276" s="190"/>
    </row>
    <row r="277" spans="6:16" x14ac:dyDescent="0.25">
      <c r="F277"/>
      <c r="P277" s="190"/>
    </row>
    <row r="278" spans="6:16" x14ac:dyDescent="0.25">
      <c r="F278"/>
      <c r="P278" s="190"/>
    </row>
    <row r="279" spans="6:16" x14ac:dyDescent="0.25">
      <c r="F279"/>
      <c r="P279" s="190"/>
    </row>
    <row r="280" spans="6:16" x14ac:dyDescent="0.25">
      <c r="F280"/>
      <c r="P280" s="190"/>
    </row>
    <row r="281" spans="6:16" x14ac:dyDescent="0.25">
      <c r="F281"/>
      <c r="P281" s="190"/>
    </row>
    <row r="282" spans="6:16" x14ac:dyDescent="0.25">
      <c r="F282"/>
      <c r="P282" s="190"/>
    </row>
    <row r="283" spans="6:16" x14ac:dyDescent="0.25">
      <c r="F283"/>
      <c r="P283" s="190"/>
    </row>
    <row r="284" spans="6:16" x14ac:dyDescent="0.25">
      <c r="F284"/>
      <c r="P284" s="190"/>
    </row>
    <row r="285" spans="6:16" x14ac:dyDescent="0.25">
      <c r="F285"/>
      <c r="P285" s="190"/>
    </row>
    <row r="286" spans="6:16" x14ac:dyDescent="0.25">
      <c r="F286"/>
      <c r="P286" s="190"/>
    </row>
    <row r="287" spans="6:16" x14ac:dyDescent="0.25">
      <c r="F287"/>
      <c r="P287" s="190"/>
    </row>
    <row r="288" spans="6:16" x14ac:dyDescent="0.25">
      <c r="F288"/>
      <c r="P288" s="190"/>
    </row>
    <row r="289" spans="6:16" x14ac:dyDescent="0.25">
      <c r="F289"/>
      <c r="P289" s="190"/>
    </row>
    <row r="290" spans="6:16" x14ac:dyDescent="0.25">
      <c r="F290"/>
      <c r="P290" s="190"/>
    </row>
    <row r="291" spans="6:16" x14ac:dyDescent="0.25">
      <c r="F291"/>
      <c r="P291" s="190"/>
    </row>
    <row r="292" spans="6:16" x14ac:dyDescent="0.25">
      <c r="F292"/>
      <c r="P292" s="190"/>
    </row>
    <row r="293" spans="6:16" x14ac:dyDescent="0.25">
      <c r="F293"/>
      <c r="P293" s="190"/>
    </row>
    <row r="294" spans="6:16" x14ac:dyDescent="0.25">
      <c r="F294"/>
      <c r="P294" s="190"/>
    </row>
    <row r="295" spans="6:16" x14ac:dyDescent="0.25">
      <c r="F295"/>
      <c r="P295" s="190"/>
    </row>
    <row r="296" spans="6:16" x14ac:dyDescent="0.25">
      <c r="F296"/>
      <c r="P296" s="190"/>
    </row>
    <row r="297" spans="6:16" x14ac:dyDescent="0.25">
      <c r="F297"/>
      <c r="P297" s="190"/>
    </row>
    <row r="298" spans="6:16" x14ac:dyDescent="0.25">
      <c r="F298"/>
      <c r="P298" s="190"/>
    </row>
    <row r="299" spans="6:16" x14ac:dyDescent="0.25">
      <c r="F299"/>
      <c r="P299" s="190"/>
    </row>
    <row r="300" spans="6:16" x14ac:dyDescent="0.25">
      <c r="F300"/>
      <c r="P300" s="190"/>
    </row>
    <row r="301" spans="6:16" x14ac:dyDescent="0.25">
      <c r="F301"/>
      <c r="P301" s="190"/>
    </row>
    <row r="302" spans="6:16" x14ac:dyDescent="0.25">
      <c r="F302"/>
      <c r="P302" s="190"/>
    </row>
    <row r="303" spans="6:16" x14ac:dyDescent="0.25">
      <c r="F303"/>
      <c r="P303" s="190"/>
    </row>
    <row r="304" spans="6:16" x14ac:dyDescent="0.25">
      <c r="F304"/>
      <c r="P304" s="190"/>
    </row>
    <row r="305" spans="6:16" x14ac:dyDescent="0.25">
      <c r="F305"/>
      <c r="P305" s="190"/>
    </row>
    <row r="306" spans="6:16" x14ac:dyDescent="0.25">
      <c r="F306"/>
      <c r="P306" s="190"/>
    </row>
    <row r="307" spans="6:16" x14ac:dyDescent="0.25">
      <c r="F307"/>
      <c r="P307" s="190"/>
    </row>
    <row r="308" spans="6:16" x14ac:dyDescent="0.25">
      <c r="F308"/>
      <c r="P308" s="190"/>
    </row>
    <row r="309" spans="6:16" x14ac:dyDescent="0.25">
      <c r="F309"/>
      <c r="P309" s="190"/>
    </row>
    <row r="310" spans="6:16" x14ac:dyDescent="0.25">
      <c r="F310"/>
      <c r="P310" s="190"/>
    </row>
    <row r="311" spans="6:16" x14ac:dyDescent="0.25">
      <c r="F311"/>
      <c r="P311" s="190"/>
    </row>
    <row r="312" spans="6:16" x14ac:dyDescent="0.25">
      <c r="F312"/>
      <c r="P312" s="190"/>
    </row>
    <row r="313" spans="6:16" x14ac:dyDescent="0.25">
      <c r="F313"/>
      <c r="P313" s="190"/>
    </row>
    <row r="314" spans="6:16" x14ac:dyDescent="0.25">
      <c r="F314"/>
      <c r="P314" s="190"/>
    </row>
    <row r="315" spans="6:16" x14ac:dyDescent="0.25">
      <c r="F315"/>
      <c r="P315" s="190"/>
    </row>
    <row r="316" spans="6:16" x14ac:dyDescent="0.25">
      <c r="F316"/>
      <c r="P316" s="190"/>
    </row>
    <row r="317" spans="6:16" x14ac:dyDescent="0.25">
      <c r="F317"/>
      <c r="P317" s="190"/>
    </row>
    <row r="318" spans="6:16" x14ac:dyDescent="0.25">
      <c r="F318"/>
      <c r="P318" s="190"/>
    </row>
    <row r="319" spans="6:16" x14ac:dyDescent="0.25">
      <c r="F319"/>
      <c r="P319" s="190"/>
    </row>
    <row r="320" spans="6:16" x14ac:dyDescent="0.25">
      <c r="F320"/>
      <c r="P320" s="190"/>
    </row>
    <row r="321" spans="6:16" x14ac:dyDescent="0.25">
      <c r="F321"/>
      <c r="P321" s="190"/>
    </row>
    <row r="322" spans="6:16" x14ac:dyDescent="0.25">
      <c r="F322"/>
      <c r="P322" s="190"/>
    </row>
    <row r="323" spans="6:16" x14ac:dyDescent="0.25">
      <c r="F323"/>
      <c r="P323" s="190"/>
    </row>
    <row r="324" spans="6:16" x14ac:dyDescent="0.25">
      <c r="F324"/>
      <c r="P324" s="190"/>
    </row>
    <row r="325" spans="6:16" x14ac:dyDescent="0.25">
      <c r="F325"/>
      <c r="P325" s="190"/>
    </row>
    <row r="326" spans="6:16" x14ac:dyDescent="0.25">
      <c r="F326"/>
      <c r="P326" s="190"/>
    </row>
    <row r="327" spans="6:16" x14ac:dyDescent="0.25">
      <c r="F327"/>
      <c r="P327" s="190"/>
    </row>
    <row r="328" spans="6:16" x14ac:dyDescent="0.25">
      <c r="F328"/>
      <c r="P328" s="190"/>
    </row>
    <row r="329" spans="6:16" x14ac:dyDescent="0.25">
      <c r="F329"/>
      <c r="P329" s="190"/>
    </row>
    <row r="330" spans="6:16" x14ac:dyDescent="0.25">
      <c r="F330"/>
      <c r="P330" s="190"/>
    </row>
    <row r="331" spans="6:16" x14ac:dyDescent="0.25">
      <c r="F331"/>
      <c r="P331" s="190"/>
    </row>
    <row r="332" spans="6:16" x14ac:dyDescent="0.25">
      <c r="F332"/>
      <c r="P332" s="190"/>
    </row>
    <row r="333" spans="6:16" x14ac:dyDescent="0.25">
      <c r="F333"/>
      <c r="P333" s="190"/>
    </row>
    <row r="334" spans="6:16" x14ac:dyDescent="0.25">
      <c r="F334"/>
      <c r="P334" s="190"/>
    </row>
    <row r="335" spans="6:16" x14ac:dyDescent="0.25">
      <c r="F335"/>
      <c r="P335" s="190"/>
    </row>
    <row r="336" spans="6:16" x14ac:dyDescent="0.25">
      <c r="F336"/>
      <c r="P336" s="190"/>
    </row>
    <row r="337" spans="6:16" x14ac:dyDescent="0.25">
      <c r="F337"/>
      <c r="P337" s="190"/>
    </row>
    <row r="338" spans="6:16" x14ac:dyDescent="0.25">
      <c r="F338"/>
      <c r="P338" s="190"/>
    </row>
    <row r="339" spans="6:16" x14ac:dyDescent="0.25">
      <c r="F339"/>
      <c r="P339" s="190"/>
    </row>
    <row r="340" spans="6:16" x14ac:dyDescent="0.25">
      <c r="F340"/>
      <c r="P340" s="190"/>
    </row>
    <row r="341" spans="6:16" x14ac:dyDescent="0.25">
      <c r="F341"/>
      <c r="P341" s="190"/>
    </row>
    <row r="342" spans="6:16" x14ac:dyDescent="0.25">
      <c r="F342"/>
      <c r="P342" s="190"/>
    </row>
    <row r="343" spans="6:16" x14ac:dyDescent="0.25">
      <c r="F343"/>
      <c r="P343" s="190"/>
    </row>
    <row r="344" spans="6:16" x14ac:dyDescent="0.25">
      <c r="F344"/>
      <c r="P344" s="190"/>
    </row>
    <row r="345" spans="6:16" x14ac:dyDescent="0.25">
      <c r="F345"/>
      <c r="P345" s="190"/>
    </row>
    <row r="346" spans="6:16" x14ac:dyDescent="0.25">
      <c r="F346"/>
      <c r="P346" s="190"/>
    </row>
    <row r="347" spans="6:16" x14ac:dyDescent="0.25">
      <c r="F347"/>
      <c r="P347" s="190"/>
    </row>
    <row r="348" spans="6:16" x14ac:dyDescent="0.25">
      <c r="F348"/>
      <c r="P348" s="190"/>
    </row>
    <row r="349" spans="6:16" x14ac:dyDescent="0.25">
      <c r="F349"/>
      <c r="P349" s="190"/>
    </row>
    <row r="350" spans="6:16" x14ac:dyDescent="0.25">
      <c r="F350"/>
      <c r="P350" s="190"/>
    </row>
    <row r="351" spans="6:16" x14ac:dyDescent="0.25">
      <c r="F351"/>
      <c r="P351" s="190"/>
    </row>
    <row r="352" spans="6:16" x14ac:dyDescent="0.25">
      <c r="F352"/>
      <c r="P352" s="190"/>
    </row>
    <row r="353" spans="6:16" x14ac:dyDescent="0.25">
      <c r="F353"/>
      <c r="P353" s="190"/>
    </row>
    <row r="354" spans="6:16" x14ac:dyDescent="0.25">
      <c r="F354"/>
      <c r="P354" s="190"/>
    </row>
    <row r="355" spans="6:16" x14ac:dyDescent="0.25">
      <c r="F355"/>
      <c r="P355" s="190"/>
    </row>
    <row r="356" spans="6:16" x14ac:dyDescent="0.25">
      <c r="F356"/>
      <c r="P356" s="190"/>
    </row>
    <row r="357" spans="6:16" x14ac:dyDescent="0.25">
      <c r="F357"/>
      <c r="P357" s="190"/>
    </row>
    <row r="358" spans="6:16" x14ac:dyDescent="0.25">
      <c r="F358"/>
      <c r="P358" s="190"/>
    </row>
    <row r="359" spans="6:16" x14ac:dyDescent="0.25">
      <c r="F359"/>
      <c r="P359" s="190"/>
    </row>
    <row r="360" spans="6:16" x14ac:dyDescent="0.25">
      <c r="F360"/>
      <c r="P360" s="190"/>
    </row>
    <row r="361" spans="6:16" x14ac:dyDescent="0.25">
      <c r="F361"/>
      <c r="P361" s="190"/>
    </row>
    <row r="362" spans="6:16" x14ac:dyDescent="0.25">
      <c r="F362"/>
      <c r="P362" s="190"/>
    </row>
    <row r="363" spans="6:16" x14ac:dyDescent="0.25">
      <c r="F363"/>
      <c r="P363" s="190"/>
    </row>
    <row r="364" spans="6:16" x14ac:dyDescent="0.25">
      <c r="F364"/>
      <c r="P364" s="190"/>
    </row>
    <row r="365" spans="6:16" x14ac:dyDescent="0.25">
      <c r="F365"/>
      <c r="P365" s="190"/>
    </row>
    <row r="366" spans="6:16" x14ac:dyDescent="0.25">
      <c r="F366"/>
      <c r="P366" s="190"/>
    </row>
    <row r="367" spans="6:16" x14ac:dyDescent="0.25">
      <c r="F367"/>
      <c r="P367" s="190"/>
    </row>
    <row r="368" spans="6:16" x14ac:dyDescent="0.25">
      <c r="F368"/>
      <c r="P368" s="190"/>
    </row>
    <row r="369" spans="6:16" x14ac:dyDescent="0.25">
      <c r="F369"/>
      <c r="P369" s="190"/>
    </row>
    <row r="370" spans="6:16" x14ac:dyDescent="0.25">
      <c r="F370"/>
      <c r="P370" s="190"/>
    </row>
    <row r="371" spans="6:16" x14ac:dyDescent="0.25">
      <c r="F371"/>
      <c r="P371" s="190"/>
    </row>
    <row r="372" spans="6:16" x14ac:dyDescent="0.25">
      <c r="F372"/>
      <c r="P372" s="190"/>
    </row>
    <row r="373" spans="6:16" x14ac:dyDescent="0.25">
      <c r="F373"/>
      <c r="P373" s="190"/>
    </row>
    <row r="374" spans="6:16" x14ac:dyDescent="0.25">
      <c r="F374"/>
      <c r="P374" s="190"/>
    </row>
    <row r="375" spans="6:16" x14ac:dyDescent="0.25">
      <c r="F375"/>
      <c r="P375" s="190"/>
    </row>
    <row r="376" spans="6:16" x14ac:dyDescent="0.25">
      <c r="F376"/>
      <c r="P376" s="190"/>
    </row>
    <row r="377" spans="6:16" x14ac:dyDescent="0.25">
      <c r="F377"/>
      <c r="P377" s="190"/>
    </row>
    <row r="378" spans="6:16" x14ac:dyDescent="0.25">
      <c r="F378"/>
      <c r="P378" s="190"/>
    </row>
    <row r="379" spans="6:16" x14ac:dyDescent="0.25">
      <c r="F379"/>
      <c r="P379" s="190"/>
    </row>
    <row r="380" spans="6:16" x14ac:dyDescent="0.25">
      <c r="F380"/>
      <c r="P380" s="190"/>
    </row>
    <row r="381" spans="6:16" x14ac:dyDescent="0.25">
      <c r="F381"/>
      <c r="P381" s="190"/>
    </row>
    <row r="382" spans="6:16" x14ac:dyDescent="0.25">
      <c r="F382"/>
      <c r="P382" s="190"/>
    </row>
    <row r="383" spans="6:16" x14ac:dyDescent="0.25">
      <c r="F383"/>
      <c r="P383" s="190"/>
    </row>
    <row r="384" spans="6:16" x14ac:dyDescent="0.25">
      <c r="F384"/>
      <c r="P384" s="190"/>
    </row>
    <row r="385" spans="6:16" x14ac:dyDescent="0.25">
      <c r="F385"/>
      <c r="P385" s="190"/>
    </row>
    <row r="386" spans="6:16" x14ac:dyDescent="0.25">
      <c r="F386"/>
      <c r="P386" s="190"/>
    </row>
    <row r="387" spans="6:16" x14ac:dyDescent="0.25">
      <c r="F387"/>
      <c r="P387" s="190"/>
    </row>
    <row r="388" spans="6:16" x14ac:dyDescent="0.25">
      <c r="F388"/>
      <c r="P388" s="190"/>
    </row>
    <row r="389" spans="6:16" x14ac:dyDescent="0.25">
      <c r="F389"/>
      <c r="P389" s="190"/>
    </row>
    <row r="390" spans="6:16" x14ac:dyDescent="0.25">
      <c r="F390"/>
      <c r="P390" s="190"/>
    </row>
    <row r="391" spans="6:16" x14ac:dyDescent="0.25">
      <c r="F391"/>
      <c r="P391" s="190"/>
    </row>
    <row r="392" spans="6:16" x14ac:dyDescent="0.25">
      <c r="F392"/>
      <c r="P392" s="190"/>
    </row>
    <row r="393" spans="6:16" x14ac:dyDescent="0.25">
      <c r="F393"/>
      <c r="P393" s="190"/>
    </row>
    <row r="394" spans="6:16" x14ac:dyDescent="0.25">
      <c r="F394"/>
      <c r="P394" s="190"/>
    </row>
    <row r="395" spans="6:16" x14ac:dyDescent="0.25">
      <c r="F395"/>
      <c r="P395" s="190"/>
    </row>
    <row r="396" spans="6:16" x14ac:dyDescent="0.25">
      <c r="F396"/>
      <c r="P396" s="190"/>
    </row>
    <row r="397" spans="6:16" x14ac:dyDescent="0.25">
      <c r="F397"/>
      <c r="P397" s="190"/>
    </row>
    <row r="398" spans="6:16" x14ac:dyDescent="0.25">
      <c r="F398"/>
      <c r="P398" s="190"/>
    </row>
    <row r="399" spans="6:16" x14ac:dyDescent="0.25">
      <c r="F399"/>
      <c r="P399" s="190"/>
    </row>
    <row r="400" spans="6:16" x14ac:dyDescent="0.25">
      <c r="F400"/>
      <c r="P400" s="190"/>
    </row>
    <row r="401" spans="6:16" x14ac:dyDescent="0.25">
      <c r="F401"/>
      <c r="P401" s="190"/>
    </row>
    <row r="402" spans="6:16" x14ac:dyDescent="0.25">
      <c r="F402"/>
      <c r="P402" s="190"/>
    </row>
    <row r="403" spans="6:16" x14ac:dyDescent="0.25">
      <c r="F403"/>
      <c r="P403" s="190"/>
    </row>
    <row r="404" spans="6:16" x14ac:dyDescent="0.25">
      <c r="F404"/>
      <c r="P404" s="190"/>
    </row>
    <row r="405" spans="6:16" x14ac:dyDescent="0.25">
      <c r="F405"/>
      <c r="P405" s="190"/>
    </row>
    <row r="406" spans="6:16" x14ac:dyDescent="0.25">
      <c r="F406"/>
      <c r="P406" s="190"/>
    </row>
    <row r="407" spans="6:16" x14ac:dyDescent="0.25">
      <c r="F407"/>
      <c r="P407" s="190"/>
    </row>
    <row r="408" spans="6:16" x14ac:dyDescent="0.25">
      <c r="F408"/>
      <c r="P408" s="190"/>
    </row>
    <row r="409" spans="6:16" x14ac:dyDescent="0.25">
      <c r="F409"/>
      <c r="P409" s="190"/>
    </row>
    <row r="410" spans="6:16" x14ac:dyDescent="0.25">
      <c r="F410"/>
      <c r="P410" s="190"/>
    </row>
    <row r="411" spans="6:16" x14ac:dyDescent="0.25">
      <c r="F411"/>
      <c r="P411" s="190"/>
    </row>
    <row r="412" spans="6:16" x14ac:dyDescent="0.25">
      <c r="F412"/>
      <c r="P412" s="190"/>
    </row>
    <row r="413" spans="6:16" x14ac:dyDescent="0.25">
      <c r="F413"/>
      <c r="P413" s="190"/>
    </row>
    <row r="414" spans="6:16" x14ac:dyDescent="0.25">
      <c r="F414"/>
      <c r="P414" s="190"/>
    </row>
    <row r="415" spans="6:16" x14ac:dyDescent="0.25">
      <c r="F415"/>
      <c r="P415" s="190"/>
    </row>
    <row r="416" spans="6:16" x14ac:dyDescent="0.25">
      <c r="F416"/>
      <c r="P416" s="190"/>
    </row>
    <row r="417" spans="6:16" x14ac:dyDescent="0.25">
      <c r="F417"/>
      <c r="P417" s="190"/>
    </row>
    <row r="418" spans="6:16" x14ac:dyDescent="0.25">
      <c r="F418"/>
      <c r="P418" s="190"/>
    </row>
    <row r="419" spans="6:16" x14ac:dyDescent="0.25">
      <c r="F419"/>
      <c r="P419" s="190"/>
    </row>
    <row r="420" spans="6:16" x14ac:dyDescent="0.25">
      <c r="F420"/>
      <c r="P420" s="190"/>
    </row>
    <row r="421" spans="6:16" x14ac:dyDescent="0.25">
      <c r="F421"/>
      <c r="P421" s="190"/>
    </row>
    <row r="422" spans="6:16" x14ac:dyDescent="0.25">
      <c r="F422"/>
      <c r="P422" s="190"/>
    </row>
    <row r="423" spans="6:16" x14ac:dyDescent="0.25">
      <c r="F423"/>
      <c r="P423" s="190"/>
    </row>
    <row r="424" spans="6:16" x14ac:dyDescent="0.25">
      <c r="F424"/>
      <c r="P424" s="190"/>
    </row>
    <row r="425" spans="6:16" x14ac:dyDescent="0.25">
      <c r="F425"/>
      <c r="P425" s="190"/>
    </row>
    <row r="426" spans="6:16" x14ac:dyDescent="0.25">
      <c r="F426"/>
      <c r="P426" s="190"/>
    </row>
    <row r="427" spans="6:16" x14ac:dyDescent="0.25">
      <c r="F427"/>
      <c r="P427" s="190"/>
    </row>
    <row r="428" spans="6:16" x14ac:dyDescent="0.25">
      <c r="F428"/>
      <c r="P428" s="190"/>
    </row>
    <row r="429" spans="6:16" x14ac:dyDescent="0.25">
      <c r="F429"/>
      <c r="P429" s="190"/>
    </row>
    <row r="430" spans="6:16" x14ac:dyDescent="0.25">
      <c r="F430"/>
      <c r="P430" s="190"/>
    </row>
    <row r="431" spans="6:16" x14ac:dyDescent="0.25">
      <c r="F431"/>
      <c r="P431" s="190"/>
    </row>
    <row r="432" spans="6:16" x14ac:dyDescent="0.25">
      <c r="F432"/>
      <c r="P432" s="190"/>
    </row>
    <row r="433" spans="6:16" x14ac:dyDescent="0.25">
      <c r="F433"/>
      <c r="P433" s="190"/>
    </row>
    <row r="434" spans="6:16" x14ac:dyDescent="0.25">
      <c r="F434"/>
      <c r="P434" s="190"/>
    </row>
    <row r="435" spans="6:16" x14ac:dyDescent="0.25">
      <c r="F435"/>
      <c r="P435" s="190"/>
    </row>
    <row r="436" spans="6:16" x14ac:dyDescent="0.25">
      <c r="F436"/>
      <c r="P436" s="190"/>
    </row>
    <row r="437" spans="6:16" x14ac:dyDescent="0.25">
      <c r="F437"/>
      <c r="P437" s="190"/>
    </row>
    <row r="438" spans="6:16" x14ac:dyDescent="0.25">
      <c r="F438"/>
      <c r="P438" s="190"/>
    </row>
    <row r="439" spans="6:16" x14ac:dyDescent="0.25">
      <c r="F439"/>
      <c r="P439" s="190"/>
    </row>
    <row r="440" spans="6:16" x14ac:dyDescent="0.25">
      <c r="F440"/>
      <c r="P440" s="190"/>
    </row>
    <row r="441" spans="6:16" x14ac:dyDescent="0.25">
      <c r="F441"/>
      <c r="P441" s="190"/>
    </row>
    <row r="442" spans="6:16" x14ac:dyDescent="0.25">
      <c r="F442"/>
      <c r="P442" s="190"/>
    </row>
    <row r="443" spans="6:16" x14ac:dyDescent="0.25">
      <c r="F443"/>
      <c r="P443" s="190"/>
    </row>
    <row r="444" spans="6:16" x14ac:dyDescent="0.25">
      <c r="F444"/>
      <c r="P444" s="190"/>
    </row>
    <row r="445" spans="6:16" x14ac:dyDescent="0.25">
      <c r="F445"/>
      <c r="P445" s="190"/>
    </row>
    <row r="446" spans="6:16" x14ac:dyDescent="0.25">
      <c r="F446"/>
      <c r="P446" s="190"/>
    </row>
    <row r="447" spans="6:16" x14ac:dyDescent="0.25">
      <c r="F447"/>
      <c r="P447" s="190"/>
    </row>
    <row r="448" spans="6:16" x14ac:dyDescent="0.25">
      <c r="F448"/>
      <c r="P448" s="190"/>
    </row>
    <row r="449" spans="6:16" x14ac:dyDescent="0.25">
      <c r="F449"/>
      <c r="P449" s="190"/>
    </row>
    <row r="450" spans="6:16" x14ac:dyDescent="0.25">
      <c r="F450"/>
      <c r="P450" s="190"/>
    </row>
    <row r="451" spans="6:16" x14ac:dyDescent="0.25">
      <c r="F451"/>
      <c r="P451" s="190"/>
    </row>
    <row r="452" spans="6:16" x14ac:dyDescent="0.25">
      <c r="F452"/>
      <c r="P452" s="190"/>
    </row>
    <row r="453" spans="6:16" x14ac:dyDescent="0.25">
      <c r="F453"/>
      <c r="P453" s="190"/>
    </row>
    <row r="454" spans="6:16" x14ac:dyDescent="0.25">
      <c r="F454"/>
      <c r="P454" s="190"/>
    </row>
    <row r="455" spans="6:16" x14ac:dyDescent="0.25">
      <c r="F455"/>
      <c r="P455" s="190"/>
    </row>
    <row r="456" spans="6:16" x14ac:dyDescent="0.25">
      <c r="F456"/>
      <c r="P456" s="190"/>
    </row>
    <row r="457" spans="6:16" x14ac:dyDescent="0.25">
      <c r="F457"/>
      <c r="P457" s="190"/>
    </row>
    <row r="458" spans="6:16" x14ac:dyDescent="0.25">
      <c r="F458"/>
      <c r="P458" s="190"/>
    </row>
    <row r="459" spans="6:16" x14ac:dyDescent="0.25">
      <c r="F459"/>
      <c r="P459" s="190"/>
    </row>
    <row r="460" spans="6:16" x14ac:dyDescent="0.25">
      <c r="F460"/>
      <c r="P460" s="190"/>
    </row>
    <row r="461" spans="6:16" x14ac:dyDescent="0.25">
      <c r="F461"/>
      <c r="P461" s="190"/>
    </row>
    <row r="462" spans="6:16" x14ac:dyDescent="0.25">
      <c r="F462"/>
      <c r="P462" s="190"/>
    </row>
    <row r="463" spans="6:16" x14ac:dyDescent="0.25">
      <c r="F463"/>
      <c r="P463" s="190"/>
    </row>
    <row r="464" spans="6:16" x14ac:dyDescent="0.25">
      <c r="F464"/>
      <c r="P464" s="190"/>
    </row>
    <row r="465" spans="6:16" x14ac:dyDescent="0.25">
      <c r="F465"/>
      <c r="P465" s="190"/>
    </row>
    <row r="466" spans="6:16" x14ac:dyDescent="0.25">
      <c r="F466"/>
      <c r="P466" s="190"/>
    </row>
    <row r="467" spans="6:16" x14ac:dyDescent="0.25">
      <c r="F467"/>
      <c r="P467" s="190"/>
    </row>
    <row r="468" spans="6:16" x14ac:dyDescent="0.25">
      <c r="F468"/>
      <c r="P468" s="190"/>
    </row>
    <row r="469" spans="6:16" x14ac:dyDescent="0.25">
      <c r="F469"/>
      <c r="P469" s="190"/>
    </row>
    <row r="470" spans="6:16" x14ac:dyDescent="0.25">
      <c r="F470"/>
      <c r="P470" s="190"/>
    </row>
    <row r="471" spans="6:16" x14ac:dyDescent="0.25">
      <c r="F471"/>
      <c r="P471" s="190"/>
    </row>
    <row r="472" spans="6:16" x14ac:dyDescent="0.25">
      <c r="F472"/>
      <c r="P472" s="190"/>
    </row>
    <row r="473" spans="6:16" x14ac:dyDescent="0.25">
      <c r="F473"/>
      <c r="P473" s="190"/>
    </row>
    <row r="474" spans="6:16" x14ac:dyDescent="0.25">
      <c r="F474"/>
      <c r="P474" s="190"/>
    </row>
    <row r="475" spans="6:16" x14ac:dyDescent="0.25">
      <c r="F475"/>
      <c r="P475" s="190"/>
    </row>
    <row r="476" spans="6:16" x14ac:dyDescent="0.25">
      <c r="F476"/>
      <c r="P476" s="190"/>
    </row>
    <row r="477" spans="6:16" x14ac:dyDescent="0.25">
      <c r="F477"/>
      <c r="P477" s="190"/>
    </row>
    <row r="478" spans="6:16" x14ac:dyDescent="0.25">
      <c r="F478"/>
      <c r="P478" s="190"/>
    </row>
    <row r="479" spans="6:16" x14ac:dyDescent="0.25">
      <c r="F479"/>
      <c r="P479" s="190"/>
    </row>
    <row r="480" spans="6:16" x14ac:dyDescent="0.25">
      <c r="F480"/>
      <c r="P480" s="190"/>
    </row>
    <row r="481" spans="6:16" x14ac:dyDescent="0.25">
      <c r="F481"/>
      <c r="P481" s="190"/>
    </row>
    <row r="482" spans="6:16" x14ac:dyDescent="0.25">
      <c r="F482"/>
      <c r="P482" s="190"/>
    </row>
    <row r="483" spans="6:16" x14ac:dyDescent="0.25">
      <c r="F483"/>
      <c r="P483" s="190"/>
    </row>
    <row r="484" spans="6:16" x14ac:dyDescent="0.25">
      <c r="F484"/>
      <c r="P484" s="190"/>
    </row>
    <row r="485" spans="6:16" x14ac:dyDescent="0.25">
      <c r="F485"/>
      <c r="P485" s="190"/>
    </row>
    <row r="486" spans="6:16" x14ac:dyDescent="0.25">
      <c r="F486"/>
      <c r="P486" s="190"/>
    </row>
    <row r="487" spans="6:16" x14ac:dyDescent="0.25">
      <c r="F487"/>
      <c r="P487" s="190"/>
    </row>
    <row r="488" spans="6:16" x14ac:dyDescent="0.25">
      <c r="F488"/>
      <c r="P488" s="190"/>
    </row>
    <row r="489" spans="6:16" x14ac:dyDescent="0.25">
      <c r="F489"/>
      <c r="P489" s="190"/>
    </row>
    <row r="490" spans="6:16" x14ac:dyDescent="0.25">
      <c r="F490"/>
      <c r="P490" s="190"/>
    </row>
    <row r="491" spans="6:16" x14ac:dyDescent="0.25">
      <c r="F491"/>
      <c r="P491" s="190"/>
    </row>
    <row r="492" spans="6:16" x14ac:dyDescent="0.25">
      <c r="F492"/>
      <c r="P492" s="190"/>
    </row>
    <row r="493" spans="6:16" x14ac:dyDescent="0.25">
      <c r="F493"/>
      <c r="P493" s="190"/>
    </row>
    <row r="494" spans="6:16" x14ac:dyDescent="0.25">
      <c r="F494"/>
      <c r="P494" s="190"/>
    </row>
    <row r="495" spans="6:16" x14ac:dyDescent="0.25">
      <c r="F495"/>
      <c r="P495" s="190"/>
    </row>
    <row r="496" spans="6:16" x14ac:dyDescent="0.25">
      <c r="F496"/>
      <c r="P496" s="190"/>
    </row>
    <row r="497" spans="6:16" x14ac:dyDescent="0.25">
      <c r="F497"/>
      <c r="P497" s="190"/>
    </row>
    <row r="498" spans="6:16" x14ac:dyDescent="0.25">
      <c r="F498"/>
      <c r="P498" s="190"/>
    </row>
    <row r="499" spans="6:16" x14ac:dyDescent="0.25">
      <c r="F499"/>
      <c r="P499" s="190"/>
    </row>
    <row r="500" spans="6:16" x14ac:dyDescent="0.25">
      <c r="F500"/>
      <c r="P500" s="190"/>
    </row>
    <row r="501" spans="6:16" x14ac:dyDescent="0.25">
      <c r="F501"/>
      <c r="P501" s="190"/>
    </row>
    <row r="502" spans="6:16" x14ac:dyDescent="0.25">
      <c r="F502"/>
      <c r="P502" s="190"/>
    </row>
    <row r="503" spans="6:16" x14ac:dyDescent="0.25">
      <c r="F503"/>
      <c r="P503" s="190"/>
    </row>
    <row r="504" spans="6:16" x14ac:dyDescent="0.25">
      <c r="F504"/>
      <c r="P504" s="190"/>
    </row>
    <row r="505" spans="6:16" x14ac:dyDescent="0.25">
      <c r="F505"/>
      <c r="P505" s="190"/>
    </row>
    <row r="506" spans="6:16" x14ac:dyDescent="0.25">
      <c r="F506"/>
      <c r="P506" s="190"/>
    </row>
    <row r="507" spans="6:16" x14ac:dyDescent="0.25">
      <c r="F507"/>
      <c r="P507" s="190"/>
    </row>
    <row r="508" spans="6:16" x14ac:dyDescent="0.25">
      <c r="F508"/>
      <c r="P508" s="190"/>
    </row>
    <row r="509" spans="6:16" x14ac:dyDescent="0.25">
      <c r="F509"/>
      <c r="P509" s="190"/>
    </row>
    <row r="510" spans="6:16" x14ac:dyDescent="0.25">
      <c r="F510"/>
      <c r="P510" s="190"/>
    </row>
    <row r="511" spans="6:16" x14ac:dyDescent="0.25">
      <c r="F511"/>
      <c r="P511" s="190"/>
    </row>
    <row r="512" spans="6:16" x14ac:dyDescent="0.25">
      <c r="F512"/>
      <c r="P512" s="190"/>
    </row>
    <row r="513" spans="6:16" x14ac:dyDescent="0.25">
      <c r="F513"/>
      <c r="P513" s="190"/>
    </row>
    <row r="514" spans="6:16" x14ac:dyDescent="0.25">
      <c r="F514"/>
      <c r="P514" s="190"/>
    </row>
    <row r="515" spans="6:16" x14ac:dyDescent="0.25">
      <c r="F515"/>
      <c r="P515" s="190"/>
    </row>
    <row r="516" spans="6:16" x14ac:dyDescent="0.25">
      <c r="F516"/>
      <c r="P516" s="190"/>
    </row>
    <row r="517" spans="6:16" x14ac:dyDescent="0.25">
      <c r="F517"/>
      <c r="P517" s="190"/>
    </row>
    <row r="518" spans="6:16" x14ac:dyDescent="0.25">
      <c r="F518"/>
      <c r="P518" s="190"/>
    </row>
    <row r="519" spans="6:16" x14ac:dyDescent="0.25">
      <c r="F519"/>
      <c r="P519" s="190"/>
    </row>
    <row r="520" spans="6:16" x14ac:dyDescent="0.25">
      <c r="F520"/>
      <c r="P520" s="190"/>
    </row>
    <row r="521" spans="6:16" x14ac:dyDescent="0.25">
      <c r="F521"/>
      <c r="P521" s="190"/>
    </row>
    <row r="522" spans="6:16" x14ac:dyDescent="0.25">
      <c r="F522"/>
      <c r="P522" s="190"/>
    </row>
    <row r="523" spans="6:16" x14ac:dyDescent="0.25">
      <c r="F523"/>
      <c r="P523" s="190"/>
    </row>
    <row r="524" spans="6:16" x14ac:dyDescent="0.25">
      <c r="F524"/>
      <c r="P524" s="190"/>
    </row>
    <row r="525" spans="6:16" x14ac:dyDescent="0.25">
      <c r="F525"/>
      <c r="P525" s="190"/>
    </row>
    <row r="526" spans="6:16" x14ac:dyDescent="0.25">
      <c r="F526"/>
      <c r="P526" s="190"/>
    </row>
    <row r="527" spans="6:16" x14ac:dyDescent="0.25">
      <c r="F527"/>
      <c r="P527" s="190"/>
    </row>
    <row r="528" spans="6:16" x14ac:dyDescent="0.25">
      <c r="F528"/>
      <c r="P528" s="190"/>
    </row>
    <row r="529" spans="6:16" x14ac:dyDescent="0.25">
      <c r="F529"/>
      <c r="P529" s="190"/>
    </row>
    <row r="530" spans="6:16" x14ac:dyDescent="0.25">
      <c r="F530"/>
      <c r="P530" s="190"/>
    </row>
    <row r="531" spans="6:16" x14ac:dyDescent="0.25">
      <c r="F531"/>
      <c r="P531" s="190"/>
    </row>
    <row r="532" spans="6:16" x14ac:dyDescent="0.25">
      <c r="F532"/>
      <c r="P532" s="190"/>
    </row>
    <row r="533" spans="6:16" x14ac:dyDescent="0.25">
      <c r="F533"/>
      <c r="P533" s="190"/>
    </row>
    <row r="534" spans="6:16" x14ac:dyDescent="0.25">
      <c r="F534"/>
      <c r="P534" s="190"/>
    </row>
    <row r="535" spans="6:16" x14ac:dyDescent="0.25">
      <c r="F535"/>
      <c r="P535" s="190"/>
    </row>
    <row r="536" spans="6:16" x14ac:dyDescent="0.25">
      <c r="F536"/>
      <c r="P536" s="190"/>
    </row>
    <row r="537" spans="6:16" x14ac:dyDescent="0.25">
      <c r="F537"/>
      <c r="P537" s="190"/>
    </row>
    <row r="538" spans="6:16" x14ac:dyDescent="0.25">
      <c r="F538"/>
      <c r="P538" s="190"/>
    </row>
    <row r="539" spans="6:16" x14ac:dyDescent="0.25">
      <c r="F539"/>
      <c r="P539" s="190"/>
    </row>
    <row r="540" spans="6:16" x14ac:dyDescent="0.25">
      <c r="F540"/>
      <c r="P540" s="190"/>
    </row>
    <row r="541" spans="6:16" x14ac:dyDescent="0.25">
      <c r="F541"/>
      <c r="P541" s="190"/>
    </row>
    <row r="542" spans="6:16" x14ac:dyDescent="0.25">
      <c r="F542"/>
      <c r="P542" s="190"/>
    </row>
    <row r="543" spans="6:16" x14ac:dyDescent="0.25">
      <c r="F543"/>
      <c r="P543" s="190"/>
    </row>
    <row r="544" spans="6:16" x14ac:dyDescent="0.25">
      <c r="F544"/>
      <c r="P544" s="190"/>
    </row>
    <row r="545" spans="6:16" x14ac:dyDescent="0.25">
      <c r="F545"/>
      <c r="P545" s="190"/>
    </row>
    <row r="546" spans="6:16" x14ac:dyDescent="0.25">
      <c r="F546"/>
      <c r="P546" s="190"/>
    </row>
    <row r="547" spans="6:16" x14ac:dyDescent="0.25">
      <c r="F547"/>
      <c r="P547" s="190"/>
    </row>
    <row r="548" spans="6:16" x14ac:dyDescent="0.25">
      <c r="F548"/>
      <c r="P548" s="190"/>
    </row>
    <row r="549" spans="6:16" x14ac:dyDescent="0.25">
      <c r="F549"/>
      <c r="P549" s="190"/>
    </row>
    <row r="550" spans="6:16" x14ac:dyDescent="0.25">
      <c r="F550"/>
      <c r="P550" s="190"/>
    </row>
    <row r="551" spans="6:16" x14ac:dyDescent="0.25">
      <c r="F551"/>
      <c r="P551" s="190"/>
    </row>
    <row r="552" spans="6:16" x14ac:dyDescent="0.25">
      <c r="F552"/>
      <c r="P552" s="190"/>
    </row>
    <row r="553" spans="6:16" x14ac:dyDescent="0.25">
      <c r="F553"/>
      <c r="P553" s="190"/>
    </row>
    <row r="554" spans="6:16" x14ac:dyDescent="0.25">
      <c r="F554"/>
      <c r="P554" s="190"/>
    </row>
    <row r="555" spans="6:16" x14ac:dyDescent="0.25">
      <c r="F555"/>
      <c r="P555" s="190"/>
    </row>
    <row r="556" spans="6:16" x14ac:dyDescent="0.25">
      <c r="F556"/>
      <c r="P556" s="190"/>
    </row>
    <row r="557" spans="6:16" x14ac:dyDescent="0.25">
      <c r="F557"/>
      <c r="P557" s="190"/>
    </row>
    <row r="558" spans="6:16" x14ac:dyDescent="0.25">
      <c r="F558"/>
      <c r="P558" s="190"/>
    </row>
    <row r="559" spans="6:16" x14ac:dyDescent="0.25">
      <c r="F559"/>
      <c r="P559" s="190"/>
    </row>
    <row r="560" spans="6:16" x14ac:dyDescent="0.25">
      <c r="F560"/>
      <c r="P560" s="190"/>
    </row>
    <row r="561" spans="6:16" x14ac:dyDescent="0.25">
      <c r="F561"/>
      <c r="P561" s="190"/>
    </row>
    <row r="562" spans="6:16" x14ac:dyDescent="0.25">
      <c r="F562"/>
      <c r="P562" s="190"/>
    </row>
    <row r="563" spans="6:16" x14ac:dyDescent="0.25">
      <c r="F563"/>
      <c r="P563" s="190"/>
    </row>
    <row r="564" spans="6:16" x14ac:dyDescent="0.25">
      <c r="F564"/>
      <c r="P564" s="190"/>
    </row>
    <row r="565" spans="6:16" x14ac:dyDescent="0.25">
      <c r="F565"/>
      <c r="P565" s="190"/>
    </row>
    <row r="566" spans="6:16" x14ac:dyDescent="0.25">
      <c r="F566"/>
      <c r="P566" s="190"/>
    </row>
    <row r="567" spans="6:16" x14ac:dyDescent="0.25">
      <c r="F567"/>
      <c r="P567" s="190"/>
    </row>
    <row r="568" spans="6:16" x14ac:dyDescent="0.25">
      <c r="F568"/>
      <c r="P568" s="190"/>
    </row>
    <row r="569" spans="6:16" x14ac:dyDescent="0.25">
      <c r="F569"/>
      <c r="P569" s="190"/>
    </row>
    <row r="570" spans="6:16" x14ac:dyDescent="0.25">
      <c r="F570"/>
      <c r="P570" s="190"/>
    </row>
    <row r="571" spans="6:16" x14ac:dyDescent="0.25">
      <c r="F571"/>
      <c r="P571" s="190"/>
    </row>
    <row r="572" spans="6:16" x14ac:dyDescent="0.25">
      <c r="F572"/>
      <c r="P572" s="190"/>
    </row>
    <row r="573" spans="6:16" x14ac:dyDescent="0.25">
      <c r="F573"/>
      <c r="P573" s="190"/>
    </row>
    <row r="574" spans="6:16" x14ac:dyDescent="0.25">
      <c r="F574"/>
      <c r="P574" s="190"/>
    </row>
    <row r="575" spans="6:16" x14ac:dyDescent="0.25">
      <c r="F575"/>
      <c r="P575" s="190"/>
    </row>
    <row r="576" spans="6:16" x14ac:dyDescent="0.25">
      <c r="F576"/>
      <c r="P576" s="190"/>
    </row>
    <row r="577" spans="6:16" x14ac:dyDescent="0.25">
      <c r="F577"/>
      <c r="P577" s="190"/>
    </row>
    <row r="578" spans="6:16" x14ac:dyDescent="0.25">
      <c r="F578"/>
      <c r="P578" s="190"/>
    </row>
    <row r="579" spans="6:16" x14ac:dyDescent="0.25">
      <c r="F579"/>
      <c r="P579" s="190"/>
    </row>
    <row r="580" spans="6:16" x14ac:dyDescent="0.25">
      <c r="F580"/>
      <c r="P580" s="190"/>
    </row>
    <row r="581" spans="6:16" x14ac:dyDescent="0.25">
      <c r="F581"/>
      <c r="P581" s="190"/>
    </row>
    <row r="582" spans="6:16" x14ac:dyDescent="0.25">
      <c r="F582"/>
      <c r="P582" s="190"/>
    </row>
    <row r="583" spans="6:16" x14ac:dyDescent="0.25">
      <c r="F583"/>
      <c r="P583" s="190"/>
    </row>
    <row r="584" spans="6:16" x14ac:dyDescent="0.25">
      <c r="F584"/>
      <c r="P584" s="190"/>
    </row>
    <row r="585" spans="6:16" x14ac:dyDescent="0.25">
      <c r="F585"/>
      <c r="P585" s="190"/>
    </row>
    <row r="586" spans="6:16" x14ac:dyDescent="0.25">
      <c r="F586"/>
      <c r="P586" s="190"/>
    </row>
    <row r="587" spans="6:16" x14ac:dyDescent="0.25">
      <c r="F587"/>
      <c r="P587" s="190"/>
    </row>
    <row r="588" spans="6:16" x14ac:dyDescent="0.25">
      <c r="F588"/>
      <c r="P588" s="190"/>
    </row>
    <row r="589" spans="6:16" x14ac:dyDescent="0.25">
      <c r="F589"/>
      <c r="P589" s="190"/>
    </row>
    <row r="590" spans="6:16" x14ac:dyDescent="0.25">
      <c r="F590"/>
      <c r="P590" s="190"/>
    </row>
    <row r="591" spans="6:16" x14ac:dyDescent="0.25">
      <c r="F591"/>
      <c r="P591" s="190"/>
    </row>
    <row r="592" spans="6:16" x14ac:dyDescent="0.25">
      <c r="F592"/>
      <c r="P592" s="190"/>
    </row>
    <row r="593" spans="6:16" x14ac:dyDescent="0.25">
      <c r="F593"/>
      <c r="P593" s="190"/>
    </row>
    <row r="594" spans="6:16" x14ac:dyDescent="0.25">
      <c r="F594"/>
      <c r="P594" s="190"/>
    </row>
    <row r="595" spans="6:16" x14ac:dyDescent="0.25">
      <c r="F595"/>
      <c r="P595" s="190"/>
    </row>
    <row r="596" spans="6:16" x14ac:dyDescent="0.25">
      <c r="F596"/>
      <c r="P596" s="190"/>
    </row>
    <row r="597" spans="6:16" x14ac:dyDescent="0.25">
      <c r="F597"/>
      <c r="P597" s="190"/>
    </row>
    <row r="598" spans="6:16" x14ac:dyDescent="0.25">
      <c r="F598"/>
      <c r="P598" s="190"/>
    </row>
    <row r="599" spans="6:16" x14ac:dyDescent="0.25">
      <c r="F599"/>
      <c r="P599" s="190"/>
    </row>
    <row r="600" spans="6:16" x14ac:dyDescent="0.25">
      <c r="F600"/>
      <c r="P600" s="190"/>
    </row>
    <row r="601" spans="6:16" x14ac:dyDescent="0.25">
      <c r="F601"/>
      <c r="P601" s="190"/>
    </row>
    <row r="602" spans="6:16" x14ac:dyDescent="0.25">
      <c r="F602"/>
      <c r="P602" s="190"/>
    </row>
    <row r="603" spans="6:16" x14ac:dyDescent="0.25">
      <c r="F603"/>
      <c r="P603" s="190"/>
    </row>
    <row r="604" spans="6:16" x14ac:dyDescent="0.25">
      <c r="F604"/>
      <c r="P604" s="190"/>
    </row>
    <row r="605" spans="6:16" x14ac:dyDescent="0.25">
      <c r="F605"/>
      <c r="P605" s="190"/>
    </row>
    <row r="606" spans="6:16" x14ac:dyDescent="0.25">
      <c r="F606"/>
      <c r="P606" s="190"/>
    </row>
    <row r="607" spans="6:16" x14ac:dyDescent="0.25">
      <c r="F607"/>
      <c r="P607" s="190"/>
    </row>
    <row r="608" spans="6:16" x14ac:dyDescent="0.25">
      <c r="F608"/>
      <c r="P608" s="190"/>
    </row>
    <row r="609" spans="6:16" x14ac:dyDescent="0.25">
      <c r="F609"/>
      <c r="P609" s="190"/>
    </row>
    <row r="610" spans="6:16" x14ac:dyDescent="0.25">
      <c r="F610"/>
      <c r="P610" s="190"/>
    </row>
    <row r="611" spans="6:16" x14ac:dyDescent="0.25">
      <c r="F611"/>
      <c r="P611" s="190"/>
    </row>
    <row r="612" spans="6:16" x14ac:dyDescent="0.25">
      <c r="F612"/>
      <c r="P612" s="190"/>
    </row>
    <row r="613" spans="6:16" x14ac:dyDescent="0.25">
      <c r="F613"/>
      <c r="P613" s="190"/>
    </row>
    <row r="614" spans="6:16" x14ac:dyDescent="0.25">
      <c r="F614"/>
      <c r="P614" s="190"/>
    </row>
    <row r="615" spans="6:16" x14ac:dyDescent="0.25">
      <c r="F615"/>
      <c r="P615" s="190"/>
    </row>
    <row r="616" spans="6:16" x14ac:dyDescent="0.25">
      <c r="F616"/>
      <c r="P616" s="190"/>
    </row>
    <row r="617" spans="6:16" x14ac:dyDescent="0.25">
      <c r="F617"/>
      <c r="P617" s="190"/>
    </row>
    <row r="618" spans="6:16" x14ac:dyDescent="0.25">
      <c r="F618"/>
      <c r="P618" s="190"/>
    </row>
    <row r="619" spans="6:16" x14ac:dyDescent="0.25">
      <c r="F619"/>
      <c r="P619" s="190"/>
    </row>
    <row r="620" spans="6:16" x14ac:dyDescent="0.25">
      <c r="F620"/>
      <c r="P620" s="190"/>
    </row>
    <row r="621" spans="6:16" x14ac:dyDescent="0.25">
      <c r="F621"/>
      <c r="P621" s="190"/>
    </row>
    <row r="622" spans="6:16" x14ac:dyDescent="0.25">
      <c r="F622"/>
      <c r="P622" s="190"/>
    </row>
    <row r="623" spans="6:16" x14ac:dyDescent="0.25">
      <c r="F623"/>
      <c r="P623" s="190"/>
    </row>
    <row r="624" spans="6:16" x14ac:dyDescent="0.25">
      <c r="F624"/>
      <c r="P624" s="190"/>
    </row>
    <row r="625" spans="6:16" x14ac:dyDescent="0.25">
      <c r="F625"/>
      <c r="P625" s="190"/>
    </row>
    <row r="626" spans="6:16" x14ac:dyDescent="0.25">
      <c r="F626"/>
      <c r="P626" s="190"/>
    </row>
    <row r="627" spans="6:16" x14ac:dyDescent="0.25">
      <c r="F627"/>
      <c r="P627" s="190"/>
    </row>
    <row r="628" spans="6:16" x14ac:dyDescent="0.25">
      <c r="F628"/>
      <c r="P628" s="190"/>
    </row>
    <row r="629" spans="6:16" x14ac:dyDescent="0.25">
      <c r="F629"/>
      <c r="P629" s="190"/>
    </row>
    <row r="630" spans="6:16" x14ac:dyDescent="0.25">
      <c r="F630"/>
      <c r="P630" s="190"/>
    </row>
    <row r="631" spans="6:16" x14ac:dyDescent="0.25">
      <c r="F631"/>
      <c r="P631" s="190"/>
    </row>
    <row r="632" spans="6:16" x14ac:dyDescent="0.25">
      <c r="F632"/>
      <c r="P632" s="190"/>
    </row>
    <row r="633" spans="6:16" x14ac:dyDescent="0.25">
      <c r="F633"/>
      <c r="P633" s="190"/>
    </row>
    <row r="634" spans="6:16" x14ac:dyDescent="0.25">
      <c r="F634"/>
      <c r="P634" s="190"/>
    </row>
    <row r="635" spans="6:16" x14ac:dyDescent="0.25">
      <c r="F635"/>
      <c r="P635" s="190"/>
    </row>
    <row r="636" spans="6:16" x14ac:dyDescent="0.25">
      <c r="F636"/>
      <c r="P636" s="190"/>
    </row>
    <row r="637" spans="6:16" x14ac:dyDescent="0.25">
      <c r="F637"/>
      <c r="P637" s="190"/>
    </row>
    <row r="638" spans="6:16" x14ac:dyDescent="0.25">
      <c r="F638"/>
      <c r="P638" s="190"/>
    </row>
    <row r="639" spans="6:16" x14ac:dyDescent="0.25">
      <c r="F639"/>
      <c r="P639" s="190"/>
    </row>
    <row r="640" spans="6:16" x14ac:dyDescent="0.25">
      <c r="F640"/>
      <c r="P640" s="190"/>
    </row>
    <row r="641" spans="6:16" x14ac:dyDescent="0.25">
      <c r="F641"/>
      <c r="P641" s="190"/>
    </row>
    <row r="642" spans="6:16" x14ac:dyDescent="0.25">
      <c r="F642"/>
      <c r="P642" s="190"/>
    </row>
    <row r="643" spans="6:16" x14ac:dyDescent="0.25">
      <c r="F643"/>
      <c r="P643" s="190"/>
    </row>
    <row r="644" spans="6:16" x14ac:dyDescent="0.25">
      <c r="F644"/>
      <c r="P644" s="190"/>
    </row>
    <row r="645" spans="6:16" x14ac:dyDescent="0.25">
      <c r="F645"/>
      <c r="P645" s="190"/>
    </row>
    <row r="646" spans="6:16" x14ac:dyDescent="0.25">
      <c r="F646"/>
      <c r="P646" s="190"/>
    </row>
    <row r="647" spans="6:16" x14ac:dyDescent="0.25">
      <c r="F647"/>
      <c r="P647" s="190"/>
    </row>
    <row r="648" spans="6:16" x14ac:dyDescent="0.25">
      <c r="F648"/>
      <c r="P648" s="190"/>
    </row>
    <row r="649" spans="6:16" x14ac:dyDescent="0.25">
      <c r="F649"/>
      <c r="P649" s="190"/>
    </row>
    <row r="650" spans="6:16" x14ac:dyDescent="0.25">
      <c r="F650"/>
      <c r="P650" s="190"/>
    </row>
    <row r="651" spans="6:16" x14ac:dyDescent="0.25">
      <c r="F651"/>
      <c r="P651" s="190"/>
    </row>
    <row r="652" spans="6:16" x14ac:dyDescent="0.25">
      <c r="F652"/>
      <c r="P652" s="190"/>
    </row>
    <row r="653" spans="6:16" x14ac:dyDescent="0.25">
      <c r="F653"/>
      <c r="P653" s="190"/>
    </row>
    <row r="654" spans="6:16" x14ac:dyDescent="0.25">
      <c r="F654"/>
      <c r="P654" s="190"/>
    </row>
    <row r="655" spans="6:16" x14ac:dyDescent="0.25">
      <c r="F655"/>
      <c r="P655" s="190"/>
    </row>
    <row r="656" spans="6:16" x14ac:dyDescent="0.25">
      <c r="F656"/>
      <c r="P656" s="190"/>
    </row>
    <row r="657" spans="6:16" x14ac:dyDescent="0.25">
      <c r="F657"/>
      <c r="P657" s="190"/>
    </row>
    <row r="658" spans="6:16" x14ac:dyDescent="0.25">
      <c r="F658"/>
      <c r="P658" s="190"/>
    </row>
    <row r="659" spans="6:16" x14ac:dyDescent="0.25">
      <c r="F659"/>
      <c r="P659" s="190"/>
    </row>
    <row r="660" spans="6:16" x14ac:dyDescent="0.25">
      <c r="F660"/>
      <c r="P660" s="190"/>
    </row>
    <row r="661" spans="6:16" x14ac:dyDescent="0.25">
      <c r="F661"/>
      <c r="P661" s="190"/>
    </row>
    <row r="662" spans="6:16" x14ac:dyDescent="0.25">
      <c r="F662"/>
      <c r="P662" s="190"/>
    </row>
    <row r="663" spans="6:16" x14ac:dyDescent="0.25">
      <c r="F663"/>
      <c r="P663" s="190"/>
    </row>
    <row r="664" spans="6:16" x14ac:dyDescent="0.25">
      <c r="F664"/>
      <c r="P664" s="190"/>
    </row>
    <row r="665" spans="6:16" x14ac:dyDescent="0.25">
      <c r="F665"/>
      <c r="P665" s="190"/>
    </row>
    <row r="666" spans="6:16" x14ac:dyDescent="0.25">
      <c r="F666"/>
      <c r="P666" s="190"/>
    </row>
    <row r="667" spans="6:16" x14ac:dyDescent="0.25">
      <c r="F667"/>
      <c r="P667" s="190"/>
    </row>
    <row r="668" spans="6:16" x14ac:dyDescent="0.25">
      <c r="F668"/>
      <c r="P668" s="190"/>
    </row>
    <row r="669" spans="6:16" x14ac:dyDescent="0.25">
      <c r="F669"/>
      <c r="P669" s="190"/>
    </row>
    <row r="670" spans="6:16" x14ac:dyDescent="0.25">
      <c r="F670"/>
      <c r="P670" s="190"/>
    </row>
    <row r="671" spans="6:16" x14ac:dyDescent="0.25">
      <c r="F671"/>
      <c r="P671" s="190"/>
    </row>
    <row r="672" spans="6:16" x14ac:dyDescent="0.25">
      <c r="F672"/>
      <c r="P672" s="190"/>
    </row>
    <row r="673" spans="6:16" x14ac:dyDescent="0.25">
      <c r="F673"/>
      <c r="P673" s="190"/>
    </row>
    <row r="674" spans="6:16" x14ac:dyDescent="0.25">
      <c r="F674"/>
      <c r="P674" s="190"/>
    </row>
    <row r="675" spans="6:16" x14ac:dyDescent="0.25">
      <c r="F675"/>
      <c r="P675" s="190"/>
    </row>
    <row r="676" spans="6:16" x14ac:dyDescent="0.25">
      <c r="F676"/>
      <c r="P676" s="190"/>
    </row>
    <row r="677" spans="6:16" x14ac:dyDescent="0.25">
      <c r="F677"/>
      <c r="P677" s="190"/>
    </row>
    <row r="678" spans="6:16" x14ac:dyDescent="0.25">
      <c r="F678"/>
      <c r="P678" s="190"/>
    </row>
    <row r="679" spans="6:16" x14ac:dyDescent="0.25">
      <c r="F679"/>
      <c r="P679" s="190"/>
    </row>
    <row r="680" spans="6:16" x14ac:dyDescent="0.25">
      <c r="F680"/>
      <c r="P680" s="190"/>
    </row>
    <row r="681" spans="6:16" x14ac:dyDescent="0.25">
      <c r="F681"/>
      <c r="P681" s="190"/>
    </row>
    <row r="682" spans="6:16" x14ac:dyDescent="0.25">
      <c r="F682"/>
      <c r="P682" s="190"/>
    </row>
    <row r="683" spans="6:16" x14ac:dyDescent="0.25">
      <c r="F683"/>
      <c r="P683" s="190"/>
    </row>
    <row r="684" spans="6:16" x14ac:dyDescent="0.25">
      <c r="F684"/>
      <c r="P684" s="190"/>
    </row>
    <row r="685" spans="6:16" x14ac:dyDescent="0.25">
      <c r="F685"/>
      <c r="P685" s="190"/>
    </row>
    <row r="686" spans="6:16" x14ac:dyDescent="0.25">
      <c r="F686"/>
      <c r="P686" s="190"/>
    </row>
    <row r="687" spans="6:16" x14ac:dyDescent="0.25">
      <c r="F687"/>
      <c r="P687" s="190"/>
    </row>
    <row r="688" spans="6:16" x14ac:dyDescent="0.25">
      <c r="F688"/>
      <c r="P688" s="190"/>
    </row>
    <row r="689" spans="6:16" x14ac:dyDescent="0.25">
      <c r="F689"/>
      <c r="P689" s="190"/>
    </row>
    <row r="690" spans="6:16" x14ac:dyDescent="0.25">
      <c r="F690"/>
      <c r="P690" s="190"/>
    </row>
    <row r="691" spans="6:16" x14ac:dyDescent="0.25">
      <c r="F691"/>
      <c r="P691" s="190"/>
    </row>
    <row r="692" spans="6:16" x14ac:dyDescent="0.25">
      <c r="F692"/>
      <c r="P692" s="190"/>
    </row>
    <row r="693" spans="6:16" x14ac:dyDescent="0.25">
      <c r="F693"/>
      <c r="P693" s="190"/>
    </row>
    <row r="694" spans="6:16" x14ac:dyDescent="0.25">
      <c r="F694"/>
      <c r="P694" s="190"/>
    </row>
    <row r="695" spans="6:16" x14ac:dyDescent="0.25">
      <c r="F695"/>
      <c r="P695" s="190"/>
    </row>
    <row r="696" spans="6:16" x14ac:dyDescent="0.25">
      <c r="F696"/>
      <c r="P696" s="190"/>
    </row>
    <row r="697" spans="6:16" x14ac:dyDescent="0.25">
      <c r="F697"/>
      <c r="P697" s="190"/>
    </row>
    <row r="698" spans="6:16" x14ac:dyDescent="0.25">
      <c r="F698"/>
      <c r="P698" s="190"/>
    </row>
    <row r="699" spans="6:16" x14ac:dyDescent="0.25">
      <c r="F699"/>
      <c r="P699" s="190"/>
    </row>
    <row r="700" spans="6:16" x14ac:dyDescent="0.25">
      <c r="F700"/>
      <c r="P700" s="190"/>
    </row>
    <row r="701" spans="6:16" x14ac:dyDescent="0.25">
      <c r="F701"/>
      <c r="P701" s="190"/>
    </row>
    <row r="702" spans="6:16" x14ac:dyDescent="0.25">
      <c r="F702"/>
      <c r="P702" s="190"/>
    </row>
    <row r="703" spans="6:16" x14ac:dyDescent="0.25">
      <c r="F703"/>
      <c r="P703" s="190"/>
    </row>
    <row r="704" spans="6:16" x14ac:dyDescent="0.25">
      <c r="F704"/>
      <c r="P704" s="190"/>
    </row>
    <row r="705" spans="6:16" x14ac:dyDescent="0.25">
      <c r="F705"/>
      <c r="P705" s="190"/>
    </row>
    <row r="706" spans="6:16" x14ac:dyDescent="0.25">
      <c r="F706"/>
      <c r="P706" s="190"/>
    </row>
    <row r="707" spans="6:16" x14ac:dyDescent="0.25">
      <c r="F707"/>
      <c r="P707" s="190"/>
    </row>
    <row r="708" spans="6:16" x14ac:dyDescent="0.25">
      <c r="F708"/>
      <c r="P708" s="190"/>
    </row>
    <row r="709" spans="6:16" x14ac:dyDescent="0.25">
      <c r="F709"/>
      <c r="P709" s="190"/>
    </row>
    <row r="710" spans="6:16" x14ac:dyDescent="0.25">
      <c r="F710"/>
      <c r="P710" s="190"/>
    </row>
    <row r="711" spans="6:16" x14ac:dyDescent="0.25">
      <c r="F711"/>
      <c r="P711" s="190"/>
    </row>
    <row r="712" spans="6:16" x14ac:dyDescent="0.25">
      <c r="F712"/>
      <c r="P712" s="190"/>
    </row>
    <row r="713" spans="6:16" x14ac:dyDescent="0.25">
      <c r="F713"/>
      <c r="P713" s="190"/>
    </row>
    <row r="714" spans="6:16" x14ac:dyDescent="0.25">
      <c r="F714"/>
      <c r="P714" s="190"/>
    </row>
    <row r="715" spans="6:16" x14ac:dyDescent="0.25">
      <c r="F715"/>
      <c r="P715" s="190"/>
    </row>
    <row r="716" spans="6:16" x14ac:dyDescent="0.25">
      <c r="F716"/>
      <c r="P716" s="190"/>
    </row>
    <row r="717" spans="6:16" x14ac:dyDescent="0.25">
      <c r="F717"/>
      <c r="P717" s="190"/>
    </row>
    <row r="718" spans="6:16" x14ac:dyDescent="0.25">
      <c r="F718"/>
      <c r="P718" s="190"/>
    </row>
    <row r="719" spans="6:16" x14ac:dyDescent="0.25">
      <c r="F719"/>
      <c r="P719" s="190"/>
    </row>
    <row r="720" spans="6:16" x14ac:dyDescent="0.25">
      <c r="F720"/>
      <c r="P720" s="190"/>
    </row>
    <row r="721" spans="6:16" x14ac:dyDescent="0.25">
      <c r="F721"/>
      <c r="P721" s="190"/>
    </row>
    <row r="722" spans="6:16" x14ac:dyDescent="0.25">
      <c r="F722"/>
      <c r="P722" s="190"/>
    </row>
    <row r="723" spans="6:16" x14ac:dyDescent="0.25">
      <c r="F723"/>
      <c r="P723" s="190"/>
    </row>
    <row r="724" spans="6:16" x14ac:dyDescent="0.25">
      <c r="F724"/>
      <c r="P724" s="190"/>
    </row>
    <row r="725" spans="6:16" x14ac:dyDescent="0.25">
      <c r="F725"/>
      <c r="P725" s="190"/>
    </row>
    <row r="726" spans="6:16" x14ac:dyDescent="0.25">
      <c r="F726"/>
      <c r="P726" s="190"/>
    </row>
    <row r="727" spans="6:16" x14ac:dyDescent="0.25">
      <c r="F727"/>
      <c r="P727" s="190"/>
    </row>
    <row r="728" spans="6:16" x14ac:dyDescent="0.25">
      <c r="F728"/>
      <c r="P728" s="190"/>
    </row>
    <row r="729" spans="6:16" x14ac:dyDescent="0.25">
      <c r="F729"/>
      <c r="P729" s="190"/>
    </row>
    <row r="730" spans="6:16" x14ac:dyDescent="0.25">
      <c r="F730"/>
      <c r="P730" s="190"/>
    </row>
    <row r="731" spans="6:16" x14ac:dyDescent="0.25">
      <c r="F731"/>
      <c r="P731" s="190"/>
    </row>
    <row r="732" spans="6:16" x14ac:dyDescent="0.25">
      <c r="F732"/>
      <c r="P732" s="190"/>
    </row>
    <row r="733" spans="6:16" x14ac:dyDescent="0.25">
      <c r="F733"/>
      <c r="P733" s="190"/>
    </row>
    <row r="734" spans="6:16" x14ac:dyDescent="0.25">
      <c r="F734"/>
      <c r="P734" s="190"/>
    </row>
    <row r="735" spans="6:16" x14ac:dyDescent="0.25">
      <c r="F735"/>
      <c r="P735" s="190"/>
    </row>
    <row r="736" spans="6:16" x14ac:dyDescent="0.25">
      <c r="F736"/>
      <c r="P736" s="190"/>
    </row>
    <row r="737" spans="6:16" x14ac:dyDescent="0.25">
      <c r="F737"/>
      <c r="P737" s="190"/>
    </row>
    <row r="738" spans="6:16" x14ac:dyDescent="0.25">
      <c r="F738"/>
      <c r="P738" s="190"/>
    </row>
    <row r="739" spans="6:16" x14ac:dyDescent="0.25">
      <c r="F739"/>
      <c r="P739" s="190"/>
    </row>
    <row r="740" spans="6:16" x14ac:dyDescent="0.25">
      <c r="F740"/>
      <c r="P740" s="190"/>
    </row>
    <row r="741" spans="6:16" x14ac:dyDescent="0.25">
      <c r="F741"/>
      <c r="P741" s="190"/>
    </row>
    <row r="742" spans="6:16" x14ac:dyDescent="0.25">
      <c r="F742"/>
      <c r="P742" s="190"/>
    </row>
    <row r="743" spans="6:16" x14ac:dyDescent="0.25">
      <c r="F743"/>
      <c r="P743" s="190"/>
    </row>
    <row r="744" spans="6:16" x14ac:dyDescent="0.25">
      <c r="F744"/>
      <c r="P744" s="190"/>
    </row>
    <row r="745" spans="6:16" x14ac:dyDescent="0.25">
      <c r="F745"/>
      <c r="P745" s="190"/>
    </row>
    <row r="746" spans="6:16" x14ac:dyDescent="0.25">
      <c r="F746"/>
      <c r="P746" s="190"/>
    </row>
    <row r="747" spans="6:16" x14ac:dyDescent="0.25">
      <c r="F747"/>
      <c r="P747" s="190"/>
    </row>
    <row r="748" spans="6:16" x14ac:dyDescent="0.25">
      <c r="F748"/>
      <c r="P748" s="190"/>
    </row>
    <row r="749" spans="6:16" x14ac:dyDescent="0.25">
      <c r="F749"/>
      <c r="P749" s="190"/>
    </row>
    <row r="750" spans="6:16" x14ac:dyDescent="0.25">
      <c r="F750"/>
      <c r="P750" s="190"/>
    </row>
    <row r="751" spans="6:16" x14ac:dyDescent="0.25">
      <c r="F751"/>
      <c r="P751" s="190"/>
    </row>
    <row r="752" spans="6:16" x14ac:dyDescent="0.25">
      <c r="F752"/>
      <c r="P752" s="190"/>
    </row>
    <row r="753" spans="6:16" x14ac:dyDescent="0.25">
      <c r="F753"/>
      <c r="P753" s="190"/>
    </row>
    <row r="754" spans="6:16" x14ac:dyDescent="0.25">
      <c r="F754"/>
      <c r="P754" s="190"/>
    </row>
    <row r="755" spans="6:16" x14ac:dyDescent="0.25">
      <c r="F755"/>
      <c r="P755" s="190"/>
    </row>
    <row r="756" spans="6:16" x14ac:dyDescent="0.25">
      <c r="F756"/>
      <c r="P756" s="190"/>
    </row>
    <row r="757" spans="6:16" x14ac:dyDescent="0.25">
      <c r="F757"/>
      <c r="P757" s="190"/>
    </row>
    <row r="758" spans="6:16" x14ac:dyDescent="0.25">
      <c r="F758"/>
      <c r="P758" s="190"/>
    </row>
    <row r="759" spans="6:16" x14ac:dyDescent="0.25">
      <c r="F759"/>
      <c r="P759" s="190"/>
    </row>
    <row r="760" spans="6:16" x14ac:dyDescent="0.25">
      <c r="F760"/>
      <c r="P760" s="190"/>
    </row>
    <row r="761" spans="6:16" x14ac:dyDescent="0.25">
      <c r="F761"/>
      <c r="P761" s="190"/>
    </row>
    <row r="762" spans="6:16" x14ac:dyDescent="0.25">
      <c r="F762"/>
      <c r="P762" s="190"/>
    </row>
    <row r="763" spans="6:16" x14ac:dyDescent="0.25">
      <c r="F763"/>
      <c r="P763" s="190"/>
    </row>
    <row r="764" spans="6:16" x14ac:dyDescent="0.25">
      <c r="F764"/>
      <c r="P764" s="190"/>
    </row>
    <row r="765" spans="6:16" x14ac:dyDescent="0.25">
      <c r="F765"/>
      <c r="P765" s="190"/>
    </row>
    <row r="766" spans="6:16" x14ac:dyDescent="0.25">
      <c r="F766"/>
      <c r="P766" s="190"/>
    </row>
    <row r="767" spans="6:16" x14ac:dyDescent="0.25">
      <c r="F767"/>
      <c r="P767" s="190"/>
    </row>
    <row r="768" spans="6:16" x14ac:dyDescent="0.25">
      <c r="F768"/>
      <c r="P768" s="190"/>
    </row>
    <row r="769" spans="6:16" x14ac:dyDescent="0.25">
      <c r="F769"/>
      <c r="P769" s="190"/>
    </row>
    <row r="770" spans="6:16" x14ac:dyDescent="0.25">
      <c r="F770"/>
      <c r="P770" s="190"/>
    </row>
    <row r="771" spans="6:16" x14ac:dyDescent="0.25">
      <c r="F771"/>
      <c r="P771" s="190"/>
    </row>
    <row r="772" spans="6:16" x14ac:dyDescent="0.25">
      <c r="F772"/>
      <c r="P772" s="190"/>
    </row>
    <row r="773" spans="6:16" x14ac:dyDescent="0.25">
      <c r="F773"/>
      <c r="P773" s="190"/>
    </row>
    <row r="774" spans="6:16" x14ac:dyDescent="0.25">
      <c r="F774"/>
      <c r="P774" s="190"/>
    </row>
    <row r="775" spans="6:16" x14ac:dyDescent="0.25">
      <c r="F775"/>
      <c r="P775" s="190"/>
    </row>
    <row r="776" spans="6:16" x14ac:dyDescent="0.25">
      <c r="F776"/>
      <c r="P776" s="190"/>
    </row>
    <row r="777" spans="6:16" x14ac:dyDescent="0.25">
      <c r="F777"/>
      <c r="P777" s="190"/>
    </row>
    <row r="778" spans="6:16" x14ac:dyDescent="0.25">
      <c r="F778"/>
      <c r="P778" s="190"/>
    </row>
    <row r="779" spans="6:16" x14ac:dyDescent="0.25">
      <c r="F779"/>
      <c r="P779" s="190"/>
    </row>
    <row r="780" spans="6:16" x14ac:dyDescent="0.25">
      <c r="F780"/>
      <c r="P780" s="190"/>
    </row>
    <row r="781" spans="6:16" x14ac:dyDescent="0.25">
      <c r="F781"/>
      <c r="P781" s="190"/>
    </row>
    <row r="782" spans="6:16" x14ac:dyDescent="0.25">
      <c r="F782"/>
      <c r="P782" s="190"/>
    </row>
    <row r="783" spans="6:16" x14ac:dyDescent="0.25">
      <c r="F783"/>
      <c r="P783" s="190"/>
    </row>
    <row r="784" spans="6:16" x14ac:dyDescent="0.25">
      <c r="F784"/>
      <c r="P784" s="190"/>
    </row>
    <row r="785" spans="6:16" x14ac:dyDescent="0.25">
      <c r="F785"/>
      <c r="P785" s="190"/>
    </row>
    <row r="786" spans="6:16" x14ac:dyDescent="0.25">
      <c r="F786"/>
      <c r="P786" s="190"/>
    </row>
    <row r="787" spans="6:16" x14ac:dyDescent="0.25">
      <c r="F787"/>
      <c r="P787" s="190"/>
    </row>
    <row r="788" spans="6:16" x14ac:dyDescent="0.25">
      <c r="F788"/>
      <c r="P788" s="190"/>
    </row>
    <row r="789" spans="6:16" x14ac:dyDescent="0.25">
      <c r="F789"/>
      <c r="P789" s="190"/>
    </row>
    <row r="790" spans="6:16" x14ac:dyDescent="0.25">
      <c r="F790"/>
      <c r="P790" s="190"/>
    </row>
    <row r="791" spans="6:16" x14ac:dyDescent="0.25">
      <c r="F791"/>
      <c r="P791" s="190"/>
    </row>
    <row r="792" spans="6:16" x14ac:dyDescent="0.25">
      <c r="F792"/>
      <c r="P792" s="190"/>
    </row>
    <row r="793" spans="6:16" x14ac:dyDescent="0.25">
      <c r="F793"/>
      <c r="P793" s="190"/>
    </row>
    <row r="794" spans="6:16" x14ac:dyDescent="0.25">
      <c r="F794"/>
      <c r="P794" s="190"/>
    </row>
    <row r="795" spans="6:16" x14ac:dyDescent="0.25">
      <c r="F795"/>
      <c r="P795" s="190"/>
    </row>
    <row r="796" spans="6:16" x14ac:dyDescent="0.25">
      <c r="F796"/>
      <c r="P796" s="190"/>
    </row>
    <row r="797" spans="6:16" x14ac:dyDescent="0.25">
      <c r="F797"/>
      <c r="P797" s="190"/>
    </row>
    <row r="798" spans="6:16" x14ac:dyDescent="0.25">
      <c r="F798"/>
      <c r="P798" s="190"/>
    </row>
    <row r="799" spans="6:16" x14ac:dyDescent="0.25">
      <c r="F799"/>
      <c r="P799" s="190"/>
    </row>
    <row r="800" spans="6:16" x14ac:dyDescent="0.25">
      <c r="F800"/>
      <c r="P800" s="190"/>
    </row>
    <row r="801" spans="6:16" x14ac:dyDescent="0.25">
      <c r="F801"/>
      <c r="P801" s="190"/>
    </row>
    <row r="802" spans="6:16" x14ac:dyDescent="0.25">
      <c r="F802"/>
      <c r="P802" s="190"/>
    </row>
    <row r="803" spans="6:16" x14ac:dyDescent="0.25">
      <c r="F803"/>
      <c r="P803" s="190"/>
    </row>
    <row r="804" spans="6:16" x14ac:dyDescent="0.25">
      <c r="F804"/>
      <c r="P804" s="190"/>
    </row>
    <row r="805" spans="6:16" x14ac:dyDescent="0.25">
      <c r="F805"/>
      <c r="P805" s="190"/>
    </row>
    <row r="806" spans="6:16" x14ac:dyDescent="0.25">
      <c r="F806"/>
      <c r="P806" s="190"/>
    </row>
    <row r="807" spans="6:16" x14ac:dyDescent="0.25">
      <c r="F807"/>
      <c r="P807" s="190"/>
    </row>
    <row r="808" spans="6:16" x14ac:dyDescent="0.25">
      <c r="F808"/>
      <c r="P808" s="190"/>
    </row>
    <row r="809" spans="6:16" x14ac:dyDescent="0.25">
      <c r="F809"/>
      <c r="P809" s="190"/>
    </row>
    <row r="810" spans="6:16" x14ac:dyDescent="0.25">
      <c r="F810"/>
      <c r="P810" s="190"/>
    </row>
    <row r="811" spans="6:16" x14ac:dyDescent="0.25">
      <c r="F811"/>
      <c r="P811" s="190"/>
    </row>
    <row r="812" spans="6:16" x14ac:dyDescent="0.25">
      <c r="F812"/>
      <c r="P812" s="190"/>
    </row>
    <row r="813" spans="6:16" x14ac:dyDescent="0.25">
      <c r="F813"/>
      <c r="P813" s="190"/>
    </row>
    <row r="814" spans="6:16" x14ac:dyDescent="0.25">
      <c r="F814"/>
      <c r="P814" s="190"/>
    </row>
    <row r="815" spans="6:16" x14ac:dyDescent="0.25">
      <c r="F815"/>
      <c r="P815" s="190"/>
    </row>
    <row r="816" spans="6:16" x14ac:dyDescent="0.25">
      <c r="F816"/>
      <c r="P816" s="190"/>
    </row>
    <row r="817" spans="6:16" x14ac:dyDescent="0.25">
      <c r="F817"/>
      <c r="P817" s="190"/>
    </row>
    <row r="818" spans="6:16" x14ac:dyDescent="0.25">
      <c r="F818"/>
      <c r="P818" s="190"/>
    </row>
    <row r="819" spans="6:16" x14ac:dyDescent="0.25">
      <c r="F819"/>
      <c r="P819" s="190"/>
    </row>
    <row r="820" spans="6:16" x14ac:dyDescent="0.25">
      <c r="F820"/>
      <c r="P820" s="190"/>
    </row>
    <row r="821" spans="6:16" x14ac:dyDescent="0.25">
      <c r="F821"/>
      <c r="P821" s="190"/>
    </row>
    <row r="822" spans="6:16" x14ac:dyDescent="0.25">
      <c r="F822"/>
      <c r="P822" s="190"/>
    </row>
    <row r="823" spans="6:16" x14ac:dyDescent="0.25">
      <c r="F823"/>
      <c r="P823" s="190"/>
    </row>
    <row r="824" spans="6:16" x14ac:dyDescent="0.25">
      <c r="F824"/>
      <c r="P824" s="190"/>
    </row>
    <row r="825" spans="6:16" x14ac:dyDescent="0.25">
      <c r="F825"/>
      <c r="P825" s="190"/>
    </row>
    <row r="826" spans="6:16" x14ac:dyDescent="0.25">
      <c r="F826"/>
      <c r="P826" s="190"/>
    </row>
    <row r="827" spans="6:16" x14ac:dyDescent="0.25">
      <c r="F827"/>
      <c r="P827" s="190"/>
    </row>
    <row r="828" spans="6:16" x14ac:dyDescent="0.25">
      <c r="F828"/>
      <c r="P828" s="190"/>
    </row>
    <row r="829" spans="6:16" x14ac:dyDescent="0.25">
      <c r="F829"/>
      <c r="P829" s="190"/>
    </row>
    <row r="830" spans="6:16" x14ac:dyDescent="0.25">
      <c r="F830"/>
      <c r="P830" s="190"/>
    </row>
    <row r="831" spans="6:16" x14ac:dyDescent="0.25">
      <c r="F831"/>
      <c r="P831" s="190"/>
    </row>
    <row r="832" spans="6:16" x14ac:dyDescent="0.25">
      <c r="F832"/>
      <c r="P832" s="190"/>
    </row>
    <row r="833" spans="6:16" x14ac:dyDescent="0.25">
      <c r="F833"/>
      <c r="P833" s="190"/>
    </row>
    <row r="834" spans="6:16" x14ac:dyDescent="0.25">
      <c r="F834"/>
      <c r="P834" s="190"/>
    </row>
    <row r="835" spans="6:16" x14ac:dyDescent="0.25">
      <c r="F835"/>
      <c r="P835" s="190"/>
    </row>
    <row r="836" spans="6:16" x14ac:dyDescent="0.25">
      <c r="F836"/>
      <c r="P836" s="190"/>
    </row>
    <row r="837" spans="6:16" x14ac:dyDescent="0.25">
      <c r="F837"/>
      <c r="P837" s="190"/>
    </row>
    <row r="838" spans="6:16" x14ac:dyDescent="0.25">
      <c r="F838"/>
      <c r="P838" s="190"/>
    </row>
    <row r="839" spans="6:16" x14ac:dyDescent="0.25">
      <c r="F839"/>
      <c r="P839" s="190"/>
    </row>
    <row r="840" spans="6:16" x14ac:dyDescent="0.25">
      <c r="F840"/>
      <c r="P840" s="190"/>
    </row>
    <row r="841" spans="6:16" x14ac:dyDescent="0.25">
      <c r="F841"/>
      <c r="P841" s="190"/>
    </row>
    <row r="842" spans="6:16" x14ac:dyDescent="0.25">
      <c r="F842"/>
      <c r="P842" s="190"/>
    </row>
    <row r="843" spans="6:16" x14ac:dyDescent="0.25">
      <c r="F843"/>
      <c r="P843" s="190"/>
    </row>
    <row r="844" spans="6:16" x14ac:dyDescent="0.25">
      <c r="F844"/>
      <c r="P844" s="190"/>
    </row>
    <row r="845" spans="6:16" x14ac:dyDescent="0.25">
      <c r="F845"/>
      <c r="P845" s="190"/>
    </row>
    <row r="846" spans="6:16" x14ac:dyDescent="0.25">
      <c r="F846"/>
      <c r="P846" s="190"/>
    </row>
    <row r="847" spans="6:16" x14ac:dyDescent="0.25">
      <c r="F847"/>
      <c r="P847" s="190"/>
    </row>
    <row r="848" spans="6:16" x14ac:dyDescent="0.25">
      <c r="F848"/>
      <c r="P848" s="190"/>
    </row>
    <row r="849" spans="6:16" x14ac:dyDescent="0.25">
      <c r="F849"/>
      <c r="P849" s="190"/>
    </row>
    <row r="850" spans="6:16" x14ac:dyDescent="0.25">
      <c r="F850"/>
      <c r="P850" s="190"/>
    </row>
    <row r="851" spans="6:16" x14ac:dyDescent="0.25">
      <c r="F851"/>
      <c r="P851" s="190"/>
    </row>
    <row r="852" spans="6:16" x14ac:dyDescent="0.25">
      <c r="F852"/>
      <c r="P852" s="190"/>
    </row>
    <row r="853" spans="6:16" x14ac:dyDescent="0.25">
      <c r="F853"/>
      <c r="P853" s="190"/>
    </row>
    <row r="854" spans="6:16" x14ac:dyDescent="0.25">
      <c r="F854"/>
      <c r="P854" s="190"/>
    </row>
    <row r="855" spans="6:16" x14ac:dyDescent="0.25">
      <c r="F855"/>
      <c r="P855" s="190"/>
    </row>
    <row r="856" spans="6:16" x14ac:dyDescent="0.25">
      <c r="F856"/>
      <c r="P856" s="190"/>
    </row>
    <row r="857" spans="6:16" x14ac:dyDescent="0.25">
      <c r="F857"/>
      <c r="P857" s="190"/>
    </row>
    <row r="858" spans="6:16" x14ac:dyDescent="0.25">
      <c r="F858"/>
      <c r="P858" s="190"/>
    </row>
    <row r="859" spans="6:16" x14ac:dyDescent="0.25">
      <c r="F859"/>
      <c r="P859" s="190"/>
    </row>
    <row r="860" spans="6:16" x14ac:dyDescent="0.25">
      <c r="F860"/>
      <c r="P860" s="190"/>
    </row>
    <row r="861" spans="6:16" x14ac:dyDescent="0.25">
      <c r="F861"/>
      <c r="P861" s="190"/>
    </row>
    <row r="862" spans="6:16" x14ac:dyDescent="0.25">
      <c r="F862"/>
      <c r="P862" s="190"/>
    </row>
    <row r="863" spans="6:16" x14ac:dyDescent="0.25">
      <c r="F863"/>
      <c r="P863" s="190"/>
    </row>
    <row r="864" spans="6:16" x14ac:dyDescent="0.25">
      <c r="F864"/>
      <c r="P864" s="190"/>
    </row>
    <row r="865" spans="6:16" x14ac:dyDescent="0.25">
      <c r="F865"/>
      <c r="P865" s="190"/>
    </row>
    <row r="866" spans="6:16" x14ac:dyDescent="0.25">
      <c r="F866"/>
      <c r="P866" s="190"/>
    </row>
    <row r="867" spans="6:16" x14ac:dyDescent="0.25">
      <c r="F867"/>
      <c r="P867" s="190"/>
    </row>
    <row r="868" spans="6:16" x14ac:dyDescent="0.25">
      <c r="F868"/>
      <c r="P868" s="190"/>
    </row>
    <row r="869" spans="6:16" x14ac:dyDescent="0.25">
      <c r="F869"/>
      <c r="P869" s="190"/>
    </row>
    <row r="870" spans="6:16" x14ac:dyDescent="0.25">
      <c r="F870"/>
      <c r="P870" s="190"/>
    </row>
    <row r="871" spans="6:16" x14ac:dyDescent="0.25">
      <c r="F871"/>
      <c r="P871" s="190"/>
    </row>
    <row r="872" spans="6:16" x14ac:dyDescent="0.25">
      <c r="F872"/>
      <c r="P872" s="190"/>
    </row>
    <row r="873" spans="6:16" x14ac:dyDescent="0.25">
      <c r="F873"/>
      <c r="P873" s="190"/>
    </row>
    <row r="874" spans="6:16" x14ac:dyDescent="0.25">
      <c r="F874"/>
      <c r="P874" s="190"/>
    </row>
    <row r="875" spans="6:16" x14ac:dyDescent="0.25">
      <c r="F875"/>
      <c r="P875" s="190"/>
    </row>
    <row r="876" spans="6:16" x14ac:dyDescent="0.25">
      <c r="F876"/>
      <c r="P876" s="190"/>
    </row>
    <row r="877" spans="6:16" x14ac:dyDescent="0.25">
      <c r="F877"/>
      <c r="P877" s="190"/>
    </row>
    <row r="878" spans="6:16" x14ac:dyDescent="0.25">
      <c r="F878"/>
      <c r="P878" s="190"/>
    </row>
    <row r="879" spans="6:16" x14ac:dyDescent="0.25">
      <c r="F879"/>
      <c r="P879" s="190"/>
    </row>
    <row r="880" spans="6:16" x14ac:dyDescent="0.25">
      <c r="F880"/>
      <c r="P880" s="190"/>
    </row>
    <row r="881" spans="6:16" x14ac:dyDescent="0.25">
      <c r="F881"/>
      <c r="P881" s="190"/>
    </row>
    <row r="882" spans="6:16" x14ac:dyDescent="0.25">
      <c r="F882"/>
      <c r="P882" s="190"/>
    </row>
    <row r="883" spans="6:16" x14ac:dyDescent="0.25">
      <c r="F883"/>
      <c r="P883" s="190"/>
    </row>
    <row r="884" spans="6:16" x14ac:dyDescent="0.25">
      <c r="F884"/>
      <c r="P884" s="190"/>
    </row>
    <row r="885" spans="6:16" x14ac:dyDescent="0.25">
      <c r="F885"/>
      <c r="P885" s="190"/>
    </row>
    <row r="886" spans="6:16" x14ac:dyDescent="0.25">
      <c r="F886"/>
      <c r="P886" s="190"/>
    </row>
    <row r="887" spans="6:16" x14ac:dyDescent="0.25">
      <c r="F887"/>
      <c r="P887" s="190"/>
    </row>
    <row r="888" spans="6:16" x14ac:dyDescent="0.25">
      <c r="F888"/>
      <c r="P888" s="190"/>
    </row>
    <row r="889" spans="6:16" x14ac:dyDescent="0.25">
      <c r="F889"/>
      <c r="P889" s="190"/>
    </row>
    <row r="890" spans="6:16" x14ac:dyDescent="0.25">
      <c r="F890"/>
      <c r="P890" s="190"/>
    </row>
    <row r="891" spans="6:16" x14ac:dyDescent="0.25">
      <c r="F891"/>
      <c r="P891" s="190"/>
    </row>
    <row r="892" spans="6:16" x14ac:dyDescent="0.25">
      <c r="F892"/>
      <c r="P892" s="190"/>
    </row>
    <row r="893" spans="6:16" x14ac:dyDescent="0.25">
      <c r="F893"/>
      <c r="P893" s="190"/>
    </row>
    <row r="894" spans="6:16" x14ac:dyDescent="0.25">
      <c r="F894"/>
      <c r="P894" s="190"/>
    </row>
    <row r="895" spans="6:16" x14ac:dyDescent="0.25">
      <c r="F895"/>
      <c r="P895" s="190"/>
    </row>
    <row r="896" spans="6:16" x14ac:dyDescent="0.25">
      <c r="F896"/>
      <c r="P896" s="190"/>
    </row>
    <row r="897" spans="6:16" x14ac:dyDescent="0.25">
      <c r="F897"/>
      <c r="P897" s="190"/>
    </row>
    <row r="898" spans="6:16" x14ac:dyDescent="0.25">
      <c r="F898"/>
      <c r="P898" s="190"/>
    </row>
    <row r="899" spans="6:16" x14ac:dyDescent="0.25">
      <c r="F899"/>
      <c r="P899" s="190"/>
    </row>
    <row r="900" spans="6:16" x14ac:dyDescent="0.25">
      <c r="F900"/>
      <c r="P900" s="190"/>
    </row>
    <row r="901" spans="6:16" x14ac:dyDescent="0.25">
      <c r="F901"/>
      <c r="P901" s="190"/>
    </row>
    <row r="902" spans="6:16" x14ac:dyDescent="0.25">
      <c r="F902"/>
      <c r="P902" s="190"/>
    </row>
    <row r="903" spans="6:16" x14ac:dyDescent="0.25">
      <c r="F903"/>
      <c r="P903" s="190"/>
    </row>
    <row r="904" spans="6:16" x14ac:dyDescent="0.25">
      <c r="F904"/>
      <c r="P904" s="190"/>
    </row>
    <row r="905" spans="6:16" x14ac:dyDescent="0.25">
      <c r="F905"/>
      <c r="P905" s="190"/>
    </row>
    <row r="906" spans="6:16" x14ac:dyDescent="0.25">
      <c r="F906"/>
      <c r="P906" s="190"/>
    </row>
    <row r="907" spans="6:16" x14ac:dyDescent="0.25">
      <c r="F907"/>
      <c r="P907" s="190"/>
    </row>
    <row r="908" spans="6:16" x14ac:dyDescent="0.25">
      <c r="F908"/>
      <c r="P908" s="190"/>
    </row>
    <row r="909" spans="6:16" x14ac:dyDescent="0.25">
      <c r="F909"/>
      <c r="P909" s="190"/>
    </row>
    <row r="910" spans="6:16" x14ac:dyDescent="0.25">
      <c r="F910"/>
      <c r="P910" s="190"/>
    </row>
    <row r="911" spans="6:16" x14ac:dyDescent="0.25">
      <c r="F911"/>
      <c r="P911" s="190"/>
    </row>
    <row r="912" spans="6:16" x14ac:dyDescent="0.25">
      <c r="F912"/>
      <c r="P912" s="190"/>
    </row>
    <row r="913" spans="6:16" x14ac:dyDescent="0.25">
      <c r="F913"/>
      <c r="P913" s="190"/>
    </row>
    <row r="914" spans="6:16" x14ac:dyDescent="0.25">
      <c r="F914"/>
      <c r="P914" s="190"/>
    </row>
    <row r="915" spans="6:16" x14ac:dyDescent="0.25">
      <c r="F915"/>
      <c r="P915" s="190"/>
    </row>
    <row r="916" spans="6:16" x14ac:dyDescent="0.25">
      <c r="F916"/>
      <c r="P916" s="190"/>
    </row>
    <row r="917" spans="6:16" x14ac:dyDescent="0.25">
      <c r="F917"/>
      <c r="P917" s="190"/>
    </row>
    <row r="918" spans="6:16" x14ac:dyDescent="0.25">
      <c r="F918"/>
      <c r="P918" s="190"/>
    </row>
    <row r="919" spans="6:16" x14ac:dyDescent="0.25">
      <c r="F919"/>
      <c r="P919" s="190"/>
    </row>
    <row r="920" spans="6:16" x14ac:dyDescent="0.25">
      <c r="F920"/>
      <c r="P920" s="190"/>
    </row>
    <row r="921" spans="6:16" x14ac:dyDescent="0.25">
      <c r="F921"/>
      <c r="P921" s="190"/>
    </row>
    <row r="922" spans="6:16" x14ac:dyDescent="0.25">
      <c r="F922"/>
      <c r="P922" s="190"/>
    </row>
    <row r="923" spans="6:16" x14ac:dyDescent="0.25">
      <c r="F923"/>
      <c r="P923" s="190"/>
    </row>
    <row r="924" spans="6:16" x14ac:dyDescent="0.25">
      <c r="F924"/>
      <c r="P924" s="190"/>
    </row>
    <row r="925" spans="6:16" x14ac:dyDescent="0.25">
      <c r="F925"/>
      <c r="P925" s="190"/>
    </row>
    <row r="926" spans="6:16" x14ac:dyDescent="0.25">
      <c r="F926"/>
      <c r="P926" s="190"/>
    </row>
    <row r="927" spans="6:16" x14ac:dyDescent="0.25">
      <c r="F927"/>
      <c r="P927" s="190"/>
    </row>
    <row r="928" spans="6:16" x14ac:dyDescent="0.25">
      <c r="F928"/>
      <c r="P928" s="190"/>
    </row>
    <row r="929" spans="6:16" x14ac:dyDescent="0.25">
      <c r="F929"/>
      <c r="P929" s="190"/>
    </row>
    <row r="930" spans="6:16" x14ac:dyDescent="0.25">
      <c r="F930"/>
      <c r="P930" s="190"/>
    </row>
    <row r="931" spans="6:16" x14ac:dyDescent="0.25">
      <c r="F931"/>
      <c r="P931" s="190"/>
    </row>
    <row r="932" spans="6:16" x14ac:dyDescent="0.25">
      <c r="F932"/>
      <c r="P932" s="190"/>
    </row>
    <row r="933" spans="6:16" x14ac:dyDescent="0.25">
      <c r="F933"/>
      <c r="P933" s="190"/>
    </row>
    <row r="934" spans="6:16" x14ac:dyDescent="0.25">
      <c r="F934"/>
      <c r="P934" s="190"/>
    </row>
    <row r="935" spans="6:16" x14ac:dyDescent="0.25">
      <c r="F935"/>
      <c r="P935" s="190"/>
    </row>
    <row r="936" spans="6:16" x14ac:dyDescent="0.25">
      <c r="F936"/>
      <c r="P936" s="190"/>
    </row>
    <row r="937" spans="6:16" x14ac:dyDescent="0.25">
      <c r="F937"/>
      <c r="P937" s="190"/>
    </row>
    <row r="938" spans="6:16" x14ac:dyDescent="0.25">
      <c r="F938"/>
      <c r="P938" s="190"/>
    </row>
    <row r="939" spans="6:16" x14ac:dyDescent="0.25">
      <c r="F939"/>
      <c r="P939" s="190"/>
    </row>
    <row r="940" spans="6:16" x14ac:dyDescent="0.25">
      <c r="F940"/>
      <c r="P940" s="190"/>
    </row>
    <row r="941" spans="6:16" x14ac:dyDescent="0.25">
      <c r="F941"/>
      <c r="P941" s="190"/>
    </row>
    <row r="942" spans="6:16" x14ac:dyDescent="0.25">
      <c r="F942"/>
      <c r="P942" s="190"/>
    </row>
    <row r="943" spans="6:16" x14ac:dyDescent="0.25">
      <c r="F943"/>
      <c r="P943" s="190"/>
    </row>
    <row r="944" spans="6:16" x14ac:dyDescent="0.25">
      <c r="F944"/>
      <c r="P944" s="190"/>
    </row>
    <row r="945" spans="6:16" x14ac:dyDescent="0.25">
      <c r="F945"/>
      <c r="P945" s="190"/>
    </row>
    <row r="946" spans="6:16" x14ac:dyDescent="0.25">
      <c r="F946"/>
      <c r="P946" s="190"/>
    </row>
    <row r="947" spans="6:16" x14ac:dyDescent="0.25">
      <c r="F947"/>
      <c r="P947" s="190"/>
    </row>
    <row r="948" spans="6:16" x14ac:dyDescent="0.25">
      <c r="F948"/>
      <c r="P948" s="190"/>
    </row>
    <row r="949" spans="6:16" x14ac:dyDescent="0.25">
      <c r="F949"/>
      <c r="P949" s="190"/>
    </row>
    <row r="950" spans="6:16" x14ac:dyDescent="0.25">
      <c r="F950"/>
      <c r="P950" s="190"/>
    </row>
    <row r="951" spans="6:16" x14ac:dyDescent="0.25">
      <c r="F951"/>
      <c r="P951" s="190"/>
    </row>
    <row r="952" spans="6:16" x14ac:dyDescent="0.25">
      <c r="F952"/>
      <c r="P952" s="190"/>
    </row>
    <row r="953" spans="6:16" x14ac:dyDescent="0.25">
      <c r="F953"/>
      <c r="P953" s="190"/>
    </row>
    <row r="954" spans="6:16" x14ac:dyDescent="0.25">
      <c r="F954"/>
      <c r="P954" s="190"/>
    </row>
    <row r="955" spans="6:16" x14ac:dyDescent="0.25">
      <c r="F955"/>
      <c r="P955" s="190"/>
    </row>
    <row r="956" spans="6:16" x14ac:dyDescent="0.25">
      <c r="F956"/>
      <c r="P956" s="190"/>
    </row>
    <row r="957" spans="6:16" x14ac:dyDescent="0.25">
      <c r="F957"/>
      <c r="P957" s="190"/>
    </row>
    <row r="958" spans="6:16" x14ac:dyDescent="0.25">
      <c r="F958"/>
      <c r="P958" s="190"/>
    </row>
    <row r="959" spans="6:16" x14ac:dyDescent="0.25">
      <c r="F959"/>
      <c r="P959" s="190"/>
    </row>
    <row r="960" spans="6:16" x14ac:dyDescent="0.25">
      <c r="F960"/>
      <c r="P960" s="190"/>
    </row>
    <row r="961" spans="6:16" x14ac:dyDescent="0.25">
      <c r="F961"/>
      <c r="P961" s="190"/>
    </row>
    <row r="962" spans="6:16" x14ac:dyDescent="0.25">
      <c r="F962"/>
      <c r="P962" s="190"/>
    </row>
    <row r="963" spans="6:16" x14ac:dyDescent="0.25">
      <c r="F963"/>
      <c r="P963" s="190"/>
    </row>
    <row r="964" spans="6:16" x14ac:dyDescent="0.25">
      <c r="F964"/>
      <c r="P964" s="190"/>
    </row>
    <row r="965" spans="6:16" x14ac:dyDescent="0.25">
      <c r="F965"/>
      <c r="P965" s="190"/>
    </row>
    <row r="966" spans="6:16" x14ac:dyDescent="0.25">
      <c r="F966"/>
      <c r="P966" s="190"/>
    </row>
    <row r="967" spans="6:16" x14ac:dyDescent="0.25">
      <c r="F967"/>
      <c r="P967" s="190"/>
    </row>
    <row r="968" spans="6:16" x14ac:dyDescent="0.25">
      <c r="F968"/>
      <c r="P968" s="190"/>
    </row>
    <row r="969" spans="6:16" x14ac:dyDescent="0.25">
      <c r="F969"/>
      <c r="P969" s="190"/>
    </row>
    <row r="970" spans="6:16" x14ac:dyDescent="0.25">
      <c r="F970"/>
      <c r="P970" s="190"/>
    </row>
    <row r="971" spans="6:16" x14ac:dyDescent="0.25">
      <c r="F971"/>
      <c r="P971" s="190"/>
    </row>
    <row r="972" spans="6:16" x14ac:dyDescent="0.25">
      <c r="F972"/>
      <c r="P972" s="190"/>
    </row>
    <row r="973" spans="6:16" x14ac:dyDescent="0.25">
      <c r="F973"/>
      <c r="P973" s="190"/>
    </row>
    <row r="974" spans="6:16" x14ac:dyDescent="0.25">
      <c r="F974"/>
      <c r="P974" s="190"/>
    </row>
    <row r="975" spans="6:16" x14ac:dyDescent="0.25">
      <c r="F975"/>
      <c r="P975" s="190"/>
    </row>
    <row r="976" spans="6:16" x14ac:dyDescent="0.25">
      <c r="F976"/>
      <c r="P976" s="190"/>
    </row>
    <row r="977" spans="6:16" x14ac:dyDescent="0.25">
      <c r="F977"/>
      <c r="P977" s="190"/>
    </row>
    <row r="978" spans="6:16" x14ac:dyDescent="0.25">
      <c r="F978"/>
      <c r="P978" s="190"/>
    </row>
    <row r="979" spans="6:16" x14ac:dyDescent="0.25">
      <c r="F979"/>
      <c r="P979" s="190"/>
    </row>
    <row r="980" spans="6:16" x14ac:dyDescent="0.25">
      <c r="F980"/>
      <c r="P980" s="190"/>
    </row>
    <row r="981" spans="6:16" x14ac:dyDescent="0.25">
      <c r="F981"/>
      <c r="P981" s="190"/>
    </row>
    <row r="982" spans="6:16" x14ac:dyDescent="0.25">
      <c r="F982"/>
      <c r="P982" s="190"/>
    </row>
    <row r="983" spans="6:16" x14ac:dyDescent="0.25">
      <c r="F983"/>
      <c r="P983" s="190"/>
    </row>
    <row r="984" spans="6:16" x14ac:dyDescent="0.25">
      <c r="F984"/>
      <c r="P984" s="190"/>
    </row>
    <row r="985" spans="6:16" x14ac:dyDescent="0.25">
      <c r="F985"/>
      <c r="P985" s="190"/>
    </row>
    <row r="986" spans="6:16" x14ac:dyDescent="0.25">
      <c r="F986"/>
      <c r="P986" s="190"/>
    </row>
    <row r="987" spans="6:16" x14ac:dyDescent="0.25">
      <c r="F987"/>
      <c r="P987" s="190"/>
    </row>
    <row r="988" spans="6:16" x14ac:dyDescent="0.25">
      <c r="F988"/>
      <c r="P988" s="190"/>
    </row>
    <row r="989" spans="6:16" x14ac:dyDescent="0.25">
      <c r="F989"/>
      <c r="P989" s="190"/>
    </row>
    <row r="990" spans="6:16" x14ac:dyDescent="0.25">
      <c r="F990"/>
      <c r="P990" s="190"/>
    </row>
    <row r="991" spans="6:16" x14ac:dyDescent="0.25">
      <c r="F991"/>
      <c r="P991" s="190"/>
    </row>
    <row r="992" spans="6:16" x14ac:dyDescent="0.25">
      <c r="F992"/>
      <c r="P992" s="190"/>
    </row>
    <row r="993" spans="6:16" x14ac:dyDescent="0.25">
      <c r="F993"/>
      <c r="P993" s="190"/>
    </row>
    <row r="994" spans="6:16" x14ac:dyDescent="0.25">
      <c r="F994"/>
      <c r="P994" s="190"/>
    </row>
    <row r="995" spans="6:16" x14ac:dyDescent="0.25">
      <c r="F995"/>
      <c r="P995" s="190"/>
    </row>
    <row r="996" spans="6:16" x14ac:dyDescent="0.25">
      <c r="F996"/>
      <c r="P996" s="190"/>
    </row>
    <row r="997" spans="6:16" x14ac:dyDescent="0.25">
      <c r="F997"/>
      <c r="P997" s="190"/>
    </row>
    <row r="998" spans="6:16" x14ac:dyDescent="0.25">
      <c r="F998"/>
      <c r="P998" s="190"/>
    </row>
    <row r="999" spans="6:16" x14ac:dyDescent="0.25">
      <c r="F999"/>
      <c r="P999" s="190"/>
    </row>
    <row r="1000" spans="6:16" x14ac:dyDescent="0.25">
      <c r="F1000"/>
      <c r="P1000" s="190"/>
    </row>
    <row r="1001" spans="6:16" x14ac:dyDescent="0.25">
      <c r="F1001"/>
      <c r="P1001" s="190"/>
    </row>
    <row r="1002" spans="6:16" x14ac:dyDescent="0.25">
      <c r="F1002"/>
      <c r="P1002" s="190"/>
    </row>
    <row r="1003" spans="6:16" x14ac:dyDescent="0.25">
      <c r="F1003"/>
      <c r="P1003" s="190"/>
    </row>
    <row r="1004" spans="6:16" x14ac:dyDescent="0.25">
      <c r="F1004"/>
      <c r="P1004" s="190"/>
    </row>
    <row r="1005" spans="6:16" x14ac:dyDescent="0.25">
      <c r="F1005"/>
      <c r="P1005" s="190"/>
    </row>
    <row r="1006" spans="6:16" x14ac:dyDescent="0.25">
      <c r="F1006"/>
      <c r="P1006" s="190"/>
    </row>
    <row r="1007" spans="6:16" x14ac:dyDescent="0.25">
      <c r="F1007"/>
      <c r="P1007" s="190"/>
    </row>
    <row r="1008" spans="6:16" x14ac:dyDescent="0.25">
      <c r="F1008"/>
      <c r="P1008" s="190"/>
    </row>
    <row r="1009" spans="6:16" x14ac:dyDescent="0.25">
      <c r="F1009"/>
      <c r="P1009" s="190"/>
    </row>
    <row r="1010" spans="6:16" x14ac:dyDescent="0.25">
      <c r="F1010"/>
      <c r="P1010" s="190"/>
    </row>
    <row r="1011" spans="6:16" x14ac:dyDescent="0.25">
      <c r="F1011"/>
      <c r="P1011" s="190"/>
    </row>
    <row r="1012" spans="6:16" x14ac:dyDescent="0.25">
      <c r="F1012"/>
      <c r="P1012" s="190"/>
    </row>
    <row r="1013" spans="6:16" x14ac:dyDescent="0.25">
      <c r="F1013"/>
      <c r="P1013" s="190"/>
    </row>
    <row r="1014" spans="6:16" x14ac:dyDescent="0.25">
      <c r="F1014"/>
      <c r="P1014" s="190"/>
    </row>
    <row r="1015" spans="6:16" x14ac:dyDescent="0.25">
      <c r="F1015"/>
      <c r="P1015" s="190"/>
    </row>
    <row r="1016" spans="6:16" x14ac:dyDescent="0.25">
      <c r="F1016"/>
      <c r="P1016" s="190"/>
    </row>
    <row r="1017" spans="6:16" x14ac:dyDescent="0.25">
      <c r="F1017"/>
      <c r="P1017" s="190"/>
    </row>
    <row r="1018" spans="6:16" x14ac:dyDescent="0.25">
      <c r="F1018"/>
      <c r="P1018" s="190"/>
    </row>
    <row r="1019" spans="6:16" x14ac:dyDescent="0.25">
      <c r="F1019"/>
      <c r="P1019" s="190"/>
    </row>
    <row r="1020" spans="6:16" x14ac:dyDescent="0.25">
      <c r="F1020"/>
      <c r="P1020" s="190"/>
    </row>
    <row r="1021" spans="6:16" x14ac:dyDescent="0.25">
      <c r="F1021"/>
      <c r="P1021" s="190"/>
    </row>
    <row r="1022" spans="6:16" x14ac:dyDescent="0.25">
      <c r="F1022"/>
      <c r="P1022" s="190"/>
    </row>
    <row r="1023" spans="6:16" x14ac:dyDescent="0.25">
      <c r="F1023"/>
      <c r="P1023" s="190"/>
    </row>
    <row r="1024" spans="6:16" x14ac:dyDescent="0.25">
      <c r="F1024"/>
      <c r="P1024" s="190"/>
    </row>
    <row r="1025" spans="6:16" x14ac:dyDescent="0.25">
      <c r="F1025"/>
      <c r="P1025" s="190"/>
    </row>
    <row r="1026" spans="6:16" x14ac:dyDescent="0.25">
      <c r="F1026"/>
      <c r="P1026" s="190"/>
    </row>
    <row r="1027" spans="6:16" x14ac:dyDescent="0.25">
      <c r="F1027"/>
      <c r="P1027" s="190"/>
    </row>
    <row r="1028" spans="6:16" x14ac:dyDescent="0.25">
      <c r="F1028"/>
      <c r="P1028" s="190"/>
    </row>
    <row r="1029" spans="6:16" x14ac:dyDescent="0.25">
      <c r="F1029"/>
      <c r="P1029" s="190"/>
    </row>
    <row r="1030" spans="6:16" x14ac:dyDescent="0.25">
      <c r="F1030"/>
      <c r="P1030" s="190"/>
    </row>
    <row r="1031" spans="6:16" x14ac:dyDescent="0.25">
      <c r="F1031"/>
      <c r="P1031" s="190"/>
    </row>
    <row r="1032" spans="6:16" x14ac:dyDescent="0.25">
      <c r="F1032"/>
      <c r="P1032" s="190"/>
    </row>
    <row r="1033" spans="6:16" x14ac:dyDescent="0.25">
      <c r="F1033"/>
      <c r="P1033" s="190"/>
    </row>
    <row r="1034" spans="6:16" x14ac:dyDescent="0.25">
      <c r="F1034"/>
      <c r="P1034" s="190"/>
    </row>
    <row r="1035" spans="6:16" x14ac:dyDescent="0.25">
      <c r="F1035"/>
      <c r="P1035" s="190"/>
    </row>
    <row r="1036" spans="6:16" x14ac:dyDescent="0.25">
      <c r="F1036"/>
      <c r="P1036" s="190"/>
    </row>
    <row r="1037" spans="6:16" x14ac:dyDescent="0.25">
      <c r="F1037"/>
      <c r="P1037" s="190"/>
    </row>
    <row r="1038" spans="6:16" x14ac:dyDescent="0.25">
      <c r="F1038"/>
      <c r="P1038" s="190"/>
    </row>
    <row r="1039" spans="6:16" x14ac:dyDescent="0.25">
      <c r="F1039"/>
      <c r="P1039" s="190"/>
    </row>
    <row r="1040" spans="6:16" x14ac:dyDescent="0.25">
      <c r="F1040"/>
      <c r="P1040" s="190"/>
    </row>
    <row r="1041" spans="6:16" x14ac:dyDescent="0.25">
      <c r="F1041"/>
      <c r="P1041" s="190"/>
    </row>
    <row r="1042" spans="6:16" x14ac:dyDescent="0.25">
      <c r="F1042"/>
      <c r="P1042" s="190"/>
    </row>
    <row r="1043" spans="6:16" x14ac:dyDescent="0.25">
      <c r="F1043"/>
      <c r="P1043" s="190"/>
    </row>
    <row r="1044" spans="6:16" x14ac:dyDescent="0.25">
      <c r="F1044"/>
      <c r="P1044" s="190"/>
    </row>
    <row r="1045" spans="6:16" x14ac:dyDescent="0.25">
      <c r="F1045"/>
      <c r="P1045" s="190"/>
    </row>
    <row r="1046" spans="6:16" x14ac:dyDescent="0.25">
      <c r="F1046"/>
      <c r="P1046" s="190"/>
    </row>
    <row r="1047" spans="6:16" x14ac:dyDescent="0.25">
      <c r="F1047"/>
      <c r="P1047" s="190"/>
    </row>
    <row r="1048" spans="6:16" x14ac:dyDescent="0.25">
      <c r="F1048"/>
      <c r="P1048" s="190"/>
    </row>
    <row r="1049" spans="6:16" x14ac:dyDescent="0.25">
      <c r="F1049"/>
      <c r="P1049" s="190"/>
    </row>
    <row r="1050" spans="6:16" x14ac:dyDescent="0.25">
      <c r="F1050"/>
      <c r="P1050" s="190"/>
    </row>
    <row r="1051" spans="6:16" x14ac:dyDescent="0.25">
      <c r="F1051"/>
      <c r="P1051" s="190"/>
    </row>
    <row r="1052" spans="6:16" x14ac:dyDescent="0.25">
      <c r="F1052"/>
      <c r="P1052" s="190"/>
    </row>
    <row r="1053" spans="6:16" x14ac:dyDescent="0.25">
      <c r="F1053"/>
      <c r="P1053" s="190"/>
    </row>
    <row r="1054" spans="6:16" x14ac:dyDescent="0.25">
      <c r="F1054"/>
      <c r="P1054" s="190"/>
    </row>
    <row r="1055" spans="6:16" x14ac:dyDescent="0.25">
      <c r="F1055"/>
      <c r="P1055" s="190"/>
    </row>
    <row r="1056" spans="6:16" x14ac:dyDescent="0.25">
      <c r="F1056"/>
      <c r="P1056" s="190"/>
    </row>
    <row r="1057" spans="6:16" x14ac:dyDescent="0.25">
      <c r="F1057"/>
      <c r="P1057" s="190"/>
    </row>
    <row r="1058" spans="6:16" x14ac:dyDescent="0.25">
      <c r="F1058"/>
      <c r="P1058" s="190"/>
    </row>
    <row r="1059" spans="6:16" x14ac:dyDescent="0.25">
      <c r="F1059"/>
      <c r="P1059" s="190"/>
    </row>
    <row r="1060" spans="6:16" x14ac:dyDescent="0.25">
      <c r="F1060"/>
      <c r="P1060" s="190"/>
    </row>
    <row r="1061" spans="6:16" x14ac:dyDescent="0.25">
      <c r="F1061"/>
      <c r="P1061" s="190"/>
    </row>
    <row r="1062" spans="6:16" x14ac:dyDescent="0.25">
      <c r="F1062"/>
      <c r="P1062" s="190"/>
    </row>
    <row r="1063" spans="6:16" x14ac:dyDescent="0.25">
      <c r="F1063"/>
      <c r="P1063" s="190"/>
    </row>
    <row r="1064" spans="6:16" x14ac:dyDescent="0.25">
      <c r="F1064"/>
      <c r="P1064" s="190"/>
    </row>
    <row r="1065" spans="6:16" x14ac:dyDescent="0.25">
      <c r="F1065"/>
      <c r="P1065" s="190"/>
    </row>
    <row r="1066" spans="6:16" x14ac:dyDescent="0.25">
      <c r="F1066"/>
      <c r="P1066" s="190"/>
    </row>
    <row r="1067" spans="6:16" x14ac:dyDescent="0.25">
      <c r="F1067"/>
      <c r="P1067" s="190"/>
    </row>
    <row r="1068" spans="6:16" x14ac:dyDescent="0.25">
      <c r="F1068"/>
      <c r="P1068" s="190"/>
    </row>
    <row r="1069" spans="6:16" x14ac:dyDescent="0.25">
      <c r="F1069"/>
      <c r="P1069" s="190"/>
    </row>
    <row r="1070" spans="6:16" x14ac:dyDescent="0.25">
      <c r="F1070"/>
      <c r="P1070" s="190"/>
    </row>
    <row r="1071" spans="6:16" x14ac:dyDescent="0.25">
      <c r="F1071"/>
      <c r="P1071" s="190"/>
    </row>
    <row r="1072" spans="6:16" x14ac:dyDescent="0.25">
      <c r="F1072"/>
      <c r="P1072" s="190"/>
    </row>
    <row r="1073" spans="6:16" x14ac:dyDescent="0.25">
      <c r="F1073"/>
      <c r="P1073" s="190"/>
    </row>
    <row r="1074" spans="6:16" x14ac:dyDescent="0.25">
      <c r="F1074"/>
      <c r="P1074" s="190"/>
    </row>
    <row r="1075" spans="6:16" x14ac:dyDescent="0.25">
      <c r="F1075"/>
      <c r="P1075" s="190"/>
    </row>
    <row r="1076" spans="6:16" x14ac:dyDescent="0.25">
      <c r="F1076"/>
      <c r="P1076" s="190"/>
    </row>
    <row r="1077" spans="6:16" x14ac:dyDescent="0.25">
      <c r="F1077"/>
      <c r="P1077" s="190"/>
    </row>
    <row r="1078" spans="6:16" x14ac:dyDescent="0.25">
      <c r="F1078"/>
      <c r="P1078" s="190"/>
    </row>
    <row r="1079" spans="6:16" x14ac:dyDescent="0.25">
      <c r="F1079"/>
      <c r="P1079" s="190"/>
    </row>
    <row r="1080" spans="6:16" x14ac:dyDescent="0.25">
      <c r="F1080"/>
      <c r="P1080" s="190"/>
    </row>
    <row r="1081" spans="6:16" x14ac:dyDescent="0.25">
      <c r="F1081"/>
      <c r="P1081" s="190"/>
    </row>
    <row r="1082" spans="6:16" x14ac:dyDescent="0.25">
      <c r="F1082"/>
      <c r="P1082" s="190"/>
    </row>
    <row r="1083" spans="6:16" x14ac:dyDescent="0.25">
      <c r="F1083"/>
      <c r="P1083" s="190"/>
    </row>
    <row r="1084" spans="6:16" x14ac:dyDescent="0.25">
      <c r="F1084"/>
      <c r="P1084" s="190"/>
    </row>
    <row r="1085" spans="6:16" x14ac:dyDescent="0.25">
      <c r="F1085"/>
      <c r="P1085" s="190"/>
    </row>
    <row r="1086" spans="6:16" x14ac:dyDescent="0.25">
      <c r="F1086"/>
      <c r="P1086" s="190"/>
    </row>
    <row r="1087" spans="6:16" x14ac:dyDescent="0.25">
      <c r="F1087"/>
      <c r="P1087" s="190"/>
    </row>
    <row r="1088" spans="6:16" x14ac:dyDescent="0.25">
      <c r="F1088"/>
      <c r="P1088" s="190"/>
    </row>
    <row r="1089" spans="6:16" x14ac:dyDescent="0.25">
      <c r="F1089"/>
      <c r="P1089" s="190"/>
    </row>
    <row r="1090" spans="6:16" x14ac:dyDescent="0.25">
      <c r="F1090"/>
      <c r="P1090" s="190"/>
    </row>
    <row r="1091" spans="6:16" x14ac:dyDescent="0.25">
      <c r="F1091"/>
      <c r="P1091" s="190"/>
    </row>
    <row r="1092" spans="6:16" x14ac:dyDescent="0.25">
      <c r="F1092"/>
      <c r="P1092" s="190"/>
    </row>
    <row r="1093" spans="6:16" x14ac:dyDescent="0.25">
      <c r="F1093"/>
      <c r="P1093" s="190"/>
    </row>
    <row r="1094" spans="6:16" x14ac:dyDescent="0.25">
      <c r="F1094"/>
      <c r="P1094" s="190"/>
    </row>
    <row r="1095" spans="6:16" x14ac:dyDescent="0.25">
      <c r="F1095"/>
      <c r="P1095" s="190"/>
    </row>
    <row r="1096" spans="6:16" x14ac:dyDescent="0.25">
      <c r="F1096"/>
      <c r="P1096" s="190"/>
    </row>
    <row r="1097" spans="6:16" x14ac:dyDescent="0.25">
      <c r="F1097"/>
      <c r="P1097" s="190"/>
    </row>
    <row r="1098" spans="6:16" x14ac:dyDescent="0.25">
      <c r="F1098"/>
      <c r="P1098" s="190"/>
    </row>
    <row r="1099" spans="6:16" x14ac:dyDescent="0.25">
      <c r="F1099"/>
      <c r="P1099" s="190"/>
    </row>
    <row r="1100" spans="6:16" x14ac:dyDescent="0.25">
      <c r="F1100"/>
      <c r="P1100" s="190"/>
    </row>
    <row r="1101" spans="6:16" x14ac:dyDescent="0.25">
      <c r="F1101"/>
      <c r="P1101" s="190"/>
    </row>
    <row r="1102" spans="6:16" x14ac:dyDescent="0.25">
      <c r="F1102"/>
      <c r="P1102" s="190"/>
    </row>
    <row r="1103" spans="6:16" x14ac:dyDescent="0.25">
      <c r="F1103"/>
      <c r="P1103" s="190"/>
    </row>
    <row r="1104" spans="6:16" x14ac:dyDescent="0.25">
      <c r="F1104"/>
      <c r="P1104" s="190"/>
    </row>
    <row r="1105" spans="6:16" x14ac:dyDescent="0.25">
      <c r="F1105"/>
      <c r="P1105" s="190"/>
    </row>
    <row r="1106" spans="6:16" x14ac:dyDescent="0.25">
      <c r="F1106"/>
      <c r="P1106" s="190"/>
    </row>
    <row r="1107" spans="6:16" x14ac:dyDescent="0.25">
      <c r="F1107"/>
      <c r="P1107" s="190"/>
    </row>
    <row r="1108" spans="6:16" x14ac:dyDescent="0.25">
      <c r="F1108"/>
      <c r="P1108" s="190"/>
    </row>
    <row r="1109" spans="6:16" x14ac:dyDescent="0.25">
      <c r="F1109"/>
      <c r="P1109" s="190"/>
    </row>
    <row r="1110" spans="6:16" x14ac:dyDescent="0.25">
      <c r="F1110"/>
      <c r="P1110" s="190"/>
    </row>
    <row r="1111" spans="6:16" x14ac:dyDescent="0.25">
      <c r="F1111"/>
      <c r="P1111" s="190"/>
    </row>
    <row r="1112" spans="6:16" x14ac:dyDescent="0.25">
      <c r="F1112"/>
      <c r="P1112" s="190"/>
    </row>
    <row r="1113" spans="6:16" x14ac:dyDescent="0.25">
      <c r="F1113"/>
      <c r="P1113" s="190"/>
    </row>
    <row r="1114" spans="6:16" x14ac:dyDescent="0.25">
      <c r="F1114"/>
      <c r="P1114" s="190"/>
    </row>
    <row r="1115" spans="6:16" x14ac:dyDescent="0.25">
      <c r="F1115"/>
      <c r="P1115" s="190"/>
    </row>
    <row r="1116" spans="6:16" x14ac:dyDescent="0.25">
      <c r="F1116"/>
      <c r="P1116" s="190"/>
    </row>
    <row r="1117" spans="6:16" x14ac:dyDescent="0.25">
      <c r="F1117"/>
      <c r="P1117" s="190"/>
    </row>
    <row r="1118" spans="6:16" x14ac:dyDescent="0.25">
      <c r="F1118"/>
      <c r="P1118" s="190"/>
    </row>
    <row r="1119" spans="6:16" x14ac:dyDescent="0.25">
      <c r="F1119"/>
      <c r="P1119" s="190"/>
    </row>
    <row r="1120" spans="6:16" x14ac:dyDescent="0.25">
      <c r="F1120"/>
      <c r="P1120" s="190"/>
    </row>
    <row r="1121" spans="6:16" x14ac:dyDescent="0.25">
      <c r="F1121"/>
      <c r="P1121" s="190"/>
    </row>
    <row r="1122" spans="6:16" x14ac:dyDescent="0.25">
      <c r="F1122"/>
      <c r="P1122" s="190"/>
    </row>
    <row r="1123" spans="6:16" x14ac:dyDescent="0.25">
      <c r="F1123"/>
      <c r="P1123" s="190"/>
    </row>
    <row r="1124" spans="6:16" x14ac:dyDescent="0.25">
      <c r="F1124"/>
      <c r="P1124" s="190"/>
    </row>
    <row r="1125" spans="6:16" x14ac:dyDescent="0.25">
      <c r="F1125"/>
      <c r="P1125" s="190"/>
    </row>
    <row r="1126" spans="6:16" x14ac:dyDescent="0.25">
      <c r="F1126"/>
      <c r="P1126" s="190"/>
    </row>
    <row r="1127" spans="6:16" x14ac:dyDescent="0.25">
      <c r="F1127"/>
      <c r="P1127" s="190"/>
    </row>
    <row r="1128" spans="6:16" x14ac:dyDescent="0.25">
      <c r="F1128"/>
      <c r="P1128" s="190"/>
    </row>
    <row r="1129" spans="6:16" x14ac:dyDescent="0.25">
      <c r="F1129"/>
      <c r="P1129" s="190"/>
    </row>
    <row r="1130" spans="6:16" x14ac:dyDescent="0.25">
      <c r="F1130"/>
      <c r="P1130" s="190"/>
    </row>
    <row r="1131" spans="6:16" x14ac:dyDescent="0.25">
      <c r="F1131"/>
      <c r="P1131" s="190"/>
    </row>
    <row r="1132" spans="6:16" x14ac:dyDescent="0.25">
      <c r="F1132"/>
      <c r="P1132" s="190"/>
    </row>
    <row r="1133" spans="6:16" x14ac:dyDescent="0.25">
      <c r="F1133"/>
      <c r="P1133" s="190"/>
    </row>
    <row r="1134" spans="6:16" x14ac:dyDescent="0.25">
      <c r="F1134"/>
      <c r="P1134" s="190"/>
    </row>
    <row r="1135" spans="6:16" x14ac:dyDescent="0.25">
      <c r="F1135"/>
      <c r="P1135" s="190"/>
    </row>
    <row r="1136" spans="6:16" x14ac:dyDescent="0.25">
      <c r="F1136"/>
      <c r="P1136" s="190"/>
    </row>
    <row r="1137" spans="6:16" x14ac:dyDescent="0.25">
      <c r="F1137"/>
      <c r="P1137" s="190"/>
    </row>
    <row r="1138" spans="6:16" x14ac:dyDescent="0.25">
      <c r="F1138"/>
      <c r="P1138" s="190"/>
    </row>
    <row r="1139" spans="6:16" x14ac:dyDescent="0.25">
      <c r="F1139"/>
      <c r="P1139" s="190"/>
    </row>
    <row r="1140" spans="6:16" x14ac:dyDescent="0.25">
      <c r="F1140"/>
      <c r="P1140" s="190"/>
    </row>
    <row r="1141" spans="6:16" x14ac:dyDescent="0.25">
      <c r="F1141"/>
      <c r="P1141" s="190"/>
    </row>
    <row r="1142" spans="6:16" x14ac:dyDescent="0.25">
      <c r="F1142"/>
      <c r="P1142" s="190"/>
    </row>
    <row r="1143" spans="6:16" x14ac:dyDescent="0.25">
      <c r="F1143"/>
      <c r="P1143" s="190"/>
    </row>
    <row r="1144" spans="6:16" x14ac:dyDescent="0.25">
      <c r="F1144"/>
      <c r="P1144" s="190"/>
    </row>
    <row r="1145" spans="6:16" x14ac:dyDescent="0.25">
      <c r="F1145"/>
      <c r="P1145" s="190"/>
    </row>
    <row r="1146" spans="6:16" x14ac:dyDescent="0.25">
      <c r="F1146"/>
      <c r="P1146" s="190"/>
    </row>
    <row r="1147" spans="6:16" x14ac:dyDescent="0.25">
      <c r="F1147"/>
      <c r="P1147" s="190"/>
    </row>
    <row r="1148" spans="6:16" x14ac:dyDescent="0.25">
      <c r="F1148"/>
      <c r="P1148" s="190"/>
    </row>
    <row r="1149" spans="6:16" x14ac:dyDescent="0.25">
      <c r="F1149"/>
      <c r="P1149" s="190"/>
    </row>
    <row r="1150" spans="6:16" x14ac:dyDescent="0.25">
      <c r="F1150"/>
      <c r="P1150" s="190"/>
    </row>
    <row r="1151" spans="6:16" x14ac:dyDescent="0.25">
      <c r="F1151"/>
      <c r="P1151" s="190"/>
    </row>
    <row r="1152" spans="6:16" x14ac:dyDescent="0.25">
      <c r="F1152"/>
      <c r="P1152" s="190"/>
    </row>
    <row r="1153" spans="6:16" x14ac:dyDescent="0.25">
      <c r="F1153"/>
      <c r="P1153" s="190"/>
    </row>
    <row r="1154" spans="6:16" x14ac:dyDescent="0.25">
      <c r="F1154"/>
      <c r="P1154" s="190"/>
    </row>
    <row r="1155" spans="6:16" x14ac:dyDescent="0.25">
      <c r="F1155"/>
      <c r="P1155" s="190"/>
    </row>
    <row r="1156" spans="6:16" x14ac:dyDescent="0.25">
      <c r="F1156"/>
      <c r="P1156" s="190"/>
    </row>
    <row r="1157" spans="6:16" x14ac:dyDescent="0.25">
      <c r="F1157"/>
      <c r="P1157" s="190"/>
    </row>
    <row r="1158" spans="6:16" x14ac:dyDescent="0.25">
      <c r="F1158"/>
      <c r="P1158" s="190"/>
    </row>
    <row r="1159" spans="6:16" x14ac:dyDescent="0.25">
      <c r="F1159"/>
      <c r="P1159" s="190"/>
    </row>
    <row r="1160" spans="6:16" x14ac:dyDescent="0.25">
      <c r="F1160"/>
      <c r="P1160" s="190"/>
    </row>
    <row r="1161" spans="6:16" x14ac:dyDescent="0.25">
      <c r="F1161"/>
      <c r="P1161" s="190"/>
    </row>
    <row r="1162" spans="6:16" x14ac:dyDescent="0.25">
      <c r="F1162"/>
      <c r="P1162" s="190"/>
    </row>
    <row r="1163" spans="6:16" x14ac:dyDescent="0.25">
      <c r="F1163"/>
      <c r="P1163" s="190"/>
    </row>
    <row r="1164" spans="6:16" x14ac:dyDescent="0.25">
      <c r="F1164"/>
      <c r="P1164" s="190"/>
    </row>
    <row r="1165" spans="6:16" x14ac:dyDescent="0.25">
      <c r="F1165"/>
      <c r="P1165" s="190"/>
    </row>
    <row r="1166" spans="6:16" x14ac:dyDescent="0.25">
      <c r="F1166"/>
      <c r="P1166" s="190"/>
    </row>
    <row r="1167" spans="6:16" x14ac:dyDescent="0.25">
      <c r="F1167"/>
      <c r="P1167" s="190"/>
    </row>
    <row r="1168" spans="6:16" x14ac:dyDescent="0.25">
      <c r="F1168"/>
      <c r="P1168" s="190"/>
    </row>
    <row r="1169" spans="6:16" x14ac:dyDescent="0.25">
      <c r="F1169"/>
      <c r="P1169" s="190"/>
    </row>
    <row r="1170" spans="6:16" x14ac:dyDescent="0.25">
      <c r="F1170"/>
      <c r="P1170" s="190"/>
    </row>
    <row r="1171" spans="6:16" x14ac:dyDescent="0.25">
      <c r="F1171"/>
      <c r="P1171" s="190"/>
    </row>
    <row r="1172" spans="6:16" x14ac:dyDescent="0.25">
      <c r="F1172"/>
      <c r="P1172" s="190"/>
    </row>
    <row r="1173" spans="6:16" x14ac:dyDescent="0.25">
      <c r="F1173"/>
      <c r="P1173" s="190"/>
    </row>
    <row r="1174" spans="6:16" x14ac:dyDescent="0.25">
      <c r="F1174"/>
      <c r="P1174" s="190"/>
    </row>
    <row r="1175" spans="6:16" x14ac:dyDescent="0.25">
      <c r="F1175"/>
      <c r="P1175" s="190"/>
    </row>
    <row r="1176" spans="6:16" x14ac:dyDescent="0.25">
      <c r="F1176"/>
      <c r="P1176" s="190"/>
    </row>
    <row r="1177" spans="6:16" x14ac:dyDescent="0.25">
      <c r="F1177"/>
      <c r="P1177" s="190"/>
    </row>
    <row r="1178" spans="6:16" x14ac:dyDescent="0.25">
      <c r="F1178"/>
      <c r="P1178" s="190"/>
    </row>
    <row r="1179" spans="6:16" x14ac:dyDescent="0.25">
      <c r="F1179"/>
      <c r="P1179" s="190"/>
    </row>
    <row r="1180" spans="6:16" x14ac:dyDescent="0.25">
      <c r="F1180"/>
      <c r="P1180" s="190"/>
    </row>
    <row r="1181" spans="6:16" x14ac:dyDescent="0.25">
      <c r="F1181"/>
      <c r="P1181" s="190"/>
    </row>
    <row r="1182" spans="6:16" x14ac:dyDescent="0.25">
      <c r="F1182"/>
      <c r="P1182" s="190"/>
    </row>
    <row r="1183" spans="6:16" x14ac:dyDescent="0.25">
      <c r="F1183"/>
      <c r="P1183" s="190"/>
    </row>
    <row r="1184" spans="6:16" x14ac:dyDescent="0.25">
      <c r="F1184"/>
      <c r="P1184" s="190"/>
    </row>
    <row r="1185" spans="6:16" x14ac:dyDescent="0.25">
      <c r="F1185"/>
      <c r="P1185" s="190"/>
    </row>
    <row r="1186" spans="6:16" x14ac:dyDescent="0.25">
      <c r="F1186"/>
      <c r="P1186" s="190"/>
    </row>
    <row r="1187" spans="6:16" x14ac:dyDescent="0.25">
      <c r="F1187"/>
      <c r="P1187" s="190"/>
    </row>
    <row r="1188" spans="6:16" x14ac:dyDescent="0.25">
      <c r="F1188"/>
      <c r="P1188" s="190"/>
    </row>
    <row r="1189" spans="6:16" x14ac:dyDescent="0.25">
      <c r="F1189"/>
      <c r="P1189" s="190"/>
    </row>
    <row r="1190" spans="6:16" x14ac:dyDescent="0.25">
      <c r="F1190"/>
      <c r="P1190" s="190"/>
    </row>
    <row r="1191" spans="6:16" x14ac:dyDescent="0.25">
      <c r="F1191"/>
      <c r="P1191" s="190"/>
    </row>
    <row r="1192" spans="6:16" x14ac:dyDescent="0.25">
      <c r="F1192"/>
      <c r="P1192" s="190"/>
    </row>
    <row r="1193" spans="6:16" x14ac:dyDescent="0.25">
      <c r="F1193"/>
      <c r="P1193" s="190"/>
    </row>
    <row r="1194" spans="6:16" x14ac:dyDescent="0.25">
      <c r="F1194"/>
      <c r="P1194" s="190"/>
    </row>
    <row r="1195" spans="6:16" x14ac:dyDescent="0.25">
      <c r="F1195"/>
      <c r="P1195" s="190"/>
    </row>
    <row r="1196" spans="6:16" x14ac:dyDescent="0.25">
      <c r="F1196"/>
      <c r="P1196" s="190"/>
    </row>
    <row r="1197" spans="6:16" x14ac:dyDescent="0.25">
      <c r="F1197"/>
      <c r="P1197" s="190"/>
    </row>
    <row r="1198" spans="6:16" x14ac:dyDescent="0.25">
      <c r="F1198"/>
      <c r="P1198" s="190"/>
    </row>
    <row r="1199" spans="6:16" x14ac:dyDescent="0.25">
      <c r="F1199"/>
      <c r="P1199" s="190"/>
    </row>
    <row r="1200" spans="6:16" x14ac:dyDescent="0.25">
      <c r="F1200"/>
      <c r="P1200" s="190"/>
    </row>
    <row r="1201" spans="6:16" x14ac:dyDescent="0.25">
      <c r="F1201"/>
      <c r="P1201" s="190"/>
    </row>
    <row r="1202" spans="6:16" x14ac:dyDescent="0.25">
      <c r="F1202"/>
      <c r="P1202" s="190"/>
    </row>
    <row r="1203" spans="6:16" x14ac:dyDescent="0.25">
      <c r="F1203"/>
      <c r="P1203" s="190"/>
    </row>
    <row r="1204" spans="6:16" x14ac:dyDescent="0.25">
      <c r="F1204"/>
      <c r="P1204" s="190"/>
    </row>
    <row r="1205" spans="6:16" x14ac:dyDescent="0.25">
      <c r="F1205"/>
      <c r="P1205" s="190"/>
    </row>
    <row r="1206" spans="6:16" x14ac:dyDescent="0.25">
      <c r="F1206"/>
      <c r="P1206" s="190"/>
    </row>
    <row r="1207" spans="6:16" x14ac:dyDescent="0.25">
      <c r="F1207"/>
      <c r="P1207" s="190"/>
    </row>
    <row r="1208" spans="6:16" x14ac:dyDescent="0.25">
      <c r="F1208"/>
      <c r="P1208" s="190"/>
    </row>
    <row r="1209" spans="6:16" x14ac:dyDescent="0.25">
      <c r="F1209"/>
      <c r="P1209" s="190"/>
    </row>
    <row r="1210" spans="6:16" x14ac:dyDescent="0.25">
      <c r="F1210"/>
      <c r="P1210" s="190"/>
    </row>
    <row r="1211" spans="6:16" x14ac:dyDescent="0.25">
      <c r="F1211"/>
      <c r="P1211" s="190"/>
    </row>
    <row r="1212" spans="6:16" x14ac:dyDescent="0.25">
      <c r="F1212"/>
      <c r="P1212" s="190"/>
    </row>
    <row r="1213" spans="6:16" x14ac:dyDescent="0.25">
      <c r="F1213"/>
      <c r="P1213" s="190"/>
    </row>
    <row r="1214" spans="6:16" x14ac:dyDescent="0.25">
      <c r="F1214"/>
      <c r="P1214" s="190"/>
    </row>
    <row r="1215" spans="6:16" x14ac:dyDescent="0.25">
      <c r="F1215"/>
      <c r="P1215" s="190"/>
    </row>
    <row r="1216" spans="6:16" x14ac:dyDescent="0.25">
      <c r="F1216"/>
      <c r="P1216" s="190"/>
    </row>
    <row r="1217" spans="6:16" x14ac:dyDescent="0.25">
      <c r="F1217"/>
      <c r="P1217" s="190"/>
    </row>
    <row r="1218" spans="6:16" x14ac:dyDescent="0.25">
      <c r="F1218"/>
      <c r="P1218" s="190"/>
    </row>
    <row r="1219" spans="6:16" x14ac:dyDescent="0.25">
      <c r="F1219"/>
      <c r="P1219" s="190"/>
    </row>
    <row r="1220" spans="6:16" x14ac:dyDescent="0.25">
      <c r="F1220"/>
      <c r="P1220" s="190"/>
    </row>
    <row r="1221" spans="6:16" x14ac:dyDescent="0.25">
      <c r="F1221"/>
      <c r="P1221" s="190"/>
    </row>
    <row r="1222" spans="6:16" x14ac:dyDescent="0.25">
      <c r="F1222"/>
      <c r="P1222" s="190"/>
    </row>
    <row r="1223" spans="6:16" x14ac:dyDescent="0.25">
      <c r="F1223"/>
      <c r="P1223" s="190"/>
    </row>
    <row r="1224" spans="6:16" x14ac:dyDescent="0.25">
      <c r="F1224"/>
      <c r="P1224" s="190"/>
    </row>
    <row r="1225" spans="6:16" x14ac:dyDescent="0.25">
      <c r="F1225"/>
      <c r="P1225" s="190"/>
    </row>
    <row r="1226" spans="6:16" x14ac:dyDescent="0.25">
      <c r="F1226"/>
      <c r="P1226" s="190"/>
    </row>
    <row r="1227" spans="6:16" x14ac:dyDescent="0.25">
      <c r="F1227"/>
      <c r="P1227" s="190"/>
    </row>
    <row r="1228" spans="6:16" x14ac:dyDescent="0.25">
      <c r="F1228"/>
      <c r="P1228" s="190"/>
    </row>
    <row r="1229" spans="6:16" x14ac:dyDescent="0.25">
      <c r="F1229"/>
      <c r="P1229" s="190"/>
    </row>
    <row r="1230" spans="6:16" x14ac:dyDescent="0.25">
      <c r="F1230"/>
      <c r="P1230" s="190"/>
    </row>
    <row r="1231" spans="6:16" x14ac:dyDescent="0.25">
      <c r="F1231"/>
      <c r="P1231" s="190"/>
    </row>
    <row r="1232" spans="6:16" x14ac:dyDescent="0.25">
      <c r="F1232"/>
      <c r="P1232" s="190"/>
    </row>
    <row r="1233" spans="6:16" x14ac:dyDescent="0.25">
      <c r="F1233"/>
      <c r="P1233" s="190"/>
    </row>
    <row r="1234" spans="6:16" x14ac:dyDescent="0.25">
      <c r="F1234"/>
      <c r="P1234" s="190"/>
    </row>
    <row r="1235" spans="6:16" x14ac:dyDescent="0.25">
      <c r="F1235"/>
      <c r="P1235" s="190"/>
    </row>
    <row r="1236" spans="6:16" x14ac:dyDescent="0.25">
      <c r="F1236"/>
      <c r="P1236" s="190"/>
    </row>
    <row r="1237" spans="6:16" x14ac:dyDescent="0.25">
      <c r="F1237"/>
      <c r="P1237" s="190"/>
    </row>
    <row r="1238" spans="6:16" x14ac:dyDescent="0.25">
      <c r="F1238"/>
      <c r="P1238" s="190"/>
    </row>
    <row r="1239" spans="6:16" x14ac:dyDescent="0.25">
      <c r="F1239"/>
      <c r="P1239" s="190"/>
    </row>
    <row r="1240" spans="6:16" x14ac:dyDescent="0.25">
      <c r="F1240"/>
      <c r="P1240" s="190"/>
    </row>
    <row r="1241" spans="6:16" x14ac:dyDescent="0.25">
      <c r="F1241"/>
      <c r="P1241" s="190"/>
    </row>
    <row r="1242" spans="6:16" x14ac:dyDescent="0.25">
      <c r="F1242"/>
      <c r="P1242" s="190"/>
    </row>
    <row r="1243" spans="6:16" x14ac:dyDescent="0.25">
      <c r="F1243"/>
      <c r="P1243" s="190"/>
    </row>
    <row r="1244" spans="6:16" x14ac:dyDescent="0.25">
      <c r="F1244"/>
      <c r="P1244" s="190"/>
    </row>
    <row r="1245" spans="6:16" x14ac:dyDescent="0.25">
      <c r="F1245"/>
      <c r="P1245" s="190"/>
    </row>
    <row r="1246" spans="6:16" x14ac:dyDescent="0.25">
      <c r="F1246"/>
      <c r="P1246" s="190"/>
    </row>
    <row r="1247" spans="6:16" x14ac:dyDescent="0.25">
      <c r="F1247"/>
      <c r="P1247" s="190"/>
    </row>
    <row r="1248" spans="6:16" x14ac:dyDescent="0.25">
      <c r="F1248"/>
      <c r="P1248" s="190"/>
    </row>
    <row r="1249" spans="6:16" x14ac:dyDescent="0.25">
      <c r="F1249"/>
      <c r="P1249" s="190"/>
    </row>
    <row r="1250" spans="6:16" x14ac:dyDescent="0.25">
      <c r="F1250"/>
      <c r="P1250" s="190"/>
    </row>
    <row r="1251" spans="6:16" x14ac:dyDescent="0.25">
      <c r="F1251"/>
      <c r="P1251" s="190"/>
    </row>
    <row r="1252" spans="6:16" x14ac:dyDescent="0.25">
      <c r="F1252"/>
      <c r="P1252" s="190"/>
    </row>
    <row r="1253" spans="6:16" x14ac:dyDescent="0.25">
      <c r="F1253"/>
      <c r="P1253" s="190"/>
    </row>
    <row r="1254" spans="6:16" x14ac:dyDescent="0.25">
      <c r="F1254"/>
      <c r="P1254" s="190"/>
    </row>
    <row r="1255" spans="6:16" x14ac:dyDescent="0.25">
      <c r="F1255"/>
      <c r="P1255" s="190"/>
    </row>
    <row r="1256" spans="6:16" x14ac:dyDescent="0.25">
      <c r="F1256"/>
      <c r="P1256" s="190"/>
    </row>
    <row r="1257" spans="6:16" x14ac:dyDescent="0.25">
      <c r="F1257"/>
      <c r="P1257" s="190"/>
    </row>
    <row r="1258" spans="6:16" x14ac:dyDescent="0.25">
      <c r="F1258"/>
      <c r="P1258" s="190"/>
    </row>
    <row r="1259" spans="6:16" x14ac:dyDescent="0.25">
      <c r="F1259"/>
      <c r="P1259" s="190"/>
    </row>
    <row r="1260" spans="6:16" x14ac:dyDescent="0.25">
      <c r="F1260"/>
      <c r="P1260" s="190"/>
    </row>
    <row r="1261" spans="6:16" x14ac:dyDescent="0.25">
      <c r="F1261"/>
      <c r="P1261" s="190"/>
    </row>
    <row r="1262" spans="6:16" x14ac:dyDescent="0.25">
      <c r="F1262"/>
      <c r="P1262" s="190"/>
    </row>
    <row r="1263" spans="6:16" x14ac:dyDescent="0.25">
      <c r="F1263"/>
      <c r="P1263" s="190"/>
    </row>
    <row r="1264" spans="6:16" x14ac:dyDescent="0.25">
      <c r="F1264"/>
      <c r="P1264" s="190"/>
    </row>
    <row r="1265" spans="6:16" x14ac:dyDescent="0.25">
      <c r="F1265"/>
      <c r="P1265" s="190"/>
    </row>
    <row r="1266" spans="6:16" x14ac:dyDescent="0.25">
      <c r="F1266"/>
      <c r="P1266" s="190"/>
    </row>
    <row r="1267" spans="6:16" x14ac:dyDescent="0.25">
      <c r="F1267"/>
      <c r="P1267" s="190"/>
    </row>
    <row r="1268" spans="6:16" x14ac:dyDescent="0.25">
      <c r="F1268"/>
      <c r="P1268" s="190"/>
    </row>
    <row r="1269" spans="6:16" x14ac:dyDescent="0.25">
      <c r="F1269"/>
      <c r="P1269" s="190"/>
    </row>
    <row r="1270" spans="6:16" x14ac:dyDescent="0.25">
      <c r="F1270"/>
      <c r="P1270" s="190"/>
    </row>
    <row r="1271" spans="6:16" x14ac:dyDescent="0.25">
      <c r="F1271"/>
      <c r="P1271" s="190"/>
    </row>
    <row r="1272" spans="6:16" x14ac:dyDescent="0.25">
      <c r="F1272"/>
      <c r="P1272" s="190"/>
    </row>
    <row r="1273" spans="6:16" x14ac:dyDescent="0.25">
      <c r="F1273"/>
      <c r="P1273" s="190"/>
    </row>
    <row r="1274" spans="6:16" x14ac:dyDescent="0.25">
      <c r="F1274"/>
      <c r="P1274" s="190"/>
    </row>
    <row r="1275" spans="6:16" x14ac:dyDescent="0.25">
      <c r="F1275"/>
      <c r="P1275" s="190"/>
    </row>
    <row r="1276" spans="6:16" x14ac:dyDescent="0.25">
      <c r="F1276"/>
      <c r="P1276" s="190"/>
    </row>
    <row r="1277" spans="6:16" x14ac:dyDescent="0.25">
      <c r="F1277"/>
      <c r="P1277" s="190"/>
    </row>
    <row r="1278" spans="6:16" x14ac:dyDescent="0.25">
      <c r="F1278"/>
      <c r="P1278" s="190"/>
    </row>
    <row r="1279" spans="6:16" x14ac:dyDescent="0.25">
      <c r="F1279"/>
      <c r="P1279" s="190"/>
    </row>
    <row r="1280" spans="6:16" x14ac:dyDescent="0.25">
      <c r="F1280"/>
      <c r="P1280" s="190"/>
    </row>
    <row r="1281" spans="6:16" x14ac:dyDescent="0.25">
      <c r="F1281"/>
      <c r="P1281" s="190"/>
    </row>
    <row r="1282" spans="6:16" x14ac:dyDescent="0.25">
      <c r="F1282"/>
      <c r="P1282" s="190"/>
    </row>
    <row r="1283" spans="6:16" x14ac:dyDescent="0.25">
      <c r="F1283"/>
      <c r="P1283" s="190"/>
    </row>
    <row r="1284" spans="6:16" x14ac:dyDescent="0.25">
      <c r="F1284"/>
      <c r="P1284" s="190"/>
    </row>
    <row r="1285" spans="6:16" x14ac:dyDescent="0.25">
      <c r="F1285"/>
      <c r="P1285" s="190"/>
    </row>
    <row r="1286" spans="6:16" x14ac:dyDescent="0.25">
      <c r="F1286"/>
      <c r="P1286" s="190"/>
    </row>
    <row r="1287" spans="6:16" x14ac:dyDescent="0.25">
      <c r="F1287"/>
      <c r="P1287" s="190"/>
    </row>
    <row r="1288" spans="6:16" x14ac:dyDescent="0.25">
      <c r="F1288"/>
      <c r="P1288" s="190"/>
    </row>
    <row r="1289" spans="6:16" x14ac:dyDescent="0.25">
      <c r="F1289"/>
      <c r="P1289" s="190"/>
    </row>
    <row r="1290" spans="6:16" x14ac:dyDescent="0.25">
      <c r="F1290"/>
      <c r="P1290" s="190"/>
    </row>
    <row r="1291" spans="6:16" x14ac:dyDescent="0.25">
      <c r="F1291"/>
      <c r="P1291" s="190"/>
    </row>
    <row r="1292" spans="6:16" x14ac:dyDescent="0.25">
      <c r="F1292"/>
      <c r="P1292" s="190"/>
    </row>
    <row r="1293" spans="6:16" x14ac:dyDescent="0.25">
      <c r="F1293"/>
      <c r="P1293" s="190"/>
    </row>
    <row r="1294" spans="6:16" x14ac:dyDescent="0.25">
      <c r="F1294"/>
      <c r="P1294" s="190"/>
    </row>
    <row r="1295" spans="6:16" x14ac:dyDescent="0.25">
      <c r="F1295"/>
      <c r="P1295" s="190"/>
    </row>
    <row r="1296" spans="6:16" x14ac:dyDescent="0.25">
      <c r="F1296"/>
      <c r="P1296" s="190"/>
    </row>
    <row r="1297" spans="6:16" x14ac:dyDescent="0.25">
      <c r="F1297"/>
      <c r="P1297" s="190"/>
    </row>
    <row r="1298" spans="6:16" x14ac:dyDescent="0.25">
      <c r="F1298"/>
      <c r="P1298" s="190"/>
    </row>
    <row r="1299" spans="6:16" x14ac:dyDescent="0.25">
      <c r="F1299"/>
      <c r="P1299" s="190"/>
    </row>
    <row r="1300" spans="6:16" x14ac:dyDescent="0.25">
      <c r="F1300"/>
      <c r="P1300" s="190"/>
    </row>
    <row r="1301" spans="6:16" x14ac:dyDescent="0.25">
      <c r="F1301"/>
      <c r="P1301" s="190"/>
    </row>
    <row r="1302" spans="6:16" x14ac:dyDescent="0.25">
      <c r="F1302"/>
      <c r="P1302" s="190"/>
    </row>
    <row r="1303" spans="6:16" x14ac:dyDescent="0.25">
      <c r="F1303"/>
      <c r="P1303" s="190"/>
    </row>
    <row r="1304" spans="6:16" x14ac:dyDescent="0.25">
      <c r="F1304"/>
      <c r="P1304" s="190"/>
    </row>
    <row r="1305" spans="6:16" x14ac:dyDescent="0.25">
      <c r="F1305"/>
      <c r="P1305" s="190"/>
    </row>
    <row r="1306" spans="6:16" x14ac:dyDescent="0.25">
      <c r="F1306"/>
      <c r="P1306" s="190"/>
    </row>
    <row r="1307" spans="6:16" x14ac:dyDescent="0.25">
      <c r="F1307"/>
      <c r="P1307" s="190"/>
    </row>
    <row r="1308" spans="6:16" x14ac:dyDescent="0.25">
      <c r="F1308"/>
      <c r="P1308" s="190"/>
    </row>
    <row r="1309" spans="6:16" x14ac:dyDescent="0.25">
      <c r="F1309"/>
      <c r="P1309" s="190"/>
    </row>
    <row r="1310" spans="6:16" x14ac:dyDescent="0.25">
      <c r="F1310"/>
      <c r="P1310" s="190"/>
    </row>
    <row r="1311" spans="6:16" x14ac:dyDescent="0.25">
      <c r="F1311"/>
      <c r="P1311" s="190"/>
    </row>
    <row r="1312" spans="6:16" x14ac:dyDescent="0.25">
      <c r="F1312"/>
      <c r="P1312" s="190"/>
    </row>
    <row r="1313" spans="6:16" x14ac:dyDescent="0.25">
      <c r="F1313"/>
      <c r="P1313" s="190"/>
    </row>
    <row r="1314" spans="6:16" x14ac:dyDescent="0.25">
      <c r="F1314"/>
      <c r="P1314" s="190"/>
    </row>
    <row r="1315" spans="6:16" x14ac:dyDescent="0.25">
      <c r="F1315"/>
      <c r="P1315" s="190"/>
    </row>
    <row r="1316" spans="6:16" x14ac:dyDescent="0.25">
      <c r="F1316"/>
      <c r="P1316" s="190"/>
    </row>
    <row r="1317" spans="6:16" x14ac:dyDescent="0.25">
      <c r="F1317"/>
      <c r="P1317" s="190"/>
    </row>
    <row r="1318" spans="6:16" x14ac:dyDescent="0.25">
      <c r="F1318"/>
      <c r="P1318" s="190"/>
    </row>
    <row r="1319" spans="6:16" x14ac:dyDescent="0.25">
      <c r="F1319"/>
      <c r="P1319" s="190"/>
    </row>
    <row r="1320" spans="6:16" x14ac:dyDescent="0.25">
      <c r="F1320"/>
      <c r="P1320" s="190"/>
    </row>
    <row r="1321" spans="6:16" x14ac:dyDescent="0.25">
      <c r="F1321"/>
      <c r="P1321" s="190"/>
    </row>
    <row r="1322" spans="6:16" x14ac:dyDescent="0.25">
      <c r="F1322"/>
      <c r="P1322" s="190"/>
    </row>
    <row r="1323" spans="6:16" x14ac:dyDescent="0.25">
      <c r="F1323"/>
      <c r="P1323" s="190"/>
    </row>
    <row r="1324" spans="6:16" x14ac:dyDescent="0.25">
      <c r="F1324"/>
      <c r="P1324" s="190"/>
    </row>
    <row r="1325" spans="6:16" x14ac:dyDescent="0.25">
      <c r="F1325"/>
      <c r="P1325" s="190"/>
    </row>
    <row r="1326" spans="6:16" x14ac:dyDescent="0.25">
      <c r="F1326"/>
      <c r="P1326" s="190"/>
    </row>
    <row r="1327" spans="6:16" x14ac:dyDescent="0.25">
      <c r="F1327"/>
      <c r="P1327" s="190"/>
    </row>
    <row r="1328" spans="6:16" x14ac:dyDescent="0.25">
      <c r="F1328"/>
      <c r="P1328" s="190"/>
    </row>
    <row r="1329" spans="6:16" x14ac:dyDescent="0.25">
      <c r="F1329"/>
      <c r="P1329" s="190"/>
    </row>
    <row r="1330" spans="6:16" x14ac:dyDescent="0.25">
      <c r="F1330"/>
      <c r="P1330" s="190"/>
    </row>
    <row r="1331" spans="6:16" x14ac:dyDescent="0.25">
      <c r="F1331"/>
      <c r="P1331" s="190"/>
    </row>
    <row r="1332" spans="6:16" x14ac:dyDescent="0.25">
      <c r="F1332"/>
      <c r="P1332" s="190"/>
    </row>
    <row r="1333" spans="6:16" x14ac:dyDescent="0.25">
      <c r="F1333"/>
      <c r="P1333" s="190"/>
    </row>
    <row r="1334" spans="6:16" x14ac:dyDescent="0.25">
      <c r="F1334"/>
      <c r="P1334" s="190"/>
    </row>
    <row r="1335" spans="6:16" x14ac:dyDescent="0.25">
      <c r="F1335"/>
      <c r="P1335" s="190"/>
    </row>
    <row r="1336" spans="6:16" x14ac:dyDescent="0.25">
      <c r="F1336"/>
      <c r="P1336" s="190"/>
    </row>
    <row r="1337" spans="6:16" x14ac:dyDescent="0.25">
      <c r="F1337"/>
      <c r="P1337" s="190"/>
    </row>
    <row r="1338" spans="6:16" x14ac:dyDescent="0.25">
      <c r="F1338"/>
      <c r="P1338" s="190"/>
    </row>
    <row r="1339" spans="6:16" x14ac:dyDescent="0.25">
      <c r="F1339"/>
      <c r="P1339" s="190"/>
    </row>
    <row r="1340" spans="6:16" x14ac:dyDescent="0.25">
      <c r="F1340"/>
      <c r="P1340" s="190"/>
    </row>
    <row r="1341" spans="6:16" x14ac:dyDescent="0.25">
      <c r="F1341"/>
      <c r="P1341" s="190"/>
    </row>
    <row r="1342" spans="6:16" x14ac:dyDescent="0.25">
      <c r="F1342"/>
      <c r="P1342" s="190"/>
    </row>
    <row r="1343" spans="6:16" x14ac:dyDescent="0.25">
      <c r="F1343"/>
      <c r="P1343" s="190"/>
    </row>
    <row r="1344" spans="6:16" x14ac:dyDescent="0.25">
      <c r="F1344"/>
      <c r="P1344" s="190"/>
    </row>
    <row r="1345" spans="6:16" x14ac:dyDescent="0.25">
      <c r="F1345"/>
      <c r="P1345" s="190"/>
    </row>
    <row r="1346" spans="6:16" x14ac:dyDescent="0.25">
      <c r="F1346"/>
      <c r="P1346" s="190"/>
    </row>
    <row r="1347" spans="6:16" x14ac:dyDescent="0.25">
      <c r="F1347"/>
      <c r="P1347" s="190"/>
    </row>
    <row r="1348" spans="6:16" x14ac:dyDescent="0.25">
      <c r="F1348"/>
      <c r="P1348" s="190"/>
    </row>
    <row r="1349" spans="6:16" x14ac:dyDescent="0.25">
      <c r="F1349"/>
      <c r="P1349" s="190"/>
    </row>
    <row r="1350" spans="6:16" x14ac:dyDescent="0.25">
      <c r="F1350"/>
      <c r="P1350" s="190"/>
    </row>
    <row r="1351" spans="6:16" x14ac:dyDescent="0.25">
      <c r="F1351"/>
      <c r="P1351" s="190"/>
    </row>
    <row r="1352" spans="6:16" x14ac:dyDescent="0.25">
      <c r="F1352"/>
      <c r="P1352" s="190"/>
    </row>
    <row r="1353" spans="6:16" x14ac:dyDescent="0.25">
      <c r="F1353"/>
      <c r="P1353" s="190"/>
    </row>
    <row r="1354" spans="6:16" x14ac:dyDescent="0.25">
      <c r="F1354"/>
      <c r="P1354" s="190"/>
    </row>
    <row r="1355" spans="6:16" x14ac:dyDescent="0.25">
      <c r="F1355"/>
      <c r="P1355" s="190"/>
    </row>
    <row r="1356" spans="6:16" x14ac:dyDescent="0.25">
      <c r="F1356"/>
      <c r="P1356" s="190"/>
    </row>
    <row r="1357" spans="6:16" x14ac:dyDescent="0.25">
      <c r="F1357"/>
      <c r="P1357" s="190"/>
    </row>
    <row r="1358" spans="6:16" x14ac:dyDescent="0.25">
      <c r="F1358"/>
      <c r="P1358" s="190"/>
    </row>
    <row r="1359" spans="6:16" x14ac:dyDescent="0.25">
      <c r="F1359"/>
      <c r="P1359" s="190"/>
    </row>
    <row r="1360" spans="6:16" x14ac:dyDescent="0.25">
      <c r="F1360"/>
      <c r="P1360" s="190"/>
    </row>
    <row r="1361" spans="6:16" x14ac:dyDescent="0.25">
      <c r="F1361"/>
      <c r="P1361" s="190"/>
    </row>
    <row r="1362" spans="6:16" x14ac:dyDescent="0.25">
      <c r="F1362"/>
      <c r="P1362" s="190"/>
    </row>
    <row r="1363" spans="6:16" x14ac:dyDescent="0.25">
      <c r="F1363"/>
      <c r="P1363" s="190"/>
    </row>
    <row r="1364" spans="6:16" x14ac:dyDescent="0.25">
      <c r="F1364"/>
      <c r="P1364" s="190"/>
    </row>
    <row r="1365" spans="6:16" x14ac:dyDescent="0.25">
      <c r="F1365"/>
      <c r="P1365" s="190"/>
    </row>
    <row r="1366" spans="6:16" x14ac:dyDescent="0.25">
      <c r="F1366"/>
      <c r="P1366" s="190"/>
    </row>
    <row r="1367" spans="6:16" x14ac:dyDescent="0.25">
      <c r="F1367"/>
      <c r="P1367" s="190"/>
    </row>
    <row r="1368" spans="6:16" x14ac:dyDescent="0.25">
      <c r="F1368"/>
      <c r="P1368" s="190"/>
    </row>
    <row r="1369" spans="6:16" x14ac:dyDescent="0.25">
      <c r="F1369"/>
      <c r="P1369" s="190"/>
    </row>
    <row r="1370" spans="6:16" x14ac:dyDescent="0.25">
      <c r="F1370"/>
      <c r="P1370" s="190"/>
    </row>
    <row r="1371" spans="6:16" x14ac:dyDescent="0.25">
      <c r="F1371"/>
      <c r="P1371" s="190"/>
    </row>
    <row r="1372" spans="6:16" x14ac:dyDescent="0.25">
      <c r="F1372"/>
      <c r="P1372" s="190"/>
    </row>
    <row r="1373" spans="6:16" x14ac:dyDescent="0.25">
      <c r="F1373"/>
      <c r="P1373" s="190"/>
    </row>
    <row r="1374" spans="6:16" x14ac:dyDescent="0.25">
      <c r="F1374"/>
      <c r="P1374" s="190"/>
    </row>
    <row r="1375" spans="6:16" x14ac:dyDescent="0.25">
      <c r="F1375"/>
      <c r="P1375" s="190"/>
    </row>
    <row r="1376" spans="6:16" x14ac:dyDescent="0.25">
      <c r="F1376"/>
      <c r="P1376" s="190"/>
    </row>
    <row r="1377" spans="6:16" x14ac:dyDescent="0.25">
      <c r="F1377"/>
      <c r="P1377" s="190"/>
    </row>
    <row r="1378" spans="6:16" x14ac:dyDescent="0.25">
      <c r="F1378"/>
      <c r="P1378" s="190"/>
    </row>
    <row r="1379" spans="6:16" x14ac:dyDescent="0.25">
      <c r="F1379"/>
      <c r="P1379" s="190"/>
    </row>
    <row r="1380" spans="6:16" x14ac:dyDescent="0.25">
      <c r="F1380"/>
      <c r="P1380" s="190"/>
    </row>
    <row r="1381" spans="6:16" x14ac:dyDescent="0.25">
      <c r="F1381"/>
      <c r="P1381" s="190"/>
    </row>
    <row r="1382" spans="6:16" x14ac:dyDescent="0.25">
      <c r="F1382"/>
      <c r="P1382" s="190"/>
    </row>
    <row r="1383" spans="6:16" x14ac:dyDescent="0.25">
      <c r="F1383"/>
      <c r="P1383" s="190"/>
    </row>
    <row r="1384" spans="6:16" x14ac:dyDescent="0.25">
      <c r="F1384"/>
      <c r="P1384" s="190"/>
    </row>
    <row r="1385" spans="6:16" x14ac:dyDescent="0.25">
      <c r="F1385"/>
      <c r="P1385" s="190"/>
    </row>
    <row r="1386" spans="6:16" x14ac:dyDescent="0.25">
      <c r="F1386"/>
      <c r="P1386" s="190"/>
    </row>
    <row r="1387" spans="6:16" x14ac:dyDescent="0.25">
      <c r="F1387"/>
      <c r="P1387" s="190"/>
    </row>
    <row r="1388" spans="6:16" x14ac:dyDescent="0.25">
      <c r="F1388"/>
      <c r="P1388" s="190"/>
    </row>
    <row r="1389" spans="6:16" x14ac:dyDescent="0.25">
      <c r="F1389"/>
      <c r="P1389" s="190"/>
    </row>
    <row r="1390" spans="6:16" x14ac:dyDescent="0.25">
      <c r="F1390"/>
      <c r="P1390" s="190"/>
    </row>
    <row r="1391" spans="6:16" x14ac:dyDescent="0.25">
      <c r="F1391"/>
      <c r="P1391" s="190"/>
    </row>
    <row r="1392" spans="6:16" x14ac:dyDescent="0.25">
      <c r="F1392"/>
      <c r="P1392" s="190"/>
    </row>
    <row r="1393" spans="6:16" x14ac:dyDescent="0.25">
      <c r="F1393"/>
      <c r="P1393" s="190"/>
    </row>
    <row r="1394" spans="6:16" x14ac:dyDescent="0.25">
      <c r="F1394"/>
      <c r="P1394" s="190"/>
    </row>
    <row r="1395" spans="6:16" x14ac:dyDescent="0.25">
      <c r="F1395"/>
      <c r="P1395" s="190"/>
    </row>
    <row r="1396" spans="6:16" x14ac:dyDescent="0.25">
      <c r="F1396"/>
      <c r="P1396" s="190"/>
    </row>
    <row r="1397" spans="6:16" x14ac:dyDescent="0.25">
      <c r="F1397"/>
      <c r="P1397" s="190"/>
    </row>
    <row r="1398" spans="6:16" x14ac:dyDescent="0.25">
      <c r="F1398"/>
      <c r="P1398" s="190"/>
    </row>
    <row r="1399" spans="6:16" x14ac:dyDescent="0.25">
      <c r="F1399"/>
      <c r="P1399" s="190"/>
    </row>
    <row r="1400" spans="6:16" x14ac:dyDescent="0.25">
      <c r="F1400"/>
      <c r="P1400" s="190"/>
    </row>
    <row r="1401" spans="6:16" x14ac:dyDescent="0.25">
      <c r="F1401"/>
      <c r="P1401" s="190"/>
    </row>
    <row r="1402" spans="6:16" x14ac:dyDescent="0.25">
      <c r="F1402"/>
      <c r="P1402" s="190"/>
    </row>
    <row r="1403" spans="6:16" x14ac:dyDescent="0.25">
      <c r="F1403"/>
      <c r="P1403" s="190"/>
    </row>
    <row r="1404" spans="6:16" x14ac:dyDescent="0.25">
      <c r="F1404"/>
      <c r="P1404" s="190"/>
    </row>
    <row r="1405" spans="6:16" x14ac:dyDescent="0.25">
      <c r="F1405"/>
      <c r="P1405" s="190"/>
    </row>
    <row r="1406" spans="6:16" x14ac:dyDescent="0.25">
      <c r="F1406"/>
      <c r="P1406" s="190"/>
    </row>
    <row r="1407" spans="6:16" x14ac:dyDescent="0.25">
      <c r="F1407"/>
      <c r="P1407" s="190"/>
    </row>
    <row r="1408" spans="6:16" x14ac:dyDescent="0.25">
      <c r="F1408"/>
      <c r="P1408" s="190"/>
    </row>
    <row r="1409" spans="6:16" x14ac:dyDescent="0.25">
      <c r="F1409"/>
      <c r="P1409" s="190"/>
    </row>
    <row r="1410" spans="6:16" x14ac:dyDescent="0.25">
      <c r="F1410"/>
      <c r="P1410" s="190"/>
    </row>
    <row r="1411" spans="6:16" x14ac:dyDescent="0.25">
      <c r="F1411"/>
      <c r="P1411" s="190"/>
    </row>
    <row r="1412" spans="6:16" x14ac:dyDescent="0.25">
      <c r="F1412"/>
      <c r="P1412" s="190"/>
    </row>
    <row r="1413" spans="6:16" x14ac:dyDescent="0.25">
      <c r="F1413"/>
      <c r="P1413" s="190"/>
    </row>
    <row r="1414" spans="6:16" x14ac:dyDescent="0.25">
      <c r="F1414"/>
      <c r="P1414" s="190"/>
    </row>
    <row r="1415" spans="6:16" x14ac:dyDescent="0.25">
      <c r="F1415"/>
      <c r="P1415" s="190"/>
    </row>
    <row r="1416" spans="6:16" x14ac:dyDescent="0.25">
      <c r="F1416"/>
      <c r="P1416" s="190"/>
    </row>
    <row r="1417" spans="6:16" x14ac:dyDescent="0.25">
      <c r="F1417"/>
      <c r="P1417" s="190"/>
    </row>
    <row r="1418" spans="6:16" x14ac:dyDescent="0.25">
      <c r="F1418"/>
      <c r="P1418" s="190"/>
    </row>
    <row r="1419" spans="6:16" x14ac:dyDescent="0.25">
      <c r="F1419"/>
      <c r="P1419" s="190"/>
    </row>
    <row r="1420" spans="6:16" x14ac:dyDescent="0.25">
      <c r="F1420"/>
      <c r="P1420" s="190"/>
    </row>
    <row r="1421" spans="6:16" x14ac:dyDescent="0.25">
      <c r="F1421"/>
      <c r="P1421" s="190"/>
    </row>
    <row r="1422" spans="6:16" x14ac:dyDescent="0.25">
      <c r="F1422"/>
      <c r="P1422" s="190"/>
    </row>
    <row r="1423" spans="6:16" x14ac:dyDescent="0.25">
      <c r="F1423"/>
      <c r="P1423" s="190"/>
    </row>
    <row r="1424" spans="6:16" x14ac:dyDescent="0.25">
      <c r="F1424"/>
      <c r="P1424" s="190"/>
    </row>
    <row r="1425" spans="6:16" x14ac:dyDescent="0.25">
      <c r="F1425"/>
      <c r="P1425" s="190"/>
    </row>
    <row r="1426" spans="6:16" x14ac:dyDescent="0.25">
      <c r="F1426"/>
      <c r="P1426" s="190"/>
    </row>
    <row r="1427" spans="6:16" x14ac:dyDescent="0.25">
      <c r="F1427"/>
      <c r="P1427" s="190"/>
    </row>
    <row r="1428" spans="6:16" x14ac:dyDescent="0.25">
      <c r="F1428"/>
      <c r="P1428" s="190"/>
    </row>
    <row r="1429" spans="6:16" x14ac:dyDescent="0.25">
      <c r="F1429"/>
      <c r="P1429" s="190"/>
    </row>
    <row r="1430" spans="6:16" x14ac:dyDescent="0.25">
      <c r="F1430"/>
      <c r="P1430" s="190"/>
    </row>
    <row r="1431" spans="6:16" x14ac:dyDescent="0.25">
      <c r="F1431"/>
      <c r="P1431" s="190"/>
    </row>
    <row r="1432" spans="6:16" x14ac:dyDescent="0.25">
      <c r="F1432"/>
      <c r="P1432" s="190"/>
    </row>
    <row r="1433" spans="6:16" x14ac:dyDescent="0.25">
      <c r="F1433"/>
      <c r="P1433" s="190"/>
    </row>
    <row r="1434" spans="6:16" x14ac:dyDescent="0.25">
      <c r="F1434"/>
      <c r="P1434" s="190"/>
    </row>
    <row r="1435" spans="6:16" x14ac:dyDescent="0.25">
      <c r="F1435"/>
      <c r="P1435" s="190"/>
    </row>
    <row r="1436" spans="6:16" x14ac:dyDescent="0.25">
      <c r="F1436"/>
      <c r="P1436" s="190"/>
    </row>
    <row r="1437" spans="6:16" x14ac:dyDescent="0.25">
      <c r="F1437"/>
      <c r="P1437" s="190"/>
    </row>
    <row r="1438" spans="6:16" x14ac:dyDescent="0.25">
      <c r="F1438"/>
      <c r="P1438" s="190"/>
    </row>
    <row r="1439" spans="6:16" x14ac:dyDescent="0.25">
      <c r="F1439"/>
      <c r="P1439" s="190"/>
    </row>
    <row r="1440" spans="6:16" x14ac:dyDescent="0.25">
      <c r="F1440"/>
      <c r="P1440" s="190"/>
    </row>
    <row r="1441" spans="6:16" x14ac:dyDescent="0.25">
      <c r="F1441"/>
      <c r="P1441" s="190"/>
    </row>
    <row r="1442" spans="6:16" x14ac:dyDescent="0.25">
      <c r="F1442"/>
      <c r="P1442" s="190"/>
    </row>
    <row r="1443" spans="6:16" x14ac:dyDescent="0.25">
      <c r="F1443"/>
      <c r="P1443" s="190"/>
    </row>
    <row r="1444" spans="6:16" x14ac:dyDescent="0.25">
      <c r="F1444"/>
      <c r="P1444" s="190"/>
    </row>
    <row r="1445" spans="6:16" x14ac:dyDescent="0.25">
      <c r="F1445"/>
      <c r="P1445" s="190"/>
    </row>
    <row r="1446" spans="6:16" x14ac:dyDescent="0.25">
      <c r="F1446"/>
      <c r="P1446" s="190"/>
    </row>
    <row r="1447" spans="6:16" x14ac:dyDescent="0.25">
      <c r="F1447"/>
      <c r="P1447" s="190"/>
    </row>
    <row r="1448" spans="6:16" x14ac:dyDescent="0.25">
      <c r="F1448"/>
      <c r="P1448" s="190"/>
    </row>
    <row r="1449" spans="6:16" x14ac:dyDescent="0.25">
      <c r="F1449"/>
      <c r="P1449" s="190"/>
    </row>
    <row r="1450" spans="6:16" x14ac:dyDescent="0.25">
      <c r="F1450"/>
      <c r="P1450" s="190"/>
    </row>
    <row r="1451" spans="6:16" x14ac:dyDescent="0.25">
      <c r="F1451"/>
      <c r="P1451" s="190"/>
    </row>
    <row r="1452" spans="6:16" x14ac:dyDescent="0.25">
      <c r="F1452"/>
      <c r="P1452" s="190"/>
    </row>
    <row r="1453" spans="6:16" x14ac:dyDescent="0.25">
      <c r="F1453"/>
      <c r="P1453" s="190"/>
    </row>
    <row r="1454" spans="6:16" x14ac:dyDescent="0.25">
      <c r="F1454"/>
      <c r="P1454" s="190"/>
    </row>
    <row r="1455" spans="6:16" x14ac:dyDescent="0.25">
      <c r="F1455"/>
      <c r="P1455" s="190"/>
    </row>
    <row r="1456" spans="6:16" x14ac:dyDescent="0.25">
      <c r="F1456"/>
      <c r="P1456" s="190"/>
    </row>
    <row r="1457" spans="6:16" x14ac:dyDescent="0.25">
      <c r="F1457"/>
      <c r="P1457" s="190"/>
    </row>
    <row r="1458" spans="6:16" x14ac:dyDescent="0.25">
      <c r="F1458"/>
      <c r="P1458" s="190"/>
    </row>
    <row r="1459" spans="6:16" x14ac:dyDescent="0.25">
      <c r="F1459"/>
      <c r="P1459" s="190"/>
    </row>
    <row r="1460" spans="6:16" x14ac:dyDescent="0.25">
      <c r="F1460"/>
      <c r="P1460" s="190"/>
    </row>
    <row r="1461" spans="6:16" x14ac:dyDescent="0.25">
      <c r="F1461"/>
      <c r="P1461" s="190"/>
    </row>
    <row r="1462" spans="6:16" x14ac:dyDescent="0.25">
      <c r="F1462"/>
      <c r="P1462" s="190"/>
    </row>
    <row r="1463" spans="6:16" x14ac:dyDescent="0.25">
      <c r="F1463"/>
      <c r="P1463" s="190"/>
    </row>
    <row r="1464" spans="6:16" x14ac:dyDescent="0.25">
      <c r="F1464"/>
      <c r="P1464" s="190"/>
    </row>
    <row r="1465" spans="6:16" x14ac:dyDescent="0.25">
      <c r="F1465"/>
      <c r="P1465" s="190"/>
    </row>
    <row r="1466" spans="6:16" x14ac:dyDescent="0.25">
      <c r="F1466"/>
      <c r="P1466" s="190"/>
    </row>
    <row r="1467" spans="6:16" x14ac:dyDescent="0.25">
      <c r="F1467"/>
      <c r="P1467" s="190"/>
    </row>
    <row r="1468" spans="6:16" x14ac:dyDescent="0.25">
      <c r="F1468"/>
      <c r="P1468" s="190"/>
    </row>
    <row r="1469" spans="6:16" x14ac:dyDescent="0.25">
      <c r="F1469"/>
      <c r="P1469" s="190"/>
    </row>
    <row r="1470" spans="6:16" x14ac:dyDescent="0.25">
      <c r="F1470"/>
      <c r="P1470" s="190"/>
    </row>
    <row r="1471" spans="6:16" x14ac:dyDescent="0.25">
      <c r="F1471"/>
      <c r="P1471" s="190"/>
    </row>
    <row r="1472" spans="6:16" x14ac:dyDescent="0.25">
      <c r="F1472"/>
      <c r="P1472" s="190"/>
    </row>
    <row r="1473" spans="6:16" x14ac:dyDescent="0.25">
      <c r="F1473"/>
      <c r="P1473" s="190"/>
    </row>
    <row r="1474" spans="6:16" x14ac:dyDescent="0.25">
      <c r="F1474"/>
      <c r="P1474" s="190"/>
    </row>
    <row r="1475" spans="6:16" x14ac:dyDescent="0.25">
      <c r="F1475"/>
      <c r="P1475" s="190"/>
    </row>
    <row r="1476" spans="6:16" x14ac:dyDescent="0.25">
      <c r="F1476"/>
      <c r="P1476" s="190"/>
    </row>
    <row r="1477" spans="6:16" x14ac:dyDescent="0.25">
      <c r="F1477"/>
      <c r="P1477" s="190"/>
    </row>
    <row r="1478" spans="6:16" x14ac:dyDescent="0.25">
      <c r="F1478"/>
      <c r="P1478" s="190"/>
    </row>
    <row r="1479" spans="6:16" x14ac:dyDescent="0.25">
      <c r="F1479"/>
      <c r="P1479" s="190"/>
    </row>
    <row r="1480" spans="6:16" x14ac:dyDescent="0.25">
      <c r="F1480"/>
      <c r="P1480" s="190"/>
    </row>
    <row r="1481" spans="6:16" x14ac:dyDescent="0.25">
      <c r="F1481"/>
      <c r="P1481" s="190"/>
    </row>
    <row r="1482" spans="6:16" x14ac:dyDescent="0.25">
      <c r="F1482"/>
      <c r="P1482" s="190"/>
    </row>
    <row r="1483" spans="6:16" x14ac:dyDescent="0.25">
      <c r="F1483"/>
      <c r="P1483" s="190"/>
    </row>
    <row r="1484" spans="6:16" x14ac:dyDescent="0.25">
      <c r="F1484"/>
      <c r="P1484" s="190"/>
    </row>
    <row r="1485" spans="6:16" x14ac:dyDescent="0.25">
      <c r="F1485"/>
      <c r="P1485" s="190"/>
    </row>
    <row r="1486" spans="6:16" x14ac:dyDescent="0.25">
      <c r="F1486"/>
      <c r="P1486" s="190"/>
    </row>
    <row r="1487" spans="6:16" x14ac:dyDescent="0.25">
      <c r="F1487"/>
      <c r="P1487" s="190"/>
    </row>
    <row r="1488" spans="6:16" x14ac:dyDescent="0.25">
      <c r="F1488"/>
      <c r="P1488" s="190"/>
    </row>
    <row r="1489" spans="6:16" x14ac:dyDescent="0.25">
      <c r="F1489"/>
      <c r="P1489" s="190"/>
    </row>
    <row r="1490" spans="6:16" x14ac:dyDescent="0.25">
      <c r="F1490"/>
      <c r="P1490" s="190"/>
    </row>
    <row r="1491" spans="6:16" x14ac:dyDescent="0.25">
      <c r="F1491"/>
      <c r="P1491" s="190"/>
    </row>
    <row r="1492" spans="6:16" x14ac:dyDescent="0.25">
      <c r="F1492"/>
      <c r="P1492" s="190"/>
    </row>
    <row r="1493" spans="6:16" x14ac:dyDescent="0.25">
      <c r="F1493"/>
      <c r="P1493" s="190"/>
    </row>
    <row r="1494" spans="6:16" x14ac:dyDescent="0.25">
      <c r="F1494"/>
      <c r="P1494" s="190"/>
    </row>
    <row r="1495" spans="6:16" x14ac:dyDescent="0.25">
      <c r="F1495"/>
      <c r="P1495" s="190"/>
    </row>
    <row r="1496" spans="6:16" x14ac:dyDescent="0.25">
      <c r="F1496"/>
      <c r="P1496" s="190"/>
    </row>
    <row r="1497" spans="6:16" x14ac:dyDescent="0.25">
      <c r="F1497"/>
      <c r="P1497" s="190"/>
    </row>
    <row r="1498" spans="6:16" x14ac:dyDescent="0.25">
      <c r="F1498"/>
      <c r="P1498" s="190"/>
    </row>
    <row r="1499" spans="6:16" x14ac:dyDescent="0.25">
      <c r="F1499"/>
      <c r="P1499" s="190"/>
    </row>
    <row r="1500" spans="6:16" x14ac:dyDescent="0.25">
      <c r="F1500"/>
      <c r="P1500" s="190"/>
    </row>
    <row r="1501" spans="6:16" x14ac:dyDescent="0.25">
      <c r="F1501"/>
      <c r="P1501" s="190"/>
    </row>
    <row r="1502" spans="6:16" x14ac:dyDescent="0.25">
      <c r="F1502"/>
      <c r="P1502" s="190"/>
    </row>
    <row r="1503" spans="6:16" x14ac:dyDescent="0.25">
      <c r="F1503"/>
      <c r="P1503" s="190"/>
    </row>
    <row r="1504" spans="6:16" x14ac:dyDescent="0.25">
      <c r="F1504"/>
      <c r="P1504" s="190"/>
    </row>
    <row r="1505" spans="6:16" x14ac:dyDescent="0.25">
      <c r="F1505"/>
      <c r="P1505" s="190"/>
    </row>
    <row r="1506" spans="6:16" x14ac:dyDescent="0.25">
      <c r="F1506"/>
      <c r="P1506" s="190"/>
    </row>
    <row r="1507" spans="6:16" x14ac:dyDescent="0.25">
      <c r="F1507"/>
      <c r="P1507" s="190"/>
    </row>
    <row r="1508" spans="6:16" x14ac:dyDescent="0.25">
      <c r="F1508"/>
      <c r="P1508" s="190"/>
    </row>
    <row r="1509" spans="6:16" x14ac:dyDescent="0.25">
      <c r="F1509"/>
      <c r="P1509" s="190"/>
    </row>
    <row r="1510" spans="6:16" x14ac:dyDescent="0.25">
      <c r="F1510"/>
      <c r="P1510" s="190"/>
    </row>
    <row r="1511" spans="6:16" x14ac:dyDescent="0.25">
      <c r="F1511"/>
      <c r="P1511" s="190"/>
    </row>
    <row r="1512" spans="6:16" x14ac:dyDescent="0.25">
      <c r="F1512"/>
      <c r="P1512" s="190"/>
    </row>
    <row r="1513" spans="6:16" x14ac:dyDescent="0.25">
      <c r="F1513"/>
      <c r="P1513" s="190"/>
    </row>
    <row r="1514" spans="6:16" x14ac:dyDescent="0.25">
      <c r="F1514"/>
      <c r="P1514" s="190"/>
    </row>
    <row r="1515" spans="6:16" x14ac:dyDescent="0.25">
      <c r="F1515"/>
      <c r="P1515" s="190"/>
    </row>
    <row r="1516" spans="6:16" x14ac:dyDescent="0.25">
      <c r="F1516"/>
      <c r="P1516" s="190"/>
    </row>
    <row r="1517" spans="6:16" x14ac:dyDescent="0.25">
      <c r="F1517"/>
      <c r="P1517" s="190"/>
    </row>
    <row r="1518" spans="6:16" x14ac:dyDescent="0.25">
      <c r="F1518"/>
      <c r="P1518" s="190"/>
    </row>
    <row r="1519" spans="6:16" x14ac:dyDescent="0.25">
      <c r="F1519"/>
      <c r="P1519" s="190"/>
    </row>
    <row r="1520" spans="6:16" x14ac:dyDescent="0.25">
      <c r="F1520"/>
      <c r="P1520" s="190"/>
    </row>
    <row r="1521" spans="6:16" x14ac:dyDescent="0.25">
      <c r="F1521"/>
      <c r="P1521" s="190"/>
    </row>
    <row r="1522" spans="6:16" x14ac:dyDescent="0.25">
      <c r="F1522"/>
      <c r="P1522" s="190"/>
    </row>
    <row r="1523" spans="6:16" x14ac:dyDescent="0.25">
      <c r="F1523"/>
      <c r="P1523" s="190"/>
    </row>
    <row r="1524" spans="6:16" x14ac:dyDescent="0.25">
      <c r="F1524"/>
      <c r="P1524" s="190"/>
    </row>
    <row r="1525" spans="6:16" x14ac:dyDescent="0.25">
      <c r="F1525"/>
      <c r="P1525" s="190"/>
    </row>
    <row r="1526" spans="6:16" x14ac:dyDescent="0.25">
      <c r="F1526"/>
      <c r="P1526" s="190"/>
    </row>
    <row r="1527" spans="6:16" x14ac:dyDescent="0.25">
      <c r="F1527"/>
      <c r="P1527" s="190"/>
    </row>
    <row r="1528" spans="6:16" x14ac:dyDescent="0.25">
      <c r="F1528"/>
      <c r="P1528" s="190"/>
    </row>
    <row r="1529" spans="6:16" x14ac:dyDescent="0.25">
      <c r="F1529"/>
      <c r="P1529" s="190"/>
    </row>
    <row r="1530" spans="6:16" x14ac:dyDescent="0.25">
      <c r="F1530"/>
      <c r="P1530" s="190"/>
    </row>
    <row r="1531" spans="6:16" x14ac:dyDescent="0.25">
      <c r="F1531"/>
      <c r="P1531" s="190"/>
    </row>
    <row r="1532" spans="6:16" x14ac:dyDescent="0.25">
      <c r="F1532"/>
      <c r="P1532" s="190"/>
    </row>
    <row r="1533" spans="6:16" x14ac:dyDescent="0.25">
      <c r="F1533"/>
      <c r="P1533" s="190"/>
    </row>
    <row r="1534" spans="6:16" x14ac:dyDescent="0.25">
      <c r="F1534"/>
      <c r="P1534" s="190"/>
    </row>
    <row r="1535" spans="6:16" x14ac:dyDescent="0.25">
      <c r="F1535"/>
      <c r="P1535" s="190"/>
    </row>
    <row r="1536" spans="6:16" x14ac:dyDescent="0.25">
      <c r="F1536"/>
      <c r="P1536" s="190"/>
    </row>
    <row r="1537" spans="6:16" x14ac:dyDescent="0.25">
      <c r="F1537"/>
      <c r="P1537" s="190"/>
    </row>
    <row r="1538" spans="6:16" x14ac:dyDescent="0.25">
      <c r="F1538"/>
      <c r="P1538" s="190"/>
    </row>
    <row r="1539" spans="6:16" x14ac:dyDescent="0.25">
      <c r="F1539"/>
      <c r="P1539" s="190"/>
    </row>
    <row r="1540" spans="6:16" x14ac:dyDescent="0.25">
      <c r="F1540"/>
      <c r="P1540" s="190"/>
    </row>
    <row r="1541" spans="6:16" x14ac:dyDescent="0.25">
      <c r="F1541"/>
      <c r="P1541" s="190"/>
    </row>
    <row r="1542" spans="6:16" x14ac:dyDescent="0.25">
      <c r="F1542"/>
      <c r="P1542" s="190"/>
    </row>
    <row r="1543" spans="6:16" x14ac:dyDescent="0.25">
      <c r="F1543"/>
      <c r="P1543" s="190"/>
    </row>
    <row r="1544" spans="6:16" x14ac:dyDescent="0.25">
      <c r="F1544"/>
      <c r="P1544" s="190"/>
    </row>
    <row r="1545" spans="6:16" x14ac:dyDescent="0.25">
      <c r="F1545"/>
      <c r="P1545" s="190"/>
    </row>
    <row r="1546" spans="6:16" x14ac:dyDescent="0.25">
      <c r="F1546"/>
      <c r="P1546" s="190"/>
    </row>
    <row r="1547" spans="6:16" x14ac:dyDescent="0.25">
      <c r="F1547"/>
      <c r="P1547" s="190"/>
    </row>
    <row r="1548" spans="6:16" x14ac:dyDescent="0.25">
      <c r="F1548"/>
      <c r="P1548" s="190"/>
    </row>
    <row r="1549" spans="6:16" x14ac:dyDescent="0.25">
      <c r="F1549"/>
      <c r="P1549" s="190"/>
    </row>
    <row r="1550" spans="6:16" x14ac:dyDescent="0.25">
      <c r="F1550"/>
      <c r="P1550" s="190"/>
    </row>
    <row r="1551" spans="6:16" x14ac:dyDescent="0.25">
      <c r="F1551"/>
      <c r="P1551" s="190"/>
    </row>
    <row r="1552" spans="6:16" x14ac:dyDescent="0.25">
      <c r="F1552"/>
      <c r="P1552" s="190"/>
    </row>
    <row r="1553" spans="6:16" x14ac:dyDescent="0.25">
      <c r="F1553"/>
      <c r="P1553" s="190"/>
    </row>
    <row r="1554" spans="6:16" x14ac:dyDescent="0.25">
      <c r="F1554"/>
      <c r="P1554" s="190"/>
    </row>
    <row r="1555" spans="6:16" x14ac:dyDescent="0.25">
      <c r="F1555"/>
      <c r="P1555" s="190"/>
    </row>
    <row r="1556" spans="6:16" x14ac:dyDescent="0.25">
      <c r="F1556"/>
      <c r="P1556" s="190"/>
    </row>
    <row r="1557" spans="6:16" x14ac:dyDescent="0.25">
      <c r="F1557"/>
      <c r="P1557" s="190"/>
    </row>
    <row r="1558" spans="6:16" x14ac:dyDescent="0.25">
      <c r="F1558"/>
      <c r="P1558" s="190"/>
    </row>
    <row r="1559" spans="6:16" x14ac:dyDescent="0.25">
      <c r="F1559"/>
      <c r="P1559" s="190"/>
    </row>
    <row r="1560" spans="6:16" x14ac:dyDescent="0.25">
      <c r="F1560"/>
      <c r="P1560" s="190"/>
    </row>
    <row r="1561" spans="6:16" x14ac:dyDescent="0.25">
      <c r="F1561"/>
      <c r="P1561" s="190"/>
    </row>
    <row r="1562" spans="6:16" x14ac:dyDescent="0.25">
      <c r="F1562"/>
      <c r="P1562" s="190"/>
    </row>
    <row r="1563" spans="6:16" x14ac:dyDescent="0.25">
      <c r="F1563"/>
      <c r="P1563" s="190"/>
    </row>
    <row r="1564" spans="6:16" x14ac:dyDescent="0.25">
      <c r="F1564"/>
      <c r="P1564" s="190"/>
    </row>
    <row r="1565" spans="6:16" x14ac:dyDescent="0.25">
      <c r="F1565"/>
      <c r="P1565" s="190"/>
    </row>
    <row r="1566" spans="6:16" x14ac:dyDescent="0.25">
      <c r="F1566"/>
      <c r="P1566" s="190"/>
    </row>
    <row r="1567" spans="6:16" x14ac:dyDescent="0.25">
      <c r="F1567"/>
      <c r="P1567" s="190"/>
    </row>
    <row r="1568" spans="6:16" x14ac:dyDescent="0.25">
      <c r="F1568"/>
      <c r="P1568" s="190"/>
    </row>
    <row r="1569" spans="6:16" x14ac:dyDescent="0.25">
      <c r="F1569"/>
      <c r="P1569" s="190"/>
    </row>
    <row r="1570" spans="6:16" x14ac:dyDescent="0.25">
      <c r="F1570"/>
      <c r="P1570" s="190"/>
    </row>
    <row r="1571" spans="6:16" x14ac:dyDescent="0.25">
      <c r="F1571"/>
      <c r="P1571" s="190"/>
    </row>
    <row r="1572" spans="6:16" x14ac:dyDescent="0.25">
      <c r="F1572"/>
      <c r="P1572" s="190"/>
    </row>
    <row r="1573" spans="6:16" x14ac:dyDescent="0.25">
      <c r="F1573"/>
      <c r="P1573" s="190"/>
    </row>
    <row r="1574" spans="6:16" x14ac:dyDescent="0.25">
      <c r="F1574"/>
      <c r="P1574" s="190"/>
    </row>
    <row r="1575" spans="6:16" x14ac:dyDescent="0.25">
      <c r="F1575"/>
      <c r="P1575" s="190"/>
    </row>
    <row r="1576" spans="6:16" x14ac:dyDescent="0.25">
      <c r="F1576"/>
      <c r="P1576" s="190"/>
    </row>
    <row r="1577" spans="6:16" x14ac:dyDescent="0.25">
      <c r="F1577"/>
      <c r="P1577" s="190"/>
    </row>
    <row r="1578" spans="6:16" x14ac:dyDescent="0.25">
      <c r="F1578"/>
      <c r="P1578" s="190"/>
    </row>
    <row r="1579" spans="6:16" x14ac:dyDescent="0.25">
      <c r="F1579"/>
      <c r="P1579" s="190"/>
    </row>
    <row r="1580" spans="6:16" x14ac:dyDescent="0.25">
      <c r="F1580"/>
      <c r="P1580" s="190"/>
    </row>
    <row r="1581" spans="6:16" x14ac:dyDescent="0.25">
      <c r="F1581"/>
      <c r="P1581" s="190"/>
    </row>
    <row r="1582" spans="6:16" x14ac:dyDescent="0.25">
      <c r="F1582"/>
      <c r="P1582" s="190"/>
    </row>
    <row r="1583" spans="6:16" x14ac:dyDescent="0.25">
      <c r="F1583"/>
      <c r="P1583" s="190"/>
    </row>
    <row r="1584" spans="6:16" x14ac:dyDescent="0.25">
      <c r="F1584"/>
      <c r="P1584" s="190"/>
    </row>
    <row r="1585" spans="6:16" x14ac:dyDescent="0.25">
      <c r="F1585"/>
      <c r="P1585" s="190"/>
    </row>
    <row r="1586" spans="6:16" x14ac:dyDescent="0.25">
      <c r="F1586"/>
      <c r="P1586" s="190"/>
    </row>
    <row r="1587" spans="6:16" x14ac:dyDescent="0.25">
      <c r="F1587"/>
      <c r="P1587" s="190"/>
    </row>
    <row r="1588" spans="6:16" x14ac:dyDescent="0.25">
      <c r="F1588"/>
      <c r="P1588" s="190"/>
    </row>
    <row r="1589" spans="6:16" x14ac:dyDescent="0.25">
      <c r="F1589"/>
      <c r="P1589" s="190"/>
    </row>
    <row r="1590" spans="6:16" x14ac:dyDescent="0.25">
      <c r="F1590"/>
      <c r="P1590" s="190"/>
    </row>
    <row r="1591" spans="6:16" x14ac:dyDescent="0.25">
      <c r="F1591"/>
      <c r="P1591" s="190"/>
    </row>
    <row r="1592" spans="6:16" x14ac:dyDescent="0.25">
      <c r="F1592"/>
      <c r="P1592" s="190"/>
    </row>
    <row r="1593" spans="6:16" x14ac:dyDescent="0.25">
      <c r="F1593"/>
      <c r="P1593" s="190"/>
    </row>
    <row r="1594" spans="6:16" x14ac:dyDescent="0.25">
      <c r="F1594"/>
      <c r="P1594" s="190"/>
    </row>
    <row r="1595" spans="6:16" x14ac:dyDescent="0.25">
      <c r="F1595"/>
      <c r="P1595" s="190"/>
    </row>
    <row r="1596" spans="6:16" x14ac:dyDescent="0.25">
      <c r="F1596"/>
      <c r="P1596" s="190"/>
    </row>
    <row r="1597" spans="6:16" x14ac:dyDescent="0.25">
      <c r="F1597"/>
      <c r="P1597" s="190"/>
    </row>
    <row r="1598" spans="6:16" x14ac:dyDescent="0.25">
      <c r="F1598"/>
      <c r="P1598" s="190"/>
    </row>
    <row r="1599" spans="6:16" x14ac:dyDescent="0.25">
      <c r="F1599"/>
      <c r="P1599" s="190"/>
    </row>
    <row r="1600" spans="6:16" x14ac:dyDescent="0.25">
      <c r="F1600"/>
      <c r="P1600" s="190"/>
    </row>
    <row r="1601" spans="6:16" x14ac:dyDescent="0.25">
      <c r="F1601"/>
      <c r="P1601" s="190"/>
    </row>
    <row r="1602" spans="6:16" x14ac:dyDescent="0.25">
      <c r="F1602"/>
      <c r="P1602" s="190"/>
    </row>
    <row r="1603" spans="6:16" x14ac:dyDescent="0.25">
      <c r="F1603"/>
      <c r="P1603" s="190"/>
    </row>
    <row r="1604" spans="6:16" x14ac:dyDescent="0.25">
      <c r="F1604"/>
      <c r="P1604" s="190"/>
    </row>
    <row r="1605" spans="6:16" x14ac:dyDescent="0.25">
      <c r="F1605"/>
      <c r="P1605" s="190"/>
    </row>
    <row r="1606" spans="6:16" x14ac:dyDescent="0.25">
      <c r="F1606"/>
      <c r="P1606" s="190"/>
    </row>
    <row r="1607" spans="6:16" x14ac:dyDescent="0.25">
      <c r="F1607"/>
      <c r="P1607" s="190"/>
    </row>
    <row r="1608" spans="6:16" x14ac:dyDescent="0.25">
      <c r="F1608"/>
      <c r="P1608" s="190"/>
    </row>
    <row r="1609" spans="6:16" x14ac:dyDescent="0.25">
      <c r="F1609"/>
      <c r="P1609" s="190"/>
    </row>
    <row r="1610" spans="6:16" x14ac:dyDescent="0.25">
      <c r="F1610"/>
      <c r="P1610" s="190"/>
    </row>
    <row r="1611" spans="6:16" x14ac:dyDescent="0.25">
      <c r="F1611"/>
      <c r="P1611" s="190"/>
    </row>
    <row r="1612" spans="6:16" x14ac:dyDescent="0.25">
      <c r="F1612"/>
      <c r="P1612" s="190"/>
    </row>
    <row r="1613" spans="6:16" x14ac:dyDescent="0.25">
      <c r="F1613"/>
      <c r="P1613" s="190"/>
    </row>
    <row r="1614" spans="6:16" x14ac:dyDescent="0.25">
      <c r="F1614"/>
      <c r="P1614" s="190"/>
    </row>
    <row r="1615" spans="6:16" x14ac:dyDescent="0.25">
      <c r="F1615"/>
      <c r="P1615" s="190"/>
    </row>
    <row r="1616" spans="6:16" x14ac:dyDescent="0.25">
      <c r="F1616"/>
      <c r="P1616" s="190"/>
    </row>
    <row r="1617" spans="6:16" x14ac:dyDescent="0.25">
      <c r="F1617"/>
      <c r="P1617" s="190"/>
    </row>
    <row r="1618" spans="6:16" x14ac:dyDescent="0.25">
      <c r="F1618"/>
      <c r="P1618" s="190"/>
    </row>
    <row r="1619" spans="6:16" x14ac:dyDescent="0.25">
      <c r="F1619"/>
      <c r="P1619" s="190"/>
    </row>
    <row r="1620" spans="6:16" x14ac:dyDescent="0.25">
      <c r="F1620"/>
      <c r="P1620" s="190"/>
    </row>
    <row r="1621" spans="6:16" x14ac:dyDescent="0.25">
      <c r="F1621"/>
      <c r="P1621" s="190"/>
    </row>
    <row r="1622" spans="6:16" x14ac:dyDescent="0.25">
      <c r="F1622"/>
      <c r="P1622" s="190"/>
    </row>
    <row r="1623" spans="6:16" x14ac:dyDescent="0.25">
      <c r="F1623"/>
      <c r="P1623" s="190"/>
    </row>
    <row r="1624" spans="6:16" x14ac:dyDescent="0.25">
      <c r="F1624"/>
      <c r="P1624" s="190"/>
    </row>
    <row r="1625" spans="6:16" x14ac:dyDescent="0.25">
      <c r="F1625"/>
      <c r="P1625" s="190"/>
    </row>
    <row r="1626" spans="6:16" x14ac:dyDescent="0.25">
      <c r="F1626"/>
      <c r="P1626" s="190"/>
    </row>
    <row r="1627" spans="6:16" x14ac:dyDescent="0.25">
      <c r="F1627"/>
      <c r="P1627" s="190"/>
    </row>
    <row r="1628" spans="6:16" x14ac:dyDescent="0.25">
      <c r="F1628"/>
      <c r="P1628" s="190"/>
    </row>
    <row r="1629" spans="6:16" x14ac:dyDescent="0.25">
      <c r="F1629"/>
      <c r="P1629" s="190"/>
    </row>
    <row r="1630" spans="6:16" x14ac:dyDescent="0.25">
      <c r="F1630"/>
      <c r="P1630" s="190"/>
    </row>
    <row r="1631" spans="6:16" x14ac:dyDescent="0.25">
      <c r="F1631"/>
      <c r="P1631" s="190"/>
    </row>
    <row r="1632" spans="6:16" x14ac:dyDescent="0.25">
      <c r="F1632"/>
      <c r="P1632" s="190"/>
    </row>
    <row r="1633" spans="6:16" x14ac:dyDescent="0.25">
      <c r="F1633"/>
      <c r="P1633" s="190"/>
    </row>
    <row r="1634" spans="6:16" x14ac:dyDescent="0.25">
      <c r="F1634"/>
      <c r="P1634" s="190"/>
    </row>
    <row r="1635" spans="6:16" x14ac:dyDescent="0.25">
      <c r="F1635"/>
      <c r="P1635" s="190"/>
    </row>
    <row r="1636" spans="6:16" x14ac:dyDescent="0.25">
      <c r="F1636"/>
      <c r="P1636" s="190"/>
    </row>
    <row r="1637" spans="6:16" x14ac:dyDescent="0.25">
      <c r="F1637"/>
      <c r="P1637" s="190"/>
    </row>
    <row r="1638" spans="6:16" x14ac:dyDescent="0.25">
      <c r="F1638"/>
      <c r="P1638" s="190"/>
    </row>
    <row r="1639" spans="6:16" x14ac:dyDescent="0.25">
      <c r="F1639"/>
      <c r="P1639" s="190"/>
    </row>
    <row r="1640" spans="6:16" x14ac:dyDescent="0.25">
      <c r="F1640"/>
      <c r="P1640" s="190"/>
    </row>
    <row r="1641" spans="6:16" x14ac:dyDescent="0.25">
      <c r="F1641"/>
      <c r="P1641" s="190"/>
    </row>
    <row r="1642" spans="6:16" x14ac:dyDescent="0.25">
      <c r="F1642"/>
      <c r="P1642" s="190"/>
    </row>
    <row r="1643" spans="6:16" x14ac:dyDescent="0.25">
      <c r="F1643"/>
      <c r="P1643" s="190"/>
    </row>
    <row r="1644" spans="6:16" x14ac:dyDescent="0.25">
      <c r="F1644"/>
      <c r="P1644" s="190"/>
    </row>
    <row r="1645" spans="6:16" x14ac:dyDescent="0.25">
      <c r="F1645"/>
      <c r="P1645" s="190"/>
    </row>
    <row r="1646" spans="6:16" x14ac:dyDescent="0.25">
      <c r="F1646"/>
      <c r="P1646" s="190"/>
    </row>
    <row r="1647" spans="6:16" x14ac:dyDescent="0.25">
      <c r="F1647"/>
      <c r="P1647" s="190"/>
    </row>
    <row r="1648" spans="6:16" x14ac:dyDescent="0.25">
      <c r="F1648"/>
      <c r="P1648" s="190"/>
    </row>
    <row r="1649" spans="6:16" x14ac:dyDescent="0.25">
      <c r="F1649"/>
      <c r="P1649" s="190"/>
    </row>
    <row r="1650" spans="6:16" x14ac:dyDescent="0.25">
      <c r="F1650"/>
      <c r="P1650" s="190"/>
    </row>
    <row r="1651" spans="6:16" x14ac:dyDescent="0.25">
      <c r="F1651"/>
      <c r="P1651" s="190"/>
    </row>
    <row r="1652" spans="6:16" x14ac:dyDescent="0.25">
      <c r="F1652"/>
      <c r="P1652" s="190"/>
    </row>
    <row r="1653" spans="6:16" x14ac:dyDescent="0.25">
      <c r="F1653"/>
      <c r="P1653" s="190"/>
    </row>
    <row r="1654" spans="6:16" x14ac:dyDescent="0.25">
      <c r="F1654"/>
      <c r="P1654" s="190"/>
    </row>
    <row r="1655" spans="6:16" x14ac:dyDescent="0.25">
      <c r="F1655"/>
      <c r="P1655" s="190"/>
    </row>
    <row r="1656" spans="6:16" x14ac:dyDescent="0.25">
      <c r="F1656"/>
      <c r="P1656" s="190"/>
    </row>
    <row r="1657" spans="6:16" x14ac:dyDescent="0.25">
      <c r="F1657"/>
      <c r="P1657" s="190"/>
    </row>
    <row r="1658" spans="6:16" x14ac:dyDescent="0.25">
      <c r="F1658"/>
      <c r="P1658" s="190"/>
    </row>
    <row r="1659" spans="6:16" x14ac:dyDescent="0.25">
      <c r="F1659"/>
      <c r="P1659" s="190"/>
    </row>
    <row r="1660" spans="6:16" x14ac:dyDescent="0.25">
      <c r="F1660"/>
      <c r="P1660" s="190"/>
    </row>
    <row r="1661" spans="6:16" x14ac:dyDescent="0.25">
      <c r="F1661"/>
      <c r="P1661" s="190"/>
    </row>
    <row r="1662" spans="6:16" x14ac:dyDescent="0.25">
      <c r="F1662"/>
      <c r="P1662" s="190"/>
    </row>
    <row r="1663" spans="6:16" x14ac:dyDescent="0.25">
      <c r="F1663"/>
      <c r="P1663" s="190"/>
    </row>
    <row r="1664" spans="6:16" x14ac:dyDescent="0.25">
      <c r="F1664"/>
      <c r="P1664" s="190"/>
    </row>
    <row r="1665" spans="6:16" x14ac:dyDescent="0.25">
      <c r="F1665"/>
      <c r="P1665" s="190"/>
    </row>
    <row r="1666" spans="6:16" x14ac:dyDescent="0.25">
      <c r="F1666"/>
      <c r="P1666" s="190"/>
    </row>
    <row r="1667" spans="6:16" x14ac:dyDescent="0.25">
      <c r="F1667"/>
      <c r="P1667" s="190"/>
    </row>
    <row r="1668" spans="6:16" x14ac:dyDescent="0.25">
      <c r="F1668"/>
      <c r="P1668" s="190"/>
    </row>
    <row r="1669" spans="6:16" x14ac:dyDescent="0.25">
      <c r="F1669"/>
      <c r="P1669" s="190"/>
    </row>
    <row r="1670" spans="6:16" x14ac:dyDescent="0.25">
      <c r="F1670"/>
      <c r="P1670" s="190"/>
    </row>
    <row r="1671" spans="6:16" x14ac:dyDescent="0.25">
      <c r="F1671"/>
      <c r="P1671" s="190"/>
    </row>
    <row r="1672" spans="6:16" x14ac:dyDescent="0.25">
      <c r="F1672"/>
      <c r="P1672" s="190"/>
    </row>
    <row r="1673" spans="6:16" x14ac:dyDescent="0.25">
      <c r="F1673"/>
      <c r="P1673" s="190"/>
    </row>
    <row r="1674" spans="6:16" x14ac:dyDescent="0.25">
      <c r="F1674"/>
      <c r="P1674" s="190"/>
    </row>
    <row r="1675" spans="6:16" x14ac:dyDescent="0.25">
      <c r="F1675"/>
      <c r="P1675" s="190"/>
    </row>
    <row r="1676" spans="6:16" x14ac:dyDescent="0.25">
      <c r="F1676"/>
      <c r="P1676" s="190"/>
    </row>
    <row r="1677" spans="6:16" x14ac:dyDescent="0.25">
      <c r="F1677"/>
      <c r="P1677" s="190"/>
    </row>
    <row r="1678" spans="6:16" x14ac:dyDescent="0.25">
      <c r="F1678"/>
      <c r="P1678" s="190"/>
    </row>
    <row r="1679" spans="6:16" x14ac:dyDescent="0.25">
      <c r="F1679"/>
      <c r="P1679" s="190"/>
    </row>
    <row r="1680" spans="6:16" x14ac:dyDescent="0.25">
      <c r="F1680"/>
      <c r="P1680" s="190"/>
    </row>
    <row r="1681" spans="6:16" x14ac:dyDescent="0.25">
      <c r="F1681"/>
      <c r="P1681" s="190"/>
    </row>
    <row r="1682" spans="6:16" x14ac:dyDescent="0.25">
      <c r="F1682"/>
      <c r="P1682" s="190"/>
    </row>
    <row r="1683" spans="6:16" x14ac:dyDescent="0.25">
      <c r="F1683"/>
      <c r="P1683" s="190"/>
    </row>
    <row r="1684" spans="6:16" x14ac:dyDescent="0.25">
      <c r="F1684"/>
      <c r="P1684" s="190"/>
    </row>
    <row r="1685" spans="6:16" x14ac:dyDescent="0.25">
      <c r="F1685"/>
      <c r="P1685" s="190"/>
    </row>
    <row r="1686" spans="6:16" x14ac:dyDescent="0.25">
      <c r="F1686"/>
      <c r="P1686" s="190"/>
    </row>
    <row r="1687" spans="6:16" x14ac:dyDescent="0.25">
      <c r="F1687"/>
      <c r="P1687" s="190"/>
    </row>
    <row r="1688" spans="6:16" x14ac:dyDescent="0.25">
      <c r="F1688"/>
      <c r="P1688" s="190"/>
    </row>
    <row r="1689" spans="6:16" x14ac:dyDescent="0.25">
      <c r="F1689"/>
      <c r="P1689" s="190"/>
    </row>
    <row r="1690" spans="6:16" x14ac:dyDescent="0.25">
      <c r="F1690"/>
      <c r="P1690" s="190"/>
    </row>
    <row r="1691" spans="6:16" x14ac:dyDescent="0.25">
      <c r="F1691"/>
      <c r="P1691" s="190"/>
    </row>
    <row r="1692" spans="6:16" x14ac:dyDescent="0.25">
      <c r="F1692"/>
      <c r="P1692" s="190"/>
    </row>
    <row r="1693" spans="6:16" x14ac:dyDescent="0.25">
      <c r="F1693"/>
      <c r="P1693" s="190"/>
    </row>
    <row r="1694" spans="6:16" x14ac:dyDescent="0.25">
      <c r="F1694"/>
      <c r="P1694" s="190"/>
    </row>
    <row r="1695" spans="6:16" x14ac:dyDescent="0.25">
      <c r="F1695"/>
      <c r="P1695" s="190"/>
    </row>
    <row r="1696" spans="6:16" x14ac:dyDescent="0.25">
      <c r="F1696"/>
      <c r="P1696" s="190"/>
    </row>
    <row r="1697" spans="6:16" x14ac:dyDescent="0.25">
      <c r="F1697"/>
      <c r="P1697" s="190"/>
    </row>
    <row r="1698" spans="6:16" x14ac:dyDescent="0.25">
      <c r="F1698"/>
      <c r="P1698" s="190"/>
    </row>
    <row r="1699" spans="6:16" x14ac:dyDescent="0.25">
      <c r="F1699"/>
      <c r="P1699" s="190"/>
    </row>
    <row r="1700" spans="6:16" x14ac:dyDescent="0.25">
      <c r="F1700"/>
      <c r="P1700" s="190"/>
    </row>
    <row r="1701" spans="6:16" x14ac:dyDescent="0.25">
      <c r="F1701"/>
      <c r="P1701" s="190"/>
    </row>
    <row r="1702" spans="6:16" x14ac:dyDescent="0.25">
      <c r="F1702"/>
      <c r="P1702" s="190"/>
    </row>
    <row r="1703" spans="6:16" x14ac:dyDescent="0.25">
      <c r="F1703"/>
      <c r="P1703" s="190"/>
    </row>
    <row r="1704" spans="6:16" x14ac:dyDescent="0.25">
      <c r="F1704"/>
      <c r="P1704" s="190"/>
    </row>
    <row r="1705" spans="6:16" x14ac:dyDescent="0.25">
      <c r="F1705"/>
      <c r="P1705" s="190"/>
    </row>
    <row r="1706" spans="6:16" x14ac:dyDescent="0.25">
      <c r="F1706"/>
      <c r="P1706" s="190"/>
    </row>
    <row r="1707" spans="6:16" x14ac:dyDescent="0.25">
      <c r="F1707"/>
      <c r="P1707" s="190"/>
    </row>
    <row r="1708" spans="6:16" x14ac:dyDescent="0.25">
      <c r="F1708"/>
      <c r="P1708" s="190"/>
    </row>
    <row r="1709" spans="6:16" x14ac:dyDescent="0.25">
      <c r="F1709"/>
      <c r="P1709" s="190"/>
    </row>
    <row r="1710" spans="6:16" x14ac:dyDescent="0.25">
      <c r="F1710"/>
      <c r="P1710" s="190"/>
    </row>
    <row r="1711" spans="6:16" x14ac:dyDescent="0.25">
      <c r="F1711"/>
      <c r="P1711" s="190"/>
    </row>
    <row r="1712" spans="6:16" x14ac:dyDescent="0.25">
      <c r="F1712"/>
      <c r="P1712" s="190"/>
    </row>
    <row r="1713" spans="6:16" x14ac:dyDescent="0.25">
      <c r="F1713"/>
      <c r="P1713" s="190"/>
    </row>
    <row r="1714" spans="6:16" x14ac:dyDescent="0.25">
      <c r="F1714"/>
      <c r="P1714" s="190"/>
    </row>
    <row r="1715" spans="6:16" x14ac:dyDescent="0.25">
      <c r="F1715"/>
      <c r="P1715" s="190"/>
    </row>
    <row r="1716" spans="6:16" x14ac:dyDescent="0.25">
      <c r="F1716"/>
      <c r="P1716" s="190"/>
    </row>
    <row r="1717" spans="6:16" x14ac:dyDescent="0.25">
      <c r="F1717"/>
      <c r="P1717" s="190"/>
    </row>
    <row r="1718" spans="6:16" x14ac:dyDescent="0.25">
      <c r="F1718"/>
      <c r="P1718" s="190"/>
    </row>
    <row r="1719" spans="6:16" x14ac:dyDescent="0.25">
      <c r="F1719"/>
      <c r="P1719" s="190"/>
    </row>
    <row r="1720" spans="6:16" x14ac:dyDescent="0.25">
      <c r="F1720"/>
      <c r="P1720" s="190"/>
    </row>
    <row r="1721" spans="6:16" x14ac:dyDescent="0.25">
      <c r="F1721"/>
      <c r="P1721" s="190"/>
    </row>
    <row r="1722" spans="6:16" x14ac:dyDescent="0.25">
      <c r="F1722"/>
      <c r="P1722" s="190"/>
    </row>
    <row r="1723" spans="6:16" x14ac:dyDescent="0.25">
      <c r="F1723"/>
      <c r="P1723" s="190"/>
    </row>
    <row r="1724" spans="6:16" x14ac:dyDescent="0.25">
      <c r="F1724"/>
      <c r="P1724" s="190"/>
    </row>
    <row r="1725" spans="6:16" x14ac:dyDescent="0.25">
      <c r="F1725"/>
      <c r="P1725" s="190"/>
    </row>
    <row r="1726" spans="6:16" x14ac:dyDescent="0.25">
      <c r="F1726"/>
      <c r="P1726" s="190"/>
    </row>
    <row r="1727" spans="6:16" x14ac:dyDescent="0.25">
      <c r="F1727"/>
      <c r="P1727" s="190"/>
    </row>
    <row r="1728" spans="6:16" x14ac:dyDescent="0.25">
      <c r="F1728"/>
      <c r="P1728" s="190"/>
    </row>
    <row r="1729" spans="6:16" x14ac:dyDescent="0.25">
      <c r="F1729"/>
      <c r="P1729" s="190"/>
    </row>
    <row r="1730" spans="6:16" x14ac:dyDescent="0.25">
      <c r="F1730"/>
      <c r="P1730" s="190"/>
    </row>
    <row r="1731" spans="6:16" x14ac:dyDescent="0.25">
      <c r="F1731"/>
      <c r="P1731" s="190"/>
    </row>
    <row r="1732" spans="6:16" x14ac:dyDescent="0.25">
      <c r="F1732"/>
      <c r="P1732" s="190"/>
    </row>
    <row r="1733" spans="6:16" x14ac:dyDescent="0.25">
      <c r="F1733"/>
      <c r="P1733" s="190"/>
    </row>
    <row r="1734" spans="6:16" x14ac:dyDescent="0.25">
      <c r="F1734"/>
      <c r="P1734" s="190"/>
    </row>
    <row r="1735" spans="6:16" x14ac:dyDescent="0.25">
      <c r="F1735"/>
      <c r="P1735" s="190"/>
    </row>
    <row r="1736" spans="6:16" x14ac:dyDescent="0.25">
      <c r="F1736"/>
      <c r="P1736" s="190"/>
    </row>
    <row r="1737" spans="6:16" x14ac:dyDescent="0.25">
      <c r="F1737"/>
      <c r="P1737" s="190"/>
    </row>
    <row r="1738" spans="6:16" x14ac:dyDescent="0.25">
      <c r="F1738"/>
      <c r="P1738" s="190"/>
    </row>
    <row r="1739" spans="6:16" x14ac:dyDescent="0.25">
      <c r="F1739"/>
      <c r="P1739" s="190"/>
    </row>
    <row r="1740" spans="6:16" x14ac:dyDescent="0.25">
      <c r="F1740"/>
      <c r="P1740" s="190"/>
    </row>
    <row r="1741" spans="6:16" x14ac:dyDescent="0.25">
      <c r="F1741"/>
      <c r="P1741" s="190"/>
    </row>
    <row r="1742" spans="6:16" x14ac:dyDescent="0.25">
      <c r="F1742"/>
      <c r="P1742" s="190"/>
    </row>
    <row r="1743" spans="6:16" x14ac:dyDescent="0.25">
      <c r="F1743"/>
      <c r="P1743" s="190"/>
    </row>
    <row r="1744" spans="6:16" x14ac:dyDescent="0.25">
      <c r="F1744"/>
      <c r="P1744" s="190"/>
    </row>
    <row r="1745" spans="6:16" x14ac:dyDescent="0.25">
      <c r="F1745"/>
      <c r="P1745" s="190"/>
    </row>
    <row r="1746" spans="6:16" x14ac:dyDescent="0.25">
      <c r="F1746"/>
      <c r="P1746" s="190"/>
    </row>
    <row r="1747" spans="6:16" x14ac:dyDescent="0.25">
      <c r="F1747"/>
      <c r="P1747" s="190"/>
    </row>
    <row r="1748" spans="6:16" x14ac:dyDescent="0.25">
      <c r="F1748"/>
      <c r="P1748" s="190"/>
    </row>
    <row r="1749" spans="6:16" x14ac:dyDescent="0.25">
      <c r="F1749"/>
      <c r="P1749" s="190"/>
    </row>
    <row r="1750" spans="6:16" x14ac:dyDescent="0.25">
      <c r="F1750"/>
      <c r="P1750" s="190"/>
    </row>
    <row r="1751" spans="6:16" x14ac:dyDescent="0.25">
      <c r="F1751"/>
      <c r="P1751" s="190"/>
    </row>
    <row r="1752" spans="6:16" x14ac:dyDescent="0.25">
      <c r="F1752"/>
      <c r="P1752" s="190"/>
    </row>
    <row r="1753" spans="6:16" x14ac:dyDescent="0.25">
      <c r="F1753"/>
      <c r="P1753" s="190"/>
    </row>
    <row r="1754" spans="6:16" x14ac:dyDescent="0.25">
      <c r="F1754"/>
      <c r="P1754" s="190"/>
    </row>
    <row r="1755" spans="6:16" x14ac:dyDescent="0.25">
      <c r="F1755"/>
      <c r="P1755" s="190"/>
    </row>
    <row r="1756" spans="6:16" x14ac:dyDescent="0.25">
      <c r="F1756"/>
      <c r="P1756" s="190"/>
    </row>
    <row r="1757" spans="6:16" x14ac:dyDescent="0.25">
      <c r="F1757"/>
      <c r="P1757" s="190"/>
    </row>
    <row r="1758" spans="6:16" x14ac:dyDescent="0.25">
      <c r="F1758"/>
      <c r="P1758" s="190"/>
    </row>
    <row r="1759" spans="6:16" x14ac:dyDescent="0.25">
      <c r="F1759"/>
      <c r="P1759" s="190"/>
    </row>
    <row r="1760" spans="6:16" x14ac:dyDescent="0.25">
      <c r="F1760"/>
      <c r="P1760" s="190"/>
    </row>
    <row r="1761" spans="6:16" x14ac:dyDescent="0.25">
      <c r="F1761"/>
      <c r="P1761" s="190"/>
    </row>
    <row r="1762" spans="6:16" x14ac:dyDescent="0.25">
      <c r="F1762"/>
      <c r="P1762" s="190"/>
    </row>
    <row r="1763" spans="6:16" x14ac:dyDescent="0.25">
      <c r="F1763"/>
      <c r="P1763" s="190"/>
    </row>
    <row r="1764" spans="6:16" x14ac:dyDescent="0.25">
      <c r="F1764"/>
      <c r="P1764" s="190"/>
    </row>
    <row r="1765" spans="6:16" x14ac:dyDescent="0.25">
      <c r="F1765"/>
      <c r="P1765" s="190"/>
    </row>
    <row r="1766" spans="6:16" x14ac:dyDescent="0.25">
      <c r="F1766"/>
      <c r="P1766" s="190"/>
    </row>
    <row r="1767" spans="6:16" x14ac:dyDescent="0.25">
      <c r="F1767"/>
      <c r="P1767" s="190"/>
    </row>
    <row r="1768" spans="6:16" x14ac:dyDescent="0.25">
      <c r="F1768"/>
      <c r="P1768" s="190"/>
    </row>
    <row r="1769" spans="6:16" x14ac:dyDescent="0.25">
      <c r="F1769"/>
      <c r="P1769" s="190"/>
    </row>
    <row r="1770" spans="6:16" x14ac:dyDescent="0.25">
      <c r="F1770"/>
      <c r="P1770" s="190"/>
    </row>
    <row r="1771" spans="6:16" x14ac:dyDescent="0.25">
      <c r="F1771"/>
      <c r="P1771" s="190"/>
    </row>
    <row r="1772" spans="6:16" x14ac:dyDescent="0.25">
      <c r="F1772"/>
      <c r="P1772" s="190"/>
    </row>
    <row r="1773" spans="6:16" x14ac:dyDescent="0.25">
      <c r="F1773"/>
      <c r="P1773" s="190"/>
    </row>
    <row r="1774" spans="6:16" x14ac:dyDescent="0.25">
      <c r="F1774"/>
      <c r="P1774" s="190"/>
    </row>
    <row r="1775" spans="6:16" x14ac:dyDescent="0.25">
      <c r="F1775"/>
      <c r="P1775" s="190"/>
    </row>
    <row r="1776" spans="6:16" x14ac:dyDescent="0.25">
      <c r="F1776"/>
      <c r="P1776" s="190"/>
    </row>
    <row r="1777" spans="6:16" x14ac:dyDescent="0.25">
      <c r="F1777"/>
      <c r="P1777" s="190"/>
    </row>
    <row r="1778" spans="6:16" x14ac:dyDescent="0.25">
      <c r="F1778"/>
      <c r="P1778" s="190"/>
    </row>
    <row r="1779" spans="6:16" x14ac:dyDescent="0.25">
      <c r="F1779"/>
      <c r="P1779" s="190"/>
    </row>
    <row r="1780" spans="6:16" x14ac:dyDescent="0.25">
      <c r="F1780"/>
      <c r="P1780" s="190"/>
    </row>
    <row r="1781" spans="6:16" x14ac:dyDescent="0.25">
      <c r="F1781"/>
      <c r="P1781" s="190"/>
    </row>
    <row r="1782" spans="6:16" x14ac:dyDescent="0.25">
      <c r="F1782"/>
      <c r="P1782" s="190"/>
    </row>
    <row r="1783" spans="6:16" x14ac:dyDescent="0.25">
      <c r="F1783"/>
      <c r="P1783" s="190"/>
    </row>
    <row r="1784" spans="6:16" x14ac:dyDescent="0.25">
      <c r="F1784"/>
      <c r="P1784" s="190"/>
    </row>
    <row r="1785" spans="6:16" x14ac:dyDescent="0.25">
      <c r="F1785"/>
      <c r="P1785" s="190"/>
    </row>
    <row r="1786" spans="6:16" x14ac:dyDescent="0.25">
      <c r="F1786"/>
      <c r="P1786" s="190"/>
    </row>
    <row r="1787" spans="6:16" x14ac:dyDescent="0.25">
      <c r="F1787"/>
      <c r="P1787" s="190"/>
    </row>
    <row r="1788" spans="6:16" x14ac:dyDescent="0.25">
      <c r="F1788"/>
      <c r="P1788" s="190"/>
    </row>
    <row r="1789" spans="6:16" x14ac:dyDescent="0.25">
      <c r="F1789"/>
      <c r="P1789" s="190"/>
    </row>
    <row r="1790" spans="6:16" x14ac:dyDescent="0.25">
      <c r="F1790"/>
      <c r="P1790" s="190"/>
    </row>
    <row r="1791" spans="6:16" x14ac:dyDescent="0.25">
      <c r="F1791"/>
      <c r="P1791" s="190"/>
    </row>
    <row r="1792" spans="6:16" x14ac:dyDescent="0.25">
      <c r="F1792"/>
      <c r="P1792" s="190"/>
    </row>
    <row r="1793" spans="6:16" x14ac:dyDescent="0.25">
      <c r="F1793"/>
      <c r="P1793" s="190"/>
    </row>
    <row r="1794" spans="6:16" x14ac:dyDescent="0.25">
      <c r="F1794"/>
      <c r="P1794" s="190"/>
    </row>
    <row r="1795" spans="6:16" x14ac:dyDescent="0.25">
      <c r="F1795"/>
      <c r="P1795" s="190"/>
    </row>
    <row r="1796" spans="6:16" x14ac:dyDescent="0.25">
      <c r="F1796"/>
      <c r="P1796" s="190"/>
    </row>
    <row r="1797" spans="6:16" x14ac:dyDescent="0.25">
      <c r="F1797"/>
      <c r="P1797" s="190"/>
    </row>
    <row r="1798" spans="6:16" x14ac:dyDescent="0.25">
      <c r="F1798"/>
      <c r="P1798" s="190"/>
    </row>
    <row r="1799" spans="6:16" x14ac:dyDescent="0.25">
      <c r="F1799"/>
      <c r="P1799" s="190"/>
    </row>
    <row r="1800" spans="6:16" x14ac:dyDescent="0.25">
      <c r="F1800"/>
      <c r="P1800" s="190"/>
    </row>
    <row r="1801" spans="6:16" x14ac:dyDescent="0.25">
      <c r="F1801"/>
      <c r="P1801" s="190"/>
    </row>
    <row r="1802" spans="6:16" x14ac:dyDescent="0.25">
      <c r="F1802"/>
      <c r="P1802" s="190"/>
    </row>
    <row r="1803" spans="6:16" x14ac:dyDescent="0.25">
      <c r="F1803"/>
      <c r="P1803" s="190"/>
    </row>
    <row r="1804" spans="6:16" x14ac:dyDescent="0.25">
      <c r="F1804"/>
      <c r="P1804" s="190"/>
    </row>
    <row r="1805" spans="6:16" x14ac:dyDescent="0.25">
      <c r="F1805"/>
      <c r="P1805" s="190"/>
    </row>
    <row r="1806" spans="6:16" x14ac:dyDescent="0.25">
      <c r="F1806"/>
      <c r="P1806" s="190"/>
    </row>
    <row r="1807" spans="6:16" x14ac:dyDescent="0.25">
      <c r="F1807"/>
      <c r="P1807" s="190"/>
    </row>
    <row r="1808" spans="6:16" x14ac:dyDescent="0.25">
      <c r="F1808"/>
      <c r="P1808" s="190"/>
    </row>
    <row r="1809" spans="6:16" x14ac:dyDescent="0.25">
      <c r="F1809"/>
      <c r="P1809" s="190"/>
    </row>
    <row r="1810" spans="6:16" x14ac:dyDescent="0.25">
      <c r="F1810"/>
      <c r="P1810" s="190"/>
    </row>
    <row r="1811" spans="6:16" x14ac:dyDescent="0.25">
      <c r="F1811"/>
      <c r="P1811" s="190"/>
    </row>
    <row r="1812" spans="6:16" x14ac:dyDescent="0.25">
      <c r="F1812"/>
      <c r="P1812" s="190"/>
    </row>
    <row r="1813" spans="6:16" x14ac:dyDescent="0.25">
      <c r="F1813"/>
      <c r="P1813" s="190"/>
    </row>
    <row r="1814" spans="6:16" x14ac:dyDescent="0.25">
      <c r="F1814"/>
      <c r="P1814" s="190"/>
    </row>
    <row r="1815" spans="6:16" x14ac:dyDescent="0.25">
      <c r="F1815"/>
      <c r="P1815" s="190"/>
    </row>
    <row r="1816" spans="6:16" x14ac:dyDescent="0.25">
      <c r="F1816"/>
      <c r="P1816" s="190"/>
    </row>
    <row r="1817" spans="6:16" x14ac:dyDescent="0.25">
      <c r="F1817"/>
      <c r="P1817" s="190"/>
    </row>
    <row r="1818" spans="6:16" x14ac:dyDescent="0.25">
      <c r="F1818"/>
      <c r="P1818" s="190"/>
    </row>
    <row r="1819" spans="6:16" x14ac:dyDescent="0.25">
      <c r="F1819"/>
      <c r="P1819" s="190"/>
    </row>
    <row r="1820" spans="6:16" x14ac:dyDescent="0.25">
      <c r="F1820"/>
      <c r="P1820" s="190"/>
    </row>
    <row r="1821" spans="6:16" x14ac:dyDescent="0.25">
      <c r="F1821"/>
      <c r="P1821" s="190"/>
    </row>
    <row r="1822" spans="6:16" x14ac:dyDescent="0.25">
      <c r="F1822"/>
      <c r="P1822" s="190"/>
    </row>
    <row r="1823" spans="6:16" x14ac:dyDescent="0.25">
      <c r="F1823"/>
      <c r="P1823" s="190"/>
    </row>
    <row r="1824" spans="6:16" x14ac:dyDescent="0.25">
      <c r="F1824"/>
      <c r="P1824" s="190"/>
    </row>
    <row r="1825" spans="6:16" x14ac:dyDescent="0.25">
      <c r="F1825"/>
      <c r="P1825" s="190"/>
    </row>
    <row r="1826" spans="6:16" x14ac:dyDescent="0.25">
      <c r="F1826"/>
      <c r="P1826" s="190"/>
    </row>
    <row r="1827" spans="6:16" x14ac:dyDescent="0.25">
      <c r="F1827"/>
      <c r="P1827" s="190"/>
    </row>
    <row r="1828" spans="6:16" x14ac:dyDescent="0.25">
      <c r="F1828"/>
      <c r="P1828" s="190"/>
    </row>
    <row r="1829" spans="6:16" x14ac:dyDescent="0.25">
      <c r="F1829"/>
      <c r="P1829" s="190"/>
    </row>
    <row r="1830" spans="6:16" x14ac:dyDescent="0.25">
      <c r="F1830"/>
      <c r="P1830" s="190"/>
    </row>
    <row r="1831" spans="6:16" x14ac:dyDescent="0.25">
      <c r="F1831"/>
      <c r="P1831" s="190"/>
    </row>
    <row r="1832" spans="6:16" x14ac:dyDescent="0.25">
      <c r="F1832"/>
      <c r="P1832" s="190"/>
    </row>
    <row r="1833" spans="6:16" x14ac:dyDescent="0.25">
      <c r="F1833"/>
      <c r="P1833" s="190"/>
    </row>
    <row r="1834" spans="6:16" x14ac:dyDescent="0.25">
      <c r="F1834"/>
      <c r="P1834" s="190"/>
    </row>
    <row r="1835" spans="6:16" x14ac:dyDescent="0.25">
      <c r="F1835"/>
      <c r="P1835" s="190"/>
    </row>
    <row r="1836" spans="6:16" x14ac:dyDescent="0.25">
      <c r="F1836"/>
      <c r="P1836" s="190"/>
    </row>
    <row r="1837" spans="6:16" x14ac:dyDescent="0.25">
      <c r="F1837"/>
      <c r="P1837" s="190"/>
    </row>
    <row r="1838" spans="6:16" x14ac:dyDescent="0.25">
      <c r="F1838"/>
      <c r="P1838" s="190"/>
    </row>
    <row r="1839" spans="6:16" x14ac:dyDescent="0.25">
      <c r="F1839"/>
      <c r="P1839" s="190"/>
    </row>
    <row r="1840" spans="6:16" x14ac:dyDescent="0.25">
      <c r="F1840"/>
      <c r="P1840" s="190"/>
    </row>
    <row r="1841" spans="6:16" x14ac:dyDescent="0.25">
      <c r="F1841"/>
      <c r="P1841" s="190"/>
    </row>
    <row r="1842" spans="6:16" x14ac:dyDescent="0.25">
      <c r="F1842"/>
      <c r="P1842" s="190"/>
    </row>
    <row r="1843" spans="6:16" x14ac:dyDescent="0.25">
      <c r="F1843"/>
      <c r="P1843" s="190"/>
    </row>
    <row r="1844" spans="6:16" x14ac:dyDescent="0.25">
      <c r="F1844"/>
      <c r="P1844" s="190"/>
    </row>
    <row r="1845" spans="6:16" x14ac:dyDescent="0.25">
      <c r="F1845"/>
      <c r="P1845" s="190"/>
    </row>
    <row r="1846" spans="6:16" x14ac:dyDescent="0.25">
      <c r="F1846"/>
      <c r="P1846" s="190"/>
    </row>
    <row r="1847" spans="6:16" x14ac:dyDescent="0.25">
      <c r="F1847"/>
      <c r="P1847" s="190"/>
    </row>
    <row r="1848" spans="6:16" x14ac:dyDescent="0.25">
      <c r="F1848"/>
      <c r="P1848" s="190"/>
    </row>
    <row r="1849" spans="6:16" x14ac:dyDescent="0.25">
      <c r="F1849"/>
      <c r="P1849" s="190"/>
    </row>
    <row r="1850" spans="6:16" x14ac:dyDescent="0.25">
      <c r="F1850"/>
      <c r="P1850" s="190"/>
    </row>
    <row r="1851" spans="6:16" x14ac:dyDescent="0.25">
      <c r="F1851"/>
      <c r="P1851" s="190"/>
    </row>
    <row r="1852" spans="6:16" x14ac:dyDescent="0.25">
      <c r="F1852"/>
      <c r="P1852" s="190"/>
    </row>
    <row r="1853" spans="6:16" x14ac:dyDescent="0.25">
      <c r="F1853"/>
      <c r="P1853" s="190"/>
    </row>
    <row r="1854" spans="6:16" x14ac:dyDescent="0.25">
      <c r="F1854"/>
      <c r="P1854" s="190"/>
    </row>
    <row r="1855" spans="6:16" x14ac:dyDescent="0.25">
      <c r="F1855"/>
      <c r="P1855" s="190"/>
    </row>
    <row r="1856" spans="6:16" x14ac:dyDescent="0.25">
      <c r="F1856"/>
      <c r="P1856" s="190"/>
    </row>
    <row r="1857" spans="6:16" x14ac:dyDescent="0.25">
      <c r="F1857"/>
      <c r="P1857" s="190"/>
    </row>
    <row r="1858" spans="6:16" x14ac:dyDescent="0.25">
      <c r="F1858"/>
      <c r="P1858" s="190"/>
    </row>
    <row r="1859" spans="6:16" x14ac:dyDescent="0.25">
      <c r="F1859"/>
      <c r="P1859" s="190"/>
    </row>
    <row r="1860" spans="6:16" x14ac:dyDescent="0.25">
      <c r="F1860"/>
      <c r="P1860" s="190"/>
    </row>
    <row r="1861" spans="6:16" x14ac:dyDescent="0.25">
      <c r="F1861"/>
      <c r="P1861" s="190"/>
    </row>
    <row r="1862" spans="6:16" x14ac:dyDescent="0.25">
      <c r="F1862"/>
      <c r="P1862" s="190"/>
    </row>
    <row r="1863" spans="6:16" x14ac:dyDescent="0.25">
      <c r="F1863"/>
      <c r="P1863" s="190"/>
    </row>
    <row r="1864" spans="6:16" x14ac:dyDescent="0.25">
      <c r="F1864"/>
      <c r="P1864" s="190"/>
    </row>
    <row r="1865" spans="6:16" x14ac:dyDescent="0.25">
      <c r="F1865"/>
      <c r="P1865" s="190"/>
    </row>
    <row r="1866" spans="6:16" x14ac:dyDescent="0.25">
      <c r="F1866"/>
      <c r="P1866" s="190"/>
    </row>
    <row r="1867" spans="6:16" x14ac:dyDescent="0.25">
      <c r="F1867"/>
      <c r="P1867" s="190"/>
    </row>
    <row r="1868" spans="6:16" x14ac:dyDescent="0.25">
      <c r="F1868"/>
      <c r="P1868" s="190"/>
    </row>
    <row r="1869" spans="6:16" x14ac:dyDescent="0.25">
      <c r="F1869"/>
      <c r="P1869" s="190"/>
    </row>
    <row r="1870" spans="6:16" x14ac:dyDescent="0.25">
      <c r="F1870"/>
      <c r="P1870" s="190"/>
    </row>
    <row r="1871" spans="6:16" x14ac:dyDescent="0.25">
      <c r="F1871"/>
      <c r="P1871" s="190"/>
    </row>
    <row r="1872" spans="6:16" x14ac:dyDescent="0.25">
      <c r="F1872"/>
      <c r="P1872" s="190"/>
    </row>
    <row r="1873" spans="6:16" x14ac:dyDescent="0.25">
      <c r="F1873"/>
      <c r="P1873" s="190"/>
    </row>
    <row r="1874" spans="6:16" x14ac:dyDescent="0.25">
      <c r="F1874"/>
      <c r="P1874" s="190"/>
    </row>
    <row r="1875" spans="6:16" x14ac:dyDescent="0.25">
      <c r="F1875"/>
      <c r="P1875" s="190"/>
    </row>
    <row r="1876" spans="6:16" x14ac:dyDescent="0.25">
      <c r="F1876"/>
      <c r="P1876" s="190"/>
    </row>
    <row r="1877" spans="6:16" x14ac:dyDescent="0.25">
      <c r="F1877"/>
      <c r="P1877" s="190"/>
    </row>
    <row r="1878" spans="6:16" x14ac:dyDescent="0.25">
      <c r="F1878"/>
      <c r="P1878" s="190"/>
    </row>
    <row r="1879" spans="6:16" x14ac:dyDescent="0.25">
      <c r="F1879"/>
      <c r="P1879" s="190"/>
    </row>
    <row r="1880" spans="6:16" x14ac:dyDescent="0.25">
      <c r="F1880"/>
      <c r="P1880" s="190"/>
    </row>
    <row r="1881" spans="6:16" x14ac:dyDescent="0.25">
      <c r="F1881"/>
      <c r="P1881" s="190"/>
    </row>
    <row r="1882" spans="6:16" x14ac:dyDescent="0.25">
      <c r="F1882"/>
      <c r="P1882" s="190"/>
    </row>
    <row r="1883" spans="6:16" x14ac:dyDescent="0.25">
      <c r="F1883"/>
      <c r="P1883" s="190"/>
    </row>
    <row r="1884" spans="6:16" x14ac:dyDescent="0.25">
      <c r="F1884"/>
      <c r="P1884" s="190"/>
    </row>
    <row r="1885" spans="6:16" x14ac:dyDescent="0.25">
      <c r="F1885"/>
      <c r="P1885" s="190"/>
    </row>
    <row r="1886" spans="6:16" x14ac:dyDescent="0.25">
      <c r="F1886"/>
      <c r="P1886" s="190"/>
    </row>
    <row r="1887" spans="6:16" x14ac:dyDescent="0.25">
      <c r="F1887"/>
      <c r="P1887" s="190"/>
    </row>
    <row r="1888" spans="6:16" x14ac:dyDescent="0.25">
      <c r="F1888"/>
      <c r="P1888" s="190"/>
    </row>
    <row r="1889" spans="6:16" x14ac:dyDescent="0.25">
      <c r="F1889"/>
      <c r="P1889" s="190"/>
    </row>
    <row r="1890" spans="6:16" x14ac:dyDescent="0.25">
      <c r="F1890"/>
      <c r="P1890" s="190"/>
    </row>
    <row r="1891" spans="6:16" x14ac:dyDescent="0.25">
      <c r="F1891"/>
      <c r="P1891" s="190"/>
    </row>
    <row r="1892" spans="6:16" x14ac:dyDescent="0.25">
      <c r="F1892"/>
      <c r="P1892" s="190"/>
    </row>
    <row r="1893" spans="6:16" x14ac:dyDescent="0.25">
      <c r="F1893"/>
      <c r="P1893" s="190"/>
    </row>
    <row r="1894" spans="6:16" x14ac:dyDescent="0.25">
      <c r="F1894"/>
      <c r="P1894" s="190"/>
    </row>
    <row r="1895" spans="6:16" x14ac:dyDescent="0.25">
      <c r="F1895"/>
      <c r="P1895" s="190"/>
    </row>
    <row r="1896" spans="6:16" x14ac:dyDescent="0.25">
      <c r="F1896"/>
      <c r="P1896" s="190"/>
    </row>
    <row r="1897" spans="6:16" x14ac:dyDescent="0.25">
      <c r="F1897"/>
      <c r="P1897" s="190"/>
    </row>
    <row r="1898" spans="6:16" x14ac:dyDescent="0.25">
      <c r="F1898"/>
      <c r="P1898" s="190"/>
    </row>
    <row r="1899" spans="6:16" x14ac:dyDescent="0.25">
      <c r="F1899"/>
      <c r="P1899" s="190"/>
    </row>
    <row r="1900" spans="6:16" x14ac:dyDescent="0.25">
      <c r="F1900"/>
      <c r="P1900" s="190"/>
    </row>
    <row r="1901" spans="6:16" x14ac:dyDescent="0.25">
      <c r="F1901"/>
      <c r="P1901" s="190"/>
    </row>
    <row r="1902" spans="6:16" x14ac:dyDescent="0.25">
      <c r="F1902"/>
      <c r="P1902" s="190"/>
    </row>
    <row r="1903" spans="6:16" x14ac:dyDescent="0.25">
      <c r="F1903"/>
      <c r="P1903" s="190"/>
    </row>
    <row r="1904" spans="6:16" x14ac:dyDescent="0.25">
      <c r="F1904"/>
      <c r="P1904" s="190"/>
    </row>
    <row r="1905" spans="6:16" x14ac:dyDescent="0.25">
      <c r="F1905"/>
      <c r="P1905" s="190"/>
    </row>
    <row r="1906" spans="6:16" x14ac:dyDescent="0.25">
      <c r="F1906"/>
      <c r="P1906" s="190"/>
    </row>
    <row r="1907" spans="6:16" x14ac:dyDescent="0.25">
      <c r="F1907"/>
      <c r="P1907" s="190"/>
    </row>
    <row r="1908" spans="6:16" x14ac:dyDescent="0.25">
      <c r="F1908"/>
      <c r="P1908" s="190"/>
    </row>
    <row r="1909" spans="6:16" x14ac:dyDescent="0.25">
      <c r="F1909"/>
      <c r="P1909" s="190"/>
    </row>
    <row r="1910" spans="6:16" x14ac:dyDescent="0.25">
      <c r="F1910"/>
      <c r="P1910" s="190"/>
    </row>
    <row r="1911" spans="6:16" x14ac:dyDescent="0.25">
      <c r="F1911"/>
      <c r="P1911" s="190"/>
    </row>
    <row r="1912" spans="6:16" x14ac:dyDescent="0.25">
      <c r="F1912"/>
      <c r="P1912" s="190"/>
    </row>
    <row r="1913" spans="6:16" x14ac:dyDescent="0.25">
      <c r="F1913"/>
      <c r="P1913" s="190"/>
    </row>
    <row r="1914" spans="6:16" x14ac:dyDescent="0.25">
      <c r="F1914"/>
      <c r="P1914" s="190"/>
    </row>
    <row r="1915" spans="6:16" x14ac:dyDescent="0.25">
      <c r="F1915"/>
      <c r="P1915" s="190"/>
    </row>
    <row r="1916" spans="6:16" x14ac:dyDescent="0.25">
      <c r="F1916"/>
      <c r="P1916" s="190"/>
    </row>
    <row r="1917" spans="6:16" x14ac:dyDescent="0.25">
      <c r="F1917"/>
      <c r="P1917" s="190"/>
    </row>
    <row r="1918" spans="6:16" x14ac:dyDescent="0.25">
      <c r="F1918"/>
      <c r="P1918" s="190"/>
    </row>
    <row r="1919" spans="6:16" x14ac:dyDescent="0.25">
      <c r="F1919"/>
      <c r="P1919" s="190"/>
    </row>
    <row r="1920" spans="6:16" x14ac:dyDescent="0.25">
      <c r="F1920"/>
      <c r="P1920" s="190"/>
    </row>
    <row r="1921" spans="6:16" x14ac:dyDescent="0.25">
      <c r="F1921"/>
      <c r="P1921" s="190"/>
    </row>
    <row r="1922" spans="6:16" x14ac:dyDescent="0.25">
      <c r="F1922"/>
      <c r="P1922" s="190"/>
    </row>
    <row r="1923" spans="6:16" x14ac:dyDescent="0.25">
      <c r="F1923"/>
      <c r="P1923" s="190"/>
    </row>
    <row r="1924" spans="6:16" x14ac:dyDescent="0.25">
      <c r="F1924"/>
    </row>
    <row r="1925" spans="6:16" x14ac:dyDescent="0.25">
      <c r="F1925"/>
    </row>
    <row r="1926" spans="6:16" x14ac:dyDescent="0.25">
      <c r="F1926"/>
    </row>
    <row r="1927" spans="6:16" x14ac:dyDescent="0.25">
      <c r="F1927"/>
    </row>
    <row r="1928" spans="6:16" x14ac:dyDescent="0.25">
      <c r="F1928"/>
    </row>
    <row r="1929" spans="6:16" x14ac:dyDescent="0.25">
      <c r="F1929"/>
    </row>
    <row r="1930" spans="6:16" x14ac:dyDescent="0.25">
      <c r="F1930"/>
    </row>
    <row r="1931" spans="6:16" x14ac:dyDescent="0.25">
      <c r="F1931"/>
    </row>
    <row r="1932" spans="6:16" x14ac:dyDescent="0.25">
      <c r="F1932"/>
    </row>
    <row r="1933" spans="6:16" x14ac:dyDescent="0.25">
      <c r="F1933"/>
    </row>
    <row r="1934" spans="6:16" x14ac:dyDescent="0.25">
      <c r="F1934"/>
    </row>
    <row r="1935" spans="6:16" x14ac:dyDescent="0.25">
      <c r="F1935"/>
    </row>
    <row r="1936" spans="6:16" x14ac:dyDescent="0.25">
      <c r="F1936"/>
    </row>
    <row r="1937" spans="6:6" x14ac:dyDescent="0.25">
      <c r="F1937"/>
    </row>
    <row r="1938" spans="6:6" x14ac:dyDescent="0.25">
      <c r="F1938"/>
    </row>
    <row r="1939" spans="6:6" x14ac:dyDescent="0.25">
      <c r="F1939"/>
    </row>
    <row r="1940" spans="6:6" x14ac:dyDescent="0.25">
      <c r="F1940"/>
    </row>
    <row r="1941" spans="6:6" x14ac:dyDescent="0.25">
      <c r="F1941"/>
    </row>
    <row r="1942" spans="6:6" x14ac:dyDescent="0.25">
      <c r="F1942"/>
    </row>
    <row r="1943" spans="6:6" x14ac:dyDescent="0.25">
      <c r="F1943"/>
    </row>
    <row r="1944" spans="6:6" x14ac:dyDescent="0.25">
      <c r="F1944"/>
    </row>
    <row r="1945" spans="6:6" x14ac:dyDescent="0.25">
      <c r="F1945"/>
    </row>
    <row r="1946" spans="6:6" x14ac:dyDescent="0.25">
      <c r="F1946"/>
    </row>
    <row r="1947" spans="6:6" x14ac:dyDescent="0.25">
      <c r="F1947"/>
    </row>
    <row r="1948" spans="6:6" x14ac:dyDescent="0.25">
      <c r="F1948"/>
    </row>
    <row r="1949" spans="6:6" x14ac:dyDescent="0.25">
      <c r="F1949"/>
    </row>
    <row r="1950" spans="6:6" x14ac:dyDescent="0.25">
      <c r="F1950"/>
    </row>
    <row r="1951" spans="6:6" x14ac:dyDescent="0.25">
      <c r="F1951"/>
    </row>
    <row r="1952" spans="6:6" x14ac:dyDescent="0.25">
      <c r="F1952"/>
    </row>
    <row r="1953" spans="6:6" x14ac:dyDescent="0.25">
      <c r="F1953"/>
    </row>
    <row r="1954" spans="6:6" x14ac:dyDescent="0.25">
      <c r="F1954"/>
    </row>
    <row r="1955" spans="6:6" x14ac:dyDescent="0.25">
      <c r="F1955"/>
    </row>
    <row r="1956" spans="6:6" x14ac:dyDescent="0.25">
      <c r="F1956"/>
    </row>
    <row r="1957" spans="6:6" x14ac:dyDescent="0.25">
      <c r="F1957"/>
    </row>
    <row r="1958" spans="6:6" x14ac:dyDescent="0.25">
      <c r="F1958"/>
    </row>
    <row r="1959" spans="6:6" x14ac:dyDescent="0.25">
      <c r="F1959"/>
    </row>
    <row r="1960" spans="6:6" x14ac:dyDescent="0.25">
      <c r="F1960"/>
    </row>
    <row r="1961" spans="6:6" x14ac:dyDescent="0.25">
      <c r="F1961"/>
    </row>
    <row r="1962" spans="6:6" x14ac:dyDescent="0.25">
      <c r="F1962"/>
    </row>
    <row r="1963" spans="6:6" x14ac:dyDescent="0.25">
      <c r="F1963"/>
    </row>
    <row r="1964" spans="6:6" x14ac:dyDescent="0.25">
      <c r="F1964"/>
    </row>
    <row r="1965" spans="6:6" x14ac:dyDescent="0.25">
      <c r="F1965"/>
    </row>
    <row r="1966" spans="6:6" x14ac:dyDescent="0.25">
      <c r="F1966"/>
    </row>
    <row r="1967" spans="6:6" x14ac:dyDescent="0.25">
      <c r="F1967"/>
    </row>
    <row r="1968" spans="6:6" x14ac:dyDescent="0.25">
      <c r="F1968"/>
    </row>
    <row r="1969" spans="6:6" x14ac:dyDescent="0.25">
      <c r="F1969"/>
    </row>
    <row r="1970" spans="6:6" x14ac:dyDescent="0.25">
      <c r="F1970"/>
    </row>
    <row r="1971" spans="6:6" x14ac:dyDescent="0.25">
      <c r="F1971"/>
    </row>
    <row r="1972" spans="6:6" x14ac:dyDescent="0.25">
      <c r="F1972"/>
    </row>
    <row r="1973" spans="6:6" x14ac:dyDescent="0.25">
      <c r="F1973"/>
    </row>
    <row r="1974" spans="6:6" x14ac:dyDescent="0.25">
      <c r="F1974"/>
    </row>
    <row r="1975" spans="6:6" x14ac:dyDescent="0.25">
      <c r="F1975"/>
    </row>
    <row r="1976" spans="6:6" x14ac:dyDescent="0.25">
      <c r="F1976"/>
    </row>
    <row r="1977" spans="6:6" x14ac:dyDescent="0.25">
      <c r="F1977"/>
    </row>
    <row r="1978" spans="6:6" x14ac:dyDescent="0.25">
      <c r="F1978"/>
    </row>
    <row r="1979" spans="6:6" x14ac:dyDescent="0.25">
      <c r="F1979"/>
    </row>
    <row r="1980" spans="6:6" x14ac:dyDescent="0.25">
      <c r="F1980"/>
    </row>
    <row r="1981" spans="6:6" x14ac:dyDescent="0.25">
      <c r="F1981"/>
    </row>
    <row r="1982" spans="6:6" x14ac:dyDescent="0.25">
      <c r="F1982"/>
    </row>
    <row r="1983" spans="6:6" x14ac:dyDescent="0.25">
      <c r="F1983"/>
    </row>
    <row r="1984" spans="6:6" x14ac:dyDescent="0.25">
      <c r="F1984"/>
    </row>
    <row r="1985" spans="6:6" x14ac:dyDescent="0.25">
      <c r="F1985"/>
    </row>
    <row r="1986" spans="6:6" x14ac:dyDescent="0.25">
      <c r="F1986"/>
    </row>
    <row r="1987" spans="6:6" x14ac:dyDescent="0.25">
      <c r="F1987"/>
    </row>
    <row r="1988" spans="6:6" x14ac:dyDescent="0.25">
      <c r="F1988"/>
    </row>
    <row r="1989" spans="6:6" x14ac:dyDescent="0.25">
      <c r="F1989"/>
    </row>
    <row r="1990" spans="6:6" x14ac:dyDescent="0.25">
      <c r="F1990"/>
    </row>
    <row r="1991" spans="6:6" x14ac:dyDescent="0.25">
      <c r="F1991"/>
    </row>
    <row r="1992" spans="6:6" x14ac:dyDescent="0.25">
      <c r="F1992"/>
    </row>
    <row r="1993" spans="6:6" x14ac:dyDescent="0.25">
      <c r="F1993"/>
    </row>
    <row r="1994" spans="6:6" x14ac:dyDescent="0.25">
      <c r="F1994"/>
    </row>
    <row r="1995" spans="6:6" x14ac:dyDescent="0.25">
      <c r="F1995"/>
    </row>
    <row r="1996" spans="6:6" x14ac:dyDescent="0.25">
      <c r="F1996"/>
    </row>
    <row r="1997" spans="6:6" x14ac:dyDescent="0.25">
      <c r="F1997"/>
    </row>
    <row r="1998" spans="6:6" x14ac:dyDescent="0.25">
      <c r="F1998"/>
    </row>
    <row r="1999" spans="6:6" x14ac:dyDescent="0.25">
      <c r="F1999"/>
    </row>
    <row r="2000" spans="6:6" x14ac:dyDescent="0.25">
      <c r="F2000"/>
    </row>
    <row r="2001" spans="6:6" x14ac:dyDescent="0.25">
      <c r="F2001"/>
    </row>
    <row r="2002" spans="6:6" x14ac:dyDescent="0.25">
      <c r="F2002"/>
    </row>
    <row r="2003" spans="6:6" x14ac:dyDescent="0.25">
      <c r="F2003"/>
    </row>
    <row r="2004" spans="6:6" x14ac:dyDescent="0.25">
      <c r="F2004"/>
    </row>
    <row r="2005" spans="6:6" x14ac:dyDescent="0.25">
      <c r="F2005"/>
    </row>
    <row r="2006" spans="6:6" x14ac:dyDescent="0.25">
      <c r="F2006"/>
    </row>
    <row r="2007" spans="6:6" x14ac:dyDescent="0.25">
      <c r="F2007"/>
    </row>
    <row r="2008" spans="6:6" x14ac:dyDescent="0.25">
      <c r="F2008"/>
    </row>
    <row r="2009" spans="6:6" x14ac:dyDescent="0.25">
      <c r="F2009"/>
    </row>
    <row r="2010" spans="6:6" x14ac:dyDescent="0.25">
      <c r="F2010"/>
    </row>
    <row r="2011" spans="6:6" x14ac:dyDescent="0.25">
      <c r="F2011"/>
    </row>
    <row r="2012" spans="6:6" x14ac:dyDescent="0.25">
      <c r="F2012"/>
    </row>
    <row r="2013" spans="6:6" x14ac:dyDescent="0.25">
      <c r="F2013"/>
    </row>
    <row r="2014" spans="6:6" x14ac:dyDescent="0.25">
      <c r="F2014"/>
    </row>
    <row r="2015" spans="6:6" x14ac:dyDescent="0.25">
      <c r="F2015"/>
    </row>
    <row r="2016" spans="6:6" x14ac:dyDescent="0.25">
      <c r="F2016"/>
    </row>
    <row r="2017" spans="6:6" x14ac:dyDescent="0.25">
      <c r="F2017"/>
    </row>
    <row r="2018" spans="6:6" x14ac:dyDescent="0.25">
      <c r="F2018"/>
    </row>
    <row r="2019" spans="6:6" x14ac:dyDescent="0.25">
      <c r="F2019"/>
    </row>
    <row r="2020" spans="6:6" x14ac:dyDescent="0.25">
      <c r="F2020"/>
    </row>
    <row r="2021" spans="6:6" x14ac:dyDescent="0.25">
      <c r="F2021"/>
    </row>
    <row r="2022" spans="6:6" x14ac:dyDescent="0.25">
      <c r="F2022"/>
    </row>
    <row r="2023" spans="6:6" x14ac:dyDescent="0.25">
      <c r="F2023"/>
    </row>
    <row r="2024" spans="6:6" x14ac:dyDescent="0.25">
      <c r="F2024"/>
    </row>
    <row r="2025" spans="6:6" x14ac:dyDescent="0.25">
      <c r="F2025"/>
    </row>
    <row r="2026" spans="6:6" x14ac:dyDescent="0.25">
      <c r="F2026"/>
    </row>
    <row r="2027" spans="6:6" x14ac:dyDescent="0.25">
      <c r="F2027"/>
    </row>
    <row r="2028" spans="6:6" x14ac:dyDescent="0.25">
      <c r="F2028"/>
    </row>
    <row r="2029" spans="6:6" x14ac:dyDescent="0.25">
      <c r="F2029"/>
    </row>
    <row r="2030" spans="6:6" x14ac:dyDescent="0.25">
      <c r="F2030"/>
    </row>
    <row r="2031" spans="6:6" x14ac:dyDescent="0.25">
      <c r="F2031"/>
    </row>
    <row r="2032" spans="6:6" x14ac:dyDescent="0.25">
      <c r="F2032"/>
    </row>
    <row r="2033" spans="6:6" x14ac:dyDescent="0.25">
      <c r="F2033"/>
    </row>
    <row r="2034" spans="6:6" x14ac:dyDescent="0.25">
      <c r="F2034"/>
    </row>
    <row r="2035" spans="6:6" x14ac:dyDescent="0.25">
      <c r="F2035"/>
    </row>
    <row r="2036" spans="6:6" x14ac:dyDescent="0.25">
      <c r="F2036"/>
    </row>
    <row r="2037" spans="6:6" x14ac:dyDescent="0.25">
      <c r="F2037"/>
    </row>
    <row r="2038" spans="6:6" x14ac:dyDescent="0.25">
      <c r="F2038"/>
    </row>
    <row r="2039" spans="6:6" x14ac:dyDescent="0.25">
      <c r="F2039"/>
    </row>
    <row r="2040" spans="6:6" x14ac:dyDescent="0.25">
      <c r="F2040"/>
    </row>
    <row r="2041" spans="6:6" x14ac:dyDescent="0.25">
      <c r="F2041"/>
    </row>
    <row r="2042" spans="6:6" x14ac:dyDescent="0.25">
      <c r="F2042"/>
    </row>
    <row r="2043" spans="6:6" x14ac:dyDescent="0.25">
      <c r="F2043"/>
    </row>
    <row r="2044" spans="6:6" x14ac:dyDescent="0.25">
      <c r="F2044"/>
    </row>
    <row r="2045" spans="6:6" x14ac:dyDescent="0.25">
      <c r="F2045"/>
    </row>
    <row r="2046" spans="6:6" x14ac:dyDescent="0.25">
      <c r="F2046"/>
    </row>
    <row r="2047" spans="6:6" x14ac:dyDescent="0.25">
      <c r="F2047"/>
    </row>
    <row r="2048" spans="6:6" x14ac:dyDescent="0.25">
      <c r="F2048"/>
    </row>
    <row r="2049" spans="6:6" x14ac:dyDescent="0.25">
      <c r="F2049"/>
    </row>
    <row r="2050" spans="6:6" x14ac:dyDescent="0.25">
      <c r="F2050"/>
    </row>
    <row r="2051" spans="6:6" x14ac:dyDescent="0.25">
      <c r="F2051"/>
    </row>
    <row r="2052" spans="6:6" x14ac:dyDescent="0.25">
      <c r="F2052"/>
    </row>
    <row r="2053" spans="6:6" x14ac:dyDescent="0.25">
      <c r="F2053"/>
    </row>
    <row r="2054" spans="6:6" x14ac:dyDescent="0.25">
      <c r="F2054"/>
    </row>
    <row r="2055" spans="6:6" x14ac:dyDescent="0.25">
      <c r="F2055"/>
    </row>
    <row r="2056" spans="6:6" x14ac:dyDescent="0.25">
      <c r="F2056"/>
    </row>
    <row r="2057" spans="6:6" x14ac:dyDescent="0.25">
      <c r="F2057"/>
    </row>
    <row r="2058" spans="6:6" x14ac:dyDescent="0.25">
      <c r="F2058"/>
    </row>
    <row r="2059" spans="6:6" x14ac:dyDescent="0.25">
      <c r="F2059"/>
    </row>
    <row r="2060" spans="6:6" x14ac:dyDescent="0.25">
      <c r="F2060"/>
    </row>
    <row r="2061" spans="6:6" x14ac:dyDescent="0.25">
      <c r="F2061"/>
    </row>
    <row r="2062" spans="6:6" x14ac:dyDescent="0.25">
      <c r="F2062"/>
    </row>
    <row r="2063" spans="6:6" x14ac:dyDescent="0.25">
      <c r="F2063"/>
    </row>
    <row r="2064" spans="6:6" x14ac:dyDescent="0.25">
      <c r="F2064"/>
    </row>
    <row r="2065" spans="6:6" x14ac:dyDescent="0.25">
      <c r="F2065"/>
    </row>
    <row r="2066" spans="6:6" x14ac:dyDescent="0.25">
      <c r="F2066"/>
    </row>
    <row r="2067" spans="6:6" x14ac:dyDescent="0.25">
      <c r="F2067"/>
    </row>
    <row r="2068" spans="6:6" x14ac:dyDescent="0.25">
      <c r="F2068"/>
    </row>
    <row r="2069" spans="6:6" x14ac:dyDescent="0.25">
      <c r="F2069"/>
    </row>
    <row r="2070" spans="6:6" x14ac:dyDescent="0.25">
      <c r="F2070"/>
    </row>
    <row r="2071" spans="6:6" x14ac:dyDescent="0.25">
      <c r="F2071"/>
    </row>
    <row r="2072" spans="6:6" x14ac:dyDescent="0.25">
      <c r="F2072"/>
    </row>
    <row r="2073" spans="6:6" x14ac:dyDescent="0.25">
      <c r="F2073"/>
    </row>
    <row r="2074" spans="6:6" x14ac:dyDescent="0.25">
      <c r="F2074"/>
    </row>
    <row r="2075" spans="6:6" x14ac:dyDescent="0.25">
      <c r="F2075"/>
    </row>
    <row r="2076" spans="6:6" x14ac:dyDescent="0.25">
      <c r="F2076"/>
    </row>
    <row r="2077" spans="6:6" x14ac:dyDescent="0.25">
      <c r="F2077"/>
    </row>
    <row r="2078" spans="6:6" x14ac:dyDescent="0.25">
      <c r="F2078"/>
    </row>
    <row r="2079" spans="6:6" x14ac:dyDescent="0.25">
      <c r="F2079"/>
    </row>
    <row r="2080" spans="6:6" x14ac:dyDescent="0.25">
      <c r="F2080"/>
    </row>
    <row r="2081" spans="6:6" x14ac:dyDescent="0.25">
      <c r="F2081"/>
    </row>
    <row r="2082" spans="6:6" x14ac:dyDescent="0.25">
      <c r="F2082"/>
    </row>
    <row r="2083" spans="6:6" x14ac:dyDescent="0.25">
      <c r="F2083"/>
    </row>
    <row r="2084" spans="6:6" x14ac:dyDescent="0.25">
      <c r="F2084"/>
    </row>
    <row r="2085" spans="6:6" x14ac:dyDescent="0.25">
      <c r="F2085"/>
    </row>
    <row r="2086" spans="6:6" x14ac:dyDescent="0.25">
      <c r="F2086"/>
    </row>
    <row r="2087" spans="6:6" x14ac:dyDescent="0.25">
      <c r="F2087"/>
    </row>
    <row r="2088" spans="6:6" x14ac:dyDescent="0.25">
      <c r="F2088"/>
    </row>
    <row r="2089" spans="6:6" x14ac:dyDescent="0.25">
      <c r="F2089"/>
    </row>
    <row r="2090" spans="6:6" x14ac:dyDescent="0.25">
      <c r="F2090"/>
    </row>
    <row r="2091" spans="6:6" x14ac:dyDescent="0.25">
      <c r="F2091"/>
    </row>
    <row r="2092" spans="6:6" x14ac:dyDescent="0.25">
      <c r="F2092"/>
    </row>
    <row r="2093" spans="6:6" x14ac:dyDescent="0.25">
      <c r="F2093"/>
    </row>
    <row r="2094" spans="6:6" x14ac:dyDescent="0.25">
      <c r="F2094"/>
    </row>
    <row r="2095" spans="6:6" x14ac:dyDescent="0.25">
      <c r="F2095"/>
    </row>
    <row r="2096" spans="6:6" x14ac:dyDescent="0.25">
      <c r="F2096"/>
    </row>
  </sheetData>
  <mergeCells count="3">
    <mergeCell ref="B2:G2"/>
    <mergeCell ref="I2:N2"/>
    <mergeCell ref="P2:U2"/>
  </mergeCells>
  <phoneticPr fontId="2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field | once a year</vt:lpstr>
      <vt:lpstr>field | bi-weekly</vt:lpstr>
      <vt:lpstr>lab | bi-weekly</vt:lpstr>
      <vt:lpstr>lab | once a month</vt:lpstr>
      <vt:lpstr>#dates#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cvis_default</dc:creator>
  <dc:description/>
  <cp:lastModifiedBy>Peter</cp:lastModifiedBy>
  <cp:revision>9</cp:revision>
  <dcterms:created xsi:type="dcterms:W3CDTF">2021-05-21T08:20:09Z</dcterms:created>
  <dcterms:modified xsi:type="dcterms:W3CDTF">2026-02-03T11:57:41Z</dcterms:modified>
  <dc:language>de-DE</dc:language>
</cp:coreProperties>
</file>