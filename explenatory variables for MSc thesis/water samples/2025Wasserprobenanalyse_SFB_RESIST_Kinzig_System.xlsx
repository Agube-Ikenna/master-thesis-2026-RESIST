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Schumann\SFB lokal\Daten\Kinzig\"/>
    </mc:Choice>
  </mc:AlternateContent>
  <bookViews>
    <workbookView xWindow="0" yWindow="0" windowWidth="28800" windowHeight="12912"/>
  </bookViews>
  <sheets>
    <sheet name="every watersample" sheetId="1" r:id="rId1"/>
    <sheet name="once a month" sheetId="2" r:id="rId2"/>
  </sheets>
  <definedNames>
    <definedName name="_xlnm._FilterDatabase" localSheetId="0" hidden="1">'every watersample'!$A$1:$L$103</definedName>
    <definedName name="_xlnm._FilterDatabase" localSheetId="1" hidden="1">'once a month'!$A$1:$Q$83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63" i="1" l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62" i="1"/>
</calcChain>
</file>

<file path=xl/sharedStrings.xml><?xml version="1.0" encoding="utf-8"?>
<sst xmlns="http://schemas.openxmlformats.org/spreadsheetml/2006/main" count="257" uniqueCount="50">
  <si>
    <t>date</t>
  </si>
  <si>
    <t>site</t>
  </si>
  <si>
    <t>HCO₃¯ mg/l</t>
  </si>
  <si>
    <t>nitrate mg/l</t>
  </si>
  <si>
    <t>total nitrogen</t>
  </si>
  <si>
    <t>chloride mg/l</t>
  </si>
  <si>
    <t>sulfate mg/l</t>
  </si>
  <si>
    <t>ortho-phosphate mg/l</t>
  </si>
  <si>
    <t>nitrite mg/l</t>
  </si>
  <si>
    <t>ammonia mg/l</t>
  </si>
  <si>
    <t>DOC</t>
  </si>
  <si>
    <t>SO42-</t>
  </si>
  <si>
    <t>Ca2+</t>
  </si>
  <si>
    <t>Mg2+</t>
  </si>
  <si>
    <t>Na+</t>
  </si>
  <si>
    <t>K+</t>
  </si>
  <si>
    <t>Cl-</t>
  </si>
  <si>
    <t>Co32-</t>
  </si>
  <si>
    <t>HCO3- mg/l</t>
  </si>
  <si>
    <t>turbidity/fine sediment load</t>
  </si>
  <si>
    <t>total phosphate mg/l</t>
  </si>
  <si>
    <t>Cd mg/l</t>
  </si>
  <si>
    <t>Cu mg/l</t>
  </si>
  <si>
    <t>Fe mg/l</t>
  </si>
  <si>
    <t>Ni mg/l</t>
  </si>
  <si>
    <t>Pb mg/l</t>
  </si>
  <si>
    <t>Zn mg/l</t>
  </si>
  <si>
    <t>BIE1</t>
  </si>
  <si>
    <t>BIE2</t>
  </si>
  <si>
    <t>BRA1</t>
  </si>
  <si>
    <t>BRA2</t>
  </si>
  <si>
    <t>FAL1</t>
  </si>
  <si>
    <t>FAL2</t>
  </si>
  <si>
    <t>GRU1</t>
  </si>
  <si>
    <t>GRU2</t>
  </si>
  <si>
    <t>KIN1</t>
  </si>
  <si>
    <t>KIN2</t>
  </si>
  <si>
    <t>KIN3</t>
  </si>
  <si>
    <t>KIN4</t>
  </si>
  <si>
    <t>KRE1</t>
  </si>
  <si>
    <t>KRE2</t>
  </si>
  <si>
    <t>ORB1</t>
  </si>
  <si>
    <t>ORB2</t>
  </si>
  <si>
    <t>SAL1</t>
  </si>
  <si>
    <t>SAL2</t>
  </si>
  <si>
    <t>STE1</t>
  </si>
  <si>
    <t>STE2</t>
  </si>
  <si>
    <t>Probe fehlt</t>
  </si>
  <si>
    <t>KLI</t>
  </si>
  <si>
    <t>K aus ICP 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</si>
</sst>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164" formatCode="0.0"/>
    <numFmt numFmtId="165" formatCode="0.0000"/>
    <numFmt numFmtId="166" formatCode="0.000"/>
    <numFmt numFmtId="167" formatCode="#,##0.000"/>
    <numFmt numFmtId="168" formatCode="0.00000"/>
    <numFmt numFmtId="169" formatCode="#,##0.0000"/>
    <numFmt numFmtId="170" formatCode="#,##0.00000"/>
  </numFmts>
  <fonts count="2" x14ac:knownFonts="1">
    <font>
      <sz val="12"/>
      <color theme="1"/>
      <name val="Calibri"/>
      <family val="2"/>
      <scheme val="minor"/>
    </font>
    <font>
      <sz val="1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Border="1"/>
    <xf numFmtId="0" fontId="1" fillId="0" borderId="0" xfId="0" applyFont="1" applyAlignment="1">
      <alignment horizontal="right"/>
    </xf>
    <xf numFmtId="0" fontId="1" fillId="0" borderId="0" xfId="0" applyFont="1"/>
    <xf numFmtId="0" fontId="1" fillId="0" borderId="0" xfId="0" applyFont="1" applyBorder="1"/>
    <xf numFmtId="14" fontId="1" fillId="0" borderId="0" xfId="0" applyNumberFormat="1" applyFont="1" applyAlignment="1">
      <alignment horizontal="right"/>
    </xf>
    <xf numFmtId="2" fontId="1" fillId="0" borderId="0" xfId="0" applyNumberFormat="1" applyFont="1" applyAlignment="1">
      <alignment horizontal="right"/>
    </xf>
    <xf numFmtId="1" fontId="1" fillId="0" borderId="0" xfId="0" applyNumberFormat="1" applyFont="1"/>
    <xf numFmtId="164" fontId="1" fillId="0" borderId="0" xfId="0" applyNumberFormat="1" applyFont="1"/>
    <xf numFmtId="165" fontId="1" fillId="0" borderId="0" xfId="0" applyNumberFormat="1" applyFont="1"/>
    <xf numFmtId="168" fontId="1" fillId="0" borderId="0" xfId="0" applyNumberFormat="1" applyFont="1"/>
    <xf numFmtId="170" fontId="1" fillId="0" borderId="0" xfId="0" applyNumberFormat="1" applyFont="1"/>
    <xf numFmtId="169" fontId="1" fillId="0" borderId="0" xfId="0" applyNumberFormat="1" applyFont="1"/>
    <xf numFmtId="167" fontId="1" fillId="0" borderId="0" xfId="0" applyNumberFormat="1" applyFont="1"/>
    <xf numFmtId="166" fontId="1" fillId="0" borderId="0" xfId="0" applyNumberFormat="1" applyFont="1"/>
    <xf numFmtId="0" fontId="1" fillId="0" borderId="0" xfId="0" applyFont="1" applyAlignment="1"/>
    <xf numFmtId="0" fontId="1" fillId="0" borderId="0" xfId="0" applyFont="1" applyBorder="1" applyAlignment="1"/>
    <xf numFmtId="0" fontId="1" fillId="0" borderId="0" xfId="0" applyFont="1" applyFill="1" applyBorder="1" applyAlignment="1"/>
    <xf numFmtId="164" fontId="1" fillId="0" borderId="0" xfId="0" applyNumberFormat="1" applyFont="1" applyBorder="1"/>
    <xf numFmtId="165" fontId="1" fillId="0" borderId="0" xfId="0" applyNumberFormat="1" applyFont="1" applyBorder="1"/>
    <xf numFmtId="1" fontId="1" fillId="0" borderId="0" xfId="0" applyNumberFormat="1" applyFont="1" applyBorder="1"/>
    <xf numFmtId="2" fontId="1" fillId="0" borderId="0" xfId="0" applyNumberFormat="1" applyFont="1"/>
    <xf numFmtId="164" fontId="0" fillId="0" borderId="0" xfId="0" applyNumberFormat="1"/>
    <xf numFmtId="1" fontId="0" fillId="0" borderId="0" xfId="0" applyNumberFormat="1"/>
    <xf numFmtId="2" fontId="0" fillId="0" borderId="0" xfId="0" applyNumberFormat="1"/>
    <xf numFmtId="2" fontId="1" fillId="0" borderId="0" xfId="0" applyNumberFormat="1" applyFont="1" applyBorder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3"/>
  <sheetViews>
    <sheetView tabSelected="1" workbookViewId="0">
      <pane xSplit="2" ySplit="1" topLeftCell="C54" activePane="bottomRight" state="frozen"/>
      <selection activeCell="C2" sqref="C2"/>
      <selection pane="topRight" activeCell="C2" sqref="C2"/>
      <selection pane="bottomLeft" activeCell="C2" sqref="C2"/>
      <selection pane="bottomRight" activeCell="H89" sqref="H89"/>
    </sheetView>
  </sheetViews>
  <sheetFormatPr baseColWidth="10" defaultRowHeight="15.6" x14ac:dyDescent="0.3"/>
  <cols>
    <col min="1" max="1" width="14.09765625" style="2" customWidth="1"/>
    <col min="2" max="2" width="8.59765625" style="3" customWidth="1"/>
    <col min="3" max="3" width="15.59765625" style="2" customWidth="1"/>
    <col min="4" max="4" width="17.59765625" style="3" customWidth="1"/>
    <col min="5" max="10" width="13.59765625" style="3" customWidth="1"/>
    <col min="11" max="11" width="11.59765625" style="3" customWidth="1"/>
    <col min="12" max="12" width="13.59765625" style="3" customWidth="1"/>
    <col min="13" max="13" width="53.59765625" style="1" bestFit="1" customWidth="1"/>
  </cols>
  <sheetData>
    <row r="1" spans="1:13" x14ac:dyDescent="0.3">
      <c r="A1" s="2" t="s">
        <v>0</v>
      </c>
      <c r="B1" s="3" t="s">
        <v>1</v>
      </c>
      <c r="C1" s="15" t="s">
        <v>7</v>
      </c>
      <c r="D1" s="15" t="s">
        <v>20</v>
      </c>
      <c r="E1" s="15" t="s">
        <v>8</v>
      </c>
      <c r="F1" s="15" t="s">
        <v>3</v>
      </c>
      <c r="G1" s="15" t="s">
        <v>9</v>
      </c>
      <c r="H1" s="15" t="s">
        <v>4</v>
      </c>
      <c r="I1" s="16" t="s">
        <v>5</v>
      </c>
      <c r="J1" s="17" t="s">
        <v>6</v>
      </c>
      <c r="K1" s="16" t="s">
        <v>10</v>
      </c>
      <c r="L1" s="15" t="s">
        <v>2</v>
      </c>
    </row>
    <row r="2" spans="1:13" x14ac:dyDescent="0.3">
      <c r="A2" s="5">
        <v>45670</v>
      </c>
      <c r="B2" s="3" t="s">
        <v>27</v>
      </c>
      <c r="D2" s="12"/>
      <c r="E2" s="9"/>
      <c r="F2" s="4"/>
      <c r="G2" s="9"/>
      <c r="H2" s="14"/>
      <c r="I2" s="4"/>
      <c r="J2" s="4"/>
      <c r="L2" s="8"/>
    </row>
    <row r="3" spans="1:13" x14ac:dyDescent="0.3">
      <c r="A3" s="5">
        <v>45670</v>
      </c>
      <c r="B3" s="3" t="s">
        <v>28</v>
      </c>
      <c r="D3" s="12"/>
      <c r="E3" s="9"/>
      <c r="F3" s="4"/>
      <c r="G3" s="9"/>
      <c r="H3" s="14"/>
      <c r="I3" s="4"/>
      <c r="J3" s="4"/>
      <c r="L3" s="8"/>
    </row>
    <row r="4" spans="1:13" x14ac:dyDescent="0.3">
      <c r="A4" s="5">
        <v>45670</v>
      </c>
      <c r="B4" s="3" t="s">
        <v>29</v>
      </c>
      <c r="D4" s="12"/>
      <c r="E4" s="9"/>
      <c r="F4" s="4"/>
      <c r="G4" s="9"/>
      <c r="H4" s="14"/>
      <c r="I4" s="4"/>
      <c r="J4" s="4"/>
      <c r="L4" s="8"/>
    </row>
    <row r="5" spans="1:13" x14ac:dyDescent="0.3">
      <c r="A5" s="5">
        <v>45670</v>
      </c>
      <c r="B5" s="3" t="s">
        <v>30</v>
      </c>
      <c r="D5" s="12"/>
      <c r="E5" s="9"/>
      <c r="F5" s="4"/>
      <c r="G5" s="9"/>
      <c r="H5" s="14"/>
      <c r="I5" s="4"/>
      <c r="J5" s="4"/>
      <c r="L5" s="8"/>
    </row>
    <row r="6" spans="1:13" x14ac:dyDescent="0.3">
      <c r="A6" s="5">
        <v>45670</v>
      </c>
      <c r="B6" s="3" t="s">
        <v>31</v>
      </c>
      <c r="D6" s="12"/>
      <c r="E6" s="9"/>
      <c r="F6" s="4"/>
      <c r="G6" s="9"/>
      <c r="H6" s="14"/>
      <c r="I6" s="4"/>
      <c r="J6" s="4"/>
      <c r="L6" s="8"/>
      <c r="M6" s="1" t="s">
        <v>47</v>
      </c>
    </row>
    <row r="7" spans="1:13" x14ac:dyDescent="0.3">
      <c r="A7" s="5">
        <v>45670</v>
      </c>
      <c r="B7" s="3" t="s">
        <v>32</v>
      </c>
      <c r="D7" s="12"/>
      <c r="E7" s="9"/>
      <c r="F7" s="4"/>
      <c r="G7" s="9"/>
      <c r="H7" s="14"/>
      <c r="I7" s="4"/>
      <c r="J7" s="4"/>
      <c r="L7" s="8"/>
    </row>
    <row r="8" spans="1:13" x14ac:dyDescent="0.3">
      <c r="A8" s="5">
        <v>45670</v>
      </c>
      <c r="B8" s="3" t="s">
        <v>33</v>
      </c>
      <c r="D8" s="12"/>
      <c r="E8" s="9"/>
      <c r="F8" s="4"/>
      <c r="G8" s="9"/>
      <c r="H8" s="14"/>
      <c r="I8" s="4"/>
      <c r="J8" s="4"/>
      <c r="L8" s="8"/>
    </row>
    <row r="9" spans="1:13" x14ac:dyDescent="0.3">
      <c r="A9" s="5">
        <v>45670</v>
      </c>
      <c r="B9" s="3" t="s">
        <v>34</v>
      </c>
      <c r="D9" s="12"/>
      <c r="E9" s="9"/>
      <c r="F9" s="4"/>
      <c r="G9" s="9"/>
      <c r="H9" s="14"/>
      <c r="I9" s="4"/>
      <c r="J9" s="4"/>
      <c r="L9" s="8"/>
    </row>
    <row r="10" spans="1:13" x14ac:dyDescent="0.3">
      <c r="A10" s="5">
        <v>45670</v>
      </c>
      <c r="B10" s="3" t="s">
        <v>35</v>
      </c>
      <c r="D10" s="12"/>
      <c r="E10" s="9"/>
      <c r="F10" s="4"/>
      <c r="G10" s="9"/>
      <c r="H10" s="14"/>
      <c r="I10" s="4"/>
      <c r="J10" s="4"/>
      <c r="L10" s="8"/>
    </row>
    <row r="11" spans="1:13" x14ac:dyDescent="0.3">
      <c r="A11" s="5">
        <v>45670</v>
      </c>
      <c r="B11" s="3" t="s">
        <v>36</v>
      </c>
      <c r="D11" s="12"/>
      <c r="E11" s="9"/>
      <c r="F11" s="4"/>
      <c r="G11" s="9"/>
      <c r="H11" s="14"/>
      <c r="I11" s="4"/>
      <c r="J11" s="4"/>
      <c r="L11" s="8"/>
    </row>
    <row r="12" spans="1:13" x14ac:dyDescent="0.3">
      <c r="A12" s="5">
        <v>45670</v>
      </c>
      <c r="B12" s="3" t="s">
        <v>37</v>
      </c>
      <c r="D12" s="12"/>
      <c r="E12" s="9"/>
      <c r="F12" s="4"/>
      <c r="G12" s="9"/>
      <c r="H12" s="14"/>
      <c r="I12" s="4"/>
      <c r="J12" s="4"/>
      <c r="L12" s="8"/>
    </row>
    <row r="13" spans="1:13" x14ac:dyDescent="0.3">
      <c r="A13" s="5">
        <v>45670</v>
      </c>
      <c r="B13" s="3" t="s">
        <v>38</v>
      </c>
      <c r="D13" s="12"/>
      <c r="E13" s="9"/>
      <c r="F13" s="4"/>
      <c r="G13" s="9"/>
      <c r="H13" s="14"/>
      <c r="I13" s="4"/>
      <c r="J13" s="4"/>
      <c r="L13" s="8"/>
    </row>
    <row r="14" spans="1:13" x14ac:dyDescent="0.3">
      <c r="A14" s="5">
        <v>45670</v>
      </c>
      <c r="B14" s="3" t="s">
        <v>39</v>
      </c>
      <c r="D14" s="12"/>
      <c r="E14" s="9"/>
      <c r="F14" s="4"/>
      <c r="G14" s="9"/>
      <c r="H14" s="14"/>
      <c r="I14" s="4"/>
      <c r="J14" s="4"/>
      <c r="L14" s="8"/>
    </row>
    <row r="15" spans="1:13" x14ac:dyDescent="0.3">
      <c r="A15" s="5">
        <v>45670</v>
      </c>
      <c r="B15" s="3" t="s">
        <v>40</v>
      </c>
      <c r="D15" s="12"/>
      <c r="E15" s="9"/>
      <c r="F15" s="4"/>
      <c r="G15" s="9"/>
      <c r="H15" s="14"/>
      <c r="I15" s="4"/>
      <c r="J15" s="4"/>
      <c r="L15" s="8"/>
    </row>
    <row r="16" spans="1:13" x14ac:dyDescent="0.3">
      <c r="A16" s="5">
        <v>45670</v>
      </c>
      <c r="B16" s="3" t="s">
        <v>41</v>
      </c>
      <c r="D16" s="12"/>
      <c r="E16" s="9"/>
      <c r="F16" s="4"/>
      <c r="G16" s="9"/>
      <c r="H16" s="14"/>
      <c r="I16" s="4"/>
      <c r="J16" s="4"/>
      <c r="L16" s="8"/>
    </row>
    <row r="17" spans="1:12" x14ac:dyDescent="0.3">
      <c r="A17" s="5">
        <v>45670</v>
      </c>
      <c r="B17" s="3" t="s">
        <v>42</v>
      </c>
      <c r="D17" s="12"/>
      <c r="E17" s="9"/>
      <c r="F17" s="4"/>
      <c r="G17" s="9"/>
      <c r="H17" s="14"/>
      <c r="I17" s="4"/>
      <c r="J17" s="4"/>
      <c r="L17" s="8"/>
    </row>
    <row r="18" spans="1:12" x14ac:dyDescent="0.3">
      <c r="A18" s="5">
        <v>45670</v>
      </c>
      <c r="B18" s="3" t="s">
        <v>43</v>
      </c>
      <c r="D18" s="12"/>
      <c r="E18" s="9"/>
      <c r="F18" s="4"/>
      <c r="G18" s="9"/>
      <c r="H18" s="14"/>
      <c r="I18" s="4"/>
      <c r="J18" s="4"/>
      <c r="L18" s="8"/>
    </row>
    <row r="19" spans="1:12" x14ac:dyDescent="0.3">
      <c r="A19" s="5">
        <v>45670</v>
      </c>
      <c r="B19" s="3" t="s">
        <v>44</v>
      </c>
      <c r="D19" s="12"/>
      <c r="E19" s="9"/>
      <c r="F19" s="4"/>
      <c r="G19" s="9"/>
      <c r="H19" s="14"/>
      <c r="I19" s="4"/>
      <c r="J19" s="4"/>
      <c r="L19" s="8"/>
    </row>
    <row r="20" spans="1:12" x14ac:dyDescent="0.3">
      <c r="A20" s="5">
        <v>45670</v>
      </c>
      <c r="B20" s="3" t="s">
        <v>45</v>
      </c>
      <c r="D20" s="12"/>
      <c r="E20" s="9"/>
      <c r="F20" s="4"/>
      <c r="G20" s="9"/>
      <c r="H20" s="14"/>
      <c r="I20" s="4"/>
      <c r="J20" s="4"/>
      <c r="L20" s="8"/>
    </row>
    <row r="21" spans="1:12" x14ac:dyDescent="0.3">
      <c r="A21" s="5">
        <v>45670</v>
      </c>
      <c r="B21" s="3" t="s">
        <v>46</v>
      </c>
      <c r="D21" s="12"/>
      <c r="E21" s="9"/>
      <c r="F21" s="4"/>
      <c r="G21" s="9"/>
      <c r="H21" s="14"/>
      <c r="I21" s="4"/>
      <c r="J21" s="4"/>
      <c r="L21" s="8"/>
    </row>
    <row r="22" spans="1:12" x14ac:dyDescent="0.3">
      <c r="A22" s="5">
        <v>45678</v>
      </c>
      <c r="B22" s="3" t="s">
        <v>27</v>
      </c>
      <c r="D22" s="12"/>
      <c r="E22" s="9"/>
      <c r="F22" s="4"/>
      <c r="G22" s="9"/>
      <c r="H22" s="14"/>
      <c r="I22" s="4"/>
      <c r="J22" s="4"/>
      <c r="L22" s="8"/>
    </row>
    <row r="23" spans="1:12" x14ac:dyDescent="0.3">
      <c r="A23" s="5">
        <v>45678</v>
      </c>
      <c r="B23" s="3" t="s">
        <v>28</v>
      </c>
      <c r="D23" s="12"/>
      <c r="E23" s="9"/>
      <c r="F23" s="4"/>
      <c r="G23" s="9"/>
      <c r="H23" s="14"/>
      <c r="I23" s="4"/>
      <c r="J23" s="4"/>
      <c r="L23" s="8"/>
    </row>
    <row r="24" spans="1:12" x14ac:dyDescent="0.3">
      <c r="A24" s="5">
        <v>45678</v>
      </c>
      <c r="B24" s="3" t="s">
        <v>29</v>
      </c>
      <c r="D24" s="12"/>
      <c r="E24" s="9"/>
      <c r="F24" s="4"/>
      <c r="G24" s="9"/>
      <c r="H24" s="14"/>
      <c r="I24" s="4"/>
      <c r="J24" s="4"/>
      <c r="L24" s="8"/>
    </row>
    <row r="25" spans="1:12" x14ac:dyDescent="0.3">
      <c r="A25" s="5">
        <v>45678</v>
      </c>
      <c r="B25" s="3" t="s">
        <v>30</v>
      </c>
      <c r="D25" s="12"/>
      <c r="E25" s="9"/>
      <c r="F25" s="4"/>
      <c r="G25" s="9"/>
      <c r="H25" s="14"/>
      <c r="I25" s="4"/>
      <c r="J25" s="4"/>
      <c r="L25" s="8"/>
    </row>
    <row r="26" spans="1:12" x14ac:dyDescent="0.3">
      <c r="A26" s="5">
        <v>45678</v>
      </c>
      <c r="B26" s="3" t="s">
        <v>31</v>
      </c>
      <c r="D26" s="12"/>
      <c r="E26" s="9"/>
      <c r="F26" s="4"/>
      <c r="G26" s="9"/>
      <c r="H26" s="14"/>
      <c r="I26" s="4"/>
      <c r="J26" s="4"/>
      <c r="L26" s="8"/>
    </row>
    <row r="27" spans="1:12" x14ac:dyDescent="0.3">
      <c r="A27" s="5">
        <v>45678</v>
      </c>
      <c r="B27" s="3" t="s">
        <v>32</v>
      </c>
      <c r="D27" s="12"/>
      <c r="E27" s="9"/>
      <c r="F27" s="4"/>
      <c r="G27" s="9"/>
      <c r="H27" s="14"/>
      <c r="I27" s="4"/>
      <c r="J27" s="4"/>
      <c r="L27" s="8"/>
    </row>
    <row r="28" spans="1:12" x14ac:dyDescent="0.3">
      <c r="A28" s="5">
        <v>45678</v>
      </c>
      <c r="B28" s="3" t="s">
        <v>33</v>
      </c>
      <c r="D28" s="12"/>
      <c r="E28" s="9"/>
      <c r="F28" s="4"/>
      <c r="G28" s="9"/>
      <c r="H28" s="14"/>
      <c r="I28" s="4"/>
      <c r="J28" s="4"/>
      <c r="L28" s="8"/>
    </row>
    <row r="29" spans="1:12" x14ac:dyDescent="0.3">
      <c r="A29" s="5">
        <v>45678</v>
      </c>
      <c r="B29" s="3" t="s">
        <v>34</v>
      </c>
      <c r="D29" s="12"/>
      <c r="E29" s="9"/>
      <c r="F29" s="4"/>
      <c r="G29" s="9"/>
      <c r="H29" s="14"/>
      <c r="I29" s="4"/>
      <c r="J29" s="4"/>
      <c r="L29" s="8"/>
    </row>
    <row r="30" spans="1:12" x14ac:dyDescent="0.3">
      <c r="A30" s="5">
        <v>45678</v>
      </c>
      <c r="B30" s="3" t="s">
        <v>35</v>
      </c>
      <c r="D30" s="12"/>
      <c r="E30" s="9"/>
      <c r="F30" s="4"/>
      <c r="G30" s="9"/>
      <c r="H30" s="14"/>
      <c r="I30" s="4"/>
      <c r="J30" s="4"/>
      <c r="L30" s="8"/>
    </row>
    <row r="31" spans="1:12" x14ac:dyDescent="0.3">
      <c r="A31" s="5">
        <v>45678</v>
      </c>
      <c r="B31" s="3" t="s">
        <v>36</v>
      </c>
      <c r="D31" s="12"/>
      <c r="E31" s="9"/>
      <c r="F31" s="4"/>
      <c r="G31" s="9"/>
      <c r="H31" s="14"/>
      <c r="I31" s="4"/>
      <c r="J31" s="4"/>
      <c r="L31" s="8"/>
    </row>
    <row r="32" spans="1:12" x14ac:dyDescent="0.3">
      <c r="A32" s="5">
        <v>45678</v>
      </c>
      <c r="B32" s="3" t="s">
        <v>37</v>
      </c>
      <c r="D32" s="12"/>
      <c r="E32" s="9"/>
      <c r="F32" s="4"/>
      <c r="G32" s="9"/>
      <c r="H32" s="14"/>
      <c r="I32" s="4"/>
      <c r="J32" s="4"/>
      <c r="L32" s="8"/>
    </row>
    <row r="33" spans="1:12" x14ac:dyDescent="0.3">
      <c r="A33" s="5">
        <v>45678</v>
      </c>
      <c r="B33" s="3" t="s">
        <v>38</v>
      </c>
      <c r="D33" s="12"/>
      <c r="E33" s="9"/>
      <c r="F33" s="4"/>
      <c r="G33" s="9"/>
      <c r="H33" s="14"/>
      <c r="I33" s="4"/>
      <c r="J33" s="4"/>
      <c r="L33" s="8"/>
    </row>
    <row r="34" spans="1:12" x14ac:dyDescent="0.3">
      <c r="A34" s="5">
        <v>45678</v>
      </c>
      <c r="B34" s="3" t="s">
        <v>39</v>
      </c>
      <c r="D34" s="12"/>
      <c r="E34" s="9"/>
      <c r="F34" s="4"/>
      <c r="G34" s="9"/>
      <c r="H34" s="14"/>
      <c r="I34" s="4"/>
      <c r="J34" s="4"/>
      <c r="L34" s="8"/>
    </row>
    <row r="35" spans="1:12" x14ac:dyDescent="0.3">
      <c r="A35" s="5">
        <v>45678</v>
      </c>
      <c r="B35" s="3" t="s">
        <v>40</v>
      </c>
      <c r="D35" s="12"/>
      <c r="E35" s="9"/>
      <c r="F35" s="4"/>
      <c r="G35" s="9"/>
      <c r="H35" s="14"/>
      <c r="I35" s="4"/>
      <c r="J35" s="4"/>
      <c r="L35" s="8"/>
    </row>
    <row r="36" spans="1:12" x14ac:dyDescent="0.3">
      <c r="A36" s="5">
        <v>45678</v>
      </c>
      <c r="B36" s="3" t="s">
        <v>41</v>
      </c>
      <c r="D36" s="12"/>
      <c r="E36" s="9"/>
      <c r="F36" s="4"/>
      <c r="G36" s="9"/>
      <c r="H36" s="14"/>
      <c r="I36" s="4"/>
      <c r="J36" s="4"/>
      <c r="L36" s="8"/>
    </row>
    <row r="37" spans="1:12" x14ac:dyDescent="0.3">
      <c r="A37" s="5">
        <v>45678</v>
      </c>
      <c r="B37" s="3" t="s">
        <v>42</v>
      </c>
      <c r="D37" s="12"/>
      <c r="E37" s="9"/>
      <c r="F37" s="4"/>
      <c r="G37" s="9"/>
      <c r="H37" s="14"/>
      <c r="I37" s="4"/>
      <c r="J37" s="4"/>
      <c r="L37" s="8"/>
    </row>
    <row r="38" spans="1:12" x14ac:dyDescent="0.3">
      <c r="A38" s="5">
        <v>45678</v>
      </c>
      <c r="B38" s="3" t="s">
        <v>43</v>
      </c>
      <c r="D38" s="12"/>
      <c r="E38" s="9"/>
      <c r="F38" s="4"/>
      <c r="G38" s="9"/>
      <c r="H38" s="14"/>
      <c r="I38" s="4"/>
      <c r="J38" s="4"/>
      <c r="L38" s="8"/>
    </row>
    <row r="39" spans="1:12" x14ac:dyDescent="0.3">
      <c r="A39" s="5">
        <v>45678</v>
      </c>
      <c r="B39" s="3" t="s">
        <v>44</v>
      </c>
      <c r="D39" s="12"/>
      <c r="E39" s="9"/>
      <c r="F39" s="4"/>
      <c r="G39" s="9"/>
      <c r="H39" s="14"/>
      <c r="I39" s="4"/>
      <c r="J39" s="4"/>
      <c r="L39" s="8"/>
    </row>
    <row r="40" spans="1:12" x14ac:dyDescent="0.3">
      <c r="A40" s="5">
        <v>45678</v>
      </c>
      <c r="B40" s="3" t="s">
        <v>45</v>
      </c>
      <c r="D40" s="12"/>
      <c r="E40" s="9"/>
      <c r="F40" s="4"/>
      <c r="G40" s="9"/>
      <c r="H40" s="14"/>
      <c r="I40" s="4"/>
      <c r="J40" s="4"/>
      <c r="L40" s="8"/>
    </row>
    <row r="41" spans="1:12" x14ac:dyDescent="0.3">
      <c r="A41" s="5">
        <v>45678</v>
      </c>
      <c r="B41" s="3" t="s">
        <v>46</v>
      </c>
      <c r="D41" s="12"/>
      <c r="E41" s="9"/>
      <c r="F41" s="4"/>
      <c r="G41" s="9"/>
      <c r="H41" s="14"/>
      <c r="I41" s="4"/>
      <c r="J41" s="4"/>
      <c r="L41" s="8"/>
    </row>
    <row r="42" spans="1:12" x14ac:dyDescent="0.3">
      <c r="A42" s="5">
        <v>45698</v>
      </c>
      <c r="B42" s="3" t="s">
        <v>27</v>
      </c>
      <c r="D42" s="9"/>
      <c r="F42" s="18"/>
      <c r="G42" s="19"/>
      <c r="H42" s="14"/>
      <c r="I42" s="18"/>
      <c r="J42" s="20"/>
      <c r="L42" s="8"/>
    </row>
    <row r="43" spans="1:12" x14ac:dyDescent="0.3">
      <c r="A43" s="5">
        <v>45698</v>
      </c>
      <c r="B43" s="3" t="s">
        <v>28</v>
      </c>
      <c r="D43" s="9"/>
      <c r="F43" s="18"/>
      <c r="G43" s="19"/>
      <c r="H43" s="14"/>
      <c r="I43" s="18"/>
      <c r="J43" s="20"/>
      <c r="L43" s="8"/>
    </row>
    <row r="44" spans="1:12" x14ac:dyDescent="0.3">
      <c r="A44" s="5">
        <v>45698</v>
      </c>
      <c r="B44" s="3" t="s">
        <v>29</v>
      </c>
      <c r="D44" s="9"/>
      <c r="F44" s="18"/>
      <c r="G44" s="19"/>
      <c r="H44" s="14"/>
      <c r="I44" s="18"/>
      <c r="J44" s="18"/>
      <c r="L44" s="8"/>
    </row>
    <row r="45" spans="1:12" x14ac:dyDescent="0.3">
      <c r="A45" s="5">
        <v>45698</v>
      </c>
      <c r="B45" s="3" t="s">
        <v>30</v>
      </c>
      <c r="D45" s="9"/>
      <c r="F45" s="20"/>
      <c r="G45" s="19"/>
      <c r="H45" s="14"/>
      <c r="I45" s="20"/>
      <c r="J45" s="18"/>
      <c r="L45" s="8"/>
    </row>
    <row r="46" spans="1:12" x14ac:dyDescent="0.3">
      <c r="A46" s="5">
        <v>45698</v>
      </c>
      <c r="B46" s="3" t="s">
        <v>31</v>
      </c>
      <c r="D46" s="9"/>
      <c r="F46" s="20"/>
      <c r="G46" s="19"/>
      <c r="H46" s="14"/>
      <c r="I46" s="20"/>
      <c r="J46" s="20"/>
      <c r="L46" s="8"/>
    </row>
    <row r="47" spans="1:12" x14ac:dyDescent="0.3">
      <c r="A47" s="5">
        <v>45698</v>
      </c>
      <c r="B47" s="3" t="s">
        <v>32</v>
      </c>
      <c r="D47" s="9"/>
      <c r="F47" s="20"/>
      <c r="G47" s="19"/>
      <c r="H47" s="14"/>
      <c r="I47" s="20"/>
      <c r="J47" s="20"/>
      <c r="L47" s="8"/>
    </row>
    <row r="48" spans="1:12" x14ac:dyDescent="0.3">
      <c r="A48" s="5">
        <v>45698</v>
      </c>
      <c r="B48" s="3" t="s">
        <v>33</v>
      </c>
      <c r="D48" s="9"/>
      <c r="F48" s="18"/>
      <c r="G48" s="19"/>
      <c r="H48" s="14"/>
      <c r="I48" s="20"/>
      <c r="J48" s="20"/>
      <c r="L48" s="8"/>
    </row>
    <row r="49" spans="1:12" x14ac:dyDescent="0.3">
      <c r="A49" s="5">
        <v>45698</v>
      </c>
      <c r="B49" s="3" t="s">
        <v>34</v>
      </c>
      <c r="D49" s="9"/>
      <c r="F49" s="18"/>
      <c r="G49" s="19"/>
      <c r="H49" s="14"/>
      <c r="I49" s="20"/>
      <c r="J49" s="20"/>
      <c r="L49" s="8"/>
    </row>
    <row r="50" spans="1:12" x14ac:dyDescent="0.3">
      <c r="A50" s="5">
        <v>45698</v>
      </c>
      <c r="B50" s="3" t="s">
        <v>35</v>
      </c>
      <c r="D50" s="9"/>
      <c r="F50" s="18"/>
      <c r="G50" s="19"/>
      <c r="H50" s="14"/>
      <c r="I50" s="20"/>
      <c r="J50" s="20"/>
      <c r="L50" s="8"/>
    </row>
    <row r="51" spans="1:12" x14ac:dyDescent="0.3">
      <c r="A51" s="5">
        <v>45698</v>
      </c>
      <c r="B51" s="3" t="s">
        <v>36</v>
      </c>
      <c r="D51" s="9"/>
      <c r="F51" s="18"/>
      <c r="G51" s="19"/>
      <c r="H51" s="14"/>
      <c r="I51" s="20"/>
      <c r="J51" s="20"/>
      <c r="L51" s="8"/>
    </row>
    <row r="52" spans="1:12" x14ac:dyDescent="0.3">
      <c r="A52" s="5">
        <v>45698</v>
      </c>
      <c r="B52" s="3" t="s">
        <v>37</v>
      </c>
      <c r="D52" s="9"/>
      <c r="F52" s="18"/>
      <c r="G52" s="19"/>
      <c r="H52" s="14"/>
      <c r="I52" s="20"/>
      <c r="J52" s="20"/>
      <c r="L52" s="8"/>
    </row>
    <row r="53" spans="1:12" x14ac:dyDescent="0.3">
      <c r="A53" s="5">
        <v>45698</v>
      </c>
      <c r="B53" s="3" t="s">
        <v>38</v>
      </c>
      <c r="D53" s="9"/>
      <c r="F53" s="18"/>
      <c r="G53" s="19"/>
      <c r="H53" s="14"/>
      <c r="I53" s="20"/>
      <c r="J53" s="20"/>
      <c r="L53" s="8"/>
    </row>
    <row r="54" spans="1:12" x14ac:dyDescent="0.3">
      <c r="A54" s="5">
        <v>45698</v>
      </c>
      <c r="B54" s="3" t="s">
        <v>39</v>
      </c>
      <c r="D54" s="9"/>
      <c r="F54" s="18"/>
      <c r="G54" s="19"/>
      <c r="H54" s="14"/>
      <c r="I54" s="20"/>
      <c r="J54" s="20"/>
      <c r="L54" s="8"/>
    </row>
    <row r="55" spans="1:12" x14ac:dyDescent="0.3">
      <c r="A55" s="5">
        <v>45698</v>
      </c>
      <c r="B55" s="3" t="s">
        <v>40</v>
      </c>
      <c r="D55" s="9"/>
      <c r="F55" s="20"/>
      <c r="G55" s="19"/>
      <c r="H55" s="14"/>
      <c r="I55" s="20"/>
      <c r="J55" s="20"/>
      <c r="L55" s="8"/>
    </row>
    <row r="56" spans="1:12" x14ac:dyDescent="0.3">
      <c r="A56" s="5">
        <v>45698</v>
      </c>
      <c r="B56" s="3" t="s">
        <v>41</v>
      </c>
      <c r="D56" s="9"/>
      <c r="F56" s="18"/>
      <c r="G56" s="19"/>
      <c r="H56" s="14"/>
      <c r="I56" s="20"/>
      <c r="J56" s="20"/>
      <c r="L56" s="8"/>
    </row>
    <row r="57" spans="1:12" x14ac:dyDescent="0.3">
      <c r="A57" s="5">
        <v>45698</v>
      </c>
      <c r="B57" s="3" t="s">
        <v>42</v>
      </c>
      <c r="D57" s="9"/>
      <c r="F57" s="18"/>
      <c r="G57" s="19"/>
      <c r="H57" s="14"/>
      <c r="I57" s="20"/>
      <c r="J57" s="20"/>
      <c r="L57" s="8"/>
    </row>
    <row r="58" spans="1:12" x14ac:dyDescent="0.3">
      <c r="A58" s="5">
        <v>45698</v>
      </c>
      <c r="B58" s="3" t="s">
        <v>43</v>
      </c>
      <c r="D58" s="9"/>
      <c r="F58" s="18"/>
      <c r="G58" s="19"/>
      <c r="H58" s="14"/>
      <c r="I58" s="20"/>
      <c r="J58" s="18"/>
      <c r="L58" s="8"/>
    </row>
    <row r="59" spans="1:12" x14ac:dyDescent="0.3">
      <c r="A59" s="5">
        <v>45698</v>
      </c>
      <c r="B59" s="3" t="s">
        <v>44</v>
      </c>
      <c r="D59" s="9"/>
      <c r="F59" s="18"/>
      <c r="G59" s="19"/>
      <c r="H59" s="14"/>
      <c r="I59" s="20"/>
      <c r="J59" s="18"/>
      <c r="L59" s="8"/>
    </row>
    <row r="60" spans="1:12" x14ac:dyDescent="0.3">
      <c r="A60" s="5">
        <v>45698</v>
      </c>
      <c r="B60" s="3" t="s">
        <v>45</v>
      </c>
      <c r="D60" s="9"/>
      <c r="F60" s="18"/>
      <c r="G60" s="19"/>
      <c r="H60" s="14"/>
      <c r="I60" s="20"/>
      <c r="J60" s="20"/>
      <c r="L60" s="8"/>
    </row>
    <row r="61" spans="1:12" x14ac:dyDescent="0.3">
      <c r="A61" s="5">
        <v>45698</v>
      </c>
      <c r="B61" s="3" t="s">
        <v>46</v>
      </c>
      <c r="D61" s="9"/>
      <c r="F61" s="18"/>
      <c r="G61" s="19"/>
      <c r="H61" s="14"/>
      <c r="I61" s="20"/>
      <c r="J61" s="20"/>
      <c r="L61" s="8"/>
    </row>
    <row r="62" spans="1:12" x14ac:dyDescent="0.3">
      <c r="A62" s="5">
        <v>45726</v>
      </c>
      <c r="B62" s="3" t="s">
        <v>27</v>
      </c>
      <c r="C62" s="6">
        <v>0.10319170413875381</v>
      </c>
      <c r="D62" s="9">
        <v>1.3996914014402369E-2</v>
      </c>
      <c r="E62" s="21">
        <v>4.505210285628608E-2</v>
      </c>
      <c r="F62" s="18">
        <v>3.524</v>
      </c>
      <c r="G62" s="25">
        <v>4.4662691976420331E-2</v>
      </c>
      <c r="H62" s="14">
        <f>((E62*0.30445)+(F62*0.22587)+(G62*0.77649))</f>
        <v>0.84436212640736685</v>
      </c>
      <c r="I62" s="18">
        <v>4.97</v>
      </c>
      <c r="J62" s="20">
        <v>11.558</v>
      </c>
      <c r="L62" s="8"/>
    </row>
    <row r="63" spans="1:12" x14ac:dyDescent="0.3">
      <c r="A63" s="5">
        <v>45726</v>
      </c>
      <c r="B63" s="3" t="s">
        <v>28</v>
      </c>
      <c r="C63" s="6">
        <v>1.9348444526016383E-2</v>
      </c>
      <c r="D63" s="9">
        <v>9.2435553394900113E-3</v>
      </c>
      <c r="E63" s="21">
        <v>2.7826298823000251E-2</v>
      </c>
      <c r="F63" s="18">
        <v>3.4790000000000001</v>
      </c>
      <c r="G63" s="25">
        <v>1.0680208950883117E-2</v>
      </c>
      <c r="H63" s="14">
        <f t="shared" ref="H63:H103" si="0">((E63*0.30445)+(F63*0.22587)+(G63*0.77649))</f>
        <v>0.80256652212493362</v>
      </c>
      <c r="I63" s="18">
        <v>5.2789999999999999</v>
      </c>
      <c r="J63" s="20">
        <v>11.544</v>
      </c>
      <c r="L63" s="8"/>
    </row>
    <row r="64" spans="1:12" x14ac:dyDescent="0.3">
      <c r="A64" s="5">
        <v>45726</v>
      </c>
      <c r="B64" s="3" t="s">
        <v>29</v>
      </c>
      <c r="C64" s="6">
        <v>4.3534000183536752E-2</v>
      </c>
      <c r="D64" s="9">
        <v>2.2262544241408163E-2</v>
      </c>
      <c r="E64" s="21">
        <v>2.6501236974285934E-2</v>
      </c>
      <c r="F64" s="18">
        <v>6.8339999999999996</v>
      </c>
      <c r="G64" s="25">
        <v>1.2622065123770945E-2</v>
      </c>
      <c r="H64" s="14">
        <f t="shared" si="0"/>
        <v>1.5614647889447779</v>
      </c>
      <c r="I64" s="18">
        <v>5.6909999999999998</v>
      </c>
      <c r="J64" s="18">
        <v>5.3769999999999998</v>
      </c>
      <c r="L64" s="8"/>
    </row>
    <row r="65" spans="1:12" x14ac:dyDescent="0.3">
      <c r="A65" s="5">
        <v>45726</v>
      </c>
      <c r="B65" s="3" t="s">
        <v>30</v>
      </c>
      <c r="C65" s="6">
        <v>2.9022666789024487E-2</v>
      </c>
      <c r="D65" s="9">
        <v>2.8793275150747276E-2</v>
      </c>
      <c r="E65" s="21">
        <v>5.5652597646000446E-2</v>
      </c>
      <c r="F65" s="18">
        <v>9.0609999999999999</v>
      </c>
      <c r="G65" s="25">
        <v>1.4563921296658813E-2</v>
      </c>
      <c r="H65" s="14">
        <f t="shared" si="0"/>
        <v>2.0748602426009675</v>
      </c>
      <c r="I65" s="18">
        <v>7.7039999999999997</v>
      </c>
      <c r="J65" s="18">
        <v>6.218</v>
      </c>
      <c r="L65" s="8"/>
    </row>
    <row r="66" spans="1:12" x14ac:dyDescent="0.3">
      <c r="A66" s="5">
        <v>45726</v>
      </c>
      <c r="B66" s="3" t="s">
        <v>31</v>
      </c>
      <c r="C66" s="6">
        <v>8.0618518858401364E-2</v>
      </c>
      <c r="D66" s="9">
        <v>3.5812026960218547E-2</v>
      </c>
      <c r="E66" s="21">
        <v>0.17490816403028714</v>
      </c>
      <c r="F66" s="20">
        <v>13.166</v>
      </c>
      <c r="G66" s="25">
        <v>0.17185427130057387</v>
      </c>
      <c r="H66" s="14">
        <f t="shared" si="0"/>
        <v>3.1604983336612031</v>
      </c>
      <c r="I66" s="20">
        <v>29</v>
      </c>
      <c r="J66" s="20">
        <v>26.024000000000001</v>
      </c>
      <c r="L66" s="8"/>
    </row>
    <row r="67" spans="1:12" x14ac:dyDescent="0.3">
      <c r="A67" s="5">
        <v>45726</v>
      </c>
      <c r="B67" s="3" t="s">
        <v>32</v>
      </c>
      <c r="C67" s="6">
        <v>9.8354593007249719E-2</v>
      </c>
      <c r="D67" s="9">
        <v>3.0638001969526527E-2</v>
      </c>
      <c r="E67" s="21">
        <v>0.20670964839943029</v>
      </c>
      <c r="F67" s="20">
        <v>15.193</v>
      </c>
      <c r="G67" s="25">
        <v>6.1168469445967016E-2</v>
      </c>
      <c r="H67" s="14">
        <f t="shared" si="0"/>
        <v>3.5420723672953054</v>
      </c>
      <c r="I67" s="20">
        <v>32</v>
      </c>
      <c r="J67" s="20">
        <v>28.747</v>
      </c>
      <c r="L67" s="8"/>
    </row>
    <row r="68" spans="1:12" x14ac:dyDescent="0.3">
      <c r="A68" s="5">
        <v>45726</v>
      </c>
      <c r="B68" s="3" t="s">
        <v>33</v>
      </c>
      <c r="C68" s="6">
        <v>0</v>
      </c>
      <c r="D68" s="9">
        <v>1.4190252111906394E-2</v>
      </c>
      <c r="E68" s="21">
        <v>0</v>
      </c>
      <c r="F68" s="18">
        <v>5.5540000000000003</v>
      </c>
      <c r="G68" s="25">
        <v>0</v>
      </c>
      <c r="H68" s="14">
        <f t="shared" si="0"/>
        <v>1.25448198</v>
      </c>
      <c r="I68" s="18">
        <v>6.3289999999999997</v>
      </c>
      <c r="J68" s="20">
        <v>10.186</v>
      </c>
      <c r="L68" s="8"/>
    </row>
    <row r="69" spans="1:12" x14ac:dyDescent="0.3">
      <c r="A69" s="5">
        <v>45726</v>
      </c>
      <c r="B69" s="3" t="s">
        <v>34</v>
      </c>
      <c r="C69" s="6">
        <v>0</v>
      </c>
      <c r="D69" s="9">
        <v>1.3219707215092148E-2</v>
      </c>
      <c r="E69" s="21">
        <v>0</v>
      </c>
      <c r="F69" s="18">
        <v>4.9790000000000001</v>
      </c>
      <c r="G69" s="25">
        <v>1.5534849383102707E-2</v>
      </c>
      <c r="H69" s="14">
        <f t="shared" si="0"/>
        <v>1.1366693851974854</v>
      </c>
      <c r="I69" s="18">
        <v>6.7649999999999997</v>
      </c>
      <c r="J69" s="18">
        <v>9.5050000000000008</v>
      </c>
      <c r="L69" s="8"/>
    </row>
    <row r="70" spans="1:12" x14ac:dyDescent="0.3">
      <c r="A70" s="5">
        <v>45726</v>
      </c>
      <c r="B70" s="3" t="s">
        <v>35</v>
      </c>
      <c r="C70" s="6">
        <v>1.4511333394512294E-2</v>
      </c>
      <c r="D70" s="9">
        <v>9.4488743040247423E-3</v>
      </c>
      <c r="E70" s="21">
        <v>6.6253092435714697E-3</v>
      </c>
      <c r="F70" s="18">
        <v>3.782</v>
      </c>
      <c r="G70" s="25">
        <v>2.4273202161097997E-2</v>
      </c>
      <c r="H70" s="14">
        <f t="shared" si="0"/>
        <v>0.87510531414527626</v>
      </c>
      <c r="I70" s="18">
        <v>6.7380000000000004</v>
      </c>
      <c r="J70" s="18">
        <v>8.0129999999999999</v>
      </c>
      <c r="L70" s="8"/>
    </row>
    <row r="71" spans="1:12" x14ac:dyDescent="0.3">
      <c r="A71" s="5">
        <v>45726</v>
      </c>
      <c r="B71" s="3" t="s">
        <v>36</v>
      </c>
      <c r="C71" s="6">
        <v>8.0618518858401565E-3</v>
      </c>
      <c r="D71" s="9">
        <v>1.6651294357740942E-2</v>
      </c>
      <c r="E71" s="21">
        <v>6.6253092435714697E-3</v>
      </c>
      <c r="F71" s="18">
        <v>5.0869999999999997</v>
      </c>
      <c r="G71" s="25">
        <v>7.7674246915513537E-3</v>
      </c>
      <c r="H71" s="14">
        <f t="shared" si="0"/>
        <v>1.1570490929979478</v>
      </c>
      <c r="I71" s="18">
        <v>8.0730000000000004</v>
      </c>
      <c r="J71" s="18">
        <v>9.6780000000000008</v>
      </c>
      <c r="L71" s="8"/>
    </row>
    <row r="72" spans="1:12" x14ac:dyDescent="0.3">
      <c r="A72" s="5">
        <v>45726</v>
      </c>
      <c r="B72" s="3" t="s">
        <v>37</v>
      </c>
      <c r="C72" s="6">
        <v>3.7084518674864647E-2</v>
      </c>
      <c r="D72" s="9">
        <v>8.0269214172051257E-3</v>
      </c>
      <c r="E72" s="21">
        <v>2.5176175125571645E-2</v>
      </c>
      <c r="F72" s="18">
        <v>5.0860000000000003</v>
      </c>
      <c r="G72" s="25">
        <v>7.7674246915513537E-3</v>
      </c>
      <c r="H72" s="14">
        <f t="shared" si="0"/>
        <v>1.1624710341157232</v>
      </c>
      <c r="I72" s="18">
        <v>9.0860000000000003</v>
      </c>
      <c r="J72" s="20">
        <v>10.202</v>
      </c>
      <c r="L72" s="8"/>
    </row>
    <row r="73" spans="1:12" x14ac:dyDescent="0.3">
      <c r="A73" s="5">
        <v>45726</v>
      </c>
      <c r="B73" s="3" t="s">
        <v>38</v>
      </c>
      <c r="C73" s="6">
        <v>4.9983481692208891E-2</v>
      </c>
      <c r="D73" s="9">
        <v>8.8193226830376673E-3</v>
      </c>
      <c r="E73" s="21">
        <v>4.3727041007571764E-2</v>
      </c>
      <c r="F73" s="18">
        <v>5.0250000000000004</v>
      </c>
      <c r="G73" s="25">
        <v>1.9418561728878403E-2</v>
      </c>
      <c r="H73" s="14">
        <f t="shared" si="0"/>
        <v>1.1633877666316121</v>
      </c>
      <c r="I73" s="20">
        <v>12.224</v>
      </c>
      <c r="J73" s="20">
        <v>10.32</v>
      </c>
      <c r="L73" s="8"/>
    </row>
    <row r="74" spans="1:12" x14ac:dyDescent="0.3">
      <c r="A74" s="5">
        <v>45726</v>
      </c>
      <c r="B74" s="3" t="s">
        <v>48</v>
      </c>
      <c r="C74" s="6">
        <v>2.9022666789024487E-2</v>
      </c>
      <c r="D74" s="9">
        <v>3.4889481705775147E-2</v>
      </c>
      <c r="E74" s="21">
        <v>-9.2754329410001009E-3</v>
      </c>
      <c r="F74" s="18">
        <v>4.2039999999999997</v>
      </c>
      <c r="G74" s="25">
        <v>1.165113703732705E-2</v>
      </c>
      <c r="H74" s="14">
        <f t="shared" si="0"/>
        <v>0.95578056583922644</v>
      </c>
      <c r="I74" s="18">
        <v>5.976</v>
      </c>
      <c r="J74" s="20">
        <v>14.404</v>
      </c>
      <c r="L74" s="8"/>
    </row>
    <row r="75" spans="1:12" x14ac:dyDescent="0.3">
      <c r="A75" s="5">
        <v>45726</v>
      </c>
      <c r="B75" s="3" t="s">
        <v>39</v>
      </c>
      <c r="C75" s="6">
        <v>1.1286592640176226E-2</v>
      </c>
      <c r="D75" s="9">
        <v>1.5265404357720063E-2</v>
      </c>
      <c r="E75" s="21">
        <v>9.6729514956143667E-2</v>
      </c>
      <c r="F75" s="20">
        <v>12.089</v>
      </c>
      <c r="G75" s="25">
        <v>0.20098211389389142</v>
      </c>
      <c r="H75" s="14">
        <f t="shared" si="0"/>
        <v>2.9160523324458656</v>
      </c>
      <c r="I75" s="18">
        <v>36</v>
      </c>
      <c r="J75" s="20">
        <v>32.116</v>
      </c>
      <c r="L75" s="8"/>
    </row>
    <row r="76" spans="1:12" x14ac:dyDescent="0.3">
      <c r="A76" s="5">
        <v>45726</v>
      </c>
      <c r="B76" s="3" t="s">
        <v>40</v>
      </c>
      <c r="C76" s="6">
        <v>1.1286592640176226E-2</v>
      </c>
      <c r="D76" s="9">
        <v>1.66279613078146E-2</v>
      </c>
      <c r="E76" s="21">
        <v>5.8302721343429051E-2</v>
      </c>
      <c r="F76" s="20">
        <v>12.884</v>
      </c>
      <c r="G76" s="25">
        <v>7.4761462656181901E-2</v>
      </c>
      <c r="H76" s="14">
        <f t="shared" si="0"/>
        <v>2.9859108716509053</v>
      </c>
      <c r="I76" s="18">
        <v>37</v>
      </c>
      <c r="J76" s="20">
        <v>35</v>
      </c>
      <c r="L76" s="8"/>
    </row>
    <row r="77" spans="1:12" x14ac:dyDescent="0.3">
      <c r="A77" s="5">
        <v>45726</v>
      </c>
      <c r="B77" s="3" t="s">
        <v>41</v>
      </c>
      <c r="C77" s="6">
        <v>4.3534000183536752E-2</v>
      </c>
      <c r="D77" s="9">
        <v>2.0696249674129145E-2</v>
      </c>
      <c r="E77" s="21">
        <v>0</v>
      </c>
      <c r="F77" s="18">
        <v>4.9820000000000002</v>
      </c>
      <c r="G77" s="25">
        <v>2.9127842593317625E-2</v>
      </c>
      <c r="H77" s="14">
        <f t="shared" si="0"/>
        <v>1.1479018184952852</v>
      </c>
      <c r="I77" s="18">
        <v>8.2859999999999996</v>
      </c>
      <c r="J77" s="20">
        <v>12.239000000000001</v>
      </c>
      <c r="L77" s="8"/>
    </row>
    <row r="78" spans="1:12" x14ac:dyDescent="0.3">
      <c r="A78" s="5">
        <v>45726</v>
      </c>
      <c r="B78" s="3" t="s">
        <v>42</v>
      </c>
      <c r="C78" s="6">
        <v>4.0309259429200717E-2</v>
      </c>
      <c r="D78" s="9">
        <v>1.6589167531572937E-2</v>
      </c>
      <c r="E78" s="21">
        <v>1.855086588200015E-2</v>
      </c>
      <c r="F78" s="18">
        <v>4.5250000000000004</v>
      </c>
      <c r="G78" s="25">
        <v>2.5244130247541928E-2</v>
      </c>
      <c r="H78" s="14">
        <f t="shared" si="0"/>
        <v>1.0473113758136887</v>
      </c>
      <c r="I78" s="20">
        <v>11.956</v>
      </c>
      <c r="J78" s="20">
        <v>13.75</v>
      </c>
      <c r="L78" s="8"/>
    </row>
    <row r="79" spans="1:12" x14ac:dyDescent="0.3">
      <c r="A79" s="5">
        <v>45726</v>
      </c>
      <c r="B79" s="3" t="s">
        <v>43</v>
      </c>
      <c r="C79" s="6">
        <v>9.190511149857758E-2</v>
      </c>
      <c r="D79" s="9">
        <v>1.7701713964616835E-2</v>
      </c>
      <c r="E79" s="21">
        <v>4.9027288402428974E-2</v>
      </c>
      <c r="F79" s="18">
        <v>4.9889999999999999</v>
      </c>
      <c r="G79" s="25">
        <v>2.4273202161097997E-2</v>
      </c>
      <c r="H79" s="14">
        <f t="shared" si="0"/>
        <v>1.1606396867001902</v>
      </c>
      <c r="I79" s="18">
        <v>5.51</v>
      </c>
      <c r="J79" s="18">
        <v>4.9050000000000002</v>
      </c>
      <c r="L79" s="8"/>
    </row>
    <row r="80" spans="1:12" x14ac:dyDescent="0.3">
      <c r="A80" s="5">
        <v>45726</v>
      </c>
      <c r="B80" s="3" t="s">
        <v>44</v>
      </c>
      <c r="C80" s="6">
        <v>4.5146370560704731E-2</v>
      </c>
      <c r="D80" s="9">
        <v>2.0521834950083397E-2</v>
      </c>
      <c r="E80" s="21">
        <v>1.9875927730714463E-2</v>
      </c>
      <c r="F80" s="18">
        <v>5.32</v>
      </c>
      <c r="G80" s="25">
        <v>6.0197541359523078E-2</v>
      </c>
      <c r="H80" s="14">
        <f t="shared" si="0"/>
        <v>1.254422415087872</v>
      </c>
      <c r="I80" s="18">
        <v>6.3150000000000004</v>
      </c>
      <c r="J80" s="18">
        <v>5.5010000000000003</v>
      </c>
      <c r="L80" s="8"/>
    </row>
    <row r="81" spans="1:12" x14ac:dyDescent="0.3">
      <c r="A81" s="5">
        <v>45726</v>
      </c>
      <c r="B81" s="3" t="s">
        <v>45</v>
      </c>
      <c r="C81" s="6">
        <v>6.2882444709553065E-2</v>
      </c>
      <c r="D81" s="9">
        <v>1.283647356068807E-2</v>
      </c>
      <c r="E81" s="21">
        <v>1.1925556638428678E-2</v>
      </c>
      <c r="F81" s="18">
        <v>5.3380000000000001</v>
      </c>
      <c r="G81" s="25">
        <v>1.0680208950883117E-2</v>
      </c>
      <c r="H81" s="14">
        <f t="shared" si="0"/>
        <v>1.2176178711668408</v>
      </c>
      <c r="I81" s="18">
        <v>6.452</v>
      </c>
      <c r="J81" s="18">
        <v>5.7919999999999998</v>
      </c>
      <c r="L81" s="8"/>
    </row>
    <row r="82" spans="1:12" x14ac:dyDescent="0.3">
      <c r="A82" s="5">
        <v>45726</v>
      </c>
      <c r="B82" s="3" t="s">
        <v>46</v>
      </c>
      <c r="C82" s="6">
        <v>0.10964118564742588</v>
      </c>
      <c r="D82" s="9">
        <v>1.1790383678146164E-2</v>
      </c>
      <c r="E82" s="21">
        <v>3.0476422520428828E-2</v>
      </c>
      <c r="F82" s="18">
        <v>5.282</v>
      </c>
      <c r="G82" s="25">
        <v>1.5534849383102707E-2</v>
      </c>
      <c r="H82" s="14">
        <f t="shared" si="0"/>
        <v>1.2143865420338298</v>
      </c>
      <c r="I82" s="18">
        <v>7.9029999999999996</v>
      </c>
      <c r="J82" s="18">
        <v>6.2919999999999998</v>
      </c>
      <c r="L82" s="8"/>
    </row>
    <row r="83" spans="1:12" x14ac:dyDescent="0.3">
      <c r="A83" s="5">
        <v>45740</v>
      </c>
      <c r="B83" s="3" t="s">
        <v>27</v>
      </c>
      <c r="C83" s="6">
        <v>0</v>
      </c>
      <c r="D83" s="9">
        <v>8.8921513684455319E-3</v>
      </c>
      <c r="E83" s="24">
        <v>4.4256276646139285E-2</v>
      </c>
      <c r="F83" s="18">
        <v>3.1360000000000001</v>
      </c>
      <c r="G83" s="24">
        <v>2.0511781783809354E-2</v>
      </c>
      <c r="H83" s="14">
        <f t="shared" si="0"/>
        <v>0.73772933686222719</v>
      </c>
      <c r="I83" s="18">
        <v>5.6630000000000003</v>
      </c>
      <c r="J83" s="20">
        <v>11.077</v>
      </c>
      <c r="L83" s="8"/>
    </row>
    <row r="84" spans="1:12" x14ac:dyDescent="0.3">
      <c r="A84" s="5">
        <v>45740</v>
      </c>
      <c r="B84" s="3" t="s">
        <v>28</v>
      </c>
      <c r="C84" s="6">
        <v>7.3181296980506638E-3</v>
      </c>
      <c r="D84" s="9">
        <v>8.7979970572336207E-3</v>
      </c>
      <c r="E84" s="24">
        <v>3.5883467550923774E-2</v>
      </c>
      <c r="F84" s="18">
        <v>3.1749999999999998</v>
      </c>
      <c r="G84" s="24">
        <v>9.7675151351472849E-3</v>
      </c>
      <c r="H84" s="14">
        <f t="shared" si="0"/>
        <v>0.73564634952316921</v>
      </c>
      <c r="I84" s="18">
        <v>6.2670000000000003</v>
      </c>
      <c r="J84" s="20">
        <v>11.010999999999999</v>
      </c>
      <c r="L84" s="8"/>
    </row>
    <row r="85" spans="1:12" x14ac:dyDescent="0.3">
      <c r="A85" s="5">
        <v>45740</v>
      </c>
      <c r="B85" s="3" t="s">
        <v>29</v>
      </c>
      <c r="C85" s="6">
        <v>0</v>
      </c>
      <c r="D85" s="9">
        <v>2.9119443313147499E-2</v>
      </c>
      <c r="E85" s="24">
        <v>2.511842728564664E-2</v>
      </c>
      <c r="F85" s="18">
        <v>6.0410000000000004</v>
      </c>
      <c r="G85" s="24">
        <v>0</v>
      </c>
      <c r="H85" s="14">
        <f t="shared" si="0"/>
        <v>1.3721279751871152</v>
      </c>
      <c r="I85" s="18">
        <v>5.7169999999999996</v>
      </c>
      <c r="J85" s="18">
        <v>4.4509999999999996</v>
      </c>
      <c r="L85" s="8"/>
    </row>
    <row r="86" spans="1:12" x14ac:dyDescent="0.3">
      <c r="A86" s="5">
        <v>45740</v>
      </c>
      <c r="B86" s="3" t="s">
        <v>30</v>
      </c>
      <c r="C86" s="6">
        <v>4.0249713339278917E-2</v>
      </c>
      <c r="D86" s="9">
        <v>2.586884716348916E-2</v>
      </c>
      <c r="E86" s="24">
        <v>2.0333964945523454E-2</v>
      </c>
      <c r="F86" s="18">
        <v>6.7770000000000001</v>
      </c>
      <c r="G86" s="24">
        <v>1.9535030270294487E-3</v>
      </c>
      <c r="H86" s="14">
        <f t="shared" si="0"/>
        <v>1.5384285411931224</v>
      </c>
      <c r="I86" s="18">
        <v>6.6159999999999997</v>
      </c>
      <c r="J86" s="18">
        <v>4.4619999999999997</v>
      </c>
      <c r="L86" s="8"/>
    </row>
    <row r="87" spans="1:12" x14ac:dyDescent="0.3">
      <c r="A87" s="5">
        <v>45740</v>
      </c>
      <c r="B87" s="3" t="s">
        <v>31</v>
      </c>
      <c r="C87" s="6">
        <v>3.476111606574088E-2</v>
      </c>
      <c r="D87" s="9">
        <v>2.8460699531848287E-2</v>
      </c>
      <c r="E87" s="24">
        <v>0.10047370914258649</v>
      </c>
      <c r="F87" s="18">
        <v>7.3979999999999997</v>
      </c>
      <c r="G87" s="24">
        <v>7.2279612000090088E-2</v>
      </c>
      <c r="H87" s="14">
        <f t="shared" si="0"/>
        <v>1.7576998766704102</v>
      </c>
      <c r="I87" s="20">
        <v>20</v>
      </c>
      <c r="J87" s="20">
        <v>18.257999999999999</v>
      </c>
      <c r="L87" s="8"/>
    </row>
    <row r="88" spans="1:12" x14ac:dyDescent="0.3">
      <c r="A88" s="5">
        <v>45740</v>
      </c>
      <c r="B88" s="3" t="s">
        <v>32</v>
      </c>
      <c r="C88" s="6">
        <v>5.6715505159893029E-2</v>
      </c>
      <c r="D88" s="9">
        <v>3.3203420137036255E-2</v>
      </c>
      <c r="E88" s="24">
        <v>0.1531027948839413</v>
      </c>
      <c r="F88" s="20">
        <v>11.662000000000001</v>
      </c>
      <c r="G88" s="24">
        <v>6.0558593837913316E-2</v>
      </c>
      <c r="H88" s="14">
        <f t="shared" si="0"/>
        <v>2.7277312284316171</v>
      </c>
      <c r="I88" s="20">
        <v>31</v>
      </c>
      <c r="J88" s="20">
        <v>25.093</v>
      </c>
      <c r="L88" s="8"/>
    </row>
    <row r="89" spans="1:12" x14ac:dyDescent="0.3">
      <c r="A89" s="5">
        <v>45740</v>
      </c>
      <c r="B89" s="3" t="s">
        <v>33</v>
      </c>
      <c r="C89" s="6">
        <v>0</v>
      </c>
      <c r="D89" s="9">
        <v>1.2536072443999166E-2</v>
      </c>
      <c r="E89" s="24">
        <v>-2.3922311700615932E-3</v>
      </c>
      <c r="F89" s="18">
        <v>3.69</v>
      </c>
      <c r="G89" s="24">
        <v>0</v>
      </c>
      <c r="H89" s="14">
        <f t="shared" si="0"/>
        <v>0.8327319852202747</v>
      </c>
      <c r="I89" s="18">
        <v>6.0549999999999997</v>
      </c>
      <c r="J89" s="18">
        <v>9.7870000000000008</v>
      </c>
      <c r="L89" s="8"/>
    </row>
    <row r="90" spans="1:12" x14ac:dyDescent="0.3">
      <c r="A90" s="5">
        <v>45740</v>
      </c>
      <c r="B90" s="3" t="s">
        <v>34</v>
      </c>
      <c r="C90" s="6">
        <v>0</v>
      </c>
      <c r="D90" s="9">
        <v>1.1034937936472623E-2</v>
      </c>
      <c r="E90" s="24">
        <v>0</v>
      </c>
      <c r="F90" s="18">
        <v>3.2749999999999999</v>
      </c>
      <c r="G90" s="24">
        <v>4.8837575675736425E-3</v>
      </c>
      <c r="H90" s="14">
        <f t="shared" si="0"/>
        <v>0.74351643891364527</v>
      </c>
      <c r="I90" s="18">
        <v>5.9930000000000003</v>
      </c>
      <c r="J90" s="18">
        <v>8.8420000000000005</v>
      </c>
      <c r="L90" s="8"/>
    </row>
    <row r="91" spans="1:12" x14ac:dyDescent="0.3">
      <c r="A91" s="5">
        <v>45740</v>
      </c>
      <c r="B91" s="3" t="s">
        <v>35</v>
      </c>
      <c r="C91" s="6">
        <v>0</v>
      </c>
      <c r="D91" s="9">
        <v>9.0494387479279556E-3</v>
      </c>
      <c r="E91" s="24">
        <v>0</v>
      </c>
      <c r="F91" s="18">
        <v>1.68</v>
      </c>
      <c r="G91" s="24">
        <v>-9.7675151351474471E-4</v>
      </c>
      <c r="H91" s="14">
        <f t="shared" si="0"/>
        <v>0.37870316221727091</v>
      </c>
      <c r="I91" s="18">
        <v>5.9720000000000004</v>
      </c>
      <c r="J91" s="18">
        <v>6.6749999999999998</v>
      </c>
      <c r="L91" s="8"/>
    </row>
    <row r="92" spans="1:12" x14ac:dyDescent="0.3">
      <c r="A92" s="5">
        <v>45740</v>
      </c>
      <c r="B92" s="3" t="s">
        <v>36</v>
      </c>
      <c r="C92" s="6">
        <v>0</v>
      </c>
      <c r="D92" s="9">
        <v>7.7873464220976759E-3</v>
      </c>
      <c r="E92" s="24">
        <v>1.4353387020369509E-2</v>
      </c>
      <c r="F92" s="18">
        <v>4.26</v>
      </c>
      <c r="G92" s="24">
        <v>-3.9070060540589381E-3</v>
      </c>
      <c r="H92" s="14">
        <f t="shared" si="0"/>
        <v>0.96354233754743523</v>
      </c>
      <c r="I92" s="18">
        <v>9.8840000000000003</v>
      </c>
      <c r="J92" s="18">
        <v>9.7720000000000002</v>
      </c>
      <c r="L92" s="8"/>
    </row>
    <row r="93" spans="1:12" x14ac:dyDescent="0.3">
      <c r="A93" s="5">
        <v>45740</v>
      </c>
      <c r="B93" s="3" t="s">
        <v>37</v>
      </c>
      <c r="C93" s="6">
        <v>0</v>
      </c>
      <c r="D93" s="9">
        <v>8.856409528895633E-3</v>
      </c>
      <c r="E93" s="24">
        <v>2.6314542870677426E-2</v>
      </c>
      <c r="F93" s="18">
        <v>2.5859999999999999</v>
      </c>
      <c r="G93" s="24">
        <v>1.5628024216235673E-2</v>
      </c>
      <c r="H93" s="14">
        <f t="shared" si="0"/>
        <v>0.60424628710064243</v>
      </c>
      <c r="I93" s="18">
        <v>6.55</v>
      </c>
      <c r="J93" s="18">
        <v>7.0430000000000001</v>
      </c>
      <c r="L93" s="8"/>
    </row>
    <row r="94" spans="1:12" x14ac:dyDescent="0.3">
      <c r="A94" s="5">
        <v>45740</v>
      </c>
      <c r="B94" s="3" t="s">
        <v>38</v>
      </c>
      <c r="C94" s="6">
        <v>3.8420180914766212E-2</v>
      </c>
      <c r="D94" s="9">
        <v>1.0353679827323029E-2</v>
      </c>
      <c r="E94" s="24">
        <v>4.7844623401231662E-2</v>
      </c>
      <c r="F94" s="18">
        <v>3.2949999999999999</v>
      </c>
      <c r="G94" s="24">
        <v>6.8372605946030911E-3</v>
      </c>
      <c r="H94" s="14">
        <f t="shared" si="0"/>
        <v>0.76411701007360833</v>
      </c>
      <c r="I94" s="18">
        <v>9.5120000000000005</v>
      </c>
      <c r="J94" s="18">
        <v>8.6029999999999998</v>
      </c>
      <c r="L94" s="8"/>
    </row>
    <row r="95" spans="1:12" x14ac:dyDescent="0.3">
      <c r="A95" s="5">
        <v>45740</v>
      </c>
      <c r="B95" s="3" t="s">
        <v>48</v>
      </c>
      <c r="C95" s="6">
        <v>0</v>
      </c>
      <c r="D95" s="9">
        <v>3.1797108415093776E-2</v>
      </c>
      <c r="E95" s="24">
        <v>0</v>
      </c>
      <c r="F95" s="18">
        <v>3.4209999999999998</v>
      </c>
      <c r="G95" s="24">
        <v>7.8140121081178363E-3</v>
      </c>
      <c r="H95" s="14">
        <f t="shared" si="0"/>
        <v>0.77876877226183228</v>
      </c>
      <c r="I95" s="18">
        <v>6.7460000000000004</v>
      </c>
      <c r="J95" s="20">
        <v>13.757999999999999</v>
      </c>
      <c r="L95" s="8"/>
    </row>
    <row r="96" spans="1:12" x14ac:dyDescent="0.3">
      <c r="A96" s="5">
        <v>45740</v>
      </c>
      <c r="B96" s="3" t="s">
        <v>39</v>
      </c>
      <c r="C96" s="6">
        <v>0</v>
      </c>
      <c r="D96" s="9">
        <v>1.6344468235579872E-2</v>
      </c>
      <c r="E96" s="24">
        <v>7.6551397441970634E-2</v>
      </c>
      <c r="F96" s="18">
        <v>8.5090000000000003</v>
      </c>
      <c r="G96" s="24">
        <v>6.8372605946031159E-2</v>
      </c>
      <c r="H96" s="14">
        <f t="shared" si="0"/>
        <v>1.9983245477422418</v>
      </c>
      <c r="I96" s="20">
        <v>37</v>
      </c>
      <c r="J96" s="20">
        <v>29.125</v>
      </c>
      <c r="L96" s="8"/>
    </row>
    <row r="97" spans="1:12" x14ac:dyDescent="0.3">
      <c r="A97" s="5">
        <v>45740</v>
      </c>
      <c r="B97" s="3" t="s">
        <v>40</v>
      </c>
      <c r="C97" s="6">
        <v>2.0124856669639441E-2</v>
      </c>
      <c r="D97" s="9">
        <v>1.7045321517537109E-2</v>
      </c>
      <c r="E97" s="24">
        <v>6.1001894836570342E-2</v>
      </c>
      <c r="F97" s="20">
        <v>10.499000000000001</v>
      </c>
      <c r="G97" s="24">
        <v>7.1302860486575345E-2</v>
      </c>
      <c r="H97" s="14">
        <f t="shared" si="0"/>
        <v>2.4453471150222148</v>
      </c>
      <c r="I97" s="20">
        <v>36</v>
      </c>
      <c r="J97" s="20">
        <v>32</v>
      </c>
      <c r="L97" s="8"/>
    </row>
    <row r="98" spans="1:12" x14ac:dyDescent="0.3">
      <c r="A98" s="5">
        <v>45740</v>
      </c>
      <c r="B98" s="3" t="s">
        <v>41</v>
      </c>
      <c r="C98" s="6">
        <v>1.2806726971588699E-2</v>
      </c>
      <c r="D98" s="9">
        <v>1.9826780812968313E-2</v>
      </c>
      <c r="E98" s="24">
        <v>5.9805779251539456E-3</v>
      </c>
      <c r="F98" s="18">
        <v>4.9260000000000002</v>
      </c>
      <c r="G98" s="24">
        <v>1.5628024216235673E-2</v>
      </c>
      <c r="H98" s="14">
        <f t="shared" si="0"/>
        <v>1.126591411472978</v>
      </c>
      <c r="I98" s="18">
        <v>6.4349999999999996</v>
      </c>
      <c r="J98" s="20">
        <v>10.987</v>
      </c>
      <c r="L98" s="8"/>
    </row>
    <row r="99" spans="1:12" x14ac:dyDescent="0.3">
      <c r="A99" s="5">
        <v>45740</v>
      </c>
      <c r="B99" s="3" t="s">
        <v>42</v>
      </c>
      <c r="C99" s="6">
        <v>2.378392151866477E-2</v>
      </c>
      <c r="D99" s="9">
        <v>1.5665613272152497E-2</v>
      </c>
      <c r="E99" s="24">
        <v>8.3728090952155387E-3</v>
      </c>
      <c r="F99" s="18">
        <v>2.2000000000000002</v>
      </c>
      <c r="G99" s="24">
        <v>1.0744266648662029E-2</v>
      </c>
      <c r="H99" s="14">
        <f t="shared" si="0"/>
        <v>0.507805917339058</v>
      </c>
      <c r="I99" s="18">
        <v>5.1529999999999996</v>
      </c>
      <c r="J99" s="18">
        <v>7.3769999999999998</v>
      </c>
      <c r="L99" s="8"/>
    </row>
    <row r="100" spans="1:12" x14ac:dyDescent="0.3">
      <c r="A100" s="5">
        <v>45740</v>
      </c>
      <c r="B100" s="3" t="s">
        <v>43</v>
      </c>
      <c r="C100" s="6">
        <v>4.390877818830425E-2</v>
      </c>
      <c r="D100" s="9">
        <v>1.6093342074447094E-2</v>
      </c>
      <c r="E100" s="24">
        <v>3.5883467550923726E-2</v>
      </c>
      <c r="F100" s="18">
        <v>5.0730000000000004</v>
      </c>
      <c r="G100" s="24">
        <v>7.8140121081178363E-3</v>
      </c>
      <c r="H100" s="14">
        <f t="shared" si="0"/>
        <v>1.1628307339577111</v>
      </c>
      <c r="I100" s="18">
        <v>6.9020000000000001</v>
      </c>
      <c r="J100" s="18">
        <v>4.9180000000000001</v>
      </c>
      <c r="L100" s="8"/>
    </row>
    <row r="101" spans="1:12" x14ac:dyDescent="0.3">
      <c r="A101" s="5">
        <v>45740</v>
      </c>
      <c r="B101" s="3" t="s">
        <v>44</v>
      </c>
      <c r="C101" s="6">
        <v>2.1954389094152107E-2</v>
      </c>
      <c r="D101" s="9">
        <v>1.5244146264572789E-2</v>
      </c>
      <c r="E101" s="24">
        <v>2.3922311700615831E-2</v>
      </c>
      <c r="F101" s="18">
        <v>5.0170000000000003</v>
      </c>
      <c r="G101" s="24">
        <v>6.3488848378457516E-2</v>
      </c>
      <c r="H101" s="14">
        <f t="shared" si="0"/>
        <v>1.1897713936746412</v>
      </c>
      <c r="I101" s="18">
        <v>7.5839999999999996</v>
      </c>
      <c r="J101" s="18">
        <v>5.4020000000000001</v>
      </c>
      <c r="L101" s="8"/>
    </row>
    <row r="102" spans="1:12" x14ac:dyDescent="0.3">
      <c r="A102" s="5">
        <v>45740</v>
      </c>
      <c r="B102" s="3" t="s">
        <v>45</v>
      </c>
      <c r="C102" s="6">
        <v>2.1954389094152107E-2</v>
      </c>
      <c r="D102" s="9">
        <v>1.5331055850926607E-2</v>
      </c>
      <c r="E102" s="24">
        <v>2.1530080530554264E-2</v>
      </c>
      <c r="F102" s="18">
        <v>3.4710000000000001</v>
      </c>
      <c r="G102" s="24">
        <v>-9.7675151351474471E-4</v>
      </c>
      <c r="H102" s="14">
        <f t="shared" si="0"/>
        <v>0.78979116523479809</v>
      </c>
      <c r="I102" s="18">
        <v>5.2210000000000001</v>
      </c>
      <c r="J102" s="18">
        <v>4.819</v>
      </c>
      <c r="L102" s="8"/>
    </row>
    <row r="103" spans="1:12" x14ac:dyDescent="0.3">
      <c r="A103" s="5">
        <v>45740</v>
      </c>
      <c r="B103" s="3" t="s">
        <v>46</v>
      </c>
      <c r="C103" s="6">
        <v>5.305644031086762E-2</v>
      </c>
      <c r="D103" s="9">
        <v>1.5901589703631928E-2</v>
      </c>
      <c r="E103" s="24">
        <v>4.1864045476077694E-2</v>
      </c>
      <c r="F103" s="18">
        <v>5.032</v>
      </c>
      <c r="G103" s="24">
        <v>1.5628024216235673E-2</v>
      </c>
      <c r="H103" s="14">
        <f t="shared" si="0"/>
        <v>1.1614583531688565</v>
      </c>
      <c r="I103" s="20">
        <v>11.744999999999999</v>
      </c>
      <c r="J103" s="18">
        <v>6.9160000000000004</v>
      </c>
      <c r="L103" s="8"/>
    </row>
  </sheetData>
  <autoFilter ref="A1:L103"/>
  <sortState ref="A2:L281">
    <sortCondition ref="A2:A281"/>
    <sortCondition ref="B2:B281"/>
  </sortState>
  <pageMargins left="0.7" right="0.7" top="0.78740157499999996" bottom="0.78740157499999996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83"/>
  <sheetViews>
    <sheetView zoomScaleNormal="100" workbookViewId="0">
      <pane xSplit="2" ySplit="1" topLeftCell="C62" activePane="bottomRight" state="frozen"/>
      <selection activeCell="C2" sqref="C2"/>
      <selection pane="topRight" activeCell="C2" sqref="C2"/>
      <selection pane="bottomLeft" activeCell="C2" sqref="C2"/>
      <selection pane="bottomRight" activeCell="A84" sqref="A84:XFD1082"/>
    </sheetView>
  </sheetViews>
  <sheetFormatPr baseColWidth="10" defaultRowHeight="15.6" x14ac:dyDescent="0.3"/>
  <cols>
    <col min="1" max="1" width="14.09765625" style="2" customWidth="1"/>
    <col min="2" max="2" width="8.59765625" style="3" customWidth="1"/>
    <col min="3" max="10" width="9.59765625" style="3" customWidth="1"/>
    <col min="11" max="11" width="13.3984375" style="3" customWidth="1"/>
    <col min="12" max="15" width="9.59765625" style="3" customWidth="1"/>
    <col min="16" max="16" width="10.59765625" style="3" customWidth="1"/>
    <col min="17" max="17" width="13.59765625" style="3" customWidth="1"/>
    <col min="18" max="18" width="53.59765625" style="1" bestFit="1" customWidth="1"/>
  </cols>
  <sheetData>
    <row r="1" spans="1:18" x14ac:dyDescent="0.3">
      <c r="A1" s="2" t="s">
        <v>0</v>
      </c>
      <c r="B1" s="3" t="s">
        <v>1</v>
      </c>
      <c r="C1" s="4" t="s">
        <v>21</v>
      </c>
      <c r="D1" s="4" t="s">
        <v>22</v>
      </c>
      <c r="E1" s="4" t="s">
        <v>23</v>
      </c>
      <c r="F1" s="4" t="s">
        <v>24</v>
      </c>
      <c r="G1" s="4" t="s">
        <v>25</v>
      </c>
      <c r="H1" s="4" t="s">
        <v>26</v>
      </c>
      <c r="I1" s="4" t="s">
        <v>11</v>
      </c>
      <c r="J1" s="4" t="s">
        <v>12</v>
      </c>
      <c r="K1" s="4" t="s">
        <v>13</v>
      </c>
      <c r="L1" s="4" t="s">
        <v>14</v>
      </c>
      <c r="M1" s="4" t="s">
        <v>15</v>
      </c>
      <c r="N1" s="4" t="s">
        <v>16</v>
      </c>
      <c r="O1" s="4" t="s">
        <v>17</v>
      </c>
      <c r="P1" s="4" t="s">
        <v>18</v>
      </c>
      <c r="Q1" s="4" t="s">
        <v>19</v>
      </c>
    </row>
    <row r="2" spans="1:18" x14ac:dyDescent="0.3">
      <c r="A2" s="5">
        <v>45670</v>
      </c>
      <c r="B2" s="3" t="s">
        <v>27</v>
      </c>
      <c r="C2" s="11"/>
      <c r="D2" s="12"/>
      <c r="E2" s="13"/>
      <c r="F2" s="12"/>
      <c r="G2" s="11"/>
      <c r="H2" s="12"/>
      <c r="O2" s="12"/>
    </row>
    <row r="3" spans="1:18" x14ac:dyDescent="0.3">
      <c r="A3" s="5">
        <v>45670</v>
      </c>
      <c r="B3" s="3" t="s">
        <v>28</v>
      </c>
      <c r="C3" s="11"/>
      <c r="D3" s="12"/>
      <c r="E3" s="13"/>
      <c r="F3" s="12"/>
      <c r="G3" s="11"/>
      <c r="H3" s="12"/>
      <c r="O3" s="12"/>
    </row>
    <row r="4" spans="1:18" x14ac:dyDescent="0.3">
      <c r="A4" s="5">
        <v>45670</v>
      </c>
      <c r="B4" s="3" t="s">
        <v>29</v>
      </c>
      <c r="C4" s="11"/>
      <c r="D4" s="12"/>
      <c r="E4" s="13"/>
      <c r="F4" s="12"/>
      <c r="G4" s="11"/>
      <c r="H4" s="12"/>
      <c r="O4" s="12"/>
    </row>
    <row r="5" spans="1:18" x14ac:dyDescent="0.3">
      <c r="A5" s="5">
        <v>45670</v>
      </c>
      <c r="B5" s="3" t="s">
        <v>30</v>
      </c>
      <c r="C5" s="11"/>
      <c r="D5" s="12"/>
      <c r="E5" s="13"/>
      <c r="F5" s="12"/>
      <c r="G5" s="11"/>
      <c r="H5" s="12"/>
      <c r="O5" s="12"/>
    </row>
    <row r="6" spans="1:18" x14ac:dyDescent="0.3">
      <c r="A6" s="5">
        <v>45670</v>
      </c>
      <c r="B6" s="3" t="s">
        <v>31</v>
      </c>
      <c r="C6" s="11"/>
      <c r="D6" s="12"/>
      <c r="E6" s="13"/>
      <c r="F6" s="12"/>
      <c r="G6" s="11"/>
      <c r="H6" s="12"/>
      <c r="O6" s="12"/>
      <c r="R6" s="1" t="s">
        <v>47</v>
      </c>
    </row>
    <row r="7" spans="1:18" x14ac:dyDescent="0.3">
      <c r="A7" s="5">
        <v>45670</v>
      </c>
      <c r="B7" s="3" t="s">
        <v>32</v>
      </c>
      <c r="C7" s="11"/>
      <c r="D7" s="12"/>
      <c r="E7" s="13"/>
      <c r="F7" s="12"/>
      <c r="G7" s="11"/>
      <c r="H7" s="12"/>
      <c r="O7" s="12"/>
    </row>
    <row r="8" spans="1:18" x14ac:dyDescent="0.3">
      <c r="A8" s="5">
        <v>45670</v>
      </c>
      <c r="B8" s="3" t="s">
        <v>33</v>
      </c>
      <c r="C8" s="11"/>
      <c r="D8" s="12"/>
      <c r="E8" s="13"/>
      <c r="F8" s="12"/>
      <c r="G8" s="11"/>
      <c r="H8" s="12"/>
      <c r="O8" s="12"/>
    </row>
    <row r="9" spans="1:18" x14ac:dyDescent="0.3">
      <c r="A9" s="5">
        <v>45670</v>
      </c>
      <c r="B9" s="3" t="s">
        <v>34</v>
      </c>
      <c r="C9" s="11"/>
      <c r="D9" s="12"/>
      <c r="E9" s="13"/>
      <c r="F9" s="12"/>
      <c r="G9" s="11"/>
      <c r="H9" s="12"/>
      <c r="O9" s="12"/>
    </row>
    <row r="10" spans="1:18" x14ac:dyDescent="0.3">
      <c r="A10" s="5">
        <v>45670</v>
      </c>
      <c r="B10" s="3" t="s">
        <v>35</v>
      </c>
      <c r="C10" s="11"/>
      <c r="D10" s="12"/>
      <c r="E10" s="13"/>
      <c r="F10" s="12"/>
      <c r="G10" s="11"/>
      <c r="H10" s="12"/>
      <c r="O10" s="12"/>
    </row>
    <row r="11" spans="1:18" x14ac:dyDescent="0.3">
      <c r="A11" s="5">
        <v>45670</v>
      </c>
      <c r="B11" s="3" t="s">
        <v>36</v>
      </c>
      <c r="C11" s="11"/>
      <c r="D11" s="12"/>
      <c r="E11" s="13"/>
      <c r="F11" s="12"/>
      <c r="G11" s="11"/>
      <c r="H11" s="12"/>
      <c r="O11" s="12"/>
    </row>
    <row r="12" spans="1:18" x14ac:dyDescent="0.3">
      <c r="A12" s="5">
        <v>45670</v>
      </c>
      <c r="B12" s="3" t="s">
        <v>37</v>
      </c>
      <c r="C12" s="11"/>
      <c r="D12" s="12"/>
      <c r="E12" s="13"/>
      <c r="F12" s="12"/>
      <c r="G12" s="11"/>
      <c r="H12" s="12"/>
      <c r="O12" s="12"/>
    </row>
    <row r="13" spans="1:18" x14ac:dyDescent="0.3">
      <c r="A13" s="5">
        <v>45670</v>
      </c>
      <c r="B13" s="3" t="s">
        <v>38</v>
      </c>
      <c r="C13" s="11"/>
      <c r="D13" s="12"/>
      <c r="E13" s="13"/>
      <c r="F13" s="12"/>
      <c r="G13" s="11"/>
      <c r="H13" s="12"/>
      <c r="O13" s="12"/>
    </row>
    <row r="14" spans="1:18" x14ac:dyDescent="0.3">
      <c r="A14" s="5">
        <v>45670</v>
      </c>
      <c r="B14" s="3" t="s">
        <v>39</v>
      </c>
      <c r="C14" s="11"/>
      <c r="D14" s="12"/>
      <c r="E14" s="13"/>
      <c r="F14" s="12"/>
      <c r="G14" s="11"/>
      <c r="H14" s="12"/>
      <c r="O14" s="12"/>
    </row>
    <row r="15" spans="1:18" x14ac:dyDescent="0.3">
      <c r="A15" s="5">
        <v>45670</v>
      </c>
      <c r="B15" s="3" t="s">
        <v>40</v>
      </c>
      <c r="C15" s="11"/>
      <c r="D15" s="12"/>
      <c r="E15" s="13"/>
      <c r="F15" s="12"/>
      <c r="G15" s="11"/>
      <c r="H15" s="12"/>
      <c r="O15" s="12"/>
    </row>
    <row r="16" spans="1:18" x14ac:dyDescent="0.3">
      <c r="A16" s="5">
        <v>45670</v>
      </c>
      <c r="B16" s="3" t="s">
        <v>41</v>
      </c>
      <c r="C16" s="11"/>
      <c r="D16" s="12"/>
      <c r="E16" s="13"/>
      <c r="F16" s="12"/>
      <c r="G16" s="11"/>
      <c r="H16" s="12"/>
      <c r="O16" s="12"/>
    </row>
    <row r="17" spans="1:15" x14ac:dyDescent="0.3">
      <c r="A17" s="5">
        <v>45670</v>
      </c>
      <c r="B17" s="3" t="s">
        <v>42</v>
      </c>
      <c r="C17" s="11"/>
      <c r="D17" s="12"/>
      <c r="E17" s="13"/>
      <c r="F17" s="12"/>
      <c r="G17" s="11"/>
      <c r="H17" s="12"/>
      <c r="O17" s="12"/>
    </row>
    <row r="18" spans="1:15" x14ac:dyDescent="0.3">
      <c r="A18" s="5">
        <v>45670</v>
      </c>
      <c r="B18" s="3" t="s">
        <v>43</v>
      </c>
      <c r="C18" s="11"/>
      <c r="D18" s="12"/>
      <c r="E18" s="13"/>
      <c r="F18" s="12"/>
      <c r="G18" s="11"/>
      <c r="H18" s="12"/>
      <c r="O18" s="12"/>
    </row>
    <row r="19" spans="1:15" x14ac:dyDescent="0.3">
      <c r="A19" s="5">
        <v>45670</v>
      </c>
      <c r="B19" s="3" t="s">
        <v>44</v>
      </c>
      <c r="C19" s="11"/>
      <c r="D19" s="12"/>
      <c r="E19" s="13"/>
      <c r="F19" s="12"/>
      <c r="G19" s="11"/>
      <c r="H19" s="12"/>
      <c r="O19" s="12"/>
    </row>
    <row r="20" spans="1:15" x14ac:dyDescent="0.3">
      <c r="A20" s="5">
        <v>45670</v>
      </c>
      <c r="B20" s="3" t="s">
        <v>45</v>
      </c>
      <c r="C20" s="11"/>
      <c r="D20" s="12"/>
      <c r="E20" s="13"/>
      <c r="F20" s="12"/>
      <c r="G20" s="11"/>
      <c r="H20" s="12"/>
      <c r="O20" s="12"/>
    </row>
    <row r="21" spans="1:15" x14ac:dyDescent="0.3">
      <c r="A21" s="5">
        <v>45670</v>
      </c>
      <c r="B21" s="3" t="s">
        <v>46</v>
      </c>
      <c r="C21" s="11"/>
      <c r="D21" s="12"/>
      <c r="E21" s="13"/>
      <c r="F21" s="12"/>
      <c r="G21" s="11"/>
      <c r="H21" s="12"/>
      <c r="O21" s="12"/>
    </row>
    <row r="22" spans="1:15" x14ac:dyDescent="0.3">
      <c r="A22" s="5">
        <v>45698</v>
      </c>
      <c r="B22" s="3" t="s">
        <v>27</v>
      </c>
      <c r="C22" s="11"/>
      <c r="D22" s="12"/>
      <c r="E22" s="13"/>
      <c r="F22" s="12"/>
      <c r="G22" s="11"/>
      <c r="H22" s="12"/>
      <c r="O22" s="12"/>
    </row>
    <row r="23" spans="1:15" x14ac:dyDescent="0.3">
      <c r="A23" s="5">
        <v>45698</v>
      </c>
      <c r="B23" s="3" t="s">
        <v>28</v>
      </c>
      <c r="C23" s="11"/>
      <c r="D23" s="12"/>
      <c r="E23" s="13"/>
      <c r="F23" s="12"/>
      <c r="G23" s="11"/>
      <c r="H23" s="12"/>
      <c r="O23" s="12"/>
    </row>
    <row r="24" spans="1:15" x14ac:dyDescent="0.3">
      <c r="A24" s="5">
        <v>45698</v>
      </c>
      <c r="B24" s="3" t="s">
        <v>29</v>
      </c>
      <c r="C24" s="11"/>
      <c r="D24" s="12"/>
      <c r="E24" s="13"/>
      <c r="F24" s="12"/>
      <c r="G24" s="11"/>
      <c r="H24" s="12"/>
      <c r="O24" s="12"/>
    </row>
    <row r="25" spans="1:15" x14ac:dyDescent="0.3">
      <c r="A25" s="5">
        <v>45698</v>
      </c>
      <c r="B25" s="3" t="s">
        <v>30</v>
      </c>
      <c r="C25" s="11"/>
      <c r="D25" s="12"/>
      <c r="E25" s="13"/>
      <c r="F25" s="12"/>
      <c r="G25" s="11"/>
      <c r="H25" s="12"/>
      <c r="O25" s="12"/>
    </row>
    <row r="26" spans="1:15" x14ac:dyDescent="0.3">
      <c r="A26" s="5">
        <v>45698</v>
      </c>
      <c r="B26" s="3" t="s">
        <v>31</v>
      </c>
      <c r="C26" s="11"/>
      <c r="D26" s="12"/>
      <c r="E26" s="13"/>
      <c r="F26" s="12"/>
      <c r="G26" s="11"/>
      <c r="H26" s="12"/>
      <c r="O26" s="12"/>
    </row>
    <row r="27" spans="1:15" x14ac:dyDescent="0.3">
      <c r="A27" s="5">
        <v>45698</v>
      </c>
      <c r="B27" s="3" t="s">
        <v>32</v>
      </c>
      <c r="C27" s="11"/>
      <c r="D27" s="12"/>
      <c r="E27" s="13"/>
      <c r="F27" s="12"/>
      <c r="G27" s="11"/>
      <c r="H27" s="12"/>
      <c r="O27" s="12"/>
    </row>
    <row r="28" spans="1:15" x14ac:dyDescent="0.3">
      <c r="A28" s="5">
        <v>45698</v>
      </c>
      <c r="B28" s="3" t="s">
        <v>33</v>
      </c>
      <c r="C28" s="11"/>
      <c r="D28" s="12"/>
      <c r="E28" s="13"/>
      <c r="F28" s="12"/>
      <c r="G28" s="11"/>
      <c r="H28" s="12"/>
      <c r="O28" s="12"/>
    </row>
    <row r="29" spans="1:15" x14ac:dyDescent="0.3">
      <c r="A29" s="5">
        <v>45698</v>
      </c>
      <c r="B29" s="3" t="s">
        <v>34</v>
      </c>
      <c r="C29" s="11"/>
      <c r="D29" s="12"/>
      <c r="E29" s="13"/>
      <c r="F29" s="12"/>
      <c r="G29" s="11"/>
      <c r="H29" s="12"/>
      <c r="O29" s="12"/>
    </row>
    <row r="30" spans="1:15" x14ac:dyDescent="0.3">
      <c r="A30" s="5">
        <v>45698</v>
      </c>
      <c r="B30" s="3" t="s">
        <v>35</v>
      </c>
      <c r="C30" s="11"/>
      <c r="D30" s="12"/>
      <c r="E30" s="13"/>
      <c r="F30" s="12"/>
      <c r="G30" s="11"/>
      <c r="H30" s="12"/>
      <c r="O30" s="12"/>
    </row>
    <row r="31" spans="1:15" x14ac:dyDescent="0.3">
      <c r="A31" s="5">
        <v>45698</v>
      </c>
      <c r="B31" s="3" t="s">
        <v>36</v>
      </c>
      <c r="C31" s="11"/>
      <c r="D31" s="12"/>
      <c r="E31" s="13"/>
      <c r="F31" s="12"/>
      <c r="G31" s="11"/>
      <c r="H31" s="12"/>
      <c r="O31" s="12"/>
    </row>
    <row r="32" spans="1:15" x14ac:dyDescent="0.3">
      <c r="A32" s="5">
        <v>45698</v>
      </c>
      <c r="B32" s="3" t="s">
        <v>37</v>
      </c>
      <c r="C32" s="11"/>
      <c r="D32" s="12"/>
      <c r="E32" s="13"/>
      <c r="F32" s="12"/>
      <c r="G32" s="11"/>
      <c r="H32" s="12"/>
      <c r="O32" s="12"/>
    </row>
    <row r="33" spans="1:18" x14ac:dyDescent="0.3">
      <c r="A33" s="5">
        <v>45698</v>
      </c>
      <c r="B33" s="3" t="s">
        <v>38</v>
      </c>
      <c r="C33" s="11"/>
      <c r="D33" s="12"/>
      <c r="E33" s="13"/>
      <c r="F33" s="12"/>
      <c r="G33" s="11"/>
      <c r="H33" s="12"/>
      <c r="O33" s="12"/>
    </row>
    <row r="34" spans="1:18" x14ac:dyDescent="0.3">
      <c r="A34" s="5">
        <v>45698</v>
      </c>
      <c r="B34" s="3" t="s">
        <v>39</v>
      </c>
      <c r="C34" s="11"/>
      <c r="D34" s="12"/>
      <c r="E34" s="13"/>
      <c r="F34" s="12"/>
      <c r="G34" s="11"/>
      <c r="H34" s="12"/>
      <c r="O34" s="12"/>
    </row>
    <row r="35" spans="1:18" x14ac:dyDescent="0.3">
      <c r="A35" s="5">
        <v>45698</v>
      </c>
      <c r="B35" s="3" t="s">
        <v>40</v>
      </c>
      <c r="C35" s="11"/>
      <c r="D35" s="12"/>
      <c r="E35" s="13"/>
      <c r="F35" s="12"/>
      <c r="G35" s="11"/>
      <c r="H35" s="12"/>
      <c r="O35" s="12"/>
    </row>
    <row r="36" spans="1:18" x14ac:dyDescent="0.3">
      <c r="A36" s="5">
        <v>45698</v>
      </c>
      <c r="B36" s="3" t="s">
        <v>41</v>
      </c>
      <c r="C36" s="11"/>
      <c r="D36" s="12"/>
      <c r="E36" s="13"/>
      <c r="F36" s="12"/>
      <c r="G36" s="11"/>
      <c r="H36" s="12"/>
      <c r="O36" s="12"/>
    </row>
    <row r="37" spans="1:18" x14ac:dyDescent="0.3">
      <c r="A37" s="5">
        <v>45698</v>
      </c>
      <c r="B37" s="3" t="s">
        <v>42</v>
      </c>
      <c r="C37" s="11"/>
      <c r="D37" s="12"/>
      <c r="E37" s="13"/>
      <c r="F37" s="12"/>
      <c r="G37" s="11"/>
      <c r="H37" s="12"/>
      <c r="O37" s="12"/>
    </row>
    <row r="38" spans="1:18" x14ac:dyDescent="0.3">
      <c r="A38" s="5">
        <v>45698</v>
      </c>
      <c r="B38" s="3" t="s">
        <v>43</v>
      </c>
      <c r="C38" s="11"/>
      <c r="D38" s="12"/>
      <c r="E38" s="13"/>
      <c r="F38" s="12"/>
      <c r="G38" s="11"/>
      <c r="H38" s="12"/>
      <c r="O38" s="12"/>
    </row>
    <row r="39" spans="1:18" x14ac:dyDescent="0.3">
      <c r="A39" s="5">
        <v>45698</v>
      </c>
      <c r="B39" s="3" t="s">
        <v>44</v>
      </c>
      <c r="C39" s="11"/>
      <c r="D39" s="12"/>
      <c r="E39" s="13"/>
      <c r="F39" s="12"/>
      <c r="G39" s="11"/>
      <c r="H39" s="12"/>
      <c r="O39" s="12"/>
    </row>
    <row r="40" spans="1:18" x14ac:dyDescent="0.3">
      <c r="A40" s="5">
        <v>45698</v>
      </c>
      <c r="B40" s="3" t="s">
        <v>45</v>
      </c>
      <c r="C40" s="11"/>
      <c r="D40" s="12"/>
      <c r="E40" s="13"/>
      <c r="F40" s="12"/>
      <c r="G40" s="11"/>
      <c r="H40" s="12"/>
      <c r="O40" s="12"/>
    </row>
    <row r="41" spans="1:18" x14ac:dyDescent="0.3">
      <c r="A41" s="5">
        <v>45698</v>
      </c>
      <c r="B41" s="3" t="s">
        <v>46</v>
      </c>
      <c r="C41" s="11"/>
      <c r="D41" s="12"/>
      <c r="E41" s="13"/>
      <c r="F41" s="12"/>
      <c r="G41" s="11"/>
      <c r="H41" s="12"/>
      <c r="O41" s="12"/>
    </row>
    <row r="42" spans="1:18" x14ac:dyDescent="0.3">
      <c r="A42" s="5">
        <v>45726</v>
      </c>
      <c r="B42" s="3" t="s">
        <v>27</v>
      </c>
      <c r="C42" s="10">
        <v>7.6723800724652593E-6</v>
      </c>
      <c r="D42" s="9">
        <v>2.8366984123438197E-4</v>
      </c>
      <c r="E42" s="9">
        <v>5.2527483687909146E-2</v>
      </c>
      <c r="F42" s="9">
        <v>9.4076866898680197E-4</v>
      </c>
      <c r="G42" s="9">
        <v>7.3238157950937326E-6</v>
      </c>
      <c r="H42" s="9">
        <v>1.7095991369735465E-3</v>
      </c>
      <c r="J42" s="7">
        <v>13.118416271041999</v>
      </c>
      <c r="K42" s="22">
        <v>7.4316290821576798</v>
      </c>
      <c r="L42" s="8">
        <v>4.5532329294062199</v>
      </c>
      <c r="M42" s="8">
        <v>2.1543204604067765</v>
      </c>
      <c r="O42" s="9">
        <v>4.1122429015094646E-5</v>
      </c>
      <c r="P42" s="7">
        <v>44.164000000000001</v>
      </c>
      <c r="R42" s="1" t="s">
        <v>49</v>
      </c>
    </row>
    <row r="43" spans="1:18" x14ac:dyDescent="0.3">
      <c r="A43" s="5">
        <v>45726</v>
      </c>
      <c r="B43" s="3" t="s">
        <v>28</v>
      </c>
      <c r="C43" s="10">
        <v>6.6914337206108449E-6</v>
      </c>
      <c r="D43" s="9">
        <v>2.915730101870283E-4</v>
      </c>
      <c r="E43" s="9">
        <v>5.5518221958930941E-2</v>
      </c>
      <c r="F43" s="9">
        <v>9.5608661215668654E-4</v>
      </c>
      <c r="G43" s="9">
        <v>8.2892366113430281E-6</v>
      </c>
      <c r="H43" s="9">
        <v>1.3635693149188657E-3</v>
      </c>
      <c r="J43" s="7">
        <v>14.158539611588701</v>
      </c>
      <c r="K43" s="22">
        <v>7.2007549922868996</v>
      </c>
      <c r="L43" s="8">
        <v>4.7259485289209398</v>
      </c>
      <c r="M43" s="8">
        <v>2.242546519140491</v>
      </c>
      <c r="O43" s="9">
        <v>4.3378819716562779E-5</v>
      </c>
      <c r="P43" s="7">
        <v>48.068000000000005</v>
      </c>
      <c r="R43" s="1" t="s">
        <v>49</v>
      </c>
    </row>
    <row r="44" spans="1:18" x14ac:dyDescent="0.3">
      <c r="A44" s="5">
        <v>45726</v>
      </c>
      <c r="B44" s="3" t="s">
        <v>29</v>
      </c>
      <c r="C44" s="10">
        <v>3.1179930157234489E-6</v>
      </c>
      <c r="D44" s="9">
        <v>1.5896413948373038E-4</v>
      </c>
      <c r="E44" s="9">
        <v>4.593049044565347E-2</v>
      </c>
      <c r="F44" s="9">
        <v>6.9302747227562261E-4</v>
      </c>
      <c r="G44" s="9">
        <v>3.1958315315375683E-6</v>
      </c>
      <c r="H44" s="9">
        <v>3.0856713031734382E-4</v>
      </c>
      <c r="J44" s="8">
        <v>9.87994741902925</v>
      </c>
      <c r="K44" s="23">
        <v>10.5762525374278</v>
      </c>
      <c r="L44" s="8">
        <v>5.5802645692694499</v>
      </c>
      <c r="M44" s="8">
        <v>0.78055951948561342</v>
      </c>
      <c r="O44" s="9">
        <v>4.6512997284309514E-5</v>
      </c>
      <c r="P44" s="7">
        <v>52.704000000000001</v>
      </c>
      <c r="R44" s="1" t="s">
        <v>49</v>
      </c>
    </row>
    <row r="45" spans="1:18" x14ac:dyDescent="0.3">
      <c r="A45" s="5">
        <v>45726</v>
      </c>
      <c r="B45" s="3" t="s">
        <v>30</v>
      </c>
      <c r="C45" s="10">
        <v>1.6816130741566508E-6</v>
      </c>
      <c r="D45" s="9">
        <v>2.2299243681798899E-4</v>
      </c>
      <c r="E45" s="9">
        <v>4.7832189502545419E-2</v>
      </c>
      <c r="F45" s="9">
        <v>6.3790799146275386E-4</v>
      </c>
      <c r="G45" s="9">
        <v>5.126659018916353E-6</v>
      </c>
      <c r="H45" s="9">
        <v>3.1298874773719637E-4</v>
      </c>
      <c r="J45" s="7">
        <v>10.7192706648966</v>
      </c>
      <c r="K45" s="23">
        <v>11.151034220406</v>
      </c>
      <c r="L45" s="8">
        <v>6.1410079998189904</v>
      </c>
      <c r="M45" s="8">
        <v>0.90571344978717205</v>
      </c>
      <c r="O45" s="9">
        <v>2.3853445949185294E-5</v>
      </c>
      <c r="P45" s="7">
        <v>57.583999999999996</v>
      </c>
      <c r="R45" s="1" t="s">
        <v>49</v>
      </c>
    </row>
    <row r="46" spans="1:18" x14ac:dyDescent="0.3">
      <c r="A46" s="5">
        <v>45726</v>
      </c>
      <c r="B46" s="3" t="s">
        <v>31</v>
      </c>
      <c r="C46" s="10">
        <v>1.7166467861370094E-6</v>
      </c>
      <c r="D46" s="9">
        <v>2.63916647895303E-4</v>
      </c>
      <c r="E46" s="9">
        <v>0.13929386949587128</v>
      </c>
      <c r="F46" s="9">
        <v>1.549709012517345E-3</v>
      </c>
      <c r="G46" s="9">
        <v>8.1560764916768989E-6</v>
      </c>
      <c r="H46" s="9">
        <v>7.8256477614767307E-4</v>
      </c>
      <c r="J46" s="7">
        <v>55.735216037782401</v>
      </c>
      <c r="K46" s="23">
        <v>26.751926883644799</v>
      </c>
      <c r="L46" s="7">
        <v>22.440626495503501</v>
      </c>
      <c r="M46" s="8">
        <v>3.218191621704781</v>
      </c>
      <c r="O46" s="9">
        <v>3.7788835857855096E-5</v>
      </c>
      <c r="P46" s="7">
        <v>170.79999999999998</v>
      </c>
      <c r="R46" s="1" t="s">
        <v>49</v>
      </c>
    </row>
    <row r="47" spans="1:18" x14ac:dyDescent="0.3">
      <c r="A47" s="5">
        <v>45726</v>
      </c>
      <c r="B47" s="3" t="s">
        <v>32</v>
      </c>
      <c r="C47" s="10">
        <v>1.6816131428226157E-6</v>
      </c>
      <c r="D47" s="9">
        <v>2.6961592204225132E-4</v>
      </c>
      <c r="E47" s="9">
        <v>0.13644990473107979</v>
      </c>
      <c r="F47" s="9">
        <v>1.5231314744071876E-3</v>
      </c>
      <c r="G47" s="9">
        <v>9.587565117860039E-6</v>
      </c>
      <c r="H47" s="9">
        <v>9.8951816005899578E-4</v>
      </c>
      <c r="J47" s="7">
        <v>55.101684906466502</v>
      </c>
      <c r="K47" s="23">
        <v>27.589500580492299</v>
      </c>
      <c r="L47" s="7">
        <v>22.856137866461602</v>
      </c>
      <c r="M47" s="8">
        <v>3.1229772530172375</v>
      </c>
      <c r="O47" s="9">
        <v>4.1732661338404836E-5</v>
      </c>
      <c r="P47" s="7">
        <v>224.96800000000002</v>
      </c>
      <c r="R47" s="1" t="s">
        <v>49</v>
      </c>
    </row>
    <row r="48" spans="1:18" x14ac:dyDescent="0.3">
      <c r="A48" s="5">
        <v>45726</v>
      </c>
      <c r="B48" s="3" t="s">
        <v>33</v>
      </c>
      <c r="C48" s="10">
        <v>5.7455230426337651E-6</v>
      </c>
      <c r="D48" s="9">
        <v>2.0074382890605049E-4</v>
      </c>
      <c r="E48" s="9">
        <v>5.4248268888426703E-2</v>
      </c>
      <c r="F48" s="9">
        <v>1.5082687325280837E-3</v>
      </c>
      <c r="G48" s="9">
        <v>8.5888570312401666E-6</v>
      </c>
      <c r="H48" s="9">
        <v>4.3957640340205932E-4</v>
      </c>
      <c r="J48" s="7">
        <v>13.9763978509521</v>
      </c>
      <c r="K48" s="22">
        <v>7.3424460437289198</v>
      </c>
      <c r="L48" s="8">
        <v>6.2088039841945903</v>
      </c>
      <c r="M48" s="8">
        <v>1.278425721018758</v>
      </c>
      <c r="O48" s="9">
        <v>2.8297423612165155E-5</v>
      </c>
      <c r="P48" s="7">
        <v>42.455999999999996</v>
      </c>
      <c r="R48" s="1" t="s">
        <v>49</v>
      </c>
    </row>
    <row r="49" spans="1:18" x14ac:dyDescent="0.3">
      <c r="A49" s="5">
        <v>45726</v>
      </c>
      <c r="B49" s="3" t="s">
        <v>34</v>
      </c>
      <c r="C49" s="10">
        <v>7.4621771727756756E-6</v>
      </c>
      <c r="D49" s="9">
        <v>1.9209178578873614E-4</v>
      </c>
      <c r="E49" s="9">
        <v>6.0554277551794024E-2</v>
      </c>
      <c r="F49" s="9">
        <v>1.4756028048787931E-3</v>
      </c>
      <c r="G49" s="9">
        <v>4.7937558029256538E-6</v>
      </c>
      <c r="H49" s="9">
        <v>5.2729729906979023E-4</v>
      </c>
      <c r="J49" s="7">
        <v>18.072202136127601</v>
      </c>
      <c r="K49" s="22">
        <v>7.1182372170359303</v>
      </c>
      <c r="L49" s="8">
        <v>5.9435412538770001</v>
      </c>
      <c r="M49" s="8">
        <v>1.3825746854771859</v>
      </c>
      <c r="O49" s="9">
        <v>3.3445977564926397E-5</v>
      </c>
      <c r="P49" s="7">
        <v>52.704000000000001</v>
      </c>
      <c r="R49" s="1" t="s">
        <v>49</v>
      </c>
    </row>
    <row r="50" spans="1:18" x14ac:dyDescent="0.3">
      <c r="A50" s="5">
        <v>45726</v>
      </c>
      <c r="B50" s="3" t="s">
        <v>35</v>
      </c>
      <c r="C50" s="10">
        <v>1.9618821781641204E-6</v>
      </c>
      <c r="D50" s="9">
        <v>1.7816918718014036E-4</v>
      </c>
      <c r="E50" s="9">
        <v>7.242115567141677E-2</v>
      </c>
      <c r="F50" s="9">
        <v>7.722833191685126E-4</v>
      </c>
      <c r="G50" s="9">
        <v>4.6605954735168713E-6</v>
      </c>
      <c r="H50" s="9">
        <v>4.0008735728635819E-4</v>
      </c>
      <c r="J50" s="7">
        <v>22.712693343875198</v>
      </c>
      <c r="K50" s="23">
        <v>16.518136225266101</v>
      </c>
      <c r="L50" s="8">
        <v>6.09108575588923</v>
      </c>
      <c r="M50" s="8">
        <v>1.2192053714988831</v>
      </c>
      <c r="O50" s="9">
        <v>1.995201508588978E-5</v>
      </c>
      <c r="P50" s="7">
        <v>109.556</v>
      </c>
      <c r="R50" s="1" t="s">
        <v>49</v>
      </c>
    </row>
    <row r="51" spans="1:18" x14ac:dyDescent="0.3">
      <c r="A51" s="5">
        <v>45726</v>
      </c>
      <c r="B51" s="3" t="s">
        <v>36</v>
      </c>
      <c r="C51" s="10">
        <v>5.220016450644754E-6</v>
      </c>
      <c r="D51" s="9">
        <v>2.5684357817416103E-4</v>
      </c>
      <c r="E51" s="9">
        <v>0.11020947807746378</v>
      </c>
      <c r="F51" s="9">
        <v>1.3362824849981712E-3</v>
      </c>
      <c r="G51" s="9">
        <v>3.4123395815659591E-5</v>
      </c>
      <c r="H51" s="9">
        <v>4.3804088654618503E-3</v>
      </c>
      <c r="J51" s="7">
        <v>36.906206859042101</v>
      </c>
      <c r="K51" s="23">
        <v>18.2954321636869</v>
      </c>
      <c r="L51" s="8">
        <v>5.9627143345320599</v>
      </c>
      <c r="M51" s="8">
        <v>1.5129546357926478</v>
      </c>
      <c r="O51" s="9">
        <v>3.2067467599226981E-5</v>
      </c>
      <c r="P51" s="7">
        <v>128.83199999999999</v>
      </c>
      <c r="R51" s="1" t="s">
        <v>49</v>
      </c>
    </row>
    <row r="52" spans="1:18" x14ac:dyDescent="0.3">
      <c r="A52" s="5">
        <v>45726</v>
      </c>
      <c r="B52" s="3" t="s">
        <v>37</v>
      </c>
      <c r="C52" s="10">
        <v>3.0829594868525736E-6</v>
      </c>
      <c r="D52" s="9">
        <v>1.9482537837310035E-4</v>
      </c>
      <c r="E52" s="9">
        <v>7.8660628160377985E-2</v>
      </c>
      <c r="F52" s="9">
        <v>1.0559965730832681E-3</v>
      </c>
      <c r="G52" s="9">
        <v>6.0587838881336401E-6</v>
      </c>
      <c r="H52" s="9">
        <v>9.4261207834125515E-4</v>
      </c>
      <c r="J52" s="7">
        <v>25.629298725245</v>
      </c>
      <c r="K52" s="23">
        <v>18.079077608196901</v>
      </c>
      <c r="L52" s="8">
        <v>6.4605875095643803</v>
      </c>
      <c r="M52" s="8">
        <v>1.2399303413062699</v>
      </c>
      <c r="O52" s="9">
        <v>2.2090998914308705E-5</v>
      </c>
      <c r="P52" s="7">
        <v>126.88000000000001</v>
      </c>
      <c r="R52" s="1" t="s">
        <v>49</v>
      </c>
    </row>
    <row r="53" spans="1:18" x14ac:dyDescent="0.3">
      <c r="A53" s="5">
        <v>45726</v>
      </c>
      <c r="B53" s="3" t="s">
        <v>38</v>
      </c>
      <c r="C53" s="10">
        <v>3.0128920073048564E-6</v>
      </c>
      <c r="D53" s="9">
        <v>2.015854188943843E-4</v>
      </c>
      <c r="E53" s="9">
        <v>7.0461743596898357E-2</v>
      </c>
      <c r="F53" s="9">
        <v>9.9420270891877201E-4</v>
      </c>
      <c r="G53" s="9">
        <v>4.8603361540558952E-6</v>
      </c>
      <c r="H53" s="9">
        <v>7.2126456997607653E-4</v>
      </c>
      <c r="J53" s="7">
        <v>20.782580504352801</v>
      </c>
      <c r="K53" s="23">
        <v>17.842994593950898</v>
      </c>
      <c r="L53" s="8">
        <v>9.0743914681881392</v>
      </c>
      <c r="M53" s="8">
        <v>1.2848619898187978</v>
      </c>
      <c r="O53" s="9">
        <v>2.439198488239584E-5</v>
      </c>
      <c r="P53" s="7">
        <v>98.576000000000008</v>
      </c>
      <c r="R53" s="1" t="s">
        <v>49</v>
      </c>
    </row>
    <row r="54" spans="1:18" x14ac:dyDescent="0.3">
      <c r="A54" s="5">
        <v>45726</v>
      </c>
      <c r="B54" s="3" t="s">
        <v>48</v>
      </c>
      <c r="C54" s="10">
        <v>2.3297572169539345E-5</v>
      </c>
      <c r="D54" s="9">
        <v>9.1368256492961375E-5</v>
      </c>
      <c r="E54" s="9">
        <v>5.028426711947772E-2</v>
      </c>
      <c r="F54" s="9">
        <v>1.2084333008537528E-3</v>
      </c>
      <c r="G54" s="9">
        <v>3.6286020195391717E-6</v>
      </c>
      <c r="H54" s="9">
        <v>1.3793103501525484E-3</v>
      </c>
      <c r="J54" s="7">
        <v>10.093581232480901</v>
      </c>
      <c r="K54" s="22">
        <v>2.41726725295318</v>
      </c>
      <c r="L54" s="8">
        <v>5.1776444810447497</v>
      </c>
      <c r="M54" s="8">
        <v>2.0058320184379341</v>
      </c>
      <c r="O54" s="9">
        <v>1.3987296799032938E-5</v>
      </c>
      <c r="P54" s="7">
        <v>9.2720000000000002</v>
      </c>
      <c r="R54" s="1" t="s">
        <v>49</v>
      </c>
    </row>
    <row r="55" spans="1:18" x14ac:dyDescent="0.3">
      <c r="A55" s="5">
        <v>45726</v>
      </c>
      <c r="B55" s="3" t="s">
        <v>39</v>
      </c>
      <c r="C55" s="10">
        <v>2.3472522971297634E-6</v>
      </c>
      <c r="D55" s="9">
        <v>2.8302281061063722E-4</v>
      </c>
      <c r="E55" s="9">
        <v>0.14728048709528113</v>
      </c>
      <c r="F55" s="9">
        <v>1.6714590199843917E-3</v>
      </c>
      <c r="G55" s="9">
        <v>9.5875654674145495E-6</v>
      </c>
      <c r="H55" s="9">
        <v>8.1671241981974747E-4</v>
      </c>
      <c r="J55" s="7">
        <v>58.854543890431003</v>
      </c>
      <c r="K55" s="23">
        <v>28.655978175492901</v>
      </c>
      <c r="L55" s="7">
        <v>23.4610241579256</v>
      </c>
      <c r="M55" s="8">
        <v>2.9599091066264087</v>
      </c>
      <c r="O55" s="9">
        <v>5.0186086476843546E-5</v>
      </c>
      <c r="P55" s="7">
        <v>253.76000000000002</v>
      </c>
      <c r="R55" s="1" t="s">
        <v>49</v>
      </c>
    </row>
    <row r="56" spans="1:18" x14ac:dyDescent="0.3">
      <c r="A56" s="5">
        <v>45726</v>
      </c>
      <c r="B56" s="3" t="s">
        <v>40</v>
      </c>
      <c r="C56" s="10">
        <v>4.9397493477726057E-6</v>
      </c>
      <c r="D56" s="9">
        <v>2.8072555854328764E-4</v>
      </c>
      <c r="E56" s="9">
        <v>0.1661519575130081</v>
      </c>
      <c r="F56" s="9">
        <v>2.0939584248125648E-3</v>
      </c>
      <c r="G56" s="9">
        <v>1.6412188926526866E-5</v>
      </c>
      <c r="H56" s="9">
        <v>9.5228132802586995E-4</v>
      </c>
      <c r="J56" s="7">
        <v>72.728898241720898</v>
      </c>
      <c r="K56" s="23">
        <v>30.418144865795899</v>
      </c>
      <c r="L56" s="7">
        <v>24.012783163319899</v>
      </c>
      <c r="M56" s="8">
        <v>2.7671038391819107</v>
      </c>
      <c r="O56" s="9">
        <v>6.8953531280178205E-5</v>
      </c>
      <c r="P56" s="7">
        <v>221.79600000000002</v>
      </c>
      <c r="R56" s="1" t="s">
        <v>49</v>
      </c>
    </row>
    <row r="57" spans="1:18" x14ac:dyDescent="0.3">
      <c r="A57" s="5">
        <v>45726</v>
      </c>
      <c r="B57" s="3" t="s">
        <v>41</v>
      </c>
      <c r="C57" s="10">
        <v>9.4591067405866881E-6</v>
      </c>
      <c r="D57" s="9">
        <v>1.6843501940441846E-4</v>
      </c>
      <c r="E57" s="9">
        <v>5.2440422765410978E-2</v>
      </c>
      <c r="F57" s="9">
        <v>7.8367974512601082E-4</v>
      </c>
      <c r="G57" s="9">
        <v>9.4211144730838374E-6</v>
      </c>
      <c r="H57" s="9">
        <v>8.4870126663477068E-4</v>
      </c>
      <c r="J57" s="7">
        <v>12.124645803735399</v>
      </c>
      <c r="K57" s="22">
        <v>2.6843522277292</v>
      </c>
      <c r="L57" s="8">
        <v>7.2319616698859104</v>
      </c>
      <c r="M57" s="8">
        <v>2.522591016096011</v>
      </c>
      <c r="O57" s="9">
        <v>1.667588275132548E-5</v>
      </c>
      <c r="P57" s="7">
        <v>19.276</v>
      </c>
      <c r="R57" s="1" t="s">
        <v>49</v>
      </c>
    </row>
    <row r="58" spans="1:18" x14ac:dyDescent="0.3">
      <c r="A58" s="5">
        <v>45726</v>
      </c>
      <c r="B58" s="3" t="s">
        <v>42</v>
      </c>
      <c r="C58" s="10">
        <v>6.9717040638800712E-6</v>
      </c>
      <c r="D58" s="9">
        <v>1.7210372113540768E-4</v>
      </c>
      <c r="E58" s="9">
        <v>5.2611091145363824E-2</v>
      </c>
      <c r="F58" s="9">
        <v>8.4644000076731336E-4</v>
      </c>
      <c r="G58" s="9">
        <v>4.2944036199783015E-6</v>
      </c>
      <c r="H58" s="9">
        <v>1.1143992925538074E-3</v>
      </c>
      <c r="J58" s="7">
        <v>13.348431797563199</v>
      </c>
      <c r="K58" s="22">
        <v>3.0108218701405201</v>
      </c>
      <c r="L58" s="7">
        <v>10.120330616158</v>
      </c>
      <c r="M58" s="8">
        <v>2.5445001765535409</v>
      </c>
      <c r="O58" s="9">
        <v>1.7813093981544884E-5</v>
      </c>
      <c r="P58" s="7">
        <v>24.400000000000002</v>
      </c>
      <c r="R58" s="1" t="s">
        <v>49</v>
      </c>
    </row>
    <row r="59" spans="1:18" x14ac:dyDescent="0.3">
      <c r="A59" s="5">
        <v>45726</v>
      </c>
      <c r="B59" s="3" t="s">
        <v>43</v>
      </c>
      <c r="C59" s="10">
        <v>2.2071177271420767E-6</v>
      </c>
      <c r="D59" s="9">
        <v>1.4194912667651462E-4</v>
      </c>
      <c r="E59" s="9">
        <v>5.1989714976253779E-2</v>
      </c>
      <c r="F59" s="9">
        <v>7.7630580818801665E-4</v>
      </c>
      <c r="G59" s="9">
        <v>5.8923329248634458E-6</v>
      </c>
      <c r="H59" s="9">
        <v>2.7134318817564516E-4</v>
      </c>
      <c r="J59" s="7">
        <v>11.984871566714601</v>
      </c>
      <c r="K59" s="23">
        <v>10.646120337096701</v>
      </c>
      <c r="L59" s="8">
        <v>5.4156627933232002</v>
      </c>
      <c r="M59" s="8">
        <v>0.71948585951912492</v>
      </c>
      <c r="O59" s="9">
        <v>2.0185500592611475E-5</v>
      </c>
      <c r="P59" s="7">
        <v>57.583999999999996</v>
      </c>
      <c r="R59" s="1" t="s">
        <v>49</v>
      </c>
    </row>
    <row r="60" spans="1:18" x14ac:dyDescent="0.3">
      <c r="A60" s="5">
        <v>45726</v>
      </c>
      <c r="B60" s="3" t="s">
        <v>44</v>
      </c>
      <c r="C60" s="10">
        <v>2.3822860646969805E-6</v>
      </c>
      <c r="D60" s="9">
        <v>1.6847557209988568E-4</v>
      </c>
      <c r="E60" s="9">
        <v>5.2308961252739899E-2</v>
      </c>
      <c r="F60" s="9">
        <v>8.6407840899292959E-4</v>
      </c>
      <c r="G60" s="9">
        <v>4.3942739524800415E-6</v>
      </c>
      <c r="H60" s="9">
        <v>2.7812980811490237E-4</v>
      </c>
      <c r="J60" s="7">
        <v>10.980769182985201</v>
      </c>
      <c r="K60" s="23">
        <v>10.9110327356696</v>
      </c>
      <c r="L60" s="8">
        <v>5.72843579635573</v>
      </c>
      <c r="M60" s="8">
        <v>0.73348463406720532</v>
      </c>
      <c r="O60" s="9">
        <v>2.0505588844455209E-5</v>
      </c>
      <c r="P60" s="7">
        <v>59.292000000000002</v>
      </c>
      <c r="R60" s="1" t="s">
        <v>49</v>
      </c>
    </row>
    <row r="61" spans="1:18" x14ac:dyDescent="0.3">
      <c r="A61" s="5">
        <v>45726</v>
      </c>
      <c r="B61" s="3" t="s">
        <v>45</v>
      </c>
      <c r="C61" s="10">
        <v>2.2071178808231276E-6</v>
      </c>
      <c r="D61" s="9">
        <v>1.7003037139218431E-4</v>
      </c>
      <c r="E61" s="9">
        <v>5.9479002220178878E-2</v>
      </c>
      <c r="F61" s="9">
        <v>9.24883019161393E-4</v>
      </c>
      <c r="G61" s="9">
        <v>4.8603362861075753E-6</v>
      </c>
      <c r="H61" s="9">
        <v>6.2839233632378747E-4</v>
      </c>
      <c r="J61" s="7">
        <v>16.783488775044301</v>
      </c>
      <c r="K61" s="23">
        <v>12.062565067743</v>
      </c>
      <c r="L61" s="8">
        <v>6.20325252213651</v>
      </c>
      <c r="M61" s="8">
        <v>0.77703276921004405</v>
      </c>
      <c r="O61" s="9">
        <v>2.0223146966514871E-5</v>
      </c>
      <c r="P61" s="7">
        <v>72.956000000000003</v>
      </c>
      <c r="R61" s="1" t="s">
        <v>49</v>
      </c>
    </row>
    <row r="62" spans="1:18" x14ac:dyDescent="0.3">
      <c r="A62" s="5">
        <v>45726</v>
      </c>
      <c r="B62" s="3" t="s">
        <v>46</v>
      </c>
      <c r="C62" s="10">
        <v>2.1370503881963671E-6</v>
      </c>
      <c r="D62" s="9">
        <v>1.6853597840560852E-4</v>
      </c>
      <c r="E62" s="9">
        <v>6.3719835374140027E-2</v>
      </c>
      <c r="F62" s="9">
        <v>9.3329001307378753E-4</v>
      </c>
      <c r="G62" s="9">
        <v>2.7297711243059881E-6</v>
      </c>
      <c r="H62" s="9">
        <v>4.1726083761863285E-4</v>
      </c>
      <c r="J62" s="7">
        <v>18.062661633158299</v>
      </c>
      <c r="K62" s="23">
        <v>12.280680046710501</v>
      </c>
      <c r="L62" s="8">
        <v>6.9220161595603003</v>
      </c>
      <c r="M62" s="8">
        <v>0.82008914273762301</v>
      </c>
      <c r="O62" s="9">
        <v>2.1307702535755659E-5</v>
      </c>
      <c r="P62" s="7">
        <v>80.76400000000001</v>
      </c>
      <c r="R62" s="1" t="s">
        <v>49</v>
      </c>
    </row>
    <row r="63" spans="1:18" x14ac:dyDescent="0.3">
      <c r="A63" s="5">
        <v>45740</v>
      </c>
      <c r="B63" s="3" t="s">
        <v>27</v>
      </c>
      <c r="C63" s="10">
        <v>6.3761304599299781E-6</v>
      </c>
      <c r="D63" s="9">
        <v>3.1860168634364897E-4</v>
      </c>
      <c r="E63" s="9">
        <v>5.9354739426412478E-2</v>
      </c>
      <c r="F63" s="9">
        <v>1.0093674951098025E-3</v>
      </c>
      <c r="G63" s="9">
        <v>1.1884617875951722E-5</v>
      </c>
      <c r="H63" s="9">
        <v>6.9092380626078445E-4</v>
      </c>
      <c r="J63" s="7">
        <v>13.8778189171005</v>
      </c>
      <c r="K63" s="8">
        <v>7.2213380705667696</v>
      </c>
      <c r="L63" s="8">
        <v>4.8945370739153002</v>
      </c>
      <c r="M63" s="8">
        <v>2.1543204604067765</v>
      </c>
      <c r="O63" s="9">
        <v>4.1804233740251731E-5</v>
      </c>
      <c r="R63" s="1" t="s">
        <v>49</v>
      </c>
    </row>
    <row r="64" spans="1:18" x14ac:dyDescent="0.3">
      <c r="A64" s="5">
        <v>45740</v>
      </c>
      <c r="B64" s="3" t="s">
        <v>28</v>
      </c>
      <c r="C64" s="10">
        <v>8.1628541623111455E-6</v>
      </c>
      <c r="D64" s="9">
        <v>3.251121002400932E-4</v>
      </c>
      <c r="E64" s="9">
        <v>5.6831565727723972E-2</v>
      </c>
      <c r="F64" s="9">
        <v>9.4551396477895024E-4</v>
      </c>
      <c r="G64" s="9">
        <v>1.6844968611593087E-5</v>
      </c>
      <c r="H64" s="9">
        <v>1.2613048945363801E-3</v>
      </c>
      <c r="J64" s="7">
        <v>12.921359506792299</v>
      </c>
      <c r="K64" s="8">
        <v>7.0572642352608197</v>
      </c>
      <c r="L64" s="8">
        <v>5.2894934983847097</v>
      </c>
      <c r="M64" s="8">
        <v>2.242546519140491</v>
      </c>
      <c r="O64" s="9">
        <v>4.3137746694210285E-5</v>
      </c>
      <c r="R64" s="1" t="s">
        <v>49</v>
      </c>
    </row>
    <row r="65" spans="1:18" x14ac:dyDescent="0.3">
      <c r="A65" s="5">
        <v>45740</v>
      </c>
      <c r="B65" s="3" t="s">
        <v>29</v>
      </c>
      <c r="C65" s="10">
        <v>5.7455281533772069E-6</v>
      </c>
      <c r="D65" s="9">
        <v>1.4867979182508277E-4</v>
      </c>
      <c r="E65" s="9">
        <v>5.0588765679609377E-2</v>
      </c>
      <c r="F65" s="9">
        <v>7.4500446216378658E-4</v>
      </c>
      <c r="G65" s="9">
        <v>9.0882249052696433E-6</v>
      </c>
      <c r="H65" s="9">
        <v>6.7446826355004096E-4</v>
      </c>
      <c r="J65" s="7">
        <v>11.203106831124799</v>
      </c>
      <c r="K65" s="7">
        <v>11.5742042027048</v>
      </c>
      <c r="L65" s="8">
        <v>5.2662821753756699</v>
      </c>
      <c r="M65" s="8">
        <v>0.78055951948561342</v>
      </c>
      <c r="O65" s="9">
        <v>5.082275579774589E-5</v>
      </c>
      <c r="R65" s="1" t="s">
        <v>49</v>
      </c>
    </row>
    <row r="66" spans="1:18" x14ac:dyDescent="0.3">
      <c r="A66" s="5">
        <v>45740</v>
      </c>
      <c r="B66" s="3" t="s">
        <v>30</v>
      </c>
      <c r="C66" s="10">
        <v>4.6945125595312142E-6</v>
      </c>
      <c r="D66" s="9">
        <v>1.5645372821337372E-4</v>
      </c>
      <c r="E66" s="9">
        <v>5.4096378700893115E-2</v>
      </c>
      <c r="F66" s="9">
        <v>6.732277692096261E-4</v>
      </c>
      <c r="G66" s="9">
        <v>8.1560848265419337E-6</v>
      </c>
      <c r="H66" s="9">
        <v>5.1783650673926885E-4</v>
      </c>
      <c r="J66" s="7">
        <v>12.558520564073801</v>
      </c>
      <c r="K66" s="8">
        <v>9.8003933828174201</v>
      </c>
      <c r="L66" s="8">
        <v>4.6513866082869004</v>
      </c>
      <c r="M66" s="8">
        <v>0.90571344978717205</v>
      </c>
      <c r="O66" s="9">
        <v>2.5017151510539335E-5</v>
      </c>
      <c r="R66" s="1" t="s">
        <v>49</v>
      </c>
    </row>
    <row r="67" spans="1:18" x14ac:dyDescent="0.3">
      <c r="A67" s="5">
        <v>45740</v>
      </c>
      <c r="B67" s="3" t="s">
        <v>31</v>
      </c>
      <c r="C67" s="10">
        <v>2.6975890409056136E-6</v>
      </c>
      <c r="D67" s="9">
        <v>2.904611953502909E-4</v>
      </c>
      <c r="E67" s="9">
        <v>0.14280521490269829</v>
      </c>
      <c r="F67" s="9">
        <v>1.3580045763558204E-3</v>
      </c>
      <c r="G67" s="9">
        <v>2.3603108525275051E-5</v>
      </c>
      <c r="H67" s="9">
        <v>9.5979019473470273E-4</v>
      </c>
      <c r="J67" s="7">
        <v>50.589051320368903</v>
      </c>
      <c r="K67" s="8">
        <v>18.3163886542415</v>
      </c>
      <c r="L67" s="7">
        <v>15.289073635562</v>
      </c>
      <c r="M67" s="8">
        <v>3.218191621704781</v>
      </c>
      <c r="O67" s="9">
        <v>3.4756717688856041E-5</v>
      </c>
      <c r="R67" s="1" t="s">
        <v>49</v>
      </c>
    </row>
    <row r="68" spans="1:18" x14ac:dyDescent="0.3">
      <c r="A68" s="5">
        <v>45740</v>
      </c>
      <c r="B68" s="3" t="s">
        <v>32</v>
      </c>
      <c r="C68" s="10">
        <v>3.2931647735079941E-6</v>
      </c>
      <c r="D68" s="9">
        <v>2.6560101856265816E-4</v>
      </c>
      <c r="E68" s="9">
        <v>0.16775480271082779</v>
      </c>
      <c r="F68" s="9">
        <v>1.8230611396891773E-3</v>
      </c>
      <c r="G68" s="9">
        <v>1.2084369687909899E-5</v>
      </c>
      <c r="H68" s="9">
        <v>8.4119249511338014E-4</v>
      </c>
      <c r="J68" s="7">
        <v>63.552743069497602</v>
      </c>
      <c r="K68" s="8">
        <v>25.0618689142912</v>
      </c>
      <c r="L68" s="7">
        <v>20.1408848790735</v>
      </c>
      <c r="M68" s="8">
        <v>3.1229772530172375</v>
      </c>
      <c r="O68" s="9">
        <v>4.7518835007270638E-5</v>
      </c>
      <c r="R68" s="1" t="s">
        <v>49</v>
      </c>
    </row>
    <row r="69" spans="1:18" x14ac:dyDescent="0.3">
      <c r="A69" s="5">
        <v>45740</v>
      </c>
      <c r="B69" s="3" t="s">
        <v>33</v>
      </c>
      <c r="C69" s="10">
        <v>6.3761299040586738E-6</v>
      </c>
      <c r="D69" s="9">
        <v>1.9904691648184691E-4</v>
      </c>
      <c r="E69" s="9">
        <v>5.7632707518795984E-2</v>
      </c>
      <c r="F69" s="9">
        <v>1.4459841956384299E-3</v>
      </c>
      <c r="G69" s="9">
        <v>5.8590424075155885E-6</v>
      </c>
      <c r="H69" s="9">
        <v>3.8846728633521854E-4</v>
      </c>
      <c r="J69" s="7">
        <v>14.301567907104801</v>
      </c>
      <c r="K69" s="8">
        <v>6.8607400317301099</v>
      </c>
      <c r="L69" s="8">
        <v>5.5344470223367903</v>
      </c>
      <c r="M69" s="8">
        <v>1.278425721018758</v>
      </c>
      <c r="O69" s="9">
        <v>2.9069491500773606E-5</v>
      </c>
      <c r="R69" s="1" t="s">
        <v>49</v>
      </c>
    </row>
    <row r="70" spans="1:18" x14ac:dyDescent="0.3">
      <c r="A70" s="5">
        <v>45740</v>
      </c>
      <c r="B70" s="3" t="s">
        <v>34</v>
      </c>
      <c r="C70" s="10">
        <v>4.5543753246376073E-6</v>
      </c>
      <c r="D70" s="9">
        <v>1.8611324302869112E-4</v>
      </c>
      <c r="E70" s="9">
        <v>6.3600824097374636E-2</v>
      </c>
      <c r="F70" s="9">
        <v>1.2644618982175645E-3</v>
      </c>
      <c r="G70" s="9">
        <v>7.8564622083919528E-6</v>
      </c>
      <c r="H70" s="9">
        <v>7.3052121091966816E-4</v>
      </c>
      <c r="J70" s="7">
        <v>16.928811991585299</v>
      </c>
      <c r="K70" s="8">
        <v>6.2821220352708202</v>
      </c>
      <c r="L70" s="8">
        <v>4.9592179091342903</v>
      </c>
      <c r="M70" s="8">
        <v>1.3825746854771859</v>
      </c>
      <c r="O70" s="9">
        <v>3.1502518923110778E-5</v>
      </c>
      <c r="R70" s="1" t="s">
        <v>49</v>
      </c>
    </row>
    <row r="71" spans="1:18" x14ac:dyDescent="0.3">
      <c r="A71" s="5">
        <v>45740</v>
      </c>
      <c r="B71" s="3" t="s">
        <v>35</v>
      </c>
      <c r="C71" s="10">
        <v>3.3632291728868958E-6</v>
      </c>
      <c r="D71" s="9">
        <v>2.0479714136738711E-4</v>
      </c>
      <c r="E71" s="9">
        <v>0.10407548539724899</v>
      </c>
      <c r="F71" s="9">
        <v>9.6330750359757071E-4</v>
      </c>
      <c r="G71" s="9">
        <v>6.6580102641702117E-6</v>
      </c>
      <c r="H71" s="9">
        <v>4.9438856594468837E-4</v>
      </c>
      <c r="J71" s="7">
        <v>30.498926007064998</v>
      </c>
      <c r="K71" s="7">
        <v>11.254537367206799</v>
      </c>
      <c r="L71" s="8">
        <v>4.7232365742461004</v>
      </c>
      <c r="M71" s="8">
        <v>1.2192053714988831</v>
      </c>
      <c r="O71" s="9">
        <v>2.452378848146067E-5</v>
      </c>
      <c r="R71" s="1" t="s">
        <v>49</v>
      </c>
    </row>
    <row r="72" spans="1:18" x14ac:dyDescent="0.3">
      <c r="A72" s="5">
        <v>45740</v>
      </c>
      <c r="B72" s="3" t="s">
        <v>36</v>
      </c>
      <c r="C72" s="10">
        <v>3.7135658839647001E-6</v>
      </c>
      <c r="D72" s="9">
        <v>1.7740172108960767E-4</v>
      </c>
      <c r="E72" s="9">
        <v>0.11198603446779719</v>
      </c>
      <c r="F72" s="9">
        <v>1.0271107003718236E-3</v>
      </c>
      <c r="G72" s="9">
        <v>8.55556208620096E-6</v>
      </c>
      <c r="H72" s="9">
        <v>6.1769648395756016E-4</v>
      </c>
      <c r="J72" s="7">
        <v>34.712539010281702</v>
      </c>
      <c r="K72" s="7">
        <v>17.282304308408399</v>
      </c>
      <c r="L72" s="8">
        <v>6.3646627993945302</v>
      </c>
      <c r="M72" s="8">
        <v>1.5129546357926478</v>
      </c>
      <c r="O72" s="9">
        <v>2.4493665742478039E-5</v>
      </c>
      <c r="R72" s="1" t="s">
        <v>49</v>
      </c>
    </row>
    <row r="73" spans="1:18" x14ac:dyDescent="0.3">
      <c r="A73" s="5">
        <v>45740</v>
      </c>
      <c r="B73" s="3" t="s">
        <v>37</v>
      </c>
      <c r="C73" s="10">
        <v>2.9778582004997841E-6</v>
      </c>
      <c r="D73" s="9">
        <v>2.3078404117689844E-4</v>
      </c>
      <c r="E73" s="9">
        <v>0.11957375929566547</v>
      </c>
      <c r="F73" s="9">
        <v>1.2169455807019857E-3</v>
      </c>
      <c r="G73" s="9">
        <v>8.1893658826883206E-6</v>
      </c>
      <c r="H73" s="9">
        <v>7.3350382442555217E-4</v>
      </c>
      <c r="J73" s="7">
        <v>38.219969667928098</v>
      </c>
      <c r="K73" s="7">
        <v>10.9569329265296</v>
      </c>
      <c r="L73" s="8">
        <v>4.4172570269573903</v>
      </c>
      <c r="M73" s="8">
        <v>1.2399303413062699</v>
      </c>
      <c r="O73" s="9">
        <v>2.3729169091566784E-5</v>
      </c>
      <c r="R73" s="1" t="s">
        <v>49</v>
      </c>
    </row>
    <row r="74" spans="1:18" x14ac:dyDescent="0.3">
      <c r="A74" s="5">
        <v>45740</v>
      </c>
      <c r="B74" s="3" t="s">
        <v>38</v>
      </c>
      <c r="C74" s="10">
        <v>5.3601505301577733E-6</v>
      </c>
      <c r="D74" s="9">
        <v>2.0296579257653681E-4</v>
      </c>
      <c r="E74" s="9">
        <v>0.1200463132478158</v>
      </c>
      <c r="F74" s="9">
        <v>1.3705427877187713E-3</v>
      </c>
      <c r="G74" s="9">
        <v>1.0153504681811928E-5</v>
      </c>
      <c r="H74" s="9">
        <v>8.6556973315747793E-4</v>
      </c>
      <c r="J74" s="7">
        <v>37.690987580532401</v>
      </c>
      <c r="K74" s="7">
        <v>13.290591620479701</v>
      </c>
      <c r="L74" s="8">
        <v>6.5271167092541003</v>
      </c>
      <c r="M74" s="8">
        <v>1.2848619898187978</v>
      </c>
      <c r="O74" s="9">
        <v>3.0350015175927059E-5</v>
      </c>
      <c r="R74" s="1" t="s">
        <v>49</v>
      </c>
    </row>
    <row r="75" spans="1:18" x14ac:dyDescent="0.3">
      <c r="A75" s="5">
        <v>45740</v>
      </c>
      <c r="B75" s="3" t="s">
        <v>48</v>
      </c>
      <c r="C75" s="10">
        <v>2.445370408786657E-5</v>
      </c>
      <c r="D75" s="9">
        <v>1.1377965436794028E-4</v>
      </c>
      <c r="E75" s="9">
        <v>5.3030880241468299E-2</v>
      </c>
      <c r="F75" s="9">
        <v>1.2486230811310328E-3</v>
      </c>
      <c r="G75" s="9">
        <v>1.1751455060837055E-5</v>
      </c>
      <c r="H75" s="9">
        <v>1.2612018844175088E-3</v>
      </c>
      <c r="J75" s="8">
        <v>8.6414403782430202</v>
      </c>
      <c r="K75" s="8">
        <v>1.9083785442676799</v>
      </c>
      <c r="L75" s="8">
        <v>4.8698881746223304</v>
      </c>
      <c r="M75" s="8">
        <v>2.0058320184379341</v>
      </c>
      <c r="O75" s="9">
        <v>1.4947491534737852E-5</v>
      </c>
      <c r="R75" s="1" t="s">
        <v>49</v>
      </c>
    </row>
    <row r="76" spans="1:18" x14ac:dyDescent="0.3">
      <c r="A76" s="5">
        <v>45740</v>
      </c>
      <c r="B76" s="3" t="s">
        <v>39</v>
      </c>
      <c r="C76" s="10">
        <v>1.8918152217861293E-6</v>
      </c>
      <c r="D76" s="9">
        <v>2.9194372309298107E-4</v>
      </c>
      <c r="E76" s="9">
        <v>0.16480569901733205</v>
      </c>
      <c r="F76" s="9">
        <v>1.8805699579053363E-3</v>
      </c>
      <c r="G76" s="9">
        <v>1.1684873443545579E-5</v>
      </c>
      <c r="H76" s="9">
        <v>7.9644982779413735E-4</v>
      </c>
      <c r="J76" s="7">
        <v>56.207577382836099</v>
      </c>
      <c r="K76" s="7">
        <v>26.9961310794273</v>
      </c>
      <c r="L76" s="7">
        <v>22.9190420792916</v>
      </c>
      <c r="M76" s="8">
        <v>2.9599091066264087</v>
      </c>
      <c r="O76" s="9">
        <v>5.7449898079277373E-5</v>
      </c>
      <c r="R76" s="1" t="s">
        <v>49</v>
      </c>
    </row>
    <row r="77" spans="1:18" x14ac:dyDescent="0.3">
      <c r="A77" s="5">
        <v>45740</v>
      </c>
      <c r="B77" s="3" t="s">
        <v>40</v>
      </c>
      <c r="C77" s="10">
        <v>2.3122186930531302E-6</v>
      </c>
      <c r="D77" s="9">
        <v>2.8966620468342223E-4</v>
      </c>
      <c r="E77" s="9">
        <v>0.22207037188592274</v>
      </c>
      <c r="F77" s="9">
        <v>2.5364743928782798E-3</v>
      </c>
      <c r="G77" s="9">
        <v>1.2017783145733059E-5</v>
      </c>
      <c r="H77" s="9">
        <v>9.5557254757528017E-4</v>
      </c>
      <c r="J77" s="7">
        <v>81.804154819476295</v>
      </c>
      <c r="K77" s="7">
        <v>27.306325368104499</v>
      </c>
      <c r="L77" s="7">
        <v>22.496325278973899</v>
      </c>
      <c r="M77" s="8">
        <v>2.7671038391819107</v>
      </c>
      <c r="O77" s="9">
        <v>7.9170110350973587E-5</v>
      </c>
      <c r="R77" s="1" t="s">
        <v>49</v>
      </c>
    </row>
    <row r="78" spans="1:18" x14ac:dyDescent="0.3">
      <c r="A78" s="5">
        <v>45740</v>
      </c>
      <c r="B78" s="3" t="s">
        <v>41</v>
      </c>
      <c r="C78" s="10">
        <v>8.7584290545746327E-6</v>
      </c>
      <c r="D78" s="9">
        <v>2.5676275441264141E-4</v>
      </c>
      <c r="E78" s="9">
        <v>4.9724533347711729E-2</v>
      </c>
      <c r="F78" s="9">
        <v>7.8367994820398605E-4</v>
      </c>
      <c r="G78" s="9">
        <v>1.0120215244201089E-5</v>
      </c>
      <c r="H78" s="9">
        <v>1.135693859071075E-3</v>
      </c>
      <c r="J78" s="7">
        <v>10.5592271698583</v>
      </c>
      <c r="K78" s="8">
        <v>2.3539339922083</v>
      </c>
      <c r="L78" s="8">
        <v>5.4886934702532297</v>
      </c>
      <c r="M78" s="8">
        <v>2.522591016096011</v>
      </c>
      <c r="O78" s="9">
        <v>1.5715657347792743E-5</v>
      </c>
      <c r="R78" s="1" t="s">
        <v>49</v>
      </c>
    </row>
    <row r="79" spans="1:18" x14ac:dyDescent="0.3">
      <c r="A79" s="5">
        <v>45740</v>
      </c>
      <c r="B79" s="3" t="s">
        <v>42</v>
      </c>
      <c r="C79" s="10">
        <v>5.2200155972205349E-6</v>
      </c>
      <c r="D79" s="9">
        <v>2.0023868778029218E-4</v>
      </c>
      <c r="E79" s="9">
        <v>4.6531462304115055E-2</v>
      </c>
      <c r="F79" s="9">
        <v>6.4925101736233856E-4</v>
      </c>
      <c r="G79" s="9">
        <v>6.7578797499781039E-6</v>
      </c>
      <c r="H79" s="9">
        <v>1.9835429644284074E-3</v>
      </c>
      <c r="J79" s="8">
        <v>7.6702680095864499</v>
      </c>
      <c r="K79" s="8">
        <v>1.39905347047518</v>
      </c>
      <c r="L79" s="8">
        <v>4.5062161264174696</v>
      </c>
      <c r="M79" s="8">
        <v>2.5445001765535409</v>
      </c>
      <c r="O79" s="9">
        <v>1.3535445162727334E-5</v>
      </c>
      <c r="R79" s="1" t="s">
        <v>49</v>
      </c>
    </row>
    <row r="80" spans="1:18" x14ac:dyDescent="0.3">
      <c r="A80" s="5">
        <v>45740</v>
      </c>
      <c r="B80" s="3" t="s">
        <v>43</v>
      </c>
      <c r="C80" s="10">
        <v>2.8026900035468336E-6</v>
      </c>
      <c r="D80" s="9">
        <v>1.4832271625612239E-4</v>
      </c>
      <c r="E80" s="9">
        <v>5.66826198594578E-2</v>
      </c>
      <c r="F80" s="9">
        <v>8.4953439688121787E-4</v>
      </c>
      <c r="G80" s="9">
        <v>5.1599475943223985E-6</v>
      </c>
      <c r="H80" s="9">
        <v>2.9170311658664857E-4</v>
      </c>
      <c r="J80" s="7">
        <v>12.013539513112599</v>
      </c>
      <c r="K80" s="7">
        <v>12.995908576423201</v>
      </c>
      <c r="L80" s="8">
        <v>6.1023816849574102</v>
      </c>
      <c r="M80" s="8">
        <v>0.71948585951912492</v>
      </c>
      <c r="O80" s="9">
        <v>2.9333123419909931E-5</v>
      </c>
      <c r="R80" s="1" t="s">
        <v>49</v>
      </c>
    </row>
    <row r="81" spans="1:18" x14ac:dyDescent="0.3">
      <c r="A81" s="5">
        <v>45740</v>
      </c>
      <c r="B81" s="3" t="s">
        <v>44</v>
      </c>
      <c r="C81" s="10">
        <v>3.1880603056219677E-6</v>
      </c>
      <c r="D81" s="9">
        <v>2.054032352145202E-4</v>
      </c>
      <c r="E81" s="9">
        <v>5.9288108274817855E-2</v>
      </c>
      <c r="F81" s="9">
        <v>9.8342291348466602E-4</v>
      </c>
      <c r="G81" s="9">
        <v>4.3276944014269406E-6</v>
      </c>
      <c r="H81" s="9">
        <v>5.8056952445619057E-4</v>
      </c>
      <c r="J81" s="7">
        <v>11.0499443504577</v>
      </c>
      <c r="K81" s="7">
        <v>12.858610887974701</v>
      </c>
      <c r="L81" s="8">
        <v>6.6208813381712401</v>
      </c>
      <c r="M81" s="8">
        <v>0.73348463406720532</v>
      </c>
      <c r="O81" s="9">
        <v>3.1566543668340249E-5</v>
      </c>
      <c r="R81" s="1" t="s">
        <v>49</v>
      </c>
    </row>
    <row r="82" spans="1:18" x14ac:dyDescent="0.3">
      <c r="A82" s="5">
        <v>45740</v>
      </c>
      <c r="B82" s="3" t="s">
        <v>45</v>
      </c>
      <c r="C82" s="10">
        <v>2.5924879769002022E-6</v>
      </c>
      <c r="D82" s="9">
        <v>1.387724932049793E-4</v>
      </c>
      <c r="E82" s="9">
        <v>8.3120625609991103E-2</v>
      </c>
      <c r="F82" s="9">
        <v>9.872915984781021E-4</v>
      </c>
      <c r="G82" s="9">
        <v>4.7271753352792501E-6</v>
      </c>
      <c r="H82" s="9">
        <v>5.592811028737383E-4</v>
      </c>
      <c r="J82" s="7">
        <v>22.7056000738819</v>
      </c>
      <c r="K82" s="8">
        <v>9.5305368694391195</v>
      </c>
      <c r="L82" s="8">
        <v>4.3670102056494198</v>
      </c>
      <c r="M82" s="8">
        <v>0.77703276921004405</v>
      </c>
      <c r="O82" s="9">
        <v>2.2369674601672984E-5</v>
      </c>
      <c r="R82" s="1" t="s">
        <v>49</v>
      </c>
    </row>
    <row r="83" spans="1:18" x14ac:dyDescent="0.3">
      <c r="A83" s="5">
        <v>45740</v>
      </c>
      <c r="B83" s="3" t="s">
        <v>46</v>
      </c>
      <c r="C83" s="10">
        <v>2.347252362525989E-6</v>
      </c>
      <c r="D83" s="9">
        <v>2.1285056623156944E-4</v>
      </c>
      <c r="E83" s="9">
        <v>9.9027691076182964E-2</v>
      </c>
      <c r="F83" s="9">
        <v>1.2641522091535933E-3</v>
      </c>
      <c r="G83" s="9">
        <v>5.2931083276538845E-6</v>
      </c>
      <c r="H83" s="9">
        <v>6.0741198515750123E-4</v>
      </c>
      <c r="J83" s="7">
        <v>26.458914017446901</v>
      </c>
      <c r="K83" s="7">
        <v>13.391103213425399</v>
      </c>
      <c r="L83" s="8">
        <v>8.83652414980976</v>
      </c>
      <c r="M83" s="8">
        <v>0.82008914273762301</v>
      </c>
      <c r="O83" s="9">
        <v>2.9084553535671311E-5</v>
      </c>
      <c r="R83" s="1" t="s">
        <v>49</v>
      </c>
    </row>
  </sheetData>
  <autoFilter ref="A1:Q83"/>
  <sortState ref="A2:O281">
    <sortCondition ref="A2:A281"/>
    <sortCondition ref="B2:B281"/>
  </sortState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every watersample</vt:lpstr>
      <vt:lpstr>once a month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Armin Lorenz</dc:creator>
  <cp:lastModifiedBy>Windows-Benutzer</cp:lastModifiedBy>
  <dcterms:created xsi:type="dcterms:W3CDTF">2021-09-16T07:16:32Z</dcterms:created>
  <dcterms:modified xsi:type="dcterms:W3CDTF">2025-09-10T07:10:35Z</dcterms:modified>
</cp:coreProperties>
</file>